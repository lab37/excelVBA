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58AD05D7-E43F-4364-9DD4-2696ADAB6385}" xr6:coauthVersionLast="33" xr6:coauthVersionMax="33" xr10:uidLastSave="{00000000-0000-0000-0000-000000000000}"/>
  <bookViews>
    <workbookView xWindow="0" yWindow="0" windowWidth="22260" windowHeight="12645" activeTab="2" xr2:uid="{00000000-000D-0000-FFFF-FFFF00000000}"/>
  </bookViews>
  <sheets>
    <sheet name="运算结果报告 1" sheetId="2" r:id="rId1"/>
    <sheet name="总体报告 1" sheetId="3" r:id="rId2"/>
    <sheet name="Sheet1" sheetId="1" r:id="rId3"/>
  </sheets>
  <definedNames>
    <definedName name="solver_adj" localSheetId="2" hidden="1">Sheet1!$B$2:$B$11</definedName>
    <definedName name="solver_cvg" localSheetId="2" hidden="1">0.0001</definedName>
    <definedName name="solver_drv" localSheetId="2" hidden="1">1</definedName>
    <definedName name="solver_eng" localSheetId="2" hidden="1">3</definedName>
    <definedName name="solver_est" localSheetId="2" hidden="1">1</definedName>
    <definedName name="solver_itr" localSheetId="2" hidden="1">2147483647</definedName>
    <definedName name="solver_lhs1" localSheetId="2" hidden="1">Sheet1!$B$2:$B$11</definedName>
    <definedName name="solver_lhs2" localSheetId="2" hidden="1">Sheet1!$B$2:$B$11</definedName>
    <definedName name="solver_lhs3" localSheetId="2" hidden="1">Sheet1!$B$2:$B$11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3</definedName>
    <definedName name="solver_nwt" localSheetId="2" hidden="1">1</definedName>
    <definedName name="solver_opt" localSheetId="2" hidden="1">Sheet1!$C$12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4</definedName>
    <definedName name="solver_rel3" localSheetId="2" hidden="1">3</definedName>
    <definedName name="solver_rhs1" localSheetId="2" hidden="1">4</definedName>
    <definedName name="solver_rhs2" localSheetId="2" hidden="1">整数</definedName>
    <definedName name="solver_rhs3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10</definedName>
    <definedName name="solver_ver" localSheetId="2" hidden="1">3</definedName>
  </definedNames>
  <calcPr calcId="162913" iterate="1" iterateCount="102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H8" i="1"/>
  <c r="I8" i="1"/>
  <c r="F8" i="1"/>
  <c r="F10" i="1"/>
  <c r="C10" i="1" s="1"/>
  <c r="C9" i="1"/>
  <c r="C7" i="1"/>
  <c r="C6" i="1"/>
  <c r="C5" i="1"/>
  <c r="C4" i="1"/>
  <c r="C3" i="1"/>
  <c r="C2" i="1"/>
  <c r="E11" i="1" l="1"/>
  <c r="E8" i="1"/>
  <c r="C8" i="1" s="1"/>
  <c r="C11" i="1" l="1"/>
  <c r="C12" i="1" s="1"/>
</calcChain>
</file>

<file path=xl/sharedStrings.xml><?xml version="1.0" encoding="utf-8"?>
<sst xmlns="http://schemas.openxmlformats.org/spreadsheetml/2006/main" count="207" uniqueCount="76">
  <si>
    <t>答案</t>
  </si>
  <si>
    <t>答案</t>
    <phoneticPr fontId="1" type="noConversion"/>
  </si>
  <si>
    <t>成立结果</t>
    <phoneticPr fontId="1" type="noConversion"/>
  </si>
  <si>
    <t>检验条件</t>
    <phoneticPr fontId="1" type="noConversion"/>
  </si>
  <si>
    <t>辅助</t>
    <phoneticPr fontId="1" type="noConversion"/>
  </si>
  <si>
    <t>出现次数最小</t>
    <phoneticPr fontId="1" type="noConversion"/>
  </si>
  <si>
    <t>1=6？</t>
    <phoneticPr fontId="1" type="noConversion"/>
  </si>
  <si>
    <t>Microsoft Excel 16.0 运算结果报告</t>
  </si>
  <si>
    <t>工作表: [新建 Microsoft Excel 工作表.xlsx]Sheet1</t>
  </si>
  <si>
    <t>报告的建立: 2018/6/12 9:11:02</t>
  </si>
  <si>
    <t>结果: 规划求解找不到有用的解。</t>
  </si>
  <si>
    <t>规划求解引擎</t>
  </si>
  <si>
    <t>引擎: 演化</t>
  </si>
  <si>
    <t>求解时间: 32.687 秒。</t>
  </si>
  <si>
    <t>迭代次数: 0 子问题: 4932</t>
  </si>
  <si>
    <t>规划求解选项</t>
  </si>
  <si>
    <t>最大时间 无限制,  迭代 无限制, Precision 0.000001, 使用自动缩放</t>
  </si>
  <si>
    <t xml:space="preserve"> 收敛 0.0001, 总体大小 100, 随机种子 0, 突变速率 0.075, 无改进的时间 30 秒, 需要界限</t>
  </si>
  <si>
    <t>最大子问题数目 无限制, 最大整数解数目 无限制, 整数允许误差 1%, 假设为非负数</t>
  </si>
  <si>
    <t>目标单元格 (目标值)</t>
  </si>
  <si>
    <t>单元格</t>
  </si>
  <si>
    <t>名称</t>
  </si>
  <si>
    <t>初值</t>
  </si>
  <si>
    <t>终值</t>
  </si>
  <si>
    <t>可变单元格</t>
  </si>
  <si>
    <t>整数</t>
  </si>
  <si>
    <t>约束</t>
  </si>
  <si>
    <t>单元格值</t>
  </si>
  <si>
    <t>公式</t>
  </si>
  <si>
    <t>状态</t>
  </si>
  <si>
    <t>型数值</t>
  </si>
  <si>
    <t>$C$12</t>
  </si>
  <si>
    <t>检验条件 成立结果</t>
  </si>
  <si>
    <t>$B$2</t>
  </si>
  <si>
    <t>$B$3</t>
  </si>
  <si>
    <t>$B$4</t>
  </si>
  <si>
    <t>$B$5</t>
  </si>
  <si>
    <t>$B$6</t>
  </si>
  <si>
    <t>$B$7</t>
  </si>
  <si>
    <t>$B$8</t>
  </si>
  <si>
    <t>$B$9</t>
  </si>
  <si>
    <t>$B$10</t>
  </si>
  <si>
    <t>$B$11</t>
  </si>
  <si>
    <t>$C$12=10</t>
  </si>
  <si>
    <t>到达限制值</t>
  </si>
  <si>
    <t>$B$2&lt;=4</t>
  </si>
  <si>
    <t>未到限制值</t>
  </si>
  <si>
    <t>$B$3&lt;=4</t>
  </si>
  <si>
    <t>$B$4&lt;=4</t>
  </si>
  <si>
    <t>$B$5&lt;=4</t>
  </si>
  <si>
    <t>$B$6&lt;=4</t>
  </si>
  <si>
    <t>$B$7&lt;=4</t>
  </si>
  <si>
    <t>$B$8&lt;=4</t>
  </si>
  <si>
    <t>$B$9&lt;=4</t>
  </si>
  <si>
    <t>$B$10&lt;=4</t>
  </si>
  <si>
    <t>$B$11&lt;=4</t>
  </si>
  <si>
    <t>$B$2&gt;=1</t>
  </si>
  <si>
    <t>$B$3&gt;=1</t>
  </si>
  <si>
    <t>$B$4&gt;=1</t>
  </si>
  <si>
    <t>$B$5&gt;=1</t>
  </si>
  <si>
    <t>$B$6&gt;=1</t>
  </si>
  <si>
    <t>$B$7&gt;=1</t>
  </si>
  <si>
    <t>$B$8&gt;=1</t>
  </si>
  <si>
    <t>$B$9&gt;=1</t>
  </si>
  <si>
    <t>$B$10&gt;=1</t>
  </si>
  <si>
    <t>$B$11&gt;=1</t>
  </si>
  <si>
    <t>$B$2:$B$11=整数</t>
  </si>
  <si>
    <t>整数</t>
    <phoneticPr fontId="1" type="noConversion"/>
  </si>
  <si>
    <t>Microsoft Excel 16.0 总体报告</t>
  </si>
  <si>
    <t>最佳</t>
  </si>
  <si>
    <t>值</t>
  </si>
  <si>
    <t>中等</t>
  </si>
  <si>
    <t>标准</t>
  </si>
  <si>
    <t>偏差</t>
  </si>
  <si>
    <t>最大值</t>
  </si>
  <si>
    <t>最小值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</si>
</sst>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indexed="18"/>
      <name val="等线"/>
      <family val="2"/>
      <scheme val="minor"/>
    </font>
    <font>
      <b/>
      <sz val="11"/>
      <color indexed="18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4" xfId="0" applyFill="1" applyBorder="1" applyAlignment="1"/>
    <xf numFmtId="0" fontId="3" fillId="0" borderId="3" xfId="0" applyFont="1" applyFill="1" applyBorder="1" applyAlignment="1">
      <alignment horizontal="center"/>
    </xf>
    <xf numFmtId="0" fontId="0" fillId="0" borderId="5" xfId="0" applyFill="1" applyBorder="1" applyAlignment="1"/>
    <xf numFmtId="0" fontId="0" fillId="0" borderId="4" xfId="0" applyNumberFormat="1" applyFill="1" applyBorder="1" applyAlignment="1"/>
    <xf numFmtId="0" fontId="0" fillId="0" borderId="5" xfId="0" applyNumberFormat="1" applyFill="1" applyBorder="1" applyAlignment="1"/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48CA7-A7EB-4CE4-896B-26CBCE93A886}">
  <sheetPr codeName="Sheet1"/>
  <dimension ref="A1:G56"/>
  <sheetViews>
    <sheetView showGridLines="0" topLeftCell="A25" workbookViewId="0"/>
  </sheetViews>
  <sheetFormatPr defaultRowHeight="14.25" x14ac:dyDescent="0.2"/>
  <cols>
    <col min="1" max="1" width="2.125" customWidth="1"/>
    <col min="2" max="2" width="16.5" bestFit="1" customWidth="1"/>
    <col min="3" max="3" width="17.75" bestFit="1" customWidth="1"/>
    <col min="4" max="4" width="9" bestFit="1" customWidth="1"/>
    <col min="5" max="5" width="10" bestFit="1" customWidth="1"/>
    <col min="6" max="6" width="11" bestFit="1" customWidth="1"/>
    <col min="7" max="7" width="7.125" bestFit="1" customWidth="1"/>
  </cols>
  <sheetData>
    <row r="1" spans="1:5" x14ac:dyDescent="0.2">
      <c r="A1" s="2" t="s">
        <v>7</v>
      </c>
    </row>
    <row r="2" spans="1:5" x14ac:dyDescent="0.2">
      <c r="A2" s="2" t="s">
        <v>8</v>
      </c>
    </row>
    <row r="3" spans="1:5" x14ac:dyDescent="0.2">
      <c r="A3" s="2" t="s">
        <v>9</v>
      </c>
    </row>
    <row r="4" spans="1:5" x14ac:dyDescent="0.2">
      <c r="A4" s="2" t="s">
        <v>10</v>
      </c>
    </row>
    <row r="5" spans="1:5" x14ac:dyDescent="0.2">
      <c r="A5" s="2" t="s">
        <v>11</v>
      </c>
    </row>
    <row r="6" spans="1:5" x14ac:dyDescent="0.2">
      <c r="A6" s="2"/>
      <c r="B6" t="s">
        <v>12</v>
      </c>
    </row>
    <row r="7" spans="1:5" x14ac:dyDescent="0.2">
      <c r="A7" s="2"/>
      <c r="B7" t="s">
        <v>13</v>
      </c>
    </row>
    <row r="8" spans="1:5" x14ac:dyDescent="0.2">
      <c r="A8" s="2"/>
      <c r="B8" t="s">
        <v>14</v>
      </c>
    </row>
    <row r="9" spans="1:5" x14ac:dyDescent="0.2">
      <c r="A9" s="2" t="s">
        <v>15</v>
      </c>
    </row>
    <row r="10" spans="1:5" x14ac:dyDescent="0.2">
      <c r="B10" t="s">
        <v>16</v>
      </c>
    </row>
    <row r="11" spans="1:5" x14ac:dyDescent="0.2">
      <c r="B11" t="s">
        <v>17</v>
      </c>
    </row>
    <row r="12" spans="1:5" x14ac:dyDescent="0.2">
      <c r="B12" t="s">
        <v>18</v>
      </c>
    </row>
    <row r="14" spans="1:5" ht="15" thickBot="1" x14ac:dyDescent="0.25">
      <c r="A14" t="s">
        <v>19</v>
      </c>
    </row>
    <row r="15" spans="1:5" ht="15" thickBot="1" x14ac:dyDescent="0.25">
      <c r="B15" s="4" t="s">
        <v>20</v>
      </c>
      <c r="C15" s="4" t="s">
        <v>21</v>
      </c>
      <c r="D15" s="4" t="s">
        <v>22</v>
      </c>
      <c r="E15" s="4" t="s">
        <v>23</v>
      </c>
    </row>
    <row r="16" spans="1:5" ht="15" thickBot="1" x14ac:dyDescent="0.25">
      <c r="B16" s="3" t="s">
        <v>31</v>
      </c>
      <c r="C16" s="3" t="s">
        <v>32</v>
      </c>
      <c r="D16" s="6">
        <v>0</v>
      </c>
      <c r="E16" s="6">
        <v>0</v>
      </c>
    </row>
    <row r="19" spans="1:6" ht="15" thickBot="1" x14ac:dyDescent="0.25">
      <c r="A19" t="s">
        <v>24</v>
      </c>
    </row>
    <row r="20" spans="1:6" ht="15" thickBot="1" x14ac:dyDescent="0.25">
      <c r="B20" s="4" t="s">
        <v>20</v>
      </c>
      <c r="C20" s="4" t="s">
        <v>21</v>
      </c>
      <c r="D20" s="4" t="s">
        <v>22</v>
      </c>
      <c r="E20" s="4" t="s">
        <v>23</v>
      </c>
      <c r="F20" s="4" t="s">
        <v>25</v>
      </c>
    </row>
    <row r="21" spans="1:6" x14ac:dyDescent="0.2">
      <c r="B21" s="5" t="s">
        <v>33</v>
      </c>
      <c r="C21" s="5" t="s">
        <v>0</v>
      </c>
      <c r="D21" s="7">
        <v>0</v>
      </c>
      <c r="E21" s="7">
        <v>2</v>
      </c>
      <c r="F21" s="5" t="s">
        <v>67</v>
      </c>
    </row>
    <row r="22" spans="1:6" x14ac:dyDescent="0.2">
      <c r="B22" s="5" t="s">
        <v>34</v>
      </c>
      <c r="C22" s="5" t="s">
        <v>0</v>
      </c>
      <c r="D22" s="7">
        <v>0</v>
      </c>
      <c r="E22" s="7">
        <v>2</v>
      </c>
      <c r="F22" s="5" t="s">
        <v>67</v>
      </c>
    </row>
    <row r="23" spans="1:6" x14ac:dyDescent="0.2">
      <c r="B23" s="5" t="s">
        <v>35</v>
      </c>
      <c r="C23" s="5" t="s">
        <v>0</v>
      </c>
      <c r="D23" s="7">
        <v>0</v>
      </c>
      <c r="E23" s="7">
        <v>3</v>
      </c>
      <c r="F23" s="5" t="s">
        <v>67</v>
      </c>
    </row>
    <row r="24" spans="1:6" x14ac:dyDescent="0.2">
      <c r="B24" s="5" t="s">
        <v>36</v>
      </c>
      <c r="C24" s="5" t="s">
        <v>0</v>
      </c>
      <c r="D24" s="7">
        <v>0</v>
      </c>
      <c r="E24" s="7">
        <v>3</v>
      </c>
      <c r="F24" s="5" t="s">
        <v>67</v>
      </c>
    </row>
    <row r="25" spans="1:6" x14ac:dyDescent="0.2">
      <c r="B25" s="5" t="s">
        <v>37</v>
      </c>
      <c r="C25" s="5" t="s">
        <v>0</v>
      </c>
      <c r="D25" s="7">
        <v>0</v>
      </c>
      <c r="E25" s="7">
        <v>2</v>
      </c>
      <c r="F25" s="5" t="s">
        <v>67</v>
      </c>
    </row>
    <row r="26" spans="1:6" x14ac:dyDescent="0.2">
      <c r="B26" s="5" t="s">
        <v>38</v>
      </c>
      <c r="C26" s="5" t="s">
        <v>0</v>
      </c>
      <c r="D26" s="7">
        <v>0</v>
      </c>
      <c r="E26" s="7">
        <v>3</v>
      </c>
      <c r="F26" s="5" t="s">
        <v>67</v>
      </c>
    </row>
    <row r="27" spans="1:6" x14ac:dyDescent="0.2">
      <c r="B27" s="5" t="s">
        <v>39</v>
      </c>
      <c r="C27" s="5" t="s">
        <v>0</v>
      </c>
      <c r="D27" s="7">
        <v>0</v>
      </c>
      <c r="E27" s="7">
        <v>3</v>
      </c>
      <c r="F27" s="5" t="s">
        <v>67</v>
      </c>
    </row>
    <row r="28" spans="1:6" x14ac:dyDescent="0.2">
      <c r="B28" s="5" t="s">
        <v>40</v>
      </c>
      <c r="C28" s="5" t="s">
        <v>0</v>
      </c>
      <c r="D28" s="7">
        <v>0</v>
      </c>
      <c r="E28" s="7">
        <v>2</v>
      </c>
      <c r="F28" s="5" t="s">
        <v>67</v>
      </c>
    </row>
    <row r="29" spans="1:6" x14ac:dyDescent="0.2">
      <c r="B29" s="5" t="s">
        <v>41</v>
      </c>
      <c r="C29" s="5" t="s">
        <v>0</v>
      </c>
      <c r="D29" s="7">
        <v>0</v>
      </c>
      <c r="E29" s="7">
        <v>1</v>
      </c>
      <c r="F29" s="5" t="s">
        <v>67</v>
      </c>
    </row>
    <row r="30" spans="1:6" ht="15" thickBot="1" x14ac:dyDescent="0.25">
      <c r="B30" s="3" t="s">
        <v>42</v>
      </c>
      <c r="C30" s="3" t="s">
        <v>0</v>
      </c>
      <c r="D30" s="6">
        <v>0</v>
      </c>
      <c r="E30" s="6">
        <v>2</v>
      </c>
      <c r="F30" s="3" t="s">
        <v>67</v>
      </c>
    </row>
    <row r="33" spans="1:7" ht="15" thickBot="1" x14ac:dyDescent="0.25">
      <c r="A33" t="s">
        <v>26</v>
      </c>
    </row>
    <row r="34" spans="1:7" ht="15" thickBot="1" x14ac:dyDescent="0.25">
      <c r="B34" s="4" t="s">
        <v>20</v>
      </c>
      <c r="C34" s="4" t="s">
        <v>21</v>
      </c>
      <c r="D34" s="4" t="s">
        <v>27</v>
      </c>
      <c r="E34" s="4" t="s">
        <v>28</v>
      </c>
      <c r="F34" s="4" t="s">
        <v>29</v>
      </c>
      <c r="G34" s="4" t="s">
        <v>30</v>
      </c>
    </row>
    <row r="35" spans="1:7" x14ac:dyDescent="0.2">
      <c r="B35" s="5" t="s">
        <v>31</v>
      </c>
      <c r="C35" s="5" t="s">
        <v>32</v>
      </c>
      <c r="D35" s="7">
        <v>0</v>
      </c>
      <c r="E35" s="5" t="s">
        <v>43</v>
      </c>
      <c r="F35" s="5" t="s">
        <v>44</v>
      </c>
      <c r="G35" s="5">
        <v>0</v>
      </c>
    </row>
    <row r="36" spans="1:7" x14ac:dyDescent="0.2">
      <c r="B36" s="5" t="s">
        <v>33</v>
      </c>
      <c r="C36" s="5" t="s">
        <v>0</v>
      </c>
      <c r="D36" s="7">
        <v>2</v>
      </c>
      <c r="E36" s="5" t="s">
        <v>45</v>
      </c>
      <c r="F36" s="5" t="s">
        <v>46</v>
      </c>
      <c r="G36" s="5">
        <v>2</v>
      </c>
    </row>
    <row r="37" spans="1:7" x14ac:dyDescent="0.2">
      <c r="B37" s="5" t="s">
        <v>34</v>
      </c>
      <c r="C37" s="5" t="s">
        <v>0</v>
      </c>
      <c r="D37" s="7">
        <v>2</v>
      </c>
      <c r="E37" s="5" t="s">
        <v>47</v>
      </c>
      <c r="F37" s="5" t="s">
        <v>46</v>
      </c>
      <c r="G37" s="5">
        <v>2</v>
      </c>
    </row>
    <row r="38" spans="1:7" x14ac:dyDescent="0.2">
      <c r="B38" s="5" t="s">
        <v>35</v>
      </c>
      <c r="C38" s="5" t="s">
        <v>0</v>
      </c>
      <c r="D38" s="7">
        <v>3</v>
      </c>
      <c r="E38" s="5" t="s">
        <v>48</v>
      </c>
      <c r="F38" s="5" t="s">
        <v>46</v>
      </c>
      <c r="G38" s="5">
        <v>1</v>
      </c>
    </row>
    <row r="39" spans="1:7" x14ac:dyDescent="0.2">
      <c r="B39" s="5" t="s">
        <v>36</v>
      </c>
      <c r="C39" s="5" t="s">
        <v>0</v>
      </c>
      <c r="D39" s="7">
        <v>3</v>
      </c>
      <c r="E39" s="5" t="s">
        <v>49</v>
      </c>
      <c r="F39" s="5" t="s">
        <v>46</v>
      </c>
      <c r="G39" s="5">
        <v>1</v>
      </c>
    </row>
    <row r="40" spans="1:7" x14ac:dyDescent="0.2">
      <c r="B40" s="5" t="s">
        <v>37</v>
      </c>
      <c r="C40" s="5" t="s">
        <v>0</v>
      </c>
      <c r="D40" s="7">
        <v>2</v>
      </c>
      <c r="E40" s="5" t="s">
        <v>50</v>
      </c>
      <c r="F40" s="5" t="s">
        <v>46</v>
      </c>
      <c r="G40" s="5">
        <v>2</v>
      </c>
    </row>
    <row r="41" spans="1:7" x14ac:dyDescent="0.2">
      <c r="B41" s="5" t="s">
        <v>38</v>
      </c>
      <c r="C41" s="5" t="s">
        <v>0</v>
      </c>
      <c r="D41" s="7">
        <v>3</v>
      </c>
      <c r="E41" s="5" t="s">
        <v>51</v>
      </c>
      <c r="F41" s="5" t="s">
        <v>46</v>
      </c>
      <c r="G41" s="5">
        <v>1</v>
      </c>
    </row>
    <row r="42" spans="1:7" x14ac:dyDescent="0.2">
      <c r="B42" s="5" t="s">
        <v>39</v>
      </c>
      <c r="C42" s="5" t="s">
        <v>0</v>
      </c>
      <c r="D42" s="7">
        <v>3</v>
      </c>
      <c r="E42" s="5" t="s">
        <v>52</v>
      </c>
      <c r="F42" s="5" t="s">
        <v>46</v>
      </c>
      <c r="G42" s="5">
        <v>1</v>
      </c>
    </row>
    <row r="43" spans="1:7" x14ac:dyDescent="0.2">
      <c r="B43" s="5" t="s">
        <v>40</v>
      </c>
      <c r="C43" s="5" t="s">
        <v>0</v>
      </c>
      <c r="D43" s="7">
        <v>2</v>
      </c>
      <c r="E43" s="5" t="s">
        <v>53</v>
      </c>
      <c r="F43" s="5" t="s">
        <v>46</v>
      </c>
      <c r="G43" s="5">
        <v>2</v>
      </c>
    </row>
    <row r="44" spans="1:7" x14ac:dyDescent="0.2">
      <c r="B44" s="5" t="s">
        <v>41</v>
      </c>
      <c r="C44" s="5" t="s">
        <v>0</v>
      </c>
      <c r="D44" s="7">
        <v>1</v>
      </c>
      <c r="E44" s="5" t="s">
        <v>54</v>
      </c>
      <c r="F44" s="5" t="s">
        <v>46</v>
      </c>
      <c r="G44" s="5">
        <v>3</v>
      </c>
    </row>
    <row r="45" spans="1:7" x14ac:dyDescent="0.2">
      <c r="B45" s="5" t="s">
        <v>42</v>
      </c>
      <c r="C45" s="5" t="s">
        <v>0</v>
      </c>
      <c r="D45" s="7">
        <v>2</v>
      </c>
      <c r="E45" s="5" t="s">
        <v>55</v>
      </c>
      <c r="F45" s="5" t="s">
        <v>46</v>
      </c>
      <c r="G45" s="5">
        <v>2</v>
      </c>
    </row>
    <row r="46" spans="1:7" x14ac:dyDescent="0.2">
      <c r="B46" s="5" t="s">
        <v>33</v>
      </c>
      <c r="C46" s="5" t="s">
        <v>0</v>
      </c>
      <c r="D46" s="7">
        <v>2</v>
      </c>
      <c r="E46" s="5" t="s">
        <v>56</v>
      </c>
      <c r="F46" s="5" t="s">
        <v>46</v>
      </c>
      <c r="G46" s="7">
        <v>1</v>
      </c>
    </row>
    <row r="47" spans="1:7" x14ac:dyDescent="0.2">
      <c r="B47" s="5" t="s">
        <v>34</v>
      </c>
      <c r="C47" s="5" t="s">
        <v>0</v>
      </c>
      <c r="D47" s="7">
        <v>2</v>
      </c>
      <c r="E47" s="5" t="s">
        <v>57</v>
      </c>
      <c r="F47" s="5" t="s">
        <v>46</v>
      </c>
      <c r="G47" s="7">
        <v>1</v>
      </c>
    </row>
    <row r="48" spans="1:7" x14ac:dyDescent="0.2">
      <c r="B48" s="5" t="s">
        <v>35</v>
      </c>
      <c r="C48" s="5" t="s">
        <v>0</v>
      </c>
      <c r="D48" s="7">
        <v>3</v>
      </c>
      <c r="E48" s="5" t="s">
        <v>58</v>
      </c>
      <c r="F48" s="5" t="s">
        <v>46</v>
      </c>
      <c r="G48" s="7">
        <v>2</v>
      </c>
    </row>
    <row r="49" spans="2:7" x14ac:dyDescent="0.2">
      <c r="B49" s="5" t="s">
        <v>36</v>
      </c>
      <c r="C49" s="5" t="s">
        <v>0</v>
      </c>
      <c r="D49" s="7">
        <v>3</v>
      </c>
      <c r="E49" s="5" t="s">
        <v>59</v>
      </c>
      <c r="F49" s="5" t="s">
        <v>46</v>
      </c>
      <c r="G49" s="7">
        <v>2</v>
      </c>
    </row>
    <row r="50" spans="2:7" x14ac:dyDescent="0.2">
      <c r="B50" s="5" t="s">
        <v>37</v>
      </c>
      <c r="C50" s="5" t="s">
        <v>0</v>
      </c>
      <c r="D50" s="7">
        <v>2</v>
      </c>
      <c r="E50" s="5" t="s">
        <v>60</v>
      </c>
      <c r="F50" s="5" t="s">
        <v>46</v>
      </c>
      <c r="G50" s="7">
        <v>1</v>
      </c>
    </row>
    <row r="51" spans="2:7" x14ac:dyDescent="0.2">
      <c r="B51" s="5" t="s">
        <v>38</v>
      </c>
      <c r="C51" s="5" t="s">
        <v>0</v>
      </c>
      <c r="D51" s="7">
        <v>3</v>
      </c>
      <c r="E51" s="5" t="s">
        <v>61</v>
      </c>
      <c r="F51" s="5" t="s">
        <v>46</v>
      </c>
      <c r="G51" s="7">
        <v>2</v>
      </c>
    </row>
    <row r="52" spans="2:7" x14ac:dyDescent="0.2">
      <c r="B52" s="5" t="s">
        <v>39</v>
      </c>
      <c r="C52" s="5" t="s">
        <v>0</v>
      </c>
      <c r="D52" s="7">
        <v>3</v>
      </c>
      <c r="E52" s="5" t="s">
        <v>62</v>
      </c>
      <c r="F52" s="5" t="s">
        <v>46</v>
      </c>
      <c r="G52" s="7">
        <v>2</v>
      </c>
    </row>
    <row r="53" spans="2:7" x14ac:dyDescent="0.2">
      <c r="B53" s="5" t="s">
        <v>40</v>
      </c>
      <c r="C53" s="5" t="s">
        <v>0</v>
      </c>
      <c r="D53" s="7">
        <v>2</v>
      </c>
      <c r="E53" s="5" t="s">
        <v>63</v>
      </c>
      <c r="F53" s="5" t="s">
        <v>46</v>
      </c>
      <c r="G53" s="7">
        <v>1</v>
      </c>
    </row>
    <row r="54" spans="2:7" x14ac:dyDescent="0.2">
      <c r="B54" s="5" t="s">
        <v>41</v>
      </c>
      <c r="C54" s="5" t="s">
        <v>0</v>
      </c>
      <c r="D54" s="7">
        <v>1</v>
      </c>
      <c r="E54" s="5" t="s">
        <v>64</v>
      </c>
      <c r="F54" s="5" t="s">
        <v>44</v>
      </c>
      <c r="G54" s="7">
        <v>0</v>
      </c>
    </row>
    <row r="55" spans="2:7" x14ac:dyDescent="0.2">
      <c r="B55" s="5" t="s">
        <v>42</v>
      </c>
      <c r="C55" s="5" t="s">
        <v>0</v>
      </c>
      <c r="D55" s="7">
        <v>2</v>
      </c>
      <c r="E55" s="5" t="s">
        <v>65</v>
      </c>
      <c r="F55" s="5" t="s">
        <v>46</v>
      </c>
      <c r="G55" s="7">
        <v>1</v>
      </c>
    </row>
    <row r="56" spans="2:7" ht="15" thickBot="1" x14ac:dyDescent="0.25">
      <c r="B56" s="3" t="s">
        <v>66</v>
      </c>
      <c r="C56" s="3"/>
      <c r="D56" s="3"/>
      <c r="E56" s="3"/>
      <c r="F56" s="3"/>
      <c r="G56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6674D-579C-463E-8586-B8DF4B0A25D4}">
  <sheetPr codeName="Sheet2"/>
  <dimension ref="A1:H23"/>
  <sheetViews>
    <sheetView showGridLines="0" workbookViewId="0"/>
  </sheetViews>
  <sheetFormatPr defaultRowHeight="14.25" x14ac:dyDescent="0.2"/>
  <cols>
    <col min="1" max="1" width="2.125" customWidth="1"/>
    <col min="2" max="2" width="7.125" bestFit="1" customWidth="1"/>
    <col min="3" max="3" width="17.75" bestFit="1" customWidth="1"/>
    <col min="4" max="4" width="5.25" bestFit="1" customWidth="1"/>
    <col min="5" max="5" width="5.5" bestFit="1" customWidth="1"/>
    <col min="6" max="6" width="12.75" bestFit="1" customWidth="1"/>
    <col min="7" max="8" width="7.125" bestFit="1" customWidth="1"/>
  </cols>
  <sheetData>
    <row r="1" spans="1:8" x14ac:dyDescent="0.2">
      <c r="A1" s="2" t="s">
        <v>68</v>
      </c>
    </row>
    <row r="2" spans="1:8" x14ac:dyDescent="0.2">
      <c r="A2" s="2" t="s">
        <v>8</v>
      </c>
    </row>
    <row r="3" spans="1:8" x14ac:dyDescent="0.2">
      <c r="A3" s="2" t="s">
        <v>9</v>
      </c>
    </row>
    <row r="6" spans="1:8" ht="15" thickBot="1" x14ac:dyDescent="0.25">
      <c r="A6" t="s">
        <v>24</v>
      </c>
    </row>
    <row r="7" spans="1:8" x14ac:dyDescent="0.2">
      <c r="B7" s="8"/>
      <c r="C7" s="8"/>
      <c r="D7" s="8" t="s">
        <v>69</v>
      </c>
      <c r="E7" s="8" t="s">
        <v>71</v>
      </c>
      <c r="F7" s="8" t="s">
        <v>72</v>
      </c>
      <c r="G7" s="8" t="s">
        <v>74</v>
      </c>
      <c r="H7" s="8" t="s">
        <v>75</v>
      </c>
    </row>
    <row r="8" spans="1:8" ht="15" thickBot="1" x14ac:dyDescent="0.25">
      <c r="B8" s="9" t="s">
        <v>20</v>
      </c>
      <c r="C8" s="9" t="s">
        <v>21</v>
      </c>
      <c r="D8" s="10" t="s">
        <v>70</v>
      </c>
      <c r="E8" s="10" t="s">
        <v>70</v>
      </c>
      <c r="F8" s="10" t="s">
        <v>73</v>
      </c>
      <c r="G8" s="10" t="s">
        <v>70</v>
      </c>
      <c r="H8" s="10" t="s">
        <v>70</v>
      </c>
    </row>
    <row r="9" spans="1:8" x14ac:dyDescent="0.2">
      <c r="B9" s="5" t="s">
        <v>33</v>
      </c>
      <c r="C9" s="5" t="s">
        <v>0</v>
      </c>
      <c r="D9" s="7">
        <v>2</v>
      </c>
      <c r="E9" s="7">
        <v>2.46</v>
      </c>
      <c r="F9" s="5">
        <v>0.99919159243052047</v>
      </c>
      <c r="G9" s="5">
        <v>4</v>
      </c>
      <c r="H9" s="5">
        <v>1</v>
      </c>
    </row>
    <row r="10" spans="1:8" x14ac:dyDescent="0.2">
      <c r="B10" s="5" t="s">
        <v>34</v>
      </c>
      <c r="C10" s="5" t="s">
        <v>0</v>
      </c>
      <c r="D10" s="7">
        <v>2</v>
      </c>
      <c r="E10" s="7">
        <v>2.4</v>
      </c>
      <c r="F10" s="5">
        <v>0.92113237294367623</v>
      </c>
      <c r="G10" s="5">
        <v>4</v>
      </c>
      <c r="H10" s="5">
        <v>1</v>
      </c>
    </row>
    <row r="11" spans="1:8" x14ac:dyDescent="0.2">
      <c r="B11" s="5" t="s">
        <v>35</v>
      </c>
      <c r="C11" s="5" t="s">
        <v>0</v>
      </c>
      <c r="D11" s="7">
        <v>3</v>
      </c>
      <c r="E11" s="7">
        <v>2.4</v>
      </c>
      <c r="F11" s="5">
        <v>1.0050378152592117</v>
      </c>
      <c r="G11" s="5">
        <v>4</v>
      </c>
      <c r="H11" s="5">
        <v>1</v>
      </c>
    </row>
    <row r="12" spans="1:8" x14ac:dyDescent="0.2">
      <c r="B12" s="5" t="s">
        <v>36</v>
      </c>
      <c r="C12" s="5" t="s">
        <v>0</v>
      </c>
      <c r="D12" s="7">
        <v>3</v>
      </c>
      <c r="E12" s="7">
        <v>2.34</v>
      </c>
      <c r="F12" s="5">
        <v>0.95579043390031548</v>
      </c>
      <c r="G12" s="5">
        <v>4</v>
      </c>
      <c r="H12" s="5">
        <v>1</v>
      </c>
    </row>
    <row r="13" spans="1:8" x14ac:dyDescent="0.2">
      <c r="B13" s="5" t="s">
        <v>37</v>
      </c>
      <c r="C13" s="5" t="s">
        <v>0</v>
      </c>
      <c r="D13" s="7">
        <v>2</v>
      </c>
      <c r="E13" s="7">
        <v>2.25</v>
      </c>
      <c r="F13" s="5">
        <v>0.94681816969502997</v>
      </c>
      <c r="G13" s="5">
        <v>4</v>
      </c>
      <c r="H13" s="5">
        <v>1</v>
      </c>
    </row>
    <row r="14" spans="1:8" x14ac:dyDescent="0.2">
      <c r="B14" s="5" t="s">
        <v>38</v>
      </c>
      <c r="C14" s="5" t="s">
        <v>0</v>
      </c>
      <c r="D14" s="7">
        <v>3</v>
      </c>
      <c r="E14" s="7">
        <v>2.37</v>
      </c>
      <c r="F14" s="5">
        <v>0.90626327924788552</v>
      </c>
      <c r="G14" s="5">
        <v>4</v>
      </c>
      <c r="H14" s="5">
        <v>1</v>
      </c>
    </row>
    <row r="15" spans="1:8" x14ac:dyDescent="0.2">
      <c r="B15" s="5" t="s">
        <v>39</v>
      </c>
      <c r="C15" s="5" t="s">
        <v>0</v>
      </c>
      <c r="D15" s="7">
        <v>3</v>
      </c>
      <c r="E15" s="7">
        <v>2.5499999999999998</v>
      </c>
      <c r="F15" s="5">
        <v>0.97829990650654131</v>
      </c>
      <c r="G15" s="5">
        <v>4</v>
      </c>
      <c r="H15" s="5">
        <v>1</v>
      </c>
    </row>
    <row r="16" spans="1:8" x14ac:dyDescent="0.2">
      <c r="B16" s="5" t="s">
        <v>40</v>
      </c>
      <c r="C16" s="5" t="s">
        <v>0</v>
      </c>
      <c r="D16" s="7">
        <v>2</v>
      </c>
      <c r="E16" s="7">
        <v>2.37</v>
      </c>
      <c r="F16" s="5">
        <v>1.0215357818184116</v>
      </c>
      <c r="G16" s="5">
        <v>4</v>
      </c>
      <c r="H16" s="5">
        <v>1</v>
      </c>
    </row>
    <row r="17" spans="1:8" x14ac:dyDescent="0.2">
      <c r="B17" s="5" t="s">
        <v>41</v>
      </c>
      <c r="C17" s="5" t="s">
        <v>0</v>
      </c>
      <c r="D17" s="7">
        <v>1</v>
      </c>
      <c r="E17" s="7">
        <v>2.34</v>
      </c>
      <c r="F17" s="5">
        <v>1.0368951321862372</v>
      </c>
      <c r="G17" s="5">
        <v>4</v>
      </c>
      <c r="H17" s="5">
        <v>1</v>
      </c>
    </row>
    <row r="18" spans="1:8" ht="15" thickBot="1" x14ac:dyDescent="0.25">
      <c r="B18" s="3" t="s">
        <v>42</v>
      </c>
      <c r="C18" s="3" t="s">
        <v>0</v>
      </c>
      <c r="D18" s="6">
        <v>2</v>
      </c>
      <c r="E18" s="6">
        <v>2.39</v>
      </c>
      <c r="F18" s="3">
        <v>0.91998023694187991</v>
      </c>
      <c r="G18" s="3">
        <v>4</v>
      </c>
      <c r="H18" s="3">
        <v>1</v>
      </c>
    </row>
    <row r="20" spans="1:8" ht="15" thickBot="1" x14ac:dyDescent="0.25">
      <c r="A20" t="s">
        <v>26</v>
      </c>
    </row>
    <row r="21" spans="1:8" x14ac:dyDescent="0.2">
      <c r="B21" s="8"/>
      <c r="C21" s="8"/>
      <c r="D21" s="8" t="s">
        <v>69</v>
      </c>
      <c r="E21" s="8" t="s">
        <v>71</v>
      </c>
      <c r="F21" s="8" t="s">
        <v>72</v>
      </c>
      <c r="G21" s="8" t="s">
        <v>74</v>
      </c>
      <c r="H21" s="8" t="s">
        <v>75</v>
      </c>
    </row>
    <row r="22" spans="1:8" ht="15" thickBot="1" x14ac:dyDescent="0.25">
      <c r="B22" s="9" t="s">
        <v>20</v>
      </c>
      <c r="C22" s="9" t="s">
        <v>21</v>
      </c>
      <c r="D22" s="10" t="s">
        <v>70</v>
      </c>
      <c r="E22" s="10" t="s">
        <v>70</v>
      </c>
      <c r="F22" s="10" t="s">
        <v>73</v>
      </c>
      <c r="G22" s="10" t="s">
        <v>70</v>
      </c>
      <c r="H22" s="10" t="s">
        <v>70</v>
      </c>
    </row>
    <row r="23" spans="1:8" ht="15" thickBot="1" x14ac:dyDescent="0.25">
      <c r="B23" s="3" t="s">
        <v>31</v>
      </c>
      <c r="C23" s="3" t="s">
        <v>32</v>
      </c>
      <c r="D23" s="6">
        <v>0</v>
      </c>
      <c r="E23" s="6">
        <v>0</v>
      </c>
      <c r="F23" s="3">
        <v>0</v>
      </c>
      <c r="G23" s="3">
        <v>0</v>
      </c>
      <c r="H23" s="3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I12"/>
  <sheetViews>
    <sheetView tabSelected="1" workbookViewId="0">
      <selection activeCell="C9" sqref="C9"/>
    </sheetView>
  </sheetViews>
  <sheetFormatPr defaultRowHeight="14.25" x14ac:dyDescent="0.2"/>
  <cols>
    <col min="5" max="5" width="13" bestFit="1" customWidth="1"/>
  </cols>
  <sheetData>
    <row r="1" spans="1:9" x14ac:dyDescent="0.2">
      <c r="B1" t="s">
        <v>1</v>
      </c>
      <c r="C1" t="s">
        <v>2</v>
      </c>
      <c r="F1" s="1" t="s">
        <v>4</v>
      </c>
      <c r="G1" s="1" t="s">
        <v>4</v>
      </c>
      <c r="H1" s="1" t="s">
        <v>4</v>
      </c>
      <c r="I1" s="1" t="s">
        <v>4</v>
      </c>
    </row>
    <row r="2" spans="1:9" x14ac:dyDescent="0.2">
      <c r="A2">
        <v>1</v>
      </c>
      <c r="B2">
        <v>4</v>
      </c>
      <c r="C2">
        <f>IF(B2&lt;&gt;"",1,0)</f>
        <v>1</v>
      </c>
      <c r="F2" s="1"/>
      <c r="G2" s="1"/>
      <c r="H2" s="1"/>
      <c r="I2" s="1"/>
    </row>
    <row r="3" spans="1:9" x14ac:dyDescent="0.2">
      <c r="A3">
        <v>2</v>
      </c>
      <c r="B3">
        <v>4</v>
      </c>
      <c r="C3">
        <f>IF(AND(B3=1,B6=3),1,IF(AND(B3=2,B6=4),1,IF(AND(B3=3,B6=1),1,IF(AND(B3=4,B6=2),1,0))))</f>
        <v>0</v>
      </c>
      <c r="F3" s="1"/>
      <c r="G3" s="1"/>
      <c r="H3" s="1"/>
      <c r="I3" s="1"/>
    </row>
    <row r="4" spans="1:9" x14ac:dyDescent="0.2">
      <c r="A4">
        <v>3</v>
      </c>
      <c r="B4">
        <v>4</v>
      </c>
      <c r="C4">
        <f>IF(AND(B4=1,AND(B4&lt;&gt;B3,AND(B4&lt;&gt;B5,B4&lt;&gt;B7))),1,IF(AND(B4=2,AND(B7&lt;&gt;B4,AND(B7&lt;&gt;B3,B7&lt;&gt;B5))),1,IF(AND(B4=3,AND(B3&lt;&gt;B4,AND(B3&lt;&gt;B5,B3&lt;&gt;B7))),1,IF(AND(B4=4,AND(B5&lt;&gt;B3,AND(B5&lt;&gt;B4,B5&lt;&gt;B7))),1,0))))</f>
        <v>0</v>
      </c>
      <c r="F4" s="1"/>
      <c r="G4" s="1"/>
      <c r="H4" s="1"/>
      <c r="I4" s="1"/>
    </row>
    <row r="5" spans="1:9" x14ac:dyDescent="0.2">
      <c r="A5">
        <v>4</v>
      </c>
      <c r="B5">
        <v>4</v>
      </c>
      <c r="C5">
        <f>IF(AND(B5=1,B2=B6),1,IF(AND(B5=2,B3=B8),1,IF(AND(B5=3,B2=B10),1,IF(AND(B5=4,B7=B11),1,0))))</f>
        <v>1</v>
      </c>
      <c r="F5" s="1"/>
      <c r="G5" s="1"/>
      <c r="H5" s="1"/>
      <c r="I5" s="1"/>
    </row>
    <row r="6" spans="1:9" x14ac:dyDescent="0.2">
      <c r="A6">
        <v>5</v>
      </c>
      <c r="B6">
        <v>4</v>
      </c>
      <c r="C6">
        <f>IF(AND(B6=1,B6=B9),1,IF(AND(B6=2,B6=B5),1,IF(AND(B6=3,B6=B10),1,IF(AND(B6=4,B6=B8),1,0))))</f>
        <v>1</v>
      </c>
      <c r="F6" s="1"/>
      <c r="G6" s="1"/>
      <c r="H6" s="1"/>
      <c r="I6" s="1"/>
    </row>
    <row r="7" spans="1:9" x14ac:dyDescent="0.2">
      <c r="A7">
        <v>6</v>
      </c>
      <c r="B7">
        <v>4</v>
      </c>
      <c r="C7">
        <f>IF(AND(B7=1,AND(B9=B3,B9=B5)),1,IF(AND(B7=2,AND(B9=B2,B9=B7)),1,IF(AND(B7=3,AND(B9=B4,B9=B11)),1,IF(AND(B7=4,AND(B9=B6,B9=B10)),1,0))))</f>
        <v>1</v>
      </c>
      <c r="E7" t="s">
        <v>5</v>
      </c>
      <c r="F7" s="1">
        <v>1</v>
      </c>
      <c r="G7" s="1">
        <v>2</v>
      </c>
      <c r="H7" s="1">
        <v>3</v>
      </c>
      <c r="I7" s="1">
        <v>4</v>
      </c>
    </row>
    <row r="8" spans="1:9" x14ac:dyDescent="0.2">
      <c r="A8">
        <v>7</v>
      </c>
      <c r="B8">
        <v>4</v>
      </c>
      <c r="C8">
        <f>IF(AND(B8=1,E8=H8),1,IF(AND(B8=2,E8=G8),1,IF(AND(B8=3,E8=F8),1,IF(AND(B8=4,E8=I8),1,0))))</f>
        <v>0</v>
      </c>
      <c r="E8">
        <f>MIN(F8:I8)</f>
        <v>0</v>
      </c>
      <c r="F8" s="1">
        <f>COUNTIF($B$2:$B$11,F7)</f>
        <v>0</v>
      </c>
      <c r="G8" s="1">
        <f t="shared" ref="G8:I8" si="0">COUNTIF($B$2:$B$11,G7)</f>
        <v>0</v>
      </c>
      <c r="H8" s="1">
        <f t="shared" si="0"/>
        <v>0</v>
      </c>
      <c r="I8" s="1">
        <f t="shared" si="0"/>
        <v>10</v>
      </c>
    </row>
    <row r="9" spans="1:9" x14ac:dyDescent="0.2">
      <c r="A9">
        <v>8</v>
      </c>
      <c r="B9">
        <v>4</v>
      </c>
      <c r="C9">
        <f>IF(AND(B9=1,ABS(B8-B2)&gt;1),1,IF(AND(B9=2,ABS(B6-B2)&gt;1),1,IF(AND(B9=3,ABS(B3-B2)&gt;1),1,IF(AND(B9=4,ABS(B11-B2)&gt;1),1,0))))</f>
        <v>0</v>
      </c>
      <c r="F9" s="1"/>
      <c r="G9" s="1"/>
      <c r="H9" s="1"/>
      <c r="I9" s="1"/>
    </row>
    <row r="10" spans="1:9" x14ac:dyDescent="0.2">
      <c r="A10">
        <v>9</v>
      </c>
      <c r="B10">
        <v>4</v>
      </c>
      <c r="C10">
        <f>IF(AND(B10=1,(N(B7=B6)+F10=1)),1,IF(AND(B10=2,(N(B11=B6)+F10=1)),1,IF(AND(B10=3,(N(B3=B6)+F10=1)),1,IF(AND(B10=4,(N(B10=B6)+F10=1)),1,0))))</f>
        <v>0</v>
      </c>
      <c r="E10" t="s">
        <v>6</v>
      </c>
      <c r="F10" s="1">
        <f>N(B2=B7)</f>
        <v>1</v>
      </c>
      <c r="G10" s="1"/>
      <c r="H10" s="1"/>
      <c r="I10" s="1"/>
    </row>
    <row r="11" spans="1:9" x14ac:dyDescent="0.2">
      <c r="A11">
        <v>10</v>
      </c>
      <c r="B11">
        <v>4</v>
      </c>
      <c r="C11">
        <f>IF(AND(B11=1,(E11-E8)=3),1,IF(AND(B11=2,(E11-E8)=2),1,IF(AND(B11=3,(E11-E8)=4),1,IF(AND(B11=4,(E11-E8)=1),1,0))))</f>
        <v>0</v>
      </c>
      <c r="E11">
        <f>MAX(F8:I8)</f>
        <v>10</v>
      </c>
      <c r="F11" s="1"/>
      <c r="G11" s="1"/>
      <c r="H11" s="1"/>
      <c r="I11" s="1"/>
    </row>
    <row r="12" spans="1:9" x14ac:dyDescent="0.2">
      <c r="B12" t="s">
        <v>3</v>
      </c>
      <c r="C12">
        <f>SUM(C2:C11)</f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运算结果报告 1</vt:lpstr>
      <vt:lpstr>总体报告 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2018-06-12T02:05:41Z</dcterms:modified>
</cp:coreProperties>
</file>