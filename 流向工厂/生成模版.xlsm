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/>
  <mc:AlternateContent xmlns:mc="http://schemas.openxmlformats.org/markup-compatibility/2006">
    <mc:Choice Requires="x15">
      <x15ac:absPath xmlns:x15ac="http://schemas.microsoft.com/office/spreadsheetml/2010/11/ac" url="D:\source\excelVBA\流向工厂\"/>
    </mc:Choice>
  </mc:AlternateContent>
  <xr:revisionPtr revIDLastSave="0" documentId="13_ncr:1_{0FB7AB8A-D48A-476F-9203-8E139568B178}" xr6:coauthVersionLast="38" xr6:coauthVersionMax="38" xr10:uidLastSave="{00000000-0000-0000-0000-000000000000}"/>
  <bookViews>
    <workbookView xWindow="0" yWindow="0" windowWidth="22365" windowHeight="9945" xr2:uid="{00000000-000D-0000-FFFF-FFFF00000000}"/>
  </bookViews>
  <sheets>
    <sheet name="转配商关联商" sheetId="2" r:id="rId1"/>
    <sheet name="商业2转码" sheetId="7" r:id="rId2"/>
    <sheet name="医院2县区2人" sheetId="5" r:id="rId3"/>
    <sheet name="品种2编码" sheetId="4" r:id="rId4"/>
    <sheet name="流向列名2标准" sheetId="6" r:id="rId5"/>
    <sheet name="工厂基础数据" sheetId="3" r:id="rId6"/>
  </sheets>
  <definedNames>
    <definedName name="_xlnm._FilterDatabase" localSheetId="0" hidden="1">转配商关联商!$A$1:$X$12</definedName>
  </definedNames>
  <calcPr calcId="162913"/>
</workbook>
</file>

<file path=xl/calcChain.xml><?xml version="1.0" encoding="utf-8"?>
<calcChain xmlns="http://schemas.openxmlformats.org/spreadsheetml/2006/main">
  <c r="D245" i="4" l="1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W12" i="2"/>
  <c r="T12" i="2"/>
  <c r="W11" i="2"/>
  <c r="T11" i="2"/>
  <c r="W10" i="2"/>
  <c r="T10" i="2"/>
  <c r="W9" i="2"/>
  <c r="T9" i="2"/>
  <c r="W8" i="2"/>
  <c r="T8" i="2"/>
  <c r="W7" i="2"/>
  <c r="T7" i="2"/>
  <c r="W6" i="2"/>
  <c r="T6" i="2"/>
  <c r="N12" i="2"/>
  <c r="M12" i="2"/>
  <c r="N11" i="2"/>
  <c r="M11" i="2"/>
  <c r="N10" i="2"/>
  <c r="M10" i="2"/>
  <c r="N9" i="2"/>
  <c r="M9" i="2"/>
  <c r="N8" i="2"/>
  <c r="M8" i="2"/>
  <c r="N7" i="2"/>
  <c r="M7" i="2"/>
  <c r="N6" i="2"/>
  <c r="M6" i="2"/>
  <c r="E12" i="2"/>
  <c r="F12" i="2" s="1"/>
  <c r="C12" i="2"/>
  <c r="A12" i="2"/>
  <c r="E11" i="2"/>
  <c r="F11" i="2" s="1"/>
  <c r="C11" i="2"/>
  <c r="A11" i="2"/>
  <c r="E10" i="2"/>
  <c r="F10" i="2" s="1"/>
  <c r="C10" i="2"/>
  <c r="A10" i="2"/>
  <c r="E9" i="2"/>
  <c r="F9" i="2" s="1"/>
  <c r="C9" i="2"/>
  <c r="A9" i="2"/>
  <c r="E8" i="2"/>
  <c r="F8" i="2" s="1"/>
  <c r="C8" i="2"/>
  <c r="A8" i="2"/>
  <c r="E7" i="2"/>
  <c r="F7" i="2" s="1"/>
  <c r="C7" i="2"/>
  <c r="A7" i="2"/>
  <c r="E6" i="2"/>
  <c r="F6" i="2" s="1"/>
  <c r="C6" i="2"/>
  <c r="A6" i="2"/>
  <c r="T3" i="2" l="1"/>
  <c r="T4" i="2"/>
  <c r="T5" i="2"/>
  <c r="T2" i="2"/>
  <c r="N3" i="2"/>
  <c r="N4" i="2"/>
  <c r="N5" i="2"/>
  <c r="N2" i="2"/>
  <c r="M3" i="2"/>
  <c r="M4" i="2"/>
  <c r="M5" i="2"/>
  <c r="M2" i="2"/>
  <c r="W3" i="2"/>
  <c r="W4" i="2"/>
  <c r="W5" i="2"/>
  <c r="W2" i="2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" i="4"/>
  <c r="G5" i="2" s="1"/>
  <c r="E3" i="2"/>
  <c r="F3" i="2" s="1"/>
  <c r="E4" i="2"/>
  <c r="F4" i="2" s="1"/>
  <c r="E5" i="2"/>
  <c r="F5" i="2" s="1"/>
  <c r="E2" i="2"/>
  <c r="F2" i="2" s="1"/>
  <c r="C3" i="2"/>
  <c r="C4" i="2"/>
  <c r="C5" i="2"/>
  <c r="C2" i="2"/>
  <c r="G2" i="2" l="1"/>
  <c r="G4" i="2"/>
  <c r="G11" i="2"/>
  <c r="G8" i="2"/>
  <c r="G6" i="2"/>
  <c r="G12" i="2"/>
  <c r="G9" i="2"/>
  <c r="G7" i="2"/>
  <c r="G10" i="2"/>
  <c r="G3" i="2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P297" i="3"/>
  <c r="P298" i="3"/>
  <c r="P299" i="3"/>
  <c r="P300" i="3"/>
  <c r="P301" i="3"/>
  <c r="P302" i="3"/>
  <c r="P303" i="3"/>
  <c r="P304" i="3"/>
  <c r="P305" i="3"/>
  <c r="P306" i="3"/>
  <c r="P307" i="3"/>
  <c r="P308" i="3"/>
  <c r="P309" i="3"/>
  <c r="P310" i="3"/>
  <c r="P311" i="3"/>
  <c r="P312" i="3"/>
  <c r="P313" i="3"/>
  <c r="P314" i="3"/>
  <c r="P315" i="3"/>
  <c r="P316" i="3"/>
  <c r="P317" i="3"/>
  <c r="P318" i="3"/>
  <c r="P319" i="3"/>
  <c r="P320" i="3"/>
  <c r="P321" i="3"/>
  <c r="P322" i="3"/>
  <c r="P323" i="3"/>
  <c r="P324" i="3"/>
  <c r="P325" i="3"/>
  <c r="P326" i="3"/>
  <c r="P327" i="3"/>
  <c r="P328" i="3"/>
  <c r="P329" i="3"/>
  <c r="P330" i="3"/>
  <c r="P2" i="3"/>
  <c r="A3" i="2"/>
  <c r="A4" i="2"/>
  <c r="A5" i="2"/>
  <c r="A2" i="2"/>
</calcChain>
</file>

<file path=xl/sharedStrings.xml><?xml version="1.0" encoding="utf-8"?>
<sst xmlns="http://schemas.openxmlformats.org/spreadsheetml/2006/main" count="8481" uniqueCount="3064">
  <si>
    <t>M1-统计年月</t>
  </si>
  <si>
    <t>M1-部门</t>
  </si>
  <si>
    <t>I1-产品（财务）</t>
  </si>
  <si>
    <t>品名</t>
  </si>
  <si>
    <t>规格</t>
  </si>
  <si>
    <t>生产企业</t>
  </si>
  <si>
    <t>I1-产品类型</t>
  </si>
  <si>
    <t>I1-实际业务年月</t>
  </si>
  <si>
    <t>I1-销售日期</t>
  </si>
  <si>
    <t>I1-数量</t>
  </si>
  <si>
    <t>I1-销售价格</t>
  </si>
  <si>
    <t>I1-批次</t>
  </si>
  <si>
    <t>I1-购入客户类型（手工录入）</t>
  </si>
  <si>
    <t>I1-购入客户（导入）</t>
  </si>
  <si>
    <t>I1-区县</t>
  </si>
  <si>
    <t>I1-专管经理</t>
  </si>
  <si>
    <t>I1-管理线</t>
  </si>
  <si>
    <t>M1-销售客户</t>
  </si>
  <si>
    <t>M1-客户类型</t>
  </si>
  <si>
    <t>I1-转配客户(名称)</t>
  </si>
  <si>
    <t>I1-转配送客户类型（手工录入）</t>
  </si>
  <si>
    <t>销售客户编号</t>
  </si>
  <si>
    <t>销售客户名称</t>
  </si>
  <si>
    <t>02029238</t>
  </si>
  <si>
    <t>山东康为医药有限公司</t>
  </si>
  <si>
    <t>02029669</t>
  </si>
  <si>
    <t>山东华源天宏药业有限公司临清友和医药分公司</t>
  </si>
  <si>
    <t>02004006</t>
  </si>
  <si>
    <t>山东省飞龙中大药业有限公司</t>
  </si>
  <si>
    <t>02004007</t>
  </si>
  <si>
    <t>山东大洪药业有限公司</t>
  </si>
  <si>
    <t>02004033</t>
  </si>
  <si>
    <t>烟台东信医药有限公司</t>
  </si>
  <si>
    <t>02031871</t>
  </si>
  <si>
    <t>华润菏泽医药有限公司</t>
  </si>
  <si>
    <t>02031912</t>
  </si>
  <si>
    <t>济南同科医药物流有限公司</t>
  </si>
  <si>
    <t>02032120</t>
  </si>
  <si>
    <t>淄博博仁医药有限公司</t>
  </si>
  <si>
    <t>02032289</t>
  </si>
  <si>
    <t>山东耕邦得凯药业有限公司</t>
  </si>
  <si>
    <t>02032475</t>
  </si>
  <si>
    <t>济南华新医药有限公司</t>
  </si>
  <si>
    <t>02032663</t>
  </si>
  <si>
    <t>山东大海医药有限公司</t>
  </si>
  <si>
    <t>02032735</t>
  </si>
  <si>
    <t>山东国信药业有限公司</t>
  </si>
  <si>
    <t>02033447</t>
  </si>
  <si>
    <t>山东舜伟药业有限公司</t>
  </si>
  <si>
    <t>02034443</t>
  </si>
  <si>
    <t>山东聊城百进医药有限公司</t>
  </si>
  <si>
    <t>02034501</t>
  </si>
  <si>
    <t>山东耀泰药业有限公司</t>
  </si>
  <si>
    <t>02034502</t>
  </si>
  <si>
    <t>滨州海王黄河医药有限公司</t>
  </si>
  <si>
    <t>02034558</t>
  </si>
  <si>
    <t>山东厚进药业有限公司</t>
  </si>
  <si>
    <t>02034662</t>
  </si>
  <si>
    <t>济宁海王华森医药有限公司</t>
  </si>
  <si>
    <t>02036377</t>
  </si>
  <si>
    <t>山东海王医药集团有限公司</t>
  </si>
  <si>
    <t>02001561</t>
  </si>
  <si>
    <t>山东诺达医药有限公司</t>
  </si>
  <si>
    <t>02004015</t>
  </si>
  <si>
    <t>山东东惠青岛公司药品经营部</t>
  </si>
  <si>
    <t>02005434</t>
  </si>
  <si>
    <t>山东双威医药有限公司</t>
  </si>
  <si>
    <t>02005462</t>
  </si>
  <si>
    <t>烟台市东江医药有限公司</t>
  </si>
  <si>
    <t>02005465</t>
  </si>
  <si>
    <t>潍坊中源医药有限公司药品分公司</t>
  </si>
  <si>
    <t>02005466</t>
  </si>
  <si>
    <t>山东鸢康医药有限公司</t>
  </si>
  <si>
    <t>02005468</t>
  </si>
  <si>
    <t>山东康裕医药有限公司</t>
  </si>
  <si>
    <t>02005489</t>
  </si>
  <si>
    <t>济宁宗圣医药有限公司</t>
  </si>
  <si>
    <t>02005490</t>
  </si>
  <si>
    <t>山东劲翔药械有限公司</t>
  </si>
  <si>
    <t>02001556</t>
  </si>
  <si>
    <t>山东嘉和药业有限公司</t>
  </si>
  <si>
    <t>02001565</t>
  </si>
  <si>
    <t>济南东盛医药有限责任公司</t>
  </si>
  <si>
    <t>02001571</t>
  </si>
  <si>
    <t>山东天方药业有限公司</t>
  </si>
  <si>
    <t>02001587</t>
  </si>
  <si>
    <t>青岛天合医药集团股份有限公司</t>
  </si>
  <si>
    <t>02003189</t>
  </si>
  <si>
    <t>山东省人民药业有限公司</t>
  </si>
  <si>
    <t>02036557</t>
  </si>
  <si>
    <t>山东茂盛医药有限公司</t>
  </si>
  <si>
    <t>02036810</t>
  </si>
  <si>
    <t>青岛华仁医药配送有限公司</t>
  </si>
  <si>
    <t>02036897</t>
  </si>
  <si>
    <t>华润泰安医药有限公司</t>
  </si>
  <si>
    <t>03002129</t>
  </si>
  <si>
    <t>山东宏熙药业有限公司</t>
  </si>
  <si>
    <t>02005423</t>
  </si>
  <si>
    <t>山东海洲医药有限公司</t>
  </si>
  <si>
    <t>02005429</t>
  </si>
  <si>
    <t>山东九州通医药有限公司</t>
  </si>
  <si>
    <t>02005442</t>
  </si>
  <si>
    <t>淄博恒安医药有限公司</t>
  </si>
  <si>
    <t>02005450</t>
  </si>
  <si>
    <t>淄博为民医药配送有限公司</t>
  </si>
  <si>
    <t>02005480</t>
  </si>
  <si>
    <t>潍坊金凯盛医药有限公司</t>
  </si>
  <si>
    <t>02005492</t>
  </si>
  <si>
    <t>泰安环球医药有限公司</t>
  </si>
  <si>
    <t>02005513</t>
  </si>
  <si>
    <t>山东天奇药业有限公司</t>
  </si>
  <si>
    <t>02006804</t>
  </si>
  <si>
    <t>威海市天福医药有限公司</t>
  </si>
  <si>
    <t>02006808</t>
  </si>
  <si>
    <t>聊城利民华德药品有限公司</t>
  </si>
  <si>
    <t>02005503</t>
  </si>
  <si>
    <t>山东明欣医药有限公司</t>
  </si>
  <si>
    <t>02006771</t>
  </si>
  <si>
    <t>山东三好医药有限公司</t>
  </si>
  <si>
    <t>02010147</t>
  </si>
  <si>
    <t>山东豪诺医药物流有限公司</t>
  </si>
  <si>
    <t>02010213</t>
  </si>
  <si>
    <t>青岛天合医药股份有限公司高科技工业园经营部</t>
  </si>
  <si>
    <t>02010278</t>
  </si>
  <si>
    <t>山东省烟台药材采购供应站</t>
  </si>
  <si>
    <t>02010328</t>
  </si>
  <si>
    <t>华润潍坊远东医药有限公司</t>
  </si>
  <si>
    <t>02010330</t>
  </si>
  <si>
    <t>山东康惠医药有限公司</t>
  </si>
  <si>
    <t>02010421</t>
  </si>
  <si>
    <t>临沂同仁医药有限公司</t>
  </si>
  <si>
    <t>02010426</t>
  </si>
  <si>
    <t>临沂中瑞医药有限公司</t>
  </si>
  <si>
    <t>02010435</t>
  </si>
  <si>
    <t>国药控股鲁南有限公司</t>
  </si>
  <si>
    <t>02014282</t>
  </si>
  <si>
    <t>济南军区济南药材供应站</t>
  </si>
  <si>
    <t>02019534</t>
  </si>
  <si>
    <t>山东仁和万盛医药有限公司</t>
  </si>
  <si>
    <t>02021883</t>
  </si>
  <si>
    <t>山东瑞康医药股份有限公司青岛分公司</t>
  </si>
  <si>
    <t>02010145</t>
  </si>
  <si>
    <t>济南五洲医药有限公司</t>
  </si>
  <si>
    <t>02010148</t>
  </si>
  <si>
    <t>济南万禾医药有限公司</t>
  </si>
  <si>
    <t>02010162</t>
  </si>
  <si>
    <t>济南国康医药有限公司</t>
  </si>
  <si>
    <t>02010188</t>
  </si>
  <si>
    <t>山东瑞朗医药股份有限公司</t>
  </si>
  <si>
    <t>02028417</t>
  </si>
  <si>
    <t>淄博天龙医药有限公司高青分公司</t>
  </si>
  <si>
    <t>02031388</t>
  </si>
  <si>
    <t>山东悦康园通医药有限公司</t>
  </si>
  <si>
    <t>02032386</t>
  </si>
  <si>
    <t>济南罗欣医药有限公司</t>
  </si>
  <si>
    <t>02010202</t>
  </si>
  <si>
    <t>青岛九州通医药有限公司</t>
  </si>
  <si>
    <t>02010221</t>
  </si>
  <si>
    <t>青岛海风药业有限公司</t>
  </si>
  <si>
    <t>02010255</t>
  </si>
  <si>
    <t>淄博齐闽大世界医药有限公司</t>
  </si>
  <si>
    <t>02010269</t>
  </si>
  <si>
    <t>山东省沂源县医药有限公司</t>
  </si>
  <si>
    <t>02010309</t>
  </si>
  <si>
    <t>山东康诺盛世医药有限公司</t>
  </si>
  <si>
    <t>02010316</t>
  </si>
  <si>
    <t>山东德裕昌医药有限公司</t>
  </si>
  <si>
    <t>02010326</t>
  </si>
  <si>
    <t>山东海王银河医药有限公司</t>
  </si>
  <si>
    <t>02010359</t>
  </si>
  <si>
    <t>山东阳光信诺医药有限公司</t>
  </si>
  <si>
    <t>02010361</t>
  </si>
  <si>
    <t>山东叙福医药有限公司</t>
  </si>
  <si>
    <t>02010382</t>
  </si>
  <si>
    <t>山东诺安诺泰药业有限公司</t>
  </si>
  <si>
    <t>02010403</t>
  </si>
  <si>
    <t>山东永鸿医药有限公司</t>
  </si>
  <si>
    <t>02010424</t>
  </si>
  <si>
    <t>仁宏医药有限公司</t>
  </si>
  <si>
    <t>02010428</t>
  </si>
  <si>
    <t>临沂洪福医药有限公司</t>
  </si>
  <si>
    <t>02010443</t>
  </si>
  <si>
    <t>山东省德州泰康药业有限公司</t>
  </si>
  <si>
    <t>02010453</t>
  </si>
  <si>
    <t>山东滨州圣慷药业有限公司</t>
  </si>
  <si>
    <t>02010462</t>
  </si>
  <si>
    <t>山东华源天宏药业有限公司</t>
  </si>
  <si>
    <t>02010468</t>
  </si>
  <si>
    <t>山东奇典医疗有限责任公司</t>
  </si>
  <si>
    <t>02010471</t>
  </si>
  <si>
    <t>菏泽牡丹医药有限责任公司</t>
  </si>
  <si>
    <t>02010473</t>
  </si>
  <si>
    <t>山东菏泽健民医药有限公司</t>
  </si>
  <si>
    <t>02010476</t>
  </si>
  <si>
    <t>巨野天健医药有限公司</t>
  </si>
  <si>
    <t>02016045</t>
  </si>
  <si>
    <t>山东金康医药股份有限公司</t>
  </si>
  <si>
    <t>02023629</t>
  </si>
  <si>
    <t>临沂天地医药有限公司</t>
  </si>
  <si>
    <t>02023919</t>
  </si>
  <si>
    <t>青岛海基医药有限公司</t>
  </si>
  <si>
    <t>02024285</t>
  </si>
  <si>
    <t>泰安市永康医药有限公司</t>
  </si>
  <si>
    <t>02025767</t>
  </si>
  <si>
    <t>滨州市仁信医药有限公司</t>
  </si>
  <si>
    <t>02026233</t>
  </si>
  <si>
    <t>山东特利尔营销策划有限公司医药分公司</t>
  </si>
  <si>
    <t>02027054</t>
  </si>
  <si>
    <t>枣庄市百姓医药有限公司</t>
  </si>
  <si>
    <t>02027153</t>
  </si>
  <si>
    <t>山东三江医药有限公司</t>
  </si>
  <si>
    <t>02001551</t>
  </si>
  <si>
    <t>山东天士力医药有限公司</t>
  </si>
  <si>
    <t>02006790</t>
  </si>
  <si>
    <t>山东康福医药有限公司</t>
  </si>
  <si>
    <t>02031287</t>
  </si>
  <si>
    <t>华润山东医药有限公司淄博分公司</t>
  </si>
  <si>
    <t>02010362</t>
  </si>
  <si>
    <t>嘉祥方达医药有限公司</t>
  </si>
  <si>
    <t>02010474</t>
  </si>
  <si>
    <t>国药控股菏泽有限公司</t>
  </si>
  <si>
    <t>02036558</t>
  </si>
  <si>
    <t>罗欣医药集团山东宏欣医药有限公司</t>
  </si>
  <si>
    <t>02031317</t>
  </si>
  <si>
    <t>瑞康医药（山东）有限公司</t>
  </si>
  <si>
    <t>华润山东医药有限公司</t>
  </si>
  <si>
    <t>康为</t>
    <phoneticPr fontId="57" type="noConversion"/>
  </si>
  <si>
    <t>飞龙</t>
    <phoneticPr fontId="57" type="noConversion"/>
  </si>
  <si>
    <t>同科</t>
    <phoneticPr fontId="57" type="noConversion"/>
  </si>
  <si>
    <t>黄河</t>
    <phoneticPr fontId="57" type="noConversion"/>
  </si>
  <si>
    <t>海王</t>
    <phoneticPr fontId="57" type="noConversion"/>
  </si>
  <si>
    <t>海王银河</t>
    <phoneticPr fontId="57" type="noConversion"/>
  </si>
  <si>
    <t>山东滨州圣慷药业有限公司</t>
    <phoneticPr fontId="57" type="noConversion"/>
  </si>
  <si>
    <t>圣慷</t>
    <phoneticPr fontId="57" type="noConversion"/>
  </si>
  <si>
    <t>仁信</t>
    <phoneticPr fontId="57" type="noConversion"/>
  </si>
  <si>
    <t>圣慷2</t>
    <phoneticPr fontId="57" type="noConversion"/>
  </si>
  <si>
    <t>福华</t>
    <phoneticPr fontId="57" type="noConversion"/>
  </si>
  <si>
    <t>弘德</t>
    <phoneticPr fontId="57" type="noConversion"/>
  </si>
  <si>
    <t>专营商出货价</t>
  </si>
  <si>
    <t>建议零售价</t>
  </si>
  <si>
    <t>基础信息</t>
  </si>
  <si>
    <t>产品名称</t>
  </si>
  <si>
    <t>单位</t>
  </si>
  <si>
    <t>装箱量</t>
  </si>
  <si>
    <t>0020020030ZYZC0508</t>
  </si>
  <si>
    <t>阿莫西林胶囊</t>
  </si>
  <si>
    <t>0.25g*20粒</t>
  </si>
  <si>
    <t>哈药总厂</t>
  </si>
  <si>
    <t>万盒</t>
  </si>
  <si>
    <t>0020020030ZYZC0258</t>
  </si>
  <si>
    <t>0.25g*50粒</t>
  </si>
  <si>
    <t>0020020030ZYZC0286</t>
  </si>
  <si>
    <t>0.5g*10粒</t>
  </si>
  <si>
    <t>0020020030ZYZC0264</t>
  </si>
  <si>
    <t>0.5g*20粒</t>
  </si>
  <si>
    <t>0020020030ZYZC0512</t>
  </si>
  <si>
    <t>0.5g*24s*500盒</t>
  </si>
  <si>
    <t>0020020030ZYZC0274</t>
  </si>
  <si>
    <t>0.5g*30s</t>
  </si>
  <si>
    <t>0020020030ZYZC0289</t>
  </si>
  <si>
    <t>0.5g*36s</t>
  </si>
  <si>
    <t>0020020030SJMS0001</t>
  </si>
  <si>
    <t>0.25*10*2</t>
  </si>
  <si>
    <t>三精明水</t>
  </si>
  <si>
    <t>盒</t>
  </si>
  <si>
    <t>0020020030SJMS0002</t>
  </si>
  <si>
    <t>0.25g*50s</t>
  </si>
  <si>
    <t>0020020030SJMS0018</t>
  </si>
  <si>
    <t>阿莫西林胶囊0.25g×30粒×480盒</t>
  </si>
  <si>
    <t>0.25g×30粒×480盒</t>
  </si>
  <si>
    <t>0020020030SJMS0016</t>
  </si>
  <si>
    <t>阿莫西林胶囊20粒0.5g×10粒×2板×400盒/8000粒</t>
  </si>
  <si>
    <t>0020020040ZYZC0304</t>
  </si>
  <si>
    <t>阿莫西林颗粒(益萨林)</t>
  </si>
  <si>
    <t>0.125g*12袋*200盒</t>
  </si>
  <si>
    <t>0020030021ZYZC0001</t>
  </si>
  <si>
    <t>阿莫西林克拉维酸钾(7:1)分散片</t>
  </si>
  <si>
    <t>0.2285g*10片</t>
  </si>
  <si>
    <t>0020020021ZYZC0341</t>
  </si>
  <si>
    <t>0.2285g*12片</t>
  </si>
  <si>
    <t>0020020021ZYZC0356</t>
  </si>
  <si>
    <t>0.2285g*15片*300盒</t>
  </si>
  <si>
    <t>0020020020ZYZC0489</t>
  </si>
  <si>
    <t>0.2285g*18片</t>
  </si>
  <si>
    <t>0020020020ZYZC0490</t>
  </si>
  <si>
    <t>0.2285g*24片</t>
  </si>
  <si>
    <t>0020020021ZYZC0355</t>
  </si>
  <si>
    <t>0.2285g*8片</t>
  </si>
  <si>
    <t>0020020020ZYZC0472</t>
  </si>
  <si>
    <t>阿莫西林片(益萨林)</t>
  </si>
  <si>
    <t>0.25g*12片</t>
  </si>
  <si>
    <t>0020020021ZYLC0014</t>
  </si>
  <si>
    <t>阿奇霉素分散片</t>
  </si>
  <si>
    <t>0.1g*6片</t>
  </si>
  <si>
    <t>哈药六厂</t>
  </si>
  <si>
    <t>0020020021ZYLC0012</t>
  </si>
  <si>
    <t>0.25g×6片×400盒</t>
  </si>
  <si>
    <t>0020050001SHYT0037</t>
  </si>
  <si>
    <t>艾附暖宫丸（OTC）</t>
  </si>
  <si>
    <t>9g×10丸×100盒</t>
  </si>
  <si>
    <t>世一堂</t>
  </si>
  <si>
    <t>0020040001SHYT0005</t>
  </si>
  <si>
    <t>安宫牛黄丸</t>
  </si>
  <si>
    <t>3g×2丸×40盒</t>
  </si>
  <si>
    <t>丸</t>
  </si>
  <si>
    <t>0020030040SJET0003</t>
  </si>
  <si>
    <t>氨金黄敏颗粒</t>
  </si>
  <si>
    <t>6g×10袋×160盒</t>
  </si>
  <si>
    <t>三精儿童</t>
  </si>
  <si>
    <t>0020030030ZYLC0005</t>
  </si>
  <si>
    <t>氨咖黄敏胶囊</t>
  </si>
  <si>
    <t>20粒</t>
  </si>
  <si>
    <t>0020040001SHYT0027</t>
  </si>
  <si>
    <t>柏子养心丸</t>
  </si>
  <si>
    <t>0020050001SHYT0023</t>
  </si>
  <si>
    <t>保和丸(OTC)</t>
  </si>
  <si>
    <t>0020030040SHYT0006</t>
  </si>
  <si>
    <t>布洛芬颗粒</t>
  </si>
  <si>
    <t>0.2*10袋*300盒</t>
  </si>
  <si>
    <t>0020030040SHYT0010</t>
  </si>
  <si>
    <t>0.2*12袋*300盒</t>
  </si>
  <si>
    <t>0020030040SHYT0009</t>
  </si>
  <si>
    <t>0.2*20袋*300盒</t>
  </si>
  <si>
    <t>0020050090ZYEC0004</t>
  </si>
  <si>
    <t>刺五加脑灵液</t>
  </si>
  <si>
    <t>100ml×60瓶</t>
  </si>
  <si>
    <t>中药二厂</t>
  </si>
  <si>
    <t>12支</t>
  </si>
  <si>
    <t>0020050090ZYEC0027</t>
  </si>
  <si>
    <t>刺五加脑灵液（10ml）</t>
  </si>
  <si>
    <t>10ml×10支×80盒</t>
  </si>
  <si>
    <t>0020070001SJZY0012</t>
  </si>
  <si>
    <t>刺五加王浆口服液</t>
  </si>
  <si>
    <t>10ml×12支×60盒</t>
  </si>
  <si>
    <t>三精制药</t>
  </si>
  <si>
    <t>0020050001SHYT0061</t>
  </si>
  <si>
    <t>大山楂丸(OTC)</t>
  </si>
  <si>
    <t>0020050020SHYT0017</t>
  </si>
  <si>
    <t>丹佛胃尔康颗粒</t>
  </si>
  <si>
    <t>10g*10袋</t>
  </si>
  <si>
    <t>0020050020SHYT0018</t>
  </si>
  <si>
    <t>10g*8袋</t>
  </si>
  <si>
    <t>0020040020SHYT0007</t>
  </si>
  <si>
    <t>丹佛胃尔康颗粒(6袋)6袋×10g</t>
  </si>
  <si>
    <t>6袋×10g</t>
  </si>
  <si>
    <t>0020020020ZYLC0010</t>
  </si>
  <si>
    <t>颠茄磺苄啶片（成人10片）</t>
  </si>
  <si>
    <t>0.48g×10片×600盒</t>
  </si>
  <si>
    <t>0020020020ZYLC0003</t>
  </si>
  <si>
    <t>颠茄磺苄啶片(成人12片盒装)</t>
  </si>
  <si>
    <t>0.48g×12片×400盒</t>
  </si>
  <si>
    <t>0020020020ZYLC0011</t>
  </si>
  <si>
    <t>颠茄磺苄啶片(小儿)</t>
  </si>
  <si>
    <t>0.12g×20片×600盒</t>
  </si>
  <si>
    <t>0020050001SHYT0018</t>
  </si>
  <si>
    <t>跌打丸（OTC）</t>
  </si>
  <si>
    <t>3g×10丸×100盒</t>
  </si>
  <si>
    <t>0020040001SHYT0017</t>
  </si>
  <si>
    <t>定坤丸</t>
  </si>
  <si>
    <t>12g×10丸×80盒</t>
  </si>
  <si>
    <t>0020020030ZYLC0003</t>
  </si>
  <si>
    <t>厄贝沙坦胶囊</t>
  </si>
  <si>
    <t>75mg×12粒×300盒</t>
  </si>
  <si>
    <t>0020020030ZYLC0006</t>
  </si>
  <si>
    <t>75mg×24粒×300盒</t>
  </si>
  <si>
    <t>0020040220SHYT0006</t>
  </si>
  <si>
    <t>妇宁栓(4粒)</t>
  </si>
  <si>
    <t>1.6g×4枚×100盒</t>
  </si>
  <si>
    <t>0020040220SHYT0005</t>
  </si>
  <si>
    <t>妇宁栓(7粒)</t>
  </si>
  <si>
    <t>1.6g×7枚×100盒</t>
  </si>
  <si>
    <t>0020040220SHYT0004</t>
  </si>
  <si>
    <t>妇宁栓(8粒)</t>
  </si>
  <si>
    <t>1.6g×8枚×100盒</t>
  </si>
  <si>
    <t>0020040110SHYT0011</t>
  </si>
  <si>
    <t>附桂骨痛胶囊</t>
  </si>
  <si>
    <t>0.33g×48粒×180盒</t>
  </si>
  <si>
    <t>0020050001SHYT0017</t>
  </si>
  <si>
    <t>附子理中丸(OTC)</t>
  </si>
  <si>
    <t>0020030020ZYLC0006</t>
  </si>
  <si>
    <t>复方氨酚烷胺片</t>
  </si>
  <si>
    <t>12片</t>
  </si>
  <si>
    <t>0020030020ZYZC0335</t>
  </si>
  <si>
    <t>12片×400盒</t>
  </si>
  <si>
    <t>0020030020SJHH0001</t>
  </si>
  <si>
    <t>12*</t>
  </si>
  <si>
    <t>三精黑河</t>
  </si>
  <si>
    <t>0020030020SJSC0025</t>
  </si>
  <si>
    <t>12片×300盒</t>
  </si>
  <si>
    <t>三精四厂</t>
  </si>
  <si>
    <t>0020050020SHYT0016</t>
  </si>
  <si>
    <t>复方金银花颗粒（OTC）</t>
  </si>
  <si>
    <t>10g×10袋×60盒</t>
  </si>
  <si>
    <t>0020030020SJSC0026</t>
  </si>
  <si>
    <t>复方铝酸铋片</t>
  </si>
  <si>
    <t>30片×300盒</t>
  </si>
  <si>
    <t>0020030020SJSC0004</t>
  </si>
  <si>
    <t>50片×300盒</t>
  </si>
  <si>
    <t>0020030040ZYZC0307</t>
  </si>
  <si>
    <t>富马酸亚铁颗粒</t>
  </si>
  <si>
    <t>2g*0.2g*6袋</t>
  </si>
  <si>
    <t>0020070000ZYLC0052</t>
  </si>
  <si>
    <t>钙加锌口服液</t>
  </si>
  <si>
    <t>10ml×12支×80盒</t>
  </si>
  <si>
    <t>0020070001ZYZC0383</t>
  </si>
  <si>
    <t>钙铁锌口服液</t>
  </si>
  <si>
    <t>0020070001ZYZC0369</t>
  </si>
  <si>
    <t>0020070001ZYZC0377</t>
  </si>
  <si>
    <t>10ml×15支×48盒</t>
  </si>
  <si>
    <t>0020070001ZYLC0001</t>
  </si>
  <si>
    <t>钙锌口服液</t>
  </si>
  <si>
    <t>10ml*12支</t>
  </si>
  <si>
    <t>0020070001ZYLC0002</t>
  </si>
  <si>
    <t>10ml*24支</t>
  </si>
  <si>
    <t>0020050020ZYEC0008</t>
  </si>
  <si>
    <t>感冒解毒灵颗粒（10袋）</t>
  </si>
  <si>
    <t>5g×10袋×120盒</t>
  </si>
  <si>
    <t>0020030020ZYZC0362</t>
  </si>
  <si>
    <t>格列齐特片</t>
  </si>
  <si>
    <t>80mg*60片</t>
  </si>
  <si>
    <t>0020050020SHYT0014</t>
  </si>
  <si>
    <t>宫血停颗粒</t>
  </si>
  <si>
    <t>10g×12袋×60盒</t>
  </si>
  <si>
    <t>0020040020SHYT0012</t>
  </si>
  <si>
    <t>宫血停颗粒(无糖型)6袋×10g</t>
  </si>
  <si>
    <t>10g×6袋×60盒</t>
  </si>
  <si>
    <t>0020040001SHYT0028</t>
  </si>
  <si>
    <t>冠心苏合丸</t>
  </si>
  <si>
    <t>1.2g×30丸×180盒</t>
  </si>
  <si>
    <t>0020040004SHYT0001</t>
  </si>
  <si>
    <t>冠心泰丸</t>
  </si>
  <si>
    <t>6g×6袋×180小盒</t>
  </si>
  <si>
    <t>0020020030ZYZC0504</t>
  </si>
  <si>
    <t>红霉素肠溶胶囊（尚宏）</t>
  </si>
  <si>
    <t>0.125g*20粒</t>
  </si>
  <si>
    <t>0020040030SJSC0009</t>
  </si>
  <si>
    <t>护肝片</t>
  </si>
  <si>
    <t>100片×300盒</t>
  </si>
  <si>
    <t>180片</t>
  </si>
  <si>
    <t>0020020030ZYZC0236</t>
  </si>
  <si>
    <t>吉非罗齐胶囊</t>
  </si>
  <si>
    <t>0.3g*20粒</t>
  </si>
  <si>
    <t>0020050001SHYT0027</t>
  </si>
  <si>
    <t>健脾丸</t>
  </si>
  <si>
    <t>9g*10丸</t>
  </si>
  <si>
    <t>0020020030SJMS0026</t>
  </si>
  <si>
    <t>胶体果胶铋胶囊50mg*24粒*480盒</t>
  </si>
  <si>
    <t>50mg*12粒*2板*480盒</t>
  </si>
  <si>
    <t>0020020030SJMS0027</t>
  </si>
  <si>
    <t>胶体果胶铋胶囊50mg*36粒*480盒</t>
  </si>
  <si>
    <t>50mg*12粒*3板*480盒</t>
  </si>
  <si>
    <t>0020040001SHYT0003</t>
  </si>
  <si>
    <t>金匮肾气丸</t>
  </si>
  <si>
    <t>6g×10丸×100中盒</t>
  </si>
  <si>
    <t>0020040003SHYT0002</t>
  </si>
  <si>
    <t>金匮肾气丸(水蜜丸)72g</t>
  </si>
  <si>
    <t>72g×120盒</t>
  </si>
  <si>
    <t>0020040080ZYLC0007</t>
  </si>
  <si>
    <t>精制狗皮膏</t>
  </si>
  <si>
    <t>7*10cm*4</t>
  </si>
  <si>
    <t>0020050030SJSC0007</t>
  </si>
  <si>
    <t>菊梅利咽含片</t>
  </si>
  <si>
    <t>18片×300盒</t>
  </si>
  <si>
    <t>0020050001SHYT0013</t>
  </si>
  <si>
    <t>橘红丸(OTC)</t>
  </si>
  <si>
    <t>6g×10丸×100盒</t>
  </si>
  <si>
    <t>0020050001SHYT0006</t>
  </si>
  <si>
    <t>开郁老蔻丸(OTC)</t>
  </si>
  <si>
    <t>0020020021ZYLC0010</t>
  </si>
  <si>
    <t>克拉霉素分散片</t>
  </si>
  <si>
    <t>0.125g×12片×400盒</t>
  </si>
  <si>
    <t>0020020021ZYLC0015</t>
  </si>
  <si>
    <t>0.125g×24片×300盒</t>
  </si>
  <si>
    <t>0020020020SJMS0027</t>
  </si>
  <si>
    <t>拉西地平片</t>
  </si>
  <si>
    <t>4mg*21片*120盒</t>
  </si>
  <si>
    <t>0020020020SJMS0019</t>
  </si>
  <si>
    <t>4mg*30片*160盒</t>
  </si>
  <si>
    <t>0020020020SJMS0008</t>
  </si>
  <si>
    <t>4mg×15片×160盒</t>
  </si>
  <si>
    <t>0020020030ZYZC0292</t>
  </si>
  <si>
    <t>利福平胶囊</t>
  </si>
  <si>
    <t>0.15g*100粒</t>
  </si>
  <si>
    <t>0020050030SHYT0002</t>
  </si>
  <si>
    <t>羚羊感冒片</t>
  </si>
  <si>
    <t>12片*2板</t>
  </si>
  <si>
    <t>0020050001SHYT0021</t>
  </si>
  <si>
    <t>六味地黄丸（OTC）</t>
  </si>
  <si>
    <t>9g×10丸×120中盒</t>
  </si>
  <si>
    <t>0020050003SHYT0001</t>
  </si>
  <si>
    <t>六味地黄丸(水蜜丸72gOTC)</t>
  </si>
  <si>
    <t>0020050001SHYT0004</t>
  </si>
  <si>
    <t>龙胆泻肝丸(OTC)</t>
  </si>
  <si>
    <t>0020020021ZYLC0011</t>
  </si>
  <si>
    <t>罗红霉素分散片(严迪)</t>
  </si>
  <si>
    <t>150mg×12片×400盒</t>
  </si>
  <si>
    <t>0020020021ZYLC0005</t>
  </si>
  <si>
    <t>50mg×12片×400盒</t>
  </si>
  <si>
    <t>0020020021ZYLC0004</t>
  </si>
  <si>
    <t>75mg×12片×400盒</t>
  </si>
  <si>
    <t>0020020040ZYZC0483</t>
  </si>
  <si>
    <t>罗红霉素颗粒</t>
  </si>
  <si>
    <t>50mg*10袋</t>
  </si>
  <si>
    <t>0020030170ZYEC0003</t>
  </si>
  <si>
    <t>蒙脱石散(12袋)</t>
  </si>
  <si>
    <t>3g×12袋×150盒</t>
  </si>
  <si>
    <t>0020030170ZYEC0004</t>
  </si>
  <si>
    <t>蒙脱石散(6袋)</t>
  </si>
  <si>
    <t>6袋</t>
  </si>
  <si>
    <t>0020040001SHYT0031</t>
  </si>
  <si>
    <t>明目羊肝丸</t>
  </si>
  <si>
    <t>9g×10丸×100中盒</t>
  </si>
  <si>
    <t>0020040030SJSC0007</t>
  </si>
  <si>
    <t>脑安片</t>
  </si>
  <si>
    <t>0.53g*24片*300盒</t>
  </si>
  <si>
    <t>0020020020SJMS0006</t>
  </si>
  <si>
    <t>尼莫地平片</t>
  </si>
  <si>
    <t>20mg*50片素片</t>
  </si>
  <si>
    <t>0020040030SHYT0019</t>
  </si>
  <si>
    <t>牛黄降压片(200盒)</t>
  </si>
  <si>
    <t>20片×200盒</t>
  </si>
  <si>
    <t>0020040001SHYT0011</t>
  </si>
  <si>
    <t>牛黄解毒丸</t>
  </si>
  <si>
    <t>0020040001SHYT0020</t>
  </si>
  <si>
    <t>牛黄清火丸</t>
  </si>
  <si>
    <t>3g×10丸×100中盒</t>
  </si>
  <si>
    <t>0020040001SHYT0012</t>
  </si>
  <si>
    <t>牛黄清胃丸</t>
  </si>
  <si>
    <t>0020040003SHYT0010</t>
  </si>
  <si>
    <t>牛黄清胃丸（水蜜丸）</t>
  </si>
  <si>
    <t>70g×120盒</t>
  </si>
  <si>
    <t>0020040001SHYT0004</t>
  </si>
  <si>
    <t>牛黄清心丸</t>
  </si>
  <si>
    <t>3g×6丸×80盒</t>
  </si>
  <si>
    <t>0020050001SHYT0016</t>
  </si>
  <si>
    <t>牛黄上清丸(OTC)</t>
  </si>
  <si>
    <t>0020040030SHYT0003</t>
  </si>
  <si>
    <t>牛黄消炎片</t>
  </si>
  <si>
    <t>0.05g*30</t>
  </si>
  <si>
    <t>0020040030SHYT0002</t>
  </si>
  <si>
    <t>牛黄消炎片（24片）</t>
  </si>
  <si>
    <t>24片×400盒</t>
  </si>
  <si>
    <t>0020020030ZYZC0510</t>
  </si>
  <si>
    <t>诺氟沙星胶囊</t>
  </si>
  <si>
    <t>0.1g*20s*800盒</t>
  </si>
  <si>
    <t>0020020030ZYZC0296</t>
  </si>
  <si>
    <t>0.1g*30粒</t>
  </si>
  <si>
    <t>0020020030ZYLC0007</t>
  </si>
  <si>
    <t>诺氟沙星胶囊(委托)</t>
  </si>
  <si>
    <t>0.1g×48粒×200盒</t>
  </si>
  <si>
    <t>0020030001SJZY0006</t>
  </si>
  <si>
    <t>葡萄糖酸钙口服溶液（有糖）</t>
  </si>
  <si>
    <t>0020030001SJZY0009</t>
  </si>
  <si>
    <t>葡萄糖酸锌口服溶液（药字号）</t>
  </si>
  <si>
    <t>0020070000SJZY0001</t>
  </si>
  <si>
    <t>葡萄糖酸锌口服液</t>
  </si>
  <si>
    <t>0020070000ZYLC0051</t>
  </si>
  <si>
    <t>朴雪乳酸亚铁口服液</t>
  </si>
  <si>
    <t>0020070000ZYLC0055</t>
  </si>
  <si>
    <t>20ml×10支×30盒</t>
  </si>
  <si>
    <t>0020050001SHYT0014</t>
  </si>
  <si>
    <t>杞菊地黄丸(OTC)</t>
  </si>
  <si>
    <t>0020050001SHYT0001</t>
  </si>
  <si>
    <t>启脾丸（OTC）</t>
  </si>
  <si>
    <t>0020020010SWGC0010</t>
  </si>
  <si>
    <t>前列地尔注射液</t>
  </si>
  <si>
    <t>1ml：5ug</t>
  </si>
  <si>
    <t>生物工程</t>
  </si>
  <si>
    <t>支</t>
  </si>
  <si>
    <t>0020020010SWGC0009</t>
  </si>
  <si>
    <t>2ml：10ug</t>
  </si>
  <si>
    <t>0020050030SJSC0005</t>
  </si>
  <si>
    <t>强力脑清素片</t>
  </si>
  <si>
    <t>60片*180盒</t>
  </si>
  <si>
    <t>0020020020ZYZC0358</t>
  </si>
  <si>
    <t>青霉素V钾片</t>
  </si>
  <si>
    <t>0.236g*12t*600盒</t>
  </si>
  <si>
    <t>0020020020ZYZC0359</t>
  </si>
  <si>
    <t>青霉素V钾片（仙芬）</t>
  </si>
  <si>
    <t>0.236g*24t*600盒</t>
  </si>
  <si>
    <t>0020050090ZYEC0005</t>
  </si>
  <si>
    <t>清热解毒口服液</t>
  </si>
  <si>
    <t>0020070000SJZY0006</t>
  </si>
  <si>
    <t>人参蜂王浆口服液</t>
  </si>
  <si>
    <t>12支*60盒</t>
  </si>
  <si>
    <t>0020020030SJMS0024</t>
  </si>
  <si>
    <t>人工牛黄甲硝唑胶囊</t>
  </si>
  <si>
    <t>10粒×2板×480盒</t>
  </si>
  <si>
    <t>0020020030SJMS0025</t>
  </si>
  <si>
    <t>10粒×3板×480盒</t>
  </si>
  <si>
    <t>0020030020ZYLC0013</t>
  </si>
  <si>
    <t>乳酸菌素片</t>
  </si>
  <si>
    <t>0.4g×36片×10袋×40中盒</t>
  </si>
  <si>
    <t>0020030020ZYLC0010</t>
  </si>
  <si>
    <t>乳酸菌素片“为消”牌</t>
  </si>
  <si>
    <t>0.4g×36片×200盒</t>
  </si>
  <si>
    <t>0029999999SJYM0100</t>
  </si>
  <si>
    <t>三精双黄连植物精华皂102×48块</t>
  </si>
  <si>
    <t>102g*48盒</t>
  </si>
  <si>
    <t>三精英美</t>
  </si>
  <si>
    <t>0020040110SHYT0002</t>
  </si>
  <si>
    <t>麝香接骨胶囊</t>
  </si>
  <si>
    <t>0.3g×40粒×120盒</t>
  </si>
  <si>
    <t>0020050080ZYLC0002</t>
  </si>
  <si>
    <t>麝香壮骨膏</t>
  </si>
  <si>
    <t>2袋*6贴</t>
  </si>
  <si>
    <t>0020050090ZYEC0007</t>
  </si>
  <si>
    <t>生脉饮（党参方）</t>
  </si>
  <si>
    <t>10ml×10支×60盒</t>
  </si>
  <si>
    <t>0020050001SHYT0007</t>
  </si>
  <si>
    <t>十全大补丸(OTC)</t>
  </si>
  <si>
    <t>0020040001SHYT0013</t>
  </si>
  <si>
    <t>舒肝丸</t>
  </si>
  <si>
    <t>0020040201ZYEC0001</t>
  </si>
  <si>
    <t>双黄连粉针（80盒）</t>
  </si>
  <si>
    <t>600mg×12支×80盒</t>
  </si>
  <si>
    <t>万支</t>
  </si>
  <si>
    <t>0020040200ZYEC0003</t>
  </si>
  <si>
    <t>双黄连粉针剂（120盒）</t>
  </si>
  <si>
    <t>600mg×6支×120盒</t>
  </si>
  <si>
    <t>0020050020ZYEC0005</t>
  </si>
  <si>
    <t>双黄连颗粒</t>
  </si>
  <si>
    <t>5gx12袋</t>
  </si>
  <si>
    <t>0020050020ZYEC0004</t>
  </si>
  <si>
    <t>双黄连颗粒（10袋）</t>
  </si>
  <si>
    <t>5g×10袋×100盒</t>
  </si>
  <si>
    <t>0020050020ZYEC0019</t>
  </si>
  <si>
    <t>双黄连颗粒(无蔗糖)</t>
  </si>
  <si>
    <t>5g*10</t>
  </si>
  <si>
    <t>0020050090SJZY0021</t>
  </si>
  <si>
    <t>双黄连口服液</t>
  </si>
  <si>
    <t>0020050090SJZY0001</t>
  </si>
  <si>
    <t>10ml×10支×90盒</t>
  </si>
  <si>
    <t>0020050090SJZY0020</t>
  </si>
  <si>
    <t>20ml*9支</t>
  </si>
  <si>
    <t>0029999999SJYM0099</t>
  </si>
  <si>
    <t>双黄连牙膏（留兰香）</t>
  </si>
  <si>
    <t>150g×54支</t>
  </si>
  <si>
    <t>0020040001SHYT0032</t>
  </si>
  <si>
    <t>天王补心丸</t>
  </si>
  <si>
    <t>0020020030ZYZC0511</t>
  </si>
  <si>
    <t>头孢氨苄胶囊</t>
  </si>
  <si>
    <t>0.125g*20s*600盒</t>
  </si>
  <si>
    <t>0020020030SJMS0019</t>
  </si>
  <si>
    <t>0020020040ZYZC0488</t>
  </si>
  <si>
    <t>头孢氨苄颗粒</t>
  </si>
  <si>
    <t>125mg*12袋*400盒</t>
  </si>
  <si>
    <t>0020020020ZYZC0495</t>
  </si>
  <si>
    <t>头孢氨苄片</t>
  </si>
  <si>
    <t>0.125g*30片</t>
  </si>
  <si>
    <t>0020020020ZYZC0507</t>
  </si>
  <si>
    <t>0.25g*30t*600盒</t>
  </si>
  <si>
    <t>0020020020ZYZC0491</t>
  </si>
  <si>
    <t>0.25g*30片*300瓶</t>
  </si>
  <si>
    <t>0020020030SJMS0009</t>
  </si>
  <si>
    <t>头孢拉定胶囊</t>
  </si>
  <si>
    <t>0.25g*12粒*2板*400盒</t>
  </si>
  <si>
    <t xml:space="preserve"> 三精明水 </t>
  </si>
  <si>
    <t>0020020030ZYZC0246</t>
  </si>
  <si>
    <t>0.25g*20粒*10小盒*40包</t>
  </si>
  <si>
    <t>0020020030ZYZC0283</t>
  </si>
  <si>
    <t>0.25g*24粒*400盒</t>
  </si>
  <si>
    <t>0020020030SJMS0023</t>
  </si>
  <si>
    <t>0.25g*24粒*480盒</t>
  </si>
  <si>
    <t>0020020030SJMS0022</t>
  </si>
  <si>
    <t>0.25g×20粒×480盒</t>
  </si>
  <si>
    <t>0020020030ZYZC0469</t>
  </si>
  <si>
    <t>头孢羟氨苄胶囊</t>
  </si>
  <si>
    <t>0.25g×12粒×600盒</t>
  </si>
  <si>
    <t>0020020030ZYZC0498</t>
  </si>
  <si>
    <t>0.25g×24粒×400盒</t>
  </si>
  <si>
    <t>0020100000ZYLC0002</t>
  </si>
  <si>
    <t>退热贴</t>
  </si>
  <si>
    <t>1贴×3袋×200盒</t>
  </si>
  <si>
    <t>0020100000ZYLC0001</t>
  </si>
  <si>
    <t>2贴×200盒</t>
  </si>
  <si>
    <t>0020030020SJSC0014</t>
  </si>
  <si>
    <t>维D2磷酸氢钙片</t>
  </si>
  <si>
    <t>60片×300盒</t>
  </si>
  <si>
    <t>0020030020SJSC0017</t>
  </si>
  <si>
    <t>80片×300盒</t>
  </si>
  <si>
    <t>0020030020ZYZC0360</t>
  </si>
  <si>
    <t>维生素C咀嚼片</t>
  </si>
  <si>
    <t>100mg×30片</t>
  </si>
  <si>
    <t>0020020020ZYZC0497</t>
  </si>
  <si>
    <t>100mg×60片×200盒</t>
  </si>
  <si>
    <t>0020030032ZYZC0300</t>
  </si>
  <si>
    <t>维生素E软胶囊</t>
  </si>
  <si>
    <t>30粒×200盒</t>
  </si>
  <si>
    <t>0020020030ZYZC0499</t>
  </si>
  <si>
    <t>60粒×200盒</t>
  </si>
  <si>
    <t>0020050001SHYT0026</t>
  </si>
  <si>
    <t>逍遥丸</t>
  </si>
  <si>
    <t>0020050002SHYT0013</t>
  </si>
  <si>
    <t>逍遥丸（水丸）</t>
  </si>
  <si>
    <t>0020040070ZYEC0002</t>
  </si>
  <si>
    <t>消咳喘糖浆</t>
  </si>
  <si>
    <t>100ml×100盒</t>
  </si>
  <si>
    <t>0020020030ZYZC0282</t>
  </si>
  <si>
    <t>小檗碱甲氧苄啶胶囊</t>
  </si>
  <si>
    <t>30粒*10盒*30中盒</t>
  </si>
  <si>
    <t>0020030040ZYLC0001</t>
  </si>
  <si>
    <t>小儿氨酚黄那敏颗粒(护彤)</t>
  </si>
  <si>
    <t>2g×12袋×200盒</t>
  </si>
  <si>
    <t>0020030020ZYLC0005</t>
  </si>
  <si>
    <t>小儿氨酚黄那敏片</t>
  </si>
  <si>
    <t>0.125g×20片×400盒</t>
  </si>
  <si>
    <t>0020040070ZYEC0005</t>
  </si>
  <si>
    <t>小儿百部止咳糖浆</t>
  </si>
  <si>
    <t>0020020020SJSC0013</t>
  </si>
  <si>
    <t>小儿葡磷泛三钙片</t>
  </si>
  <si>
    <t>0020040010SHYT0030</t>
  </si>
  <si>
    <t>小儿吐泻宁</t>
  </si>
  <si>
    <t>3g×10袋×200盒</t>
  </si>
  <si>
    <t>0020040001SHYT0026</t>
  </si>
  <si>
    <t>小活络丸</t>
  </si>
  <si>
    <t>0020020020SJMS0010</t>
  </si>
  <si>
    <t>辛伐他汀片</t>
  </si>
  <si>
    <t>10mg×10片×160盒</t>
  </si>
  <si>
    <t>0020020020SJMS0011</t>
  </si>
  <si>
    <t>10mg×15片×160盒</t>
  </si>
  <si>
    <t>0020070000ZYLC0003</t>
  </si>
  <si>
    <t>新盖中盖牌儿童钙片</t>
  </si>
  <si>
    <t>1.75g×36片×120盒</t>
  </si>
  <si>
    <t>0020070000ZYLC0001</t>
  </si>
  <si>
    <t>新盖中盖牌高钙片</t>
  </si>
  <si>
    <t>2.5g×36片×120盒</t>
  </si>
  <si>
    <t>0020070000ZYLC0002</t>
  </si>
  <si>
    <t>2.5g×60片×80盒</t>
  </si>
  <si>
    <t>0020040001SHYT0014</t>
  </si>
  <si>
    <t>醒脑再造丸</t>
  </si>
  <si>
    <t>0020040001SHYT0018</t>
  </si>
  <si>
    <t>血府逐瘀丸</t>
  </si>
  <si>
    <t>0020040002SHYT0016</t>
  </si>
  <si>
    <t>血府逐瘀丸30袋</t>
  </si>
  <si>
    <t>4g×30袋×60盒</t>
  </si>
  <si>
    <t>0020020030ZYZC0493</t>
  </si>
  <si>
    <t>盐酸氟桂利嗪胶囊</t>
  </si>
  <si>
    <t>5mg*20粒*400盒</t>
  </si>
  <si>
    <t>0020020020ZYLC0005</t>
  </si>
  <si>
    <t>盐酸氟桂利嗪片（孚瑞尔）</t>
  </si>
  <si>
    <t>20片×300盒</t>
  </si>
  <si>
    <t>0020020020ZYLC0007</t>
  </si>
  <si>
    <t>40片×300盒</t>
  </si>
  <si>
    <t>0020020020ZYZC0473</t>
  </si>
  <si>
    <t>盐酸环丙沙星片</t>
  </si>
  <si>
    <t>0.25g×12片×600盒</t>
  </si>
  <si>
    <t>0020020030ZYZC0231</t>
  </si>
  <si>
    <t>盐酸特拉唑嗪胶囊（阿美利特）</t>
  </si>
  <si>
    <t>2mg*10粒</t>
  </si>
  <si>
    <t>0020020030ZYZC0262</t>
  </si>
  <si>
    <t>盐酸伊托必利胶囊(代林)</t>
  </si>
  <si>
    <t>50mg*10粒*10小盒*20中盒</t>
  </si>
  <si>
    <t>0020020030ZYZC0255</t>
  </si>
  <si>
    <t>50mg*10粒*200盒</t>
  </si>
  <si>
    <t>0020020030ZYZC0263</t>
  </si>
  <si>
    <t>50mg*20粒</t>
  </si>
  <si>
    <t>0020020024zylc0002</t>
  </si>
  <si>
    <t>盐酸伊托必利片</t>
  </si>
  <si>
    <t>50mg*12片*300</t>
  </si>
  <si>
    <t>0020020020ZYZC0343</t>
  </si>
  <si>
    <t>盐酸左氧氟沙星片</t>
  </si>
  <si>
    <t>0.1g×12片×10盒×60包</t>
  </si>
  <si>
    <t>0020020020ZYZC0498</t>
  </si>
  <si>
    <t>0.1g×24片×300盒</t>
  </si>
  <si>
    <t>0020040030SJSC0003</t>
  </si>
  <si>
    <t>羊肝明目片</t>
  </si>
  <si>
    <t>0020100000ZYLC0012</t>
  </si>
  <si>
    <t>医用退热贴</t>
  </si>
  <si>
    <t>2贴/袋×10盒×20中包</t>
  </si>
  <si>
    <t>0020100000SJET0016</t>
  </si>
  <si>
    <t>2贴×240盒</t>
  </si>
  <si>
    <t>0020050001SHYT0003</t>
  </si>
  <si>
    <t>益母丸(OTC)</t>
  </si>
  <si>
    <t>0020050004SHYT0001</t>
  </si>
  <si>
    <t>银翘解毒丸（OTC）</t>
  </si>
  <si>
    <t>0020040030SHYT0024</t>
  </si>
  <si>
    <t>银杏叶分散片</t>
  </si>
  <si>
    <t>0.15g×36片×400盒</t>
  </si>
  <si>
    <t>0020050001SHYT0030</t>
  </si>
  <si>
    <t>知柏地黄丸(OTC)</t>
  </si>
  <si>
    <t>0020080001SWGC0009</t>
  </si>
  <si>
    <t>重组人促红素注射液（CHO细胞）</t>
  </si>
  <si>
    <t>2000IU预充式</t>
  </si>
  <si>
    <t>0020080001SWGC0008</t>
  </si>
  <si>
    <t>3000IU</t>
  </si>
  <si>
    <t>0020080001SWGC0012</t>
  </si>
  <si>
    <t>3000IU预充式</t>
  </si>
  <si>
    <t>0020020010SWGC0015</t>
  </si>
  <si>
    <t>4000IU</t>
  </si>
  <si>
    <t>0020080001SWGC0010</t>
  </si>
  <si>
    <t>4000IU预充式</t>
  </si>
  <si>
    <t>0020020010SWGC0016</t>
  </si>
  <si>
    <t>5000IU</t>
  </si>
  <si>
    <t>0020020010SWGC0013</t>
  </si>
  <si>
    <t>5000IU预充式</t>
  </si>
  <si>
    <t>0020020010SWGC0017</t>
  </si>
  <si>
    <t>6000IU</t>
  </si>
  <si>
    <t>0020080001SWGC0011</t>
  </si>
  <si>
    <t>6000IU预充式</t>
  </si>
  <si>
    <t>0020080003SWGC0002</t>
  </si>
  <si>
    <t>重组人干扰素α2b软膏（假单胞菌）</t>
  </si>
  <si>
    <t>10g</t>
  </si>
  <si>
    <t>0020080003SWGC0001</t>
  </si>
  <si>
    <t>5g</t>
  </si>
  <si>
    <t>0020080001SWGC0004</t>
  </si>
  <si>
    <t>重组人粒细胞刺激因子注射液</t>
  </si>
  <si>
    <t>100ug预充式</t>
  </si>
  <si>
    <t>0020080001SWGC0002</t>
  </si>
  <si>
    <t>150ug</t>
  </si>
  <si>
    <t>0020080001SWGC0005</t>
  </si>
  <si>
    <t>150ug预充式</t>
  </si>
  <si>
    <t>0020080001SWGC0006</t>
  </si>
  <si>
    <t>200ug预充式</t>
  </si>
  <si>
    <t>0020080001SWGC0007</t>
  </si>
  <si>
    <t>300ug预充式</t>
  </si>
  <si>
    <t>0020020013ZYZC0021</t>
  </si>
  <si>
    <t>注射用阿莫西林钠(益萨林)</t>
  </si>
  <si>
    <t>0.5g*10支*100盒</t>
  </si>
  <si>
    <t>0020020013ZYZC0022</t>
  </si>
  <si>
    <t>1g*10支*100盒</t>
  </si>
  <si>
    <t>0020020013ZYZC0205</t>
  </si>
  <si>
    <t>2g*10支*60盒</t>
  </si>
  <si>
    <t>0020020013ZYZC0517</t>
  </si>
  <si>
    <t>注射用阿莫西林钠克拉维酸钾(崇美)</t>
  </si>
  <si>
    <t>0.3g</t>
  </si>
  <si>
    <t>0020020013ZYZC0519</t>
  </si>
  <si>
    <t>注射用阿莫西林钠克拉维酸钾（胜艾）</t>
  </si>
  <si>
    <t>1.2g</t>
  </si>
  <si>
    <t>0020020013ZYZC0518</t>
  </si>
  <si>
    <t>注射用阿莫西林钠克拉维酸钾（组能）</t>
  </si>
  <si>
    <t>0.6g</t>
  </si>
  <si>
    <t>0020020013ZYZC0520</t>
  </si>
  <si>
    <t>注射用阿莫西林钠舒巴坦钠</t>
  </si>
  <si>
    <t>0.75g</t>
  </si>
  <si>
    <t>0020020013ZYZC0521</t>
  </si>
  <si>
    <t>1.5g</t>
  </si>
  <si>
    <t>0020020013ZYZC0211</t>
  </si>
  <si>
    <t>3.0g</t>
  </si>
  <si>
    <t>0020020013ZYZC0223</t>
  </si>
  <si>
    <t>注射用氨苄西林钠溶媒法</t>
  </si>
  <si>
    <t>0.5g</t>
  </si>
  <si>
    <t>0020020013ZYZC0224</t>
  </si>
  <si>
    <t>1.0g</t>
  </si>
  <si>
    <t>0020020013ZYZC0472</t>
  </si>
  <si>
    <t>2.0g</t>
  </si>
  <si>
    <t>0020020013ZYZC0210</t>
  </si>
  <si>
    <t>注射用氨苄西林钠舒巴坦钠（凯兰欣）3g*400支</t>
  </si>
  <si>
    <t>3g*400支</t>
  </si>
  <si>
    <t>0020020013ZYZC0571</t>
  </si>
  <si>
    <t>0020020012SWGC0007</t>
  </si>
  <si>
    <t>注射用奥美拉唑钠</t>
  </si>
  <si>
    <t>40mg</t>
  </si>
  <si>
    <t>0020020012SWGC0010</t>
  </si>
  <si>
    <t>注射用奥沙利铂</t>
  </si>
  <si>
    <t>50mg</t>
  </si>
  <si>
    <t>0020020012SWGC0001</t>
  </si>
  <si>
    <t>注射用奥扎格雷钠</t>
  </si>
  <si>
    <t>20mg</t>
  </si>
  <si>
    <t>0020020012SWGC0002</t>
  </si>
  <si>
    <t>0020020012SWGC0003</t>
  </si>
  <si>
    <t>80mg</t>
  </si>
  <si>
    <t>0020040202ZYEC0002</t>
  </si>
  <si>
    <t>注射用丹参(冻干)-60盒</t>
  </si>
  <si>
    <t>400mg×10支×60盒</t>
  </si>
  <si>
    <t>0020020013ZYZC0024</t>
  </si>
  <si>
    <t>注射用对氨基水杨酸钠</t>
  </si>
  <si>
    <t>2g*50支*20盒</t>
  </si>
  <si>
    <t>0020020012SWGC0004</t>
  </si>
  <si>
    <t>注射用更昔洛韦</t>
  </si>
  <si>
    <t>0.25g*1支</t>
  </si>
  <si>
    <t>0020020012SWGC0006</t>
  </si>
  <si>
    <t>注射用甲硫氨酸维B1</t>
  </si>
  <si>
    <t>100mg:10mg</t>
  </si>
  <si>
    <t>0020020012SWGC0005</t>
  </si>
  <si>
    <t>40mg:4mg</t>
  </si>
  <si>
    <t>0020020013ZYZC0025</t>
  </si>
  <si>
    <t>注射用酒石酸吉他霉素</t>
  </si>
  <si>
    <t>20万*50支*20盒</t>
  </si>
  <si>
    <t>0020020013ZYZC0091</t>
  </si>
  <si>
    <t>注射用赖氨匹林(益彼兴)</t>
  </si>
  <si>
    <t>0.9g*10支*40盒</t>
  </si>
  <si>
    <t>0020020013ZYZC0080</t>
  </si>
  <si>
    <t>注射用磷霉素钠</t>
  </si>
  <si>
    <t>1g</t>
  </si>
  <si>
    <t>0020020013ZYZC0213</t>
  </si>
  <si>
    <t>0020020010SJMS0001</t>
  </si>
  <si>
    <t>1g×10支×120盒</t>
  </si>
  <si>
    <t>0020020010SJMS0002</t>
  </si>
  <si>
    <t>2g×10支×100盒</t>
  </si>
  <si>
    <t>0020020010SJMS0003</t>
  </si>
  <si>
    <t>4.0g*2支*5盒*20条/箱</t>
  </si>
  <si>
    <t>0020020013ZYZC0522</t>
  </si>
  <si>
    <t>注射用哌拉西林钠舒巴坦钠(4:1)</t>
  </si>
  <si>
    <t>1.25g*600支</t>
  </si>
  <si>
    <t>0020020013ZYZC0523</t>
  </si>
  <si>
    <t>2.5g*600支</t>
  </si>
  <si>
    <t>0020020012SJJY0014</t>
  </si>
  <si>
    <t>注射用泮托拉唑钠</t>
  </si>
  <si>
    <t>60mgx10支</t>
  </si>
  <si>
    <t>三精加滨</t>
  </si>
  <si>
    <t>0020020013ZYZC0003</t>
  </si>
  <si>
    <t>注射用青霉素钠</t>
  </si>
  <si>
    <t>160万</t>
  </si>
  <si>
    <t>0020020013ZYZC0004</t>
  </si>
  <si>
    <t>400万/600支</t>
  </si>
  <si>
    <t>0020020013ZYZC0049</t>
  </si>
  <si>
    <t>800万</t>
  </si>
  <si>
    <t>0020020013ZYZC0001</t>
  </si>
  <si>
    <t>80万</t>
  </si>
  <si>
    <t>0020020013ZYZC0082</t>
  </si>
  <si>
    <t>注射用乳糖酸阿奇霉素</t>
  </si>
  <si>
    <t>0.125g</t>
  </si>
  <si>
    <t>0020020013ZYZC0081</t>
  </si>
  <si>
    <t>0.25g</t>
  </si>
  <si>
    <t>0020020013ZYZC0490</t>
  </si>
  <si>
    <t>注射用乳糖酸阿奇霉素（齐宏）</t>
  </si>
  <si>
    <t>0020020013ZYZC0491</t>
  </si>
  <si>
    <t>0020020013ZYZC0492</t>
  </si>
  <si>
    <t>0020040202ZYEC0004</t>
  </si>
  <si>
    <t>注射用双黄连（冻干）1.2g×10支×60盒</t>
  </si>
  <si>
    <t>1.2g×10支×60盒</t>
  </si>
  <si>
    <t>0020040202ZYEC0003</t>
  </si>
  <si>
    <t>注射用双黄连（冻干）600mg</t>
  </si>
  <si>
    <t>0020020013ZYZC0465</t>
  </si>
  <si>
    <t>注射用头孢呋辛钠（特兰欣）</t>
  </si>
  <si>
    <t>0020020013ZYZC0466</t>
  </si>
  <si>
    <t>0020020013ZYZC0011</t>
  </si>
  <si>
    <t>注射用头孢拉定</t>
  </si>
  <si>
    <t>0020020013ZYZC0182</t>
  </si>
  <si>
    <t>1g*10支*60盒</t>
  </si>
  <si>
    <t>0020020013ZYZC0178</t>
  </si>
  <si>
    <t>注射用头孢美唑钠</t>
  </si>
  <si>
    <t>0.5g*400支</t>
  </si>
  <si>
    <t>0020020013ZYZC0554</t>
  </si>
  <si>
    <t>0020020013ZYZC0447</t>
  </si>
  <si>
    <t>1g*400支</t>
  </si>
  <si>
    <t>0020020013ZYZC0555</t>
  </si>
  <si>
    <t>0020020013ZYZC0486</t>
  </si>
  <si>
    <t>注射用头孢哌酮钠舒巴坦钠(铃兰欣)</t>
  </si>
  <si>
    <t>1.0g*10支*600盒</t>
  </si>
  <si>
    <t>0020020013ZYZC0539</t>
  </si>
  <si>
    <t>0020020013ZYZC0035</t>
  </si>
  <si>
    <t>注射用头孢哌酮钠舒巴坦钠（铃兰欣）</t>
  </si>
  <si>
    <t>0020020013ZYZC0452</t>
  </si>
  <si>
    <t>0020020013ZYZC0541</t>
  </si>
  <si>
    <t>0020020013ZYZC0497</t>
  </si>
  <si>
    <t>注射用头孢哌酮钠舒巴坦钠（铃兰欣）1.5g*600支</t>
  </si>
  <si>
    <t>1.5g*600支</t>
  </si>
  <si>
    <t>0020020013ZYZC0540</t>
  </si>
  <si>
    <t>0020020013ZYZC0543</t>
  </si>
  <si>
    <t>注射用头孢哌酮钠舒巴坦钠2：1（1.5g*10支*40盒）（特拉欣）</t>
  </si>
  <si>
    <t>0020020013ZYZC0136</t>
  </si>
  <si>
    <t>注射用头孢哌酮钠舒巴坦钠2：1（特拉欣）</t>
  </si>
  <si>
    <t>0020020013ZYZC0478</t>
  </si>
  <si>
    <t>注射用头孢曲松钠</t>
  </si>
  <si>
    <t>0020020013ZYZC0525</t>
  </si>
  <si>
    <t>1.0g*10支*100盒</t>
  </si>
  <si>
    <t>0020020013ZYZC0471</t>
  </si>
  <si>
    <t>注射用头孢曲松钠（凯塞欣）</t>
  </si>
  <si>
    <t>2.0g*10支*60盒</t>
  </si>
  <si>
    <t>0020020013ZYZC0018</t>
  </si>
  <si>
    <t>注射用头孢噻肟钠</t>
  </si>
  <si>
    <t>0020020013ZYZC0019</t>
  </si>
  <si>
    <t>0020020013ZYZC0101</t>
  </si>
  <si>
    <t>注射用头孢他啶</t>
  </si>
  <si>
    <t>1g*600支</t>
  </si>
  <si>
    <t>0020020013ZYZC0511</t>
  </si>
  <si>
    <t>注射用头孢他啶(含精氨酸)(倍欧)1.5g*600支</t>
  </si>
  <si>
    <t>0020020013ZYZC0567</t>
  </si>
  <si>
    <t>0020020013ZYZC0505</t>
  </si>
  <si>
    <t>注射用头孢他啶(益他欣)</t>
  </si>
  <si>
    <t>0.5g*1支*600盒</t>
  </si>
  <si>
    <t>0020020013ZYZC0489</t>
  </si>
  <si>
    <t>注射用头孢替唑钠</t>
  </si>
  <si>
    <t>1.0g*600支</t>
  </si>
  <si>
    <t>0020020013ZYZC0531</t>
  </si>
  <si>
    <t>0020020013ZYZC0008</t>
  </si>
  <si>
    <t>注射用头孢唑林钠</t>
  </si>
  <si>
    <t>0020020013ZYZC0181</t>
  </si>
  <si>
    <t>0020020013ZYZC0010</t>
  </si>
  <si>
    <t>2.0g*600支</t>
  </si>
  <si>
    <t>0020020013ZYZC0501</t>
  </si>
  <si>
    <t>注射用头孢唑肟钠</t>
  </si>
  <si>
    <t>0.75g*600支</t>
  </si>
  <si>
    <t>0020020013ZYZC0546</t>
  </si>
  <si>
    <t>0020020013ZYZC0229</t>
  </si>
  <si>
    <t>1.5g*400支</t>
  </si>
  <si>
    <t>0020020013ZYZC0548</t>
  </si>
  <si>
    <t>0020020013ZYZC0502</t>
  </si>
  <si>
    <t>0020020013ZYZC0547</t>
  </si>
  <si>
    <t>0020020013ZYZC0500</t>
  </si>
  <si>
    <t>注射用头孢唑肟钠（益左欣）</t>
  </si>
  <si>
    <t>0.5g*600支</t>
  </si>
  <si>
    <t>0020020013ZYZC0545</t>
  </si>
  <si>
    <t>0020020012SWGC0009</t>
  </si>
  <si>
    <t>注射用胸腺法新</t>
  </si>
  <si>
    <t>1.6mg</t>
  </si>
  <si>
    <t>0020020012SWGC0008</t>
  </si>
  <si>
    <t>注射用胸腺五肽</t>
  </si>
  <si>
    <t>1mg</t>
  </si>
  <si>
    <t>0020020012SJJY0013</t>
  </si>
  <si>
    <t>注射用炎琥宁</t>
  </si>
  <si>
    <t>80mg*12支*80盒</t>
  </si>
  <si>
    <t>0020020013ZYZC0503</t>
  </si>
  <si>
    <t>注射用盐酸头孢吡肟(若能)</t>
  </si>
  <si>
    <t>0020020013ZYZC0558</t>
  </si>
  <si>
    <t>0020020013ZYZC0504</t>
  </si>
  <si>
    <t>注射用盐酸头孢吡肟(舒肟欣)</t>
  </si>
  <si>
    <t>0020020013ZYZC0559</t>
  </si>
  <si>
    <t>0020020013ZYZC0201</t>
  </si>
  <si>
    <t>注射用盐酸头孢替安</t>
  </si>
  <si>
    <t>0.25g*400支</t>
  </si>
  <si>
    <t>0020020013ZYZC0550</t>
  </si>
  <si>
    <t>0020020013ZYZC0443</t>
  </si>
  <si>
    <t>0020020013ZYZC0551</t>
  </si>
  <si>
    <t>0020020013ZYZC0444</t>
  </si>
  <si>
    <t>0020020013ZYZC0552</t>
  </si>
  <si>
    <t>0020080002SWGC0001</t>
  </si>
  <si>
    <t>注射用重组人干扰素α2b（假单胞菌）</t>
  </si>
  <si>
    <t>100万IU</t>
  </si>
  <si>
    <t>0020080002SWGC0002</t>
  </si>
  <si>
    <t>300万IU</t>
  </si>
  <si>
    <t>0020080002SWGC0003</t>
  </si>
  <si>
    <t>500万IU</t>
  </si>
  <si>
    <t>0020080002SWGC0006</t>
  </si>
  <si>
    <t>注射用重组人粒细胞巨噬细胞刺激因子</t>
  </si>
  <si>
    <t>0020080002SWGC0005</t>
  </si>
  <si>
    <t>75ug</t>
  </si>
  <si>
    <t>0020050030SJSC0010</t>
  </si>
  <si>
    <t>壮肾安神片</t>
  </si>
  <si>
    <t>0.32g*45片*300盒</t>
  </si>
  <si>
    <t>0020050030SJSC0011</t>
  </si>
  <si>
    <t>0.32g*45片*4盒*30中盒</t>
  </si>
  <si>
    <t>0020050070ZYEC0010</t>
  </si>
  <si>
    <t>紫桔止咳糖浆</t>
  </si>
  <si>
    <t>100ml×100瓶</t>
  </si>
  <si>
    <t>0020020010SWGC0008</t>
  </si>
  <si>
    <t>紫杉醇注射液</t>
  </si>
  <si>
    <t>5ml:30mg</t>
  </si>
  <si>
    <t>0020020020SJSC0004</t>
  </si>
  <si>
    <t>左羟丙哌嗪分散片</t>
  </si>
  <si>
    <t>60mg×12片×300盒</t>
  </si>
  <si>
    <t>部门</t>
  </si>
  <si>
    <t>人员编号</t>
  </si>
  <si>
    <t>人员名称</t>
  </si>
  <si>
    <t>山东</t>
  </si>
  <si>
    <t>201305320</t>
  </si>
  <si>
    <t>张海波</t>
  </si>
  <si>
    <t>201304147</t>
  </si>
  <si>
    <t>郭克俭</t>
  </si>
  <si>
    <t>201304151</t>
  </si>
  <si>
    <t>李金龙</t>
  </si>
  <si>
    <t>201304144</t>
  </si>
  <si>
    <t>付云成</t>
  </si>
  <si>
    <t>201304148</t>
  </si>
  <si>
    <t>郝钢</t>
  </si>
  <si>
    <t>201304156</t>
  </si>
  <si>
    <t>张宝利</t>
  </si>
  <si>
    <t>201305319</t>
  </si>
  <si>
    <t>梁宇君</t>
  </si>
  <si>
    <t>山东省区（停用）</t>
  </si>
  <si>
    <t>201304154</t>
  </si>
  <si>
    <t>王文渊</t>
  </si>
  <si>
    <t>201305318</t>
  </si>
  <si>
    <t>李春晖</t>
  </si>
  <si>
    <t>201305317</t>
  </si>
  <si>
    <t>崔健男</t>
  </si>
  <si>
    <t>201305327</t>
  </si>
  <si>
    <t>杜晓明</t>
  </si>
  <si>
    <t>201305366</t>
  </si>
  <si>
    <t>赵彬</t>
  </si>
  <si>
    <t>201305371</t>
  </si>
  <si>
    <t>朱顺强</t>
  </si>
  <si>
    <t>201304379</t>
  </si>
  <si>
    <t>王璐2</t>
  </si>
  <si>
    <t>201304389</t>
  </si>
  <si>
    <t>唐恭喜</t>
  </si>
  <si>
    <t>201305361</t>
  </si>
  <si>
    <t>杨宁</t>
  </si>
  <si>
    <t>201305349</t>
  </si>
  <si>
    <t>汪爱玲</t>
  </si>
  <si>
    <t>201305360</t>
  </si>
  <si>
    <t>许栋贤</t>
  </si>
  <si>
    <t>201305332</t>
  </si>
  <si>
    <t>胡欣欣</t>
  </si>
  <si>
    <t>201305352</t>
  </si>
  <si>
    <t>王宜响</t>
  </si>
  <si>
    <t>山东(零售)（停用）</t>
  </si>
  <si>
    <t>201305654</t>
  </si>
  <si>
    <t>王岩</t>
  </si>
  <si>
    <t>201305655</t>
  </si>
  <si>
    <t>薛超</t>
  </si>
  <si>
    <t>山东(商务)（停用）</t>
  </si>
  <si>
    <t>201305659</t>
  </si>
  <si>
    <t>李胜春</t>
  </si>
  <si>
    <t>9907028</t>
  </si>
  <si>
    <t>丁嫚</t>
  </si>
  <si>
    <t>9907158</t>
  </si>
  <si>
    <t>陈鑫</t>
  </si>
  <si>
    <t>9907159</t>
  </si>
  <si>
    <t>王春燕</t>
  </si>
  <si>
    <t>9907160</t>
  </si>
  <si>
    <t>李维织</t>
  </si>
  <si>
    <t>9907161</t>
  </si>
  <si>
    <t>刘树伟</t>
  </si>
  <si>
    <t>9907162</t>
  </si>
  <si>
    <t>巴蕾</t>
  </si>
  <si>
    <t>9907163</t>
  </si>
  <si>
    <t>苏德军</t>
  </si>
  <si>
    <t>9907164</t>
  </si>
  <si>
    <t>徐鹏</t>
  </si>
  <si>
    <t>9907165</t>
  </si>
  <si>
    <t>席明勇</t>
  </si>
  <si>
    <t>201305428</t>
  </si>
  <si>
    <t>李大维</t>
  </si>
  <si>
    <t>201305370</t>
  </si>
  <si>
    <t>周丽丽</t>
  </si>
  <si>
    <t>9907236</t>
  </si>
  <si>
    <t>于朋波</t>
  </si>
  <si>
    <t>9907237</t>
  </si>
  <si>
    <t>颜文华</t>
  </si>
  <si>
    <t>9907238</t>
  </si>
  <si>
    <t>梁海英</t>
  </si>
  <si>
    <t>9907239</t>
  </si>
  <si>
    <t>邱婷婷</t>
  </si>
  <si>
    <t>9907240</t>
  </si>
  <si>
    <t>王丽文</t>
  </si>
  <si>
    <t>9907241</t>
  </si>
  <si>
    <t>李雪艳</t>
  </si>
  <si>
    <t>9907242</t>
  </si>
  <si>
    <t>吴修朋</t>
  </si>
  <si>
    <t>201305596</t>
  </si>
  <si>
    <t>周玉龙</t>
  </si>
  <si>
    <t>201305338</t>
  </si>
  <si>
    <t>李瑞杰</t>
  </si>
  <si>
    <t>201305369</t>
  </si>
  <si>
    <t>郑静静</t>
  </si>
  <si>
    <t>201304146</t>
  </si>
  <si>
    <t>陈亮</t>
  </si>
  <si>
    <t>201304150</t>
  </si>
  <si>
    <t>金士华</t>
  </si>
  <si>
    <t>201304157</t>
  </si>
  <si>
    <t>朱茂林</t>
  </si>
  <si>
    <t>201305336</t>
  </si>
  <si>
    <t>李冠军</t>
  </si>
  <si>
    <t>201305347</t>
  </si>
  <si>
    <t>孙晓杰</t>
  </si>
  <si>
    <t>201305356</t>
  </si>
  <si>
    <t>吴书霞</t>
  </si>
  <si>
    <t>201305331</t>
  </si>
  <si>
    <t>郝丽</t>
  </si>
  <si>
    <t>201305365</t>
  </si>
  <si>
    <t>张娩</t>
  </si>
  <si>
    <t>201305345</t>
  </si>
  <si>
    <t>宋丽娜</t>
  </si>
  <si>
    <t>201305330</t>
  </si>
  <si>
    <t>韩志晏</t>
  </si>
  <si>
    <t>201305357</t>
  </si>
  <si>
    <t>吴现娟</t>
  </si>
  <si>
    <t>201304921</t>
  </si>
  <si>
    <t>神甜</t>
  </si>
  <si>
    <t>201304919</t>
  </si>
  <si>
    <t>冼明峰</t>
  </si>
  <si>
    <t>201304152</t>
  </si>
  <si>
    <t>庞云峰</t>
  </si>
  <si>
    <t>201305321</t>
  </si>
  <si>
    <t>王晶2</t>
  </si>
  <si>
    <t>201304149</t>
  </si>
  <si>
    <t>郝旺</t>
  </si>
  <si>
    <t>201305328</t>
  </si>
  <si>
    <t>耿家彬</t>
  </si>
  <si>
    <t>201305342</t>
  </si>
  <si>
    <t>卢娜</t>
  </si>
  <si>
    <t>201305362</t>
  </si>
  <si>
    <t>于善荣</t>
  </si>
  <si>
    <t>201304922</t>
  </si>
  <si>
    <t>张永平</t>
  </si>
  <si>
    <t>201304437</t>
  </si>
  <si>
    <t>李庆滨</t>
  </si>
  <si>
    <t>201305194</t>
  </si>
  <si>
    <t>杨立森</t>
  </si>
  <si>
    <t>9908170</t>
  </si>
  <si>
    <t>符亚杰</t>
  </si>
  <si>
    <t>9908171</t>
  </si>
  <si>
    <t>周文谦</t>
  </si>
  <si>
    <t>9908172</t>
  </si>
  <si>
    <t>曾江玉</t>
  </si>
  <si>
    <t>9908174</t>
  </si>
  <si>
    <t>范芝宏</t>
  </si>
  <si>
    <t>9908356</t>
  </si>
  <si>
    <t>张高东</t>
  </si>
  <si>
    <t>9908352</t>
  </si>
  <si>
    <t>李丽</t>
  </si>
  <si>
    <t>9908357</t>
  </si>
  <si>
    <t>张文杰</t>
  </si>
  <si>
    <t>9908353</t>
  </si>
  <si>
    <t>刘芳</t>
  </si>
  <si>
    <t>9908354</t>
  </si>
  <si>
    <t>杨惠</t>
  </si>
  <si>
    <t>9908351</t>
  </si>
  <si>
    <t>张伟</t>
  </si>
  <si>
    <t>9908350</t>
  </si>
  <si>
    <t>刘兆华</t>
  </si>
  <si>
    <t>9908355</t>
  </si>
  <si>
    <t>于海燕</t>
  </si>
  <si>
    <t>9908361</t>
  </si>
  <si>
    <t>李冬梅</t>
  </si>
  <si>
    <t>9908580</t>
  </si>
  <si>
    <t>杨雪</t>
  </si>
  <si>
    <t>9908582</t>
  </si>
  <si>
    <t>吕双双</t>
  </si>
  <si>
    <t>9908549</t>
  </si>
  <si>
    <t>吕体恒</t>
  </si>
  <si>
    <t>9908613</t>
  </si>
  <si>
    <t>侯小东</t>
  </si>
  <si>
    <t>9908581</t>
  </si>
  <si>
    <t>毕翌</t>
  </si>
  <si>
    <t>9908470</t>
  </si>
  <si>
    <t>李新朋</t>
  </si>
  <si>
    <t>201305016</t>
  </si>
  <si>
    <t>侯德润</t>
  </si>
  <si>
    <t>201305019</t>
  </si>
  <si>
    <t>马超</t>
  </si>
  <si>
    <t>201305111</t>
  </si>
  <si>
    <t>程春丽</t>
  </si>
  <si>
    <t>9907166</t>
  </si>
  <si>
    <t>王军</t>
  </si>
  <si>
    <t>9907198</t>
  </si>
  <si>
    <t>金虎</t>
  </si>
  <si>
    <t>9907202</t>
  </si>
  <si>
    <t>神舟</t>
  </si>
  <si>
    <t>9907203</t>
  </si>
  <si>
    <t>马雪美</t>
  </si>
  <si>
    <t>9907364</t>
  </si>
  <si>
    <t>霍立民</t>
  </si>
  <si>
    <t>9907473</t>
  </si>
  <si>
    <t>刘岗</t>
  </si>
  <si>
    <t>9907575</t>
  </si>
  <si>
    <t>段连武</t>
  </si>
  <si>
    <t>521565</t>
  </si>
  <si>
    <t>侯继勋</t>
  </si>
  <si>
    <t>9907408</t>
  </si>
  <si>
    <t>李洪晔</t>
  </si>
  <si>
    <t>9907409</t>
  </si>
  <si>
    <t>李江毓</t>
  </si>
  <si>
    <t>9907520</t>
  </si>
  <si>
    <t>石成文</t>
  </si>
  <si>
    <t>9907736</t>
  </si>
  <si>
    <t>王鹏</t>
  </si>
  <si>
    <t>9907381</t>
  </si>
  <si>
    <t>杨祁</t>
  </si>
  <si>
    <t>9907382</t>
  </si>
  <si>
    <t>杨庆波</t>
  </si>
  <si>
    <t>9907384</t>
  </si>
  <si>
    <t>杨学良</t>
  </si>
  <si>
    <t>9907448</t>
  </si>
  <si>
    <t>郑玉新</t>
  </si>
  <si>
    <t>9907330</t>
  </si>
  <si>
    <t>王德生</t>
  </si>
  <si>
    <t>9907101</t>
  </si>
  <si>
    <t>李青桂</t>
  </si>
  <si>
    <t>9907905</t>
  </si>
  <si>
    <t>王留珍</t>
  </si>
  <si>
    <t>9907904</t>
  </si>
  <si>
    <t>王明志</t>
  </si>
  <si>
    <t>9907918</t>
  </si>
  <si>
    <t>杨丽君</t>
  </si>
  <si>
    <t>9908014</t>
  </si>
  <si>
    <t>翟永来</t>
  </si>
  <si>
    <t>9908015</t>
  </si>
  <si>
    <t>张明月</t>
  </si>
  <si>
    <t>9908007</t>
  </si>
  <si>
    <t>杨延松</t>
  </si>
  <si>
    <t>大客户山东（停用）</t>
  </si>
  <si>
    <t>9908035</t>
  </si>
  <si>
    <t>单旗</t>
  </si>
  <si>
    <t>9908052</t>
  </si>
  <si>
    <t>周健壮</t>
  </si>
  <si>
    <t>9908058</t>
  </si>
  <si>
    <t>王健1</t>
  </si>
  <si>
    <t>9908095</t>
  </si>
  <si>
    <t>张羽茜</t>
  </si>
  <si>
    <t>201602151421001</t>
  </si>
  <si>
    <t>朱云峰</t>
  </si>
  <si>
    <t>201602151421002</t>
  </si>
  <si>
    <t>李凌强</t>
  </si>
  <si>
    <t>201602151421003</t>
  </si>
  <si>
    <t>王洪洋</t>
  </si>
  <si>
    <t>201602151421004</t>
  </si>
  <si>
    <t>刘云鹏</t>
  </si>
  <si>
    <t>201602151421005</t>
  </si>
  <si>
    <t>王洁富</t>
  </si>
  <si>
    <t>201602151421006</t>
  </si>
  <si>
    <t>冯思贵</t>
  </si>
  <si>
    <t>201602151421007</t>
  </si>
  <si>
    <t>刘高阳</t>
  </si>
  <si>
    <t>201602151421008</t>
  </si>
  <si>
    <t>王明</t>
  </si>
  <si>
    <t>201602151421009</t>
  </si>
  <si>
    <t>唐仲宇</t>
  </si>
  <si>
    <t>201602151421010</t>
  </si>
  <si>
    <t>李淳志</t>
  </si>
  <si>
    <t>201602151421011</t>
  </si>
  <si>
    <t>杨雁滨</t>
  </si>
  <si>
    <t>201602151421012</t>
  </si>
  <si>
    <t>龚晶</t>
  </si>
  <si>
    <t>201602151421013</t>
  </si>
  <si>
    <t>李卫斌</t>
  </si>
  <si>
    <t>201602151421014</t>
  </si>
  <si>
    <t>丁力</t>
  </si>
  <si>
    <t>201602151421015</t>
  </si>
  <si>
    <t>王大路</t>
  </si>
  <si>
    <t>201602151421016</t>
  </si>
  <si>
    <t>张赫群</t>
  </si>
  <si>
    <t>201602151421017</t>
  </si>
  <si>
    <t>王威</t>
  </si>
  <si>
    <t>201602151421018</t>
  </si>
  <si>
    <t>庞波</t>
  </si>
  <si>
    <t>201602151421019</t>
  </si>
  <si>
    <t>苑世林</t>
  </si>
  <si>
    <t>201602151421020</t>
  </si>
  <si>
    <t>吕达</t>
  </si>
  <si>
    <t>201602151421021</t>
  </si>
  <si>
    <t>史国梁</t>
  </si>
  <si>
    <t>201602151421022</t>
  </si>
  <si>
    <t>白力伟</t>
  </si>
  <si>
    <t>201602151421023</t>
  </si>
  <si>
    <t>邹建立</t>
  </si>
  <si>
    <t>201602151421024</t>
  </si>
  <si>
    <t>牛兰梅</t>
  </si>
  <si>
    <t>201602151421025</t>
  </si>
  <si>
    <t>孙善宝</t>
  </si>
  <si>
    <t>201602151421026</t>
  </si>
  <si>
    <t>刘滨强</t>
  </si>
  <si>
    <t>201602151421027</t>
  </si>
  <si>
    <t>夏阳</t>
  </si>
  <si>
    <t>201602151421028</t>
  </si>
  <si>
    <t>高阎</t>
  </si>
  <si>
    <t>201602151421029</t>
  </si>
  <si>
    <t>刘松</t>
  </si>
  <si>
    <t>201602151421030</t>
  </si>
  <si>
    <t>洪智强</t>
  </si>
  <si>
    <t>201602151421031</t>
  </si>
  <si>
    <t>于子童</t>
  </si>
  <si>
    <t>201602151421032</t>
  </si>
  <si>
    <t>孙伯聪</t>
  </si>
  <si>
    <t>201602151421033</t>
  </si>
  <si>
    <t>闫萍</t>
  </si>
  <si>
    <t>201602151421034</t>
  </si>
  <si>
    <t>乔佳</t>
  </si>
  <si>
    <t>201602151421035</t>
  </si>
  <si>
    <t>王静远</t>
  </si>
  <si>
    <t>201602151421036</t>
  </si>
  <si>
    <t>高永学</t>
  </si>
  <si>
    <t>201602151421037</t>
  </si>
  <si>
    <t>刘加力</t>
  </si>
  <si>
    <t>201602151421038</t>
  </si>
  <si>
    <t>苏立发</t>
  </si>
  <si>
    <t>201602151421039</t>
  </si>
  <si>
    <t>王元利</t>
  </si>
  <si>
    <t>201602151421040</t>
  </si>
  <si>
    <t>韩庆滨</t>
  </si>
  <si>
    <t>201602151421041</t>
  </si>
  <si>
    <t>刘宏刚</t>
  </si>
  <si>
    <t>201602151421042</t>
  </si>
  <si>
    <t>王金玲</t>
  </si>
  <si>
    <t>201602151421043</t>
  </si>
  <si>
    <t>来维</t>
  </si>
  <si>
    <t>201602151421044</t>
  </si>
  <si>
    <t>王旭波</t>
  </si>
  <si>
    <t>201602151421045</t>
  </si>
  <si>
    <t>王彪</t>
  </si>
  <si>
    <t>201602151421046</t>
  </si>
  <si>
    <t>王野</t>
  </si>
  <si>
    <t>201602151421047</t>
  </si>
  <si>
    <t>宋柏通</t>
  </si>
  <si>
    <t>201602151421048</t>
  </si>
  <si>
    <t>张家梁</t>
  </si>
  <si>
    <t>201602151421049</t>
  </si>
  <si>
    <t>季丽丽</t>
  </si>
  <si>
    <t>201602151421050</t>
  </si>
  <si>
    <t>董永莲</t>
  </si>
  <si>
    <t>201602151421051</t>
  </si>
  <si>
    <t>鄂维</t>
  </si>
  <si>
    <t>201602151421052</t>
  </si>
  <si>
    <t>王诗奇</t>
  </si>
  <si>
    <t>201602151421053</t>
  </si>
  <si>
    <t>王永和</t>
  </si>
  <si>
    <t>201602151421054</t>
  </si>
  <si>
    <t>徐健</t>
  </si>
  <si>
    <t>201602151421055</t>
  </si>
  <si>
    <t>王海弟</t>
  </si>
  <si>
    <t>201602151421056</t>
  </si>
  <si>
    <t>王超2</t>
  </si>
  <si>
    <t>201602151421057</t>
  </si>
  <si>
    <t>周澳</t>
  </si>
  <si>
    <t>201602151421058</t>
  </si>
  <si>
    <t>王兆东</t>
  </si>
  <si>
    <t>201602151421059</t>
  </si>
  <si>
    <t>于永花</t>
  </si>
  <si>
    <t>201602151421060</t>
  </si>
  <si>
    <t>张琪</t>
  </si>
  <si>
    <t>201602151421061</t>
  </si>
  <si>
    <t>郭鑫</t>
  </si>
  <si>
    <t>201602151421062</t>
  </si>
  <si>
    <t>张竹刚</t>
  </si>
  <si>
    <t>201602151421063</t>
  </si>
  <si>
    <t>韩磊</t>
  </si>
  <si>
    <t>201602151421064</t>
  </si>
  <si>
    <t>于文涛</t>
  </si>
  <si>
    <t>201602151421065</t>
  </si>
  <si>
    <t>王秀梅</t>
  </si>
  <si>
    <t>201602151421066</t>
  </si>
  <si>
    <t>倪国辉</t>
  </si>
  <si>
    <t>201602151421067</t>
  </si>
  <si>
    <t>荀加祁</t>
  </si>
  <si>
    <t>201602151421068</t>
  </si>
  <si>
    <t>祁立军</t>
  </si>
  <si>
    <t>201602151421069</t>
  </si>
  <si>
    <t>韩龙</t>
  </si>
  <si>
    <t>201602151421070</t>
  </si>
  <si>
    <t>吴春阳</t>
  </si>
  <si>
    <t>201602151421071</t>
  </si>
  <si>
    <t>魏丹妮</t>
  </si>
  <si>
    <t>201602151421072</t>
  </si>
  <si>
    <t>肖方正</t>
  </si>
  <si>
    <t>201602151421073</t>
  </si>
  <si>
    <t>庞帅</t>
  </si>
  <si>
    <t>201602151421074</t>
  </si>
  <si>
    <t>黄贯军</t>
  </si>
  <si>
    <t>201602151421075</t>
  </si>
  <si>
    <t>郑雪莲</t>
  </si>
  <si>
    <t>201602151421076</t>
  </si>
  <si>
    <t>李颖</t>
  </si>
  <si>
    <t>201602151421077</t>
  </si>
  <si>
    <t>吴莉</t>
  </si>
  <si>
    <t>201602151421078</t>
  </si>
  <si>
    <t>刘俊卓</t>
  </si>
  <si>
    <t>201602151421079</t>
  </si>
  <si>
    <t>王彩凤</t>
  </si>
  <si>
    <t>201602151421081</t>
  </si>
  <si>
    <t>黄绪杰</t>
  </si>
  <si>
    <t>201602151421082</t>
  </si>
  <si>
    <t>孙俊</t>
  </si>
  <si>
    <t>201602151421083</t>
  </si>
  <si>
    <t>宋菲菲</t>
  </si>
  <si>
    <t>201602151421084</t>
  </si>
  <si>
    <t>王伟业</t>
  </si>
  <si>
    <t>201602151421085</t>
  </si>
  <si>
    <t>孙玮</t>
  </si>
  <si>
    <t>201602151421086</t>
  </si>
  <si>
    <t>李敬</t>
  </si>
  <si>
    <t>201602151421087</t>
  </si>
  <si>
    <t>代龙涛</t>
  </si>
  <si>
    <t>201602151421088</t>
  </si>
  <si>
    <t>何秀</t>
  </si>
  <si>
    <t>201602151421089</t>
  </si>
  <si>
    <t>冯中杰</t>
  </si>
  <si>
    <t>201602151421090</t>
  </si>
  <si>
    <t>周京成</t>
  </si>
  <si>
    <t>201602151421091</t>
  </si>
  <si>
    <t>刘继雪</t>
  </si>
  <si>
    <t>201602151421092</t>
  </si>
  <si>
    <t>张梓良</t>
  </si>
  <si>
    <t>201602151421093</t>
  </si>
  <si>
    <t>刘洋</t>
  </si>
  <si>
    <t>201602151421094</t>
  </si>
  <si>
    <t>董俊婷</t>
  </si>
  <si>
    <t>201602151421095</t>
  </si>
  <si>
    <t>贾文栋</t>
  </si>
  <si>
    <t>201602151421096</t>
  </si>
  <si>
    <t>郭靖</t>
  </si>
  <si>
    <t>201602151421097</t>
  </si>
  <si>
    <t>张建华</t>
  </si>
  <si>
    <t>201602151421098</t>
  </si>
  <si>
    <t>刘君</t>
  </si>
  <si>
    <t>201602151421099</t>
  </si>
  <si>
    <t>田虎</t>
  </si>
  <si>
    <t>201602151421100</t>
  </si>
  <si>
    <t>王金国</t>
  </si>
  <si>
    <t>201602151421101</t>
  </si>
  <si>
    <t>项瑞红</t>
  </si>
  <si>
    <t>201602151421102</t>
  </si>
  <si>
    <t>赵洪强</t>
  </si>
  <si>
    <t>201602151421103</t>
  </si>
  <si>
    <t>李旭</t>
  </si>
  <si>
    <t>201602151421104</t>
  </si>
  <si>
    <t>苏承江</t>
  </si>
  <si>
    <t>201602151421105</t>
  </si>
  <si>
    <t>张景泉</t>
  </si>
  <si>
    <t>201602151421106</t>
  </si>
  <si>
    <t>吴柏松</t>
  </si>
  <si>
    <t>201602151421107</t>
  </si>
  <si>
    <t>郑辉</t>
  </si>
  <si>
    <t>201602151421108</t>
  </si>
  <si>
    <t>刘佩亮</t>
  </si>
  <si>
    <t>201602151421109</t>
  </si>
  <si>
    <t>杨洪晓</t>
  </si>
  <si>
    <t>201602151421110</t>
  </si>
  <si>
    <t>侯二龙</t>
  </si>
  <si>
    <t>201602151421111</t>
  </si>
  <si>
    <t>焦宗航</t>
  </si>
  <si>
    <t>201602151421112</t>
  </si>
  <si>
    <t>刘佳林</t>
  </si>
  <si>
    <t>201605112621001</t>
  </si>
  <si>
    <t>宋佳</t>
  </si>
  <si>
    <t>201305595</t>
  </si>
  <si>
    <t>陈敬松</t>
  </si>
  <si>
    <t>201609062621001</t>
  </si>
  <si>
    <t>汪洋</t>
  </si>
  <si>
    <t>201304969</t>
  </si>
  <si>
    <t>王美琼</t>
  </si>
  <si>
    <t>201703092621001</t>
  </si>
  <si>
    <t>刘庆鹏</t>
  </si>
  <si>
    <t>201704052621001</t>
  </si>
  <si>
    <t>何青益</t>
  </si>
  <si>
    <t>201304143</t>
  </si>
  <si>
    <t>侯文智</t>
  </si>
  <si>
    <t>码上有省区名称</t>
  </si>
  <si>
    <t>码上有城市名称</t>
  </si>
  <si>
    <t>码上有区县名称</t>
  </si>
  <si>
    <t>流向用区县编码</t>
  </si>
  <si>
    <t>山东省</t>
  </si>
  <si>
    <t>滨州市</t>
  </si>
  <si>
    <t>滨城区</t>
  </si>
  <si>
    <t>1853</t>
  </si>
  <si>
    <t>博兴县</t>
  </si>
  <si>
    <t>1858</t>
  </si>
  <si>
    <t>惠民县</t>
  </si>
  <si>
    <t>1854</t>
  </si>
  <si>
    <t>无棣县</t>
  </si>
  <si>
    <t>1856</t>
  </si>
  <si>
    <t>阳信县</t>
  </si>
  <si>
    <t>1855</t>
  </si>
  <si>
    <t>沾化县</t>
  </si>
  <si>
    <t>1857</t>
  </si>
  <si>
    <t>邹平县</t>
  </si>
  <si>
    <t>1859</t>
  </si>
  <si>
    <t>德州市</t>
  </si>
  <si>
    <t>德城区</t>
  </si>
  <si>
    <t>1832</t>
  </si>
  <si>
    <t>乐陵市</t>
  </si>
  <si>
    <t>1841</t>
  </si>
  <si>
    <t>临邑县</t>
  </si>
  <si>
    <t>1836</t>
  </si>
  <si>
    <t>陵县</t>
  </si>
  <si>
    <t>1833</t>
  </si>
  <si>
    <t>宁津县</t>
  </si>
  <si>
    <t>1834</t>
  </si>
  <si>
    <t>平原县</t>
  </si>
  <si>
    <t>1838</t>
  </si>
  <si>
    <t>齐河县</t>
  </si>
  <si>
    <t>1837</t>
  </si>
  <si>
    <t>庆云县</t>
  </si>
  <si>
    <t>1835</t>
  </si>
  <si>
    <t>武城县</t>
  </si>
  <si>
    <t>1840</t>
  </si>
  <si>
    <t>夏津县</t>
  </si>
  <si>
    <t>1839</t>
  </si>
  <si>
    <t>禹城市</t>
  </si>
  <si>
    <t>1842</t>
  </si>
  <si>
    <t>东营市</t>
  </si>
  <si>
    <t>东营区</t>
  </si>
  <si>
    <t>1754</t>
  </si>
  <si>
    <t>广饶县</t>
  </si>
  <si>
    <t>1758</t>
  </si>
  <si>
    <t>河口区</t>
  </si>
  <si>
    <t>1755</t>
  </si>
  <si>
    <t>垦利县</t>
  </si>
  <si>
    <t>1756</t>
  </si>
  <si>
    <t>利津县</t>
  </si>
  <si>
    <t>1757</t>
  </si>
  <si>
    <t>菏泽市</t>
  </si>
  <si>
    <t>曹县</t>
  </si>
  <si>
    <t>1862</t>
  </si>
  <si>
    <t>成武县</t>
  </si>
  <si>
    <t>1864</t>
  </si>
  <si>
    <t>单县</t>
  </si>
  <si>
    <t>1863</t>
  </si>
  <si>
    <t>定陶县</t>
  </si>
  <si>
    <t>1868</t>
  </si>
  <si>
    <t>东明县</t>
  </si>
  <si>
    <t>1869</t>
  </si>
  <si>
    <t>巨野县</t>
  </si>
  <si>
    <t>1865</t>
  </si>
  <si>
    <t>鄄城县</t>
  </si>
  <si>
    <t>1867</t>
  </si>
  <si>
    <t>牡丹区</t>
  </si>
  <si>
    <t>1861</t>
  </si>
  <si>
    <t>郓城县</t>
  </si>
  <si>
    <t>1866</t>
  </si>
  <si>
    <t>济南市</t>
  </si>
  <si>
    <t>槐荫区</t>
  </si>
  <si>
    <t>1718</t>
  </si>
  <si>
    <t>济阳县</t>
  </si>
  <si>
    <t>1723</t>
  </si>
  <si>
    <t>历城区</t>
  </si>
  <si>
    <t>1720</t>
  </si>
  <si>
    <t>历下区</t>
  </si>
  <si>
    <t>1716</t>
  </si>
  <si>
    <t>平阴县</t>
  </si>
  <si>
    <t>1722</t>
  </si>
  <si>
    <t>商河县</t>
  </si>
  <si>
    <t>1724</t>
  </si>
  <si>
    <t>市中区</t>
  </si>
  <si>
    <t>1717</t>
  </si>
  <si>
    <t>天桥区</t>
  </si>
  <si>
    <t>1719</t>
  </si>
  <si>
    <t>章丘市</t>
  </si>
  <si>
    <t>1725</t>
  </si>
  <si>
    <t>长清区</t>
  </si>
  <si>
    <t>1721</t>
  </si>
  <si>
    <t>济宁市</t>
  </si>
  <si>
    <t>嘉祥县</t>
  </si>
  <si>
    <t>1791</t>
  </si>
  <si>
    <t>金乡县</t>
  </si>
  <si>
    <t>1790</t>
  </si>
  <si>
    <t>梁山县</t>
  </si>
  <si>
    <t>1794</t>
  </si>
  <si>
    <t>曲阜市</t>
  </si>
  <si>
    <t>1795</t>
  </si>
  <si>
    <t>任城区</t>
  </si>
  <si>
    <t>1787</t>
  </si>
  <si>
    <t>泗水县</t>
  </si>
  <si>
    <t>1793</t>
  </si>
  <si>
    <t>微山县</t>
  </si>
  <si>
    <t>1788</t>
  </si>
  <si>
    <t>汶上县</t>
  </si>
  <si>
    <t>1792</t>
  </si>
  <si>
    <t>兖州市</t>
  </si>
  <si>
    <t>1796</t>
  </si>
  <si>
    <t>鱼台县</t>
  </si>
  <si>
    <t>1789</t>
  </si>
  <si>
    <t>邹城市</t>
  </si>
  <si>
    <t>1797</t>
  </si>
  <si>
    <t>莱芜市</t>
  </si>
  <si>
    <t>钢城区</t>
  </si>
  <si>
    <t>1817</t>
  </si>
  <si>
    <t>莱城区</t>
  </si>
  <si>
    <t>1816</t>
  </si>
  <si>
    <t>聊城市</t>
  </si>
  <si>
    <t>茌平县</t>
  </si>
  <si>
    <t>1847</t>
  </si>
  <si>
    <t>东阿县</t>
  </si>
  <si>
    <t>1848</t>
  </si>
  <si>
    <t>东昌府区</t>
  </si>
  <si>
    <t>1844</t>
  </si>
  <si>
    <t>高唐县</t>
  </si>
  <si>
    <t>1850</t>
  </si>
  <si>
    <t>冠县</t>
  </si>
  <si>
    <t>1849</t>
  </si>
  <si>
    <t>临清市</t>
  </si>
  <si>
    <t>1851</t>
  </si>
  <si>
    <t>莘县</t>
  </si>
  <si>
    <t>1846</t>
  </si>
  <si>
    <t>阳谷县</t>
  </si>
  <si>
    <t>1845</t>
  </si>
  <si>
    <t>临沂市</t>
  </si>
  <si>
    <t>苍山县</t>
  </si>
  <si>
    <t>1825</t>
  </si>
  <si>
    <t>费县</t>
  </si>
  <si>
    <t>1826</t>
  </si>
  <si>
    <t>河东区</t>
  </si>
  <si>
    <t>1821</t>
  </si>
  <si>
    <t>莒南县</t>
  </si>
  <si>
    <t>1828</t>
  </si>
  <si>
    <t>兰山区</t>
  </si>
  <si>
    <t>1819</t>
  </si>
  <si>
    <t>临沭县</t>
  </si>
  <si>
    <t>1830</t>
  </si>
  <si>
    <t>罗庄区</t>
  </si>
  <si>
    <t>1820</t>
  </si>
  <si>
    <t>蒙阴县</t>
  </si>
  <si>
    <t>1829</t>
  </si>
  <si>
    <t>平邑县</t>
  </si>
  <si>
    <t>1827</t>
  </si>
  <si>
    <t>郯城县</t>
  </si>
  <si>
    <t>1823</t>
  </si>
  <si>
    <t>沂南县</t>
  </si>
  <si>
    <t>1822</t>
  </si>
  <si>
    <t>沂水县</t>
  </si>
  <si>
    <t>1824</t>
  </si>
  <si>
    <t>青岛市</t>
  </si>
  <si>
    <t>城阳区</t>
  </si>
  <si>
    <t>1732</t>
  </si>
  <si>
    <t>黄岛区</t>
  </si>
  <si>
    <t>1729</t>
  </si>
  <si>
    <t>即墨市</t>
  </si>
  <si>
    <t>1734</t>
  </si>
  <si>
    <t>胶州市</t>
  </si>
  <si>
    <t>1733</t>
  </si>
  <si>
    <t>莱西市</t>
  </si>
  <si>
    <t>1736</t>
  </si>
  <si>
    <t>崂山区</t>
  </si>
  <si>
    <t>1730</t>
  </si>
  <si>
    <t>李沧区</t>
  </si>
  <si>
    <t>1731</t>
  </si>
  <si>
    <t>平度市</t>
  </si>
  <si>
    <t>1735</t>
  </si>
  <si>
    <t>市北区</t>
  </si>
  <si>
    <t>1728</t>
  </si>
  <si>
    <t>市南区</t>
  </si>
  <si>
    <t>1727</t>
  </si>
  <si>
    <t>日照市</t>
  </si>
  <si>
    <t>东港区</t>
  </si>
  <si>
    <t>1811</t>
  </si>
  <si>
    <t>莒县</t>
  </si>
  <si>
    <t>1814</t>
  </si>
  <si>
    <t>岚山区</t>
  </si>
  <si>
    <t>1812</t>
  </si>
  <si>
    <t>五莲县</t>
  </si>
  <si>
    <t>1813</t>
  </si>
  <si>
    <t>泰安市</t>
  </si>
  <si>
    <t>岱岳区</t>
  </si>
  <si>
    <t>1800</t>
  </si>
  <si>
    <t>东平县</t>
  </si>
  <si>
    <t>1802</t>
  </si>
  <si>
    <t>肥城市</t>
  </si>
  <si>
    <t>1804</t>
  </si>
  <si>
    <t>宁阳县</t>
  </si>
  <si>
    <t>1801</t>
  </si>
  <si>
    <t>泰山区</t>
  </si>
  <si>
    <t>1799</t>
  </si>
  <si>
    <t>新泰市</t>
  </si>
  <si>
    <t>1803</t>
  </si>
  <si>
    <t>威海市</t>
  </si>
  <si>
    <t>环翠区</t>
  </si>
  <si>
    <t>1806</t>
  </si>
  <si>
    <t>荣成市</t>
  </si>
  <si>
    <t>1808</t>
  </si>
  <si>
    <t>乳山市</t>
  </si>
  <si>
    <t>1809</t>
  </si>
  <si>
    <t>文登市</t>
  </si>
  <si>
    <t>1807</t>
  </si>
  <si>
    <t>潍坊市</t>
  </si>
  <si>
    <t>安丘市</t>
  </si>
  <si>
    <t>1782</t>
  </si>
  <si>
    <t>昌乐县</t>
  </si>
  <si>
    <t>1778</t>
  </si>
  <si>
    <t>昌邑市</t>
  </si>
  <si>
    <t>1784</t>
  </si>
  <si>
    <t>坊子区</t>
  </si>
  <si>
    <t>1775</t>
  </si>
  <si>
    <t>高密市</t>
  </si>
  <si>
    <t>1783</t>
  </si>
  <si>
    <t>寒亭区</t>
  </si>
  <si>
    <t>1774</t>
  </si>
  <si>
    <t>奎文区</t>
  </si>
  <si>
    <t>1776</t>
  </si>
  <si>
    <t>临朐县</t>
  </si>
  <si>
    <t>1777</t>
  </si>
  <si>
    <t>青州市</t>
  </si>
  <si>
    <t>1779</t>
  </si>
  <si>
    <t>寿光市</t>
  </si>
  <si>
    <t>1781</t>
  </si>
  <si>
    <t>潍城区</t>
  </si>
  <si>
    <t>1773</t>
  </si>
  <si>
    <t>诸城市</t>
  </si>
  <si>
    <t>1780</t>
  </si>
  <si>
    <t>烟台市</t>
  </si>
  <si>
    <t>福山区</t>
  </si>
  <si>
    <t>1761</t>
  </si>
  <si>
    <t>海阳市</t>
  </si>
  <si>
    <t>1771</t>
  </si>
  <si>
    <t>莱山区</t>
  </si>
  <si>
    <t>1763</t>
  </si>
  <si>
    <t>莱阳市</t>
  </si>
  <si>
    <t>1766</t>
  </si>
  <si>
    <t>莱州市</t>
  </si>
  <si>
    <t>1767</t>
  </si>
  <si>
    <t>龙口市</t>
  </si>
  <si>
    <t>1765</t>
  </si>
  <si>
    <t>牟平区</t>
  </si>
  <si>
    <t>1762</t>
  </si>
  <si>
    <t>蓬莱市</t>
  </si>
  <si>
    <t>1768</t>
  </si>
  <si>
    <t>栖霞市</t>
  </si>
  <si>
    <t>1770</t>
  </si>
  <si>
    <t>长岛县</t>
  </si>
  <si>
    <t>1764</t>
  </si>
  <si>
    <t>招远市</t>
  </si>
  <si>
    <t>1769</t>
  </si>
  <si>
    <t>芝罘区</t>
  </si>
  <si>
    <t>1760</t>
  </si>
  <si>
    <t>枣庄市</t>
  </si>
  <si>
    <t>山亭区</t>
  </si>
  <si>
    <t>1751</t>
  </si>
  <si>
    <t>1747</t>
  </si>
  <si>
    <t>台儿庄区</t>
  </si>
  <si>
    <t>1750</t>
  </si>
  <si>
    <t>滕州市</t>
  </si>
  <si>
    <t>1752</t>
  </si>
  <si>
    <t>薛城区</t>
  </si>
  <si>
    <t>1748</t>
  </si>
  <si>
    <t>峄城区</t>
  </si>
  <si>
    <t>1749</t>
  </si>
  <si>
    <t>淄博市</t>
  </si>
  <si>
    <t>博山区</t>
  </si>
  <si>
    <t>1740</t>
  </si>
  <si>
    <t>高青县</t>
  </si>
  <si>
    <t>1744</t>
  </si>
  <si>
    <t>桓台县</t>
  </si>
  <si>
    <t>1743</t>
  </si>
  <si>
    <t>临淄区</t>
  </si>
  <si>
    <t>1741</t>
  </si>
  <si>
    <t>沂源县</t>
  </si>
  <si>
    <t>1745</t>
  </si>
  <si>
    <t>张店区</t>
  </si>
  <si>
    <t>1739</t>
  </si>
  <si>
    <t>周村区</t>
  </si>
  <si>
    <t>1742</t>
  </si>
  <si>
    <t>淄川区</t>
  </si>
  <si>
    <t>1738</t>
  </si>
  <si>
    <t>山东福华医药有限公司</t>
    <phoneticPr fontId="57" type="noConversion"/>
  </si>
  <si>
    <t>滨州弘德药业有限公司</t>
    <phoneticPr fontId="57" type="noConversion"/>
  </si>
  <si>
    <t>最新开票价</t>
  </si>
  <si>
    <t>简称</t>
    <phoneticPr fontId="57" type="noConversion"/>
  </si>
  <si>
    <t>合并品名规格（唯一化产品)</t>
    <phoneticPr fontId="57" type="noConversion"/>
  </si>
  <si>
    <t>博仁</t>
    <phoneticPr fontId="57" type="noConversion"/>
  </si>
  <si>
    <t>九州通</t>
    <phoneticPr fontId="57" type="noConversion"/>
  </si>
  <si>
    <t>悦康圆通</t>
    <phoneticPr fontId="57" type="noConversion"/>
  </si>
  <si>
    <t>天士力</t>
    <phoneticPr fontId="57" type="noConversion"/>
  </si>
  <si>
    <t>罗欣宏欣</t>
    <phoneticPr fontId="57" type="noConversion"/>
  </si>
  <si>
    <t>瑞康山东</t>
    <phoneticPr fontId="57" type="noConversion"/>
  </si>
  <si>
    <t>02037769</t>
  </si>
  <si>
    <t>山东海川医药有限公司</t>
  </si>
  <si>
    <t>海川</t>
    <phoneticPr fontId="57" type="noConversion"/>
  </si>
  <si>
    <t>国控菏泽</t>
    <phoneticPr fontId="57" type="noConversion"/>
  </si>
  <si>
    <t>济南广林医药有限公司</t>
    <phoneticPr fontId="57" type="noConversion"/>
  </si>
  <si>
    <t>济南广林</t>
    <phoneticPr fontId="57" type="noConversion"/>
  </si>
  <si>
    <t>枣庄市天源药业有限公司</t>
    <phoneticPr fontId="57" type="noConversion"/>
  </si>
  <si>
    <t>天源</t>
    <phoneticPr fontId="57" type="noConversion"/>
  </si>
  <si>
    <t>葡萄糖酸钙口服溶液</t>
  </si>
  <si>
    <t>0.1g*20粒</t>
  </si>
  <si>
    <t>蒙脱石散</t>
  </si>
  <si>
    <t>3g*12袋</t>
  </si>
  <si>
    <t>新盖中盖高钙片(成人)/盖中盖</t>
  </si>
  <si>
    <t>2.5g*36片</t>
  </si>
  <si>
    <t>0.4g*36片</t>
  </si>
  <si>
    <t>罗红霉素分散片/小严迪</t>
  </si>
  <si>
    <t>50mg*12片</t>
  </si>
  <si>
    <t>朴血乳酸亚铁口服液</t>
  </si>
  <si>
    <t>2贴</t>
  </si>
  <si>
    <t>哈药六牌钙加锌口服液</t>
  </si>
  <si>
    <t>感冒解毒灵颗粒</t>
  </si>
  <si>
    <t>5g*10袋</t>
  </si>
  <si>
    <t>布洛芬颗粒/小安瑞克</t>
  </si>
  <si>
    <t>0.2g*12袋</t>
  </si>
  <si>
    <t>哈药牌钙铁锌口服液</t>
  </si>
  <si>
    <t>10ml*10支</t>
  </si>
  <si>
    <t>100ml</t>
  </si>
  <si>
    <t>小儿氨酚黄那敏颗粒/护彤</t>
  </si>
  <si>
    <t>2g*12袋</t>
  </si>
  <si>
    <t>阿莫西林克拉维酸钾分散片/胜艾</t>
  </si>
  <si>
    <t>颠茄磺苄啶片</t>
  </si>
  <si>
    <t>20mg*50片</t>
  </si>
  <si>
    <t>妇宁栓</t>
  </si>
  <si>
    <t>1.6克*8粒</t>
  </si>
  <si>
    <t>阿莫西林胶囊/益萨林</t>
  </si>
  <si>
    <t>0.236g*24片</t>
  </si>
  <si>
    <t>附子理中丸</t>
  </si>
  <si>
    <t>颠茄磺苄啶片/儿童</t>
  </si>
  <si>
    <t>0.122g*20片</t>
  </si>
  <si>
    <t>复方金银花颗粒</t>
  </si>
  <si>
    <t>45片</t>
  </si>
  <si>
    <t>10g*6袋</t>
  </si>
  <si>
    <t>3g*10丸</t>
  </si>
  <si>
    <t>罗红霉素分散片/大严迪</t>
  </si>
  <si>
    <t>75mg*12片</t>
  </si>
  <si>
    <t>复方铝酸铋片/新胃必治</t>
  </si>
  <si>
    <t>50片</t>
  </si>
  <si>
    <t>拉西地平片/司乐平</t>
  </si>
  <si>
    <t>4mg*15片</t>
  </si>
  <si>
    <t>6g*10袋</t>
  </si>
  <si>
    <t>益母丸</t>
  </si>
  <si>
    <t>10ml*10z</t>
  </si>
  <si>
    <t>泻利停/颠茄磺苄啶片</t>
  </si>
  <si>
    <t xml:space="preserve">0.48g*10片 </t>
  </si>
  <si>
    <t>阿莫西林克拉维酸钾7:1分散片（胜艾）</t>
  </si>
  <si>
    <t>*维生素C咀嚼片/VC片</t>
  </si>
  <si>
    <t>0.1g*30片</t>
  </si>
  <si>
    <t>60片</t>
  </si>
  <si>
    <t>“为消”牌乳酸菌素片</t>
  </si>
  <si>
    <t>40mm*110mm*2贴</t>
  </si>
  <si>
    <t>新盖中盖高钙片</t>
  </si>
  <si>
    <t>2.5g*36P</t>
  </si>
  <si>
    <t>10ml*15支</t>
  </si>
  <si>
    <t>葡萄糖酸钙口服溶液（含糖）</t>
  </si>
  <si>
    <t>严迪/罗红霉素分散片</t>
  </si>
  <si>
    <t>150mg*12片</t>
  </si>
  <si>
    <t>盐酸依托必利胶囊</t>
  </si>
  <si>
    <t>1.6g*8枚</t>
  </si>
  <si>
    <t>盐酸氟桂利嗪片/孚瑞尔</t>
  </si>
  <si>
    <t>40片</t>
  </si>
  <si>
    <t>1.6g×7枚</t>
  </si>
  <si>
    <t>注射用阿莫西林针/益萨林</t>
  </si>
  <si>
    <t>1g*10z</t>
  </si>
  <si>
    <t>大严迪片/罗红霉素分散片</t>
  </si>
  <si>
    <t>人工牛黄甲硝唑胶囊/牙疼安</t>
  </si>
  <si>
    <t>10粒*3板</t>
  </si>
  <si>
    <t>维生素C咀嚼片/VC片</t>
  </si>
  <si>
    <t>乳酸菌素片/为消</t>
  </si>
  <si>
    <t>拉西地平片/三精司乐平片</t>
  </si>
  <si>
    <t>哈药六钙锌口服液</t>
  </si>
  <si>
    <t>朴血/乳酸亚铁口服液</t>
  </si>
  <si>
    <t>胃必治/复方铝酸铋片</t>
  </si>
  <si>
    <t>0.125g*20片</t>
  </si>
  <si>
    <t>1.75g*36p</t>
  </si>
  <si>
    <t>24片</t>
  </si>
  <si>
    <t>30片</t>
  </si>
  <si>
    <t>1.2g*30丸</t>
  </si>
  <si>
    <t>盐酸特拉唑嗪胶囊</t>
  </si>
  <si>
    <t>10粒*2板</t>
  </si>
  <si>
    <t>保和丸</t>
  </si>
  <si>
    <t>0.125g*12片</t>
  </si>
  <si>
    <t>1.2g*18片</t>
  </si>
  <si>
    <t>0.35g*24片</t>
  </si>
  <si>
    <t xml:space="preserve">0.12g*20片 </t>
  </si>
  <si>
    <t>小儿严迪片/罗红霉素分散片</t>
  </si>
  <si>
    <t>阿奇针/注射用乳糖酸阿奇霉素针</t>
  </si>
  <si>
    <t>6g*10w</t>
  </si>
  <si>
    <t>龙胆泻肝丸</t>
  </si>
  <si>
    <t>6g*10丸</t>
  </si>
  <si>
    <t>0.36g*100片</t>
  </si>
  <si>
    <t>克拉霉素分散片/长迪</t>
  </si>
  <si>
    <t>0.125g*24粒</t>
  </si>
  <si>
    <t>0.48g（80万单位）1g</t>
  </si>
  <si>
    <t>艾附暖宫丸</t>
  </si>
  <si>
    <t>新迪/复方氨酚烷胺片</t>
  </si>
  <si>
    <t>0.25g*30片</t>
  </si>
  <si>
    <t>血府逐淤丸</t>
  </si>
  <si>
    <t>护彤冲剂/小儿氨酚黄那敏颗粒</t>
  </si>
  <si>
    <t>0.25g*20s</t>
  </si>
  <si>
    <t>0.12g*24片</t>
  </si>
  <si>
    <t>阿莫西林克拉维酸钾分散片</t>
  </si>
  <si>
    <t>30粒</t>
  </si>
  <si>
    <t>0.25g*24粒</t>
  </si>
  <si>
    <t>0.25*6片</t>
  </si>
  <si>
    <t>泻立停片/颠茄磺苄啶片</t>
  </si>
  <si>
    <t>0.4g：80mg：8mg*12片</t>
  </si>
  <si>
    <t>阿莫西林颗粒</t>
  </si>
  <si>
    <t>0.125g*12袋</t>
  </si>
  <si>
    <t>2g*6袋</t>
  </si>
  <si>
    <t>72g</t>
  </si>
  <si>
    <t>60mg*12片</t>
  </si>
  <si>
    <t>10g*12袋</t>
  </si>
  <si>
    <t>0.4g*36片/小包</t>
  </si>
  <si>
    <t>葡萄糖酸锌口服溶液</t>
  </si>
  <si>
    <t>罗红霉素分散片</t>
  </si>
  <si>
    <t>0.4g*12片*3板</t>
  </si>
  <si>
    <t>0.5g*36粒</t>
  </si>
  <si>
    <t>小儿氨酚黄那敏颗粒</t>
  </si>
  <si>
    <t>12袋</t>
  </si>
  <si>
    <t>36片</t>
  </si>
  <si>
    <t>1.6g*8粒</t>
  </si>
  <si>
    <t>10片/瓶</t>
  </si>
  <si>
    <t>0.125g*24片</t>
  </si>
  <si>
    <t>0.25g*6片</t>
  </si>
  <si>
    <t>6g*10袋/盒</t>
  </si>
  <si>
    <t>葡萄糖酸钙口服液</t>
  </si>
  <si>
    <t>12支/盒</t>
  </si>
  <si>
    <t>哈药*钙铁锌口服液</t>
  </si>
  <si>
    <t>泻利停*颠茄磺苄啶片</t>
  </si>
  <si>
    <t>胜艾*阿莫西林克拉维酸钾分散片</t>
  </si>
  <si>
    <t>0.2285g*12pian</t>
  </si>
  <si>
    <t>严迪*罗红霉素分散片</t>
  </si>
  <si>
    <t>75mg*12</t>
  </si>
  <si>
    <t>胃必治*复方铝酸铋片</t>
  </si>
  <si>
    <t>高钙片</t>
  </si>
  <si>
    <t>100mg*30粒</t>
  </si>
  <si>
    <t>10ml*10</t>
  </si>
  <si>
    <t>蒙脱石散*泻利停</t>
  </si>
  <si>
    <t>3克*12袋</t>
  </si>
  <si>
    <t>罗红霉素分散片-小严迪</t>
  </si>
  <si>
    <t>12片/盒</t>
  </si>
  <si>
    <t>0.236g*12片</t>
  </si>
  <si>
    <t>维生素c咀嚼片</t>
  </si>
  <si>
    <t>10片</t>
  </si>
  <si>
    <t>护彤*小儿氨酚黄那敏颗粒</t>
  </si>
  <si>
    <t>长迪*克拉霉素分散片</t>
  </si>
  <si>
    <t xml:space="preserve">小儿氨酚黄那敏颗粒 护彤 </t>
  </si>
  <si>
    <t>颠茄磺苄啶片   泻痢停</t>
  </si>
  <si>
    <t>复方铝酸铋片  1234</t>
  </si>
  <si>
    <t>罗红霉素分散片 严迪</t>
  </si>
  <si>
    <t>葡萄糖酸锌口服液 三精</t>
  </si>
  <si>
    <t>乳酸亚铁口服液（朴雪）</t>
  </si>
  <si>
    <t>哈药牌   钙铁锌口服液</t>
  </si>
  <si>
    <t>颠茄磺苄啶片 泻痢停</t>
  </si>
  <si>
    <t>12p</t>
  </si>
  <si>
    <t>布洛芬颗粒 小安瑞克</t>
  </si>
  <si>
    <t>新盖中盖牌（儿童钙片）</t>
  </si>
  <si>
    <t>1.75g*36片</t>
  </si>
  <si>
    <t>0.236g*24p</t>
  </si>
  <si>
    <t>2285mg*12p</t>
  </si>
  <si>
    <t>0.25*24粒</t>
  </si>
  <si>
    <t>0.3g*40粒</t>
  </si>
  <si>
    <t>0.5g*20s</t>
  </si>
  <si>
    <t xml:space="preserve"> 3g*2丸</t>
  </si>
  <si>
    <t>知柏地黄丸</t>
  </si>
  <si>
    <t>9g*10丸/盒</t>
  </si>
  <si>
    <t>0.4g:80mg:8mg*12片</t>
  </si>
  <si>
    <t>72g/瓶</t>
  </si>
  <si>
    <t>40mmx110mmx2贴</t>
  </si>
  <si>
    <t>六味地黄丸</t>
  </si>
  <si>
    <t>1.6g*7粒</t>
  </si>
  <si>
    <t>100ml/瓶</t>
  </si>
  <si>
    <t>10*</t>
  </si>
  <si>
    <t>启脾丸</t>
  </si>
  <si>
    <t>3g*10</t>
  </si>
  <si>
    <t>10ml*12(含糖型)</t>
  </si>
  <si>
    <t>0.075g*24粒</t>
  </si>
  <si>
    <t>5g*10袋/盒</t>
  </si>
  <si>
    <t>72g(水蜜丸)</t>
  </si>
  <si>
    <t>每片重1.2g*6片*3板</t>
  </si>
  <si>
    <t>30丸</t>
  </si>
  <si>
    <t>杞菊地黄丸</t>
  </si>
  <si>
    <t>十全大补丸</t>
  </si>
  <si>
    <t xml:space="preserve">9g*10   </t>
  </si>
  <si>
    <t>盐酸氟桂利嗪片</t>
  </si>
  <si>
    <t>5mg*40片</t>
  </si>
  <si>
    <t>70g</t>
  </si>
  <si>
    <t>0.075g*12粒</t>
  </si>
  <si>
    <t>75mg*24粒</t>
  </si>
  <si>
    <t>双黄连颗粒（无蔗糖）</t>
  </si>
  <si>
    <t>2g</t>
  </si>
  <si>
    <t>0.25*6</t>
  </si>
  <si>
    <t>0.1g*24片</t>
  </si>
  <si>
    <t>75mg*12粒</t>
  </si>
  <si>
    <t>阿奇霉素分散片 三精</t>
  </si>
  <si>
    <t>双黄连粉针剂</t>
  </si>
  <si>
    <t>600mg</t>
  </si>
  <si>
    <t>80片</t>
  </si>
  <si>
    <t>40mg*10z</t>
  </si>
  <si>
    <t>20片</t>
  </si>
  <si>
    <t>注射用阿莫西林钠/益萨林</t>
  </si>
  <si>
    <t>注射用更昔洛韦针</t>
  </si>
  <si>
    <t>0.25G</t>
  </si>
  <si>
    <t>养肝明目片</t>
  </si>
  <si>
    <t>舒肝丸(大蜜丸)</t>
  </si>
  <si>
    <t>克拉霉素分散片 哈药</t>
  </si>
  <si>
    <t>12支*10ml</t>
  </si>
  <si>
    <t>12片*50mg</t>
  </si>
  <si>
    <t>150mg*12p</t>
  </si>
  <si>
    <t>小儿/新盖中盖牌儿童钙片</t>
  </si>
  <si>
    <t>注射用炎琥宁粉针</t>
  </si>
  <si>
    <t>80MG*12支</t>
  </si>
  <si>
    <t>4mg*15s</t>
  </si>
  <si>
    <t>7粒*1.6克</t>
  </si>
  <si>
    <t>泻立停片/颠茄磺苄啶</t>
  </si>
  <si>
    <t>0.125g*20s</t>
  </si>
  <si>
    <t>滨州益康医药连锁有限公司邹平县第一药店</t>
  </si>
  <si>
    <t>滨州益康医药连锁有限公司邹平县第九药店</t>
  </si>
  <si>
    <t>邹平郭柯中医诊所</t>
  </si>
  <si>
    <t>山东魏桥创业集团魏桥工业园医务室</t>
  </si>
  <si>
    <t>滨州益康医药连锁有限公司邹平县第三药店</t>
  </si>
  <si>
    <t>滨州益康医药连锁有限公司邹平县第十药店</t>
  </si>
  <si>
    <t>滨州益康医药连锁有限公司邹平县黄山三路店</t>
  </si>
  <si>
    <t>滨州益康医药连锁有限公司邹平县魏桥惠民店</t>
  </si>
  <si>
    <t>滨州益康医药连锁有限公司邹平县第七药店</t>
  </si>
  <si>
    <t>滨州益康医药连锁有限公司邹平县邹魏二区店</t>
  </si>
  <si>
    <t>滨州益康医药连锁有限公司邹平县第八药店</t>
  </si>
  <si>
    <t>滨州益康医药连锁有限公司邹平月河店</t>
  </si>
  <si>
    <t>滨州益康医药连锁有限公司邹平明德店</t>
  </si>
  <si>
    <t>滨州益康医药连锁有限公司邹平长山诚意店</t>
  </si>
  <si>
    <t>滨州益康医药连锁有限公司邹平县明珠店</t>
  </si>
  <si>
    <t>滨州益康医药连锁有限公司邹平县黄山一路店</t>
  </si>
  <si>
    <t>滨州益康医药连锁有限公司邹平县中心店</t>
  </si>
  <si>
    <t>滨州益康医药连锁有限公司邹平县西王店</t>
  </si>
  <si>
    <t>滨州益康医药连锁有限公司邹平县亲民药店</t>
  </si>
  <si>
    <t>邹平县韩店镇木王中心卫生室</t>
  </si>
  <si>
    <t>西董街道办马庄中心卫生室</t>
  </si>
  <si>
    <t>山东魏桥创业集团第二工业园医务室</t>
  </si>
  <si>
    <t>滨州益康医药连锁有限公司邹平县第五药店</t>
  </si>
  <si>
    <t>邹平会仙桥医院</t>
  </si>
  <si>
    <t>黛溪办碧云洞中心卫生室</t>
  </si>
  <si>
    <t>滨州益康医药连锁有限公司邹魏一区店</t>
  </si>
  <si>
    <t>邹平杏林堂医药连锁有限公司</t>
  </si>
  <si>
    <t>滨州益康医药连锁有限公司邹平县黛溪三路店</t>
  </si>
  <si>
    <t>码头镇中站中心卫生室</t>
  </si>
  <si>
    <t>台子镇官道村卫生室</t>
  </si>
  <si>
    <t>滨州益康医药连锁有限公司医务室</t>
  </si>
  <si>
    <t>滨州益康医药连锁有限公司成五店</t>
  </si>
  <si>
    <t>滨州益康医药连锁有限公司邹平县第十一店</t>
  </si>
  <si>
    <t>滨州益康医药连锁有限公司邹平县黄山二路店</t>
  </si>
  <si>
    <t>滨州益康医药连锁有限公司邹平第二药店</t>
  </si>
  <si>
    <t>滨州益康医药连锁有限公司邹平县魏纺路店</t>
  </si>
  <si>
    <t>滨州益康医药连锁有限公司便民店</t>
  </si>
  <si>
    <t>滨州益康医药连锁有限公司邹平正心店</t>
  </si>
  <si>
    <t>高青县花沟镇芦家村卫生室</t>
  </si>
  <si>
    <t>滨州益康医药连锁有限公司邹平县第十二店</t>
  </si>
  <si>
    <t>滨州益康医药连锁有限公司邹平县黄山店</t>
  </si>
  <si>
    <t>滨州益康医药连锁有限公司邹平县第六药店</t>
  </si>
  <si>
    <t>滨州益康医药连锁有限公司邹平县礼参店</t>
  </si>
  <si>
    <t>台子镇闫家中心卫生室</t>
  </si>
  <si>
    <t>滨州益康医药连锁有限公司邹平至善店</t>
  </si>
  <si>
    <t>滨州益康医药连锁有限公司黛溪四路店</t>
  </si>
  <si>
    <t>码头镇归苏中心卫生室</t>
  </si>
  <si>
    <t>滨州益康医药连锁有限公司邹平县南范店</t>
  </si>
  <si>
    <t>邹平县韩店镇小店中心卫生室</t>
  </si>
  <si>
    <t>码头镇成集中心卫生室</t>
  </si>
  <si>
    <t>滨州益康医药连锁有限公司邹平县长山店</t>
  </si>
  <si>
    <t>滨州益康医药连锁有限公司邹平县黛溪一路店</t>
  </si>
  <si>
    <t>好生街道办乔家中心卫生室</t>
  </si>
  <si>
    <t>滨州益康医药连锁有限公司邹平县第四药店</t>
  </si>
  <si>
    <t>开发区韩峰卫生室</t>
  </si>
  <si>
    <t>明集镇宋集中心卫生室</t>
  </si>
  <si>
    <t>黄山办碑楼中心卫生室</t>
  </si>
  <si>
    <t>滨州九芝康医药有限公司</t>
  </si>
  <si>
    <t>山东广富集团有限公司医务室</t>
  </si>
  <si>
    <t>姜楼镇王判村卫生室</t>
  </si>
  <si>
    <t>高新办邹魏一园第一中心卫生室</t>
  </si>
  <si>
    <t>惠民县旺康医药有限公司</t>
  </si>
  <si>
    <t>台子镇联七中心卫生室</t>
  </si>
  <si>
    <t>码头镇大寨中心卫生室</t>
  </si>
  <si>
    <t>台子镇沙窝中心卫生室</t>
  </si>
  <si>
    <t>邹平县魏桥镇吴庄中心卫生室</t>
  </si>
  <si>
    <t>黛溪办北范中心卫生室</t>
  </si>
  <si>
    <t>黛溪办马庄中心卫生室</t>
  </si>
  <si>
    <t>魏桥镇官牛村李金峰卫生室</t>
  </si>
  <si>
    <t>西董街道办事处南石中心卫生室</t>
  </si>
  <si>
    <t>邹平县魏桥镇辛梁中心卫生室</t>
  </si>
  <si>
    <t>邹平县好生镇苗家中心卫生室</t>
  </si>
  <si>
    <t>黛溪办张高中心卫生室</t>
  </si>
  <si>
    <t>魏桥镇张家寨村王露霞卫生室</t>
  </si>
  <si>
    <t>魏桥镇西码头中心卫生室</t>
  </si>
  <si>
    <t>魏桥镇清河一路第一中心卫生室</t>
  </si>
  <si>
    <t>魏桥镇甜水中心卫生室</t>
  </si>
  <si>
    <t>黄山办韩家中心卫生室</t>
  </si>
  <si>
    <t>长山镇杨家中心卫生室</t>
  </si>
  <si>
    <t>博兴益康诊所</t>
  </si>
  <si>
    <t>黛溪办韦家中心卫生室</t>
  </si>
  <si>
    <t>邹平县好生镇金河中心卫生室</t>
  </si>
  <si>
    <t>焦桥镇爱贤村袁训强卫生室</t>
  </si>
  <si>
    <t>黛溪办前城中心卫生室</t>
  </si>
  <si>
    <t>明集镇罗圈中心卫生室</t>
  </si>
  <si>
    <t>邹平县长山镇东尉中心卫生室</t>
  </si>
  <si>
    <t>焦桥镇西夏村卫生室</t>
  </si>
  <si>
    <t>博兴县兴福镇福旺社区卫生室</t>
  </si>
  <si>
    <t>黄山办小杨堤村卫生室</t>
  </si>
  <si>
    <t>辛店镇庄里巩村卫生室</t>
  </si>
  <si>
    <t>惠民新医诊所</t>
  </si>
  <si>
    <t>孙武街道付家村卫生室</t>
  </si>
  <si>
    <t>长山镇甘埠中心卫生室</t>
  </si>
  <si>
    <t>孙镇大小三中心卫生室</t>
  </si>
  <si>
    <t>博兴县城东街道北辛安社区卫生室</t>
  </si>
  <si>
    <t>魏桥镇辛刘前中心卫生室</t>
  </si>
  <si>
    <t>黛溪办韩坊中心卫生室</t>
  </si>
  <si>
    <t>辛店镇毛李村卫生室</t>
  </si>
  <si>
    <t>黛溪办滕家中心卫生室</t>
  </si>
  <si>
    <t>胡集镇河沟陈村卫生室</t>
  </si>
  <si>
    <t>魏桥镇梁桥中心卫生室</t>
  </si>
  <si>
    <t>高新办明珠新村卫生室</t>
  </si>
  <si>
    <t>台子镇教场村苏美方卫生室</t>
  </si>
  <si>
    <t>台子镇张石辛中心卫生室</t>
  </si>
  <si>
    <t>邹平县润福堂医药有限公司</t>
  </si>
  <si>
    <t>黄山办城南中心卫生室</t>
  </si>
  <si>
    <t>明集镇成家村王玉华卫生室</t>
  </si>
  <si>
    <t>九户镇九户中心卫生室</t>
  </si>
  <si>
    <t>黄山办石凡鲁中心卫生室</t>
  </si>
  <si>
    <t>黛溪办三八街中心卫生室</t>
  </si>
  <si>
    <t>大年陈镇禹王口村卫生室</t>
  </si>
  <si>
    <t>邹平县韩店镇肖镇中心卫生室</t>
  </si>
  <si>
    <t>码头镇大杨中心卫生室</t>
  </si>
  <si>
    <t>码头镇孟家中心卫生室</t>
  </si>
  <si>
    <t>九户镇成家中心卫生室</t>
  </si>
  <si>
    <t>黄山办黄西村卫生室</t>
  </si>
  <si>
    <t>明集镇兰芝里中心卫生室</t>
  </si>
  <si>
    <t>台子镇宋四排中心卫生室</t>
  </si>
  <si>
    <t>九户镇石店中心卫生室</t>
  </si>
  <si>
    <t>明集镇颜集中心卫生室</t>
  </si>
  <si>
    <t>台子镇北董中心卫生室</t>
  </si>
  <si>
    <t>滨州北海公建投资有限公司医务室</t>
  </si>
  <si>
    <t>韩店镇颜桥村卫生室</t>
  </si>
  <si>
    <t>魏桥镇田李靳中心卫生室</t>
  </si>
  <si>
    <t>邹平县东城职工医院</t>
  </si>
  <si>
    <t>邹平祥盛针灸推拿专科医院</t>
  </si>
  <si>
    <t>明集镇邢家村卫生室</t>
  </si>
  <si>
    <t>惠民县瑞堂大药房</t>
  </si>
  <si>
    <t>滨州益康医药连锁有限公司孙镇店</t>
  </si>
  <si>
    <t>博兴县陈户镇福百仁大药房</t>
  </si>
  <si>
    <t>滨州宁心医药有限公司</t>
  </si>
  <si>
    <t xml:space="preserve">邹平县方正医药有限公司 </t>
  </si>
  <si>
    <t>滨城安新岐诊所</t>
  </si>
  <si>
    <t>商店镇北街社区卫生室</t>
  </si>
  <si>
    <t>邹平园春堂医药有限公司</t>
  </si>
  <si>
    <t>滨州盛泰医药连锁有限公司</t>
  </si>
  <si>
    <t>商店镇王朝正社区卫生室</t>
  </si>
  <si>
    <t>惠民县舒泰大药房有限公司</t>
  </si>
  <si>
    <t>流坡坞镇闫家社区卫生室</t>
  </si>
  <si>
    <t>水落坡乡郭马社区卫生室</t>
  </si>
  <si>
    <t>大洋集团诊所</t>
  </si>
  <si>
    <t>圣济堂医药连锁有限公司</t>
  </si>
  <si>
    <t>无棣县埕口镇万豪药店</t>
  </si>
  <si>
    <t>滨城张秀兰诊所</t>
  </si>
  <si>
    <t>翟王镇于张社区卫生室</t>
  </si>
  <si>
    <t>关帝庙街卫生室</t>
  </si>
  <si>
    <t>滨城区市中办事处万全社区卫生服务站</t>
  </si>
  <si>
    <t>劳店乡西街村卫生室</t>
  </si>
  <si>
    <t>翟王镇穆家社区卫生室</t>
  </si>
  <si>
    <t>滨城区市西街道办事处社区卫生服务站</t>
  </si>
  <si>
    <t>惠民县仁春医药有限公司</t>
  </si>
  <si>
    <t>阳信豪门社区卫生室</t>
  </si>
  <si>
    <t>阳信便民诊所</t>
  </si>
  <si>
    <t>阳信荣军医院</t>
  </si>
  <si>
    <t>惠民县桑落墅镇弘轩大药房</t>
  </si>
  <si>
    <t>阳信荣军诊所</t>
  </si>
  <si>
    <t>信城街道西关社区卫生室</t>
  </si>
  <si>
    <t>沾化区古城镇李彭中心卫生室</t>
  </si>
  <si>
    <t>水落坡乡钦八社区卫生室</t>
  </si>
  <si>
    <t>水落坡乡河北刘社区卫生室</t>
  </si>
  <si>
    <t>水落坡乡水落坡村第二卫生室</t>
  </si>
  <si>
    <t>沾化济生堂大药房连锁有限公司</t>
  </si>
  <si>
    <t>滨州市靖和堂大药房医药连锁有限公司</t>
  </si>
  <si>
    <t>滨州市滨城区市中街道办事处便民社区卫生服务站</t>
  </si>
  <si>
    <t>无棣锦绣城诊所</t>
  </si>
  <si>
    <t>商店镇大韩社区卫生室</t>
  </si>
  <si>
    <t>阳信康复中心诊所</t>
  </si>
  <si>
    <t>滨州市沾化区协和大药店</t>
  </si>
  <si>
    <t>沾化三易诊所</t>
  </si>
  <si>
    <t>商店镇西毛社区卫生室</t>
  </si>
  <si>
    <t>阳信镇行宫庙村卫生室</t>
  </si>
  <si>
    <t>康源诊所</t>
  </si>
  <si>
    <t>滨州市滨城区彭李街道办事处阳光社区卫生服务站</t>
  </si>
  <si>
    <t>滨州康杰大药房有限责任公司</t>
  </si>
  <si>
    <t>山东省惠民县民康大药店有限公司</t>
  </si>
  <si>
    <t>文化街康民卫生室</t>
  </si>
  <si>
    <t>惠民仁和堂诊所</t>
  </si>
  <si>
    <t>滨州康乐医药连锁有限公司</t>
  </si>
  <si>
    <t>阳信县商店镇台属大药房</t>
  </si>
  <si>
    <t>滨州恒丰仁和医药连锁有限责任公司</t>
  </si>
  <si>
    <t>惠民润德堂诊所</t>
  </si>
  <si>
    <t>博兴县德仁堂大药房连锁有限公司</t>
  </si>
  <si>
    <t>阳信尔康诊所</t>
  </si>
  <si>
    <t>滨州市益生园大药房连锁有限公司</t>
  </si>
  <si>
    <t>沙河钟芹诊所</t>
  </si>
  <si>
    <t>市中街道办事处济民社区卫生服务站</t>
  </si>
  <si>
    <t>惠民永康诊所</t>
  </si>
  <si>
    <t>阳信县商店镇瑞康平民药店</t>
  </si>
  <si>
    <t>阳信县第二中学卫生室</t>
  </si>
  <si>
    <t>博兴县济生堂大药店</t>
  </si>
  <si>
    <t>水落坡镇天主教堂卫生室</t>
  </si>
  <si>
    <t>流坡坞镇南斜村卫生室</t>
  </si>
  <si>
    <t>博兴县康源大药房有限公司</t>
  </si>
  <si>
    <t>惠民县新花大药房连锁有限公司</t>
  </si>
  <si>
    <t>洋湖乡纪刘社区卫生室</t>
  </si>
  <si>
    <t>阳信县天天平价医药连锁有限公司</t>
  </si>
  <si>
    <t>博兴县济生堂大药店旗舰店</t>
  </si>
  <si>
    <t>流坡坞镇红门堂村卫生室</t>
  </si>
  <si>
    <t>孙武街道马虎村卫生室</t>
  </si>
  <si>
    <t>惠民县敬文大药房</t>
  </si>
  <si>
    <t>水落坡乡大郭社区卫生室</t>
  </si>
  <si>
    <t>滨州市沾化区为民医药连锁有限公司</t>
  </si>
  <si>
    <t>滨州市沾化区泊头镇卫生院</t>
  </si>
  <si>
    <t>阳信药材公司诊所</t>
  </si>
  <si>
    <t>三胞联谊诊所</t>
  </si>
  <si>
    <t>阳信镇段赵村卫生室</t>
  </si>
  <si>
    <t>欣康诊所</t>
  </si>
  <si>
    <t>河流镇沙王村社区卫生室</t>
  </si>
  <si>
    <t>滨州市滨城区妇幼保健站</t>
  </si>
  <si>
    <t>滨城区市西街道办事处双庙刘第一卫生室</t>
  </si>
  <si>
    <t>滨城区市西办事处大有崔第三卫生室</t>
  </si>
  <si>
    <t>博兴县城东街道办事处国康大药房</t>
  </si>
  <si>
    <t>孙武街道后娘娘坟村卫生室</t>
  </si>
  <si>
    <t>阳信县河流镇餐具厂卫生所</t>
  </si>
  <si>
    <t>无棣万盛堂药店连锁有限公司</t>
  </si>
  <si>
    <t>博兴县仁益大药房</t>
  </si>
  <si>
    <t>滨城曹淑玲诊所</t>
  </si>
  <si>
    <t>滨州市滨城区市西街道办事处利民社区第二卫生服务站</t>
  </si>
  <si>
    <t>惠民县广军康宁大药房有限公司</t>
  </si>
  <si>
    <t>阳信赵家胡同中医诊所</t>
  </si>
  <si>
    <t>惠民县汉康大药房</t>
  </si>
  <si>
    <t>邹平县泰康大药房有限公司</t>
  </si>
  <si>
    <t>邹平仁济堂医药有限公司</t>
  </si>
  <si>
    <t>滨城翟玲诊所</t>
  </si>
  <si>
    <t>邹平博祥医药连锁有限公司</t>
  </si>
  <si>
    <t>水落坡镇秦家社区卫生室</t>
  </si>
  <si>
    <t>信诚街道接官亭村第一卫生室</t>
  </si>
  <si>
    <t>阳信县仁和堂医药连锁有限公司</t>
  </si>
  <si>
    <t>桑落墅镇梁家村卫生室</t>
  </si>
  <si>
    <t>高新国峰诊所</t>
  </si>
  <si>
    <t>无棣康棣医药连锁有限公司</t>
  </si>
  <si>
    <t>无棣益生堂药店连锁有限公司</t>
  </si>
  <si>
    <t>苏氏诊所</t>
  </si>
  <si>
    <t>滨城韩吉福诊所</t>
  </si>
  <si>
    <t>滨州市沾化区下河乡卫生院</t>
  </si>
  <si>
    <t>沾化县康宁诊所</t>
  </si>
  <si>
    <t>水落坡乡长庄社区卫生室</t>
  </si>
  <si>
    <t>冯家庙村卫生室</t>
  </si>
  <si>
    <t>沾化区黄升镇黄四中心卫生室</t>
  </si>
  <si>
    <t>惠民县康复大药堂</t>
  </si>
  <si>
    <t>博兴县康宁大药房</t>
  </si>
  <si>
    <t>博兴县康宁大药房旗舰店</t>
  </si>
  <si>
    <t>温店镇辛法张社区卫生室</t>
  </si>
  <si>
    <t>山东惠民县仁爱大药房连锁有限公司</t>
  </si>
  <si>
    <t>滨州高新区康福大药店</t>
  </si>
  <si>
    <t>滨城赵全红中医诊所</t>
  </si>
  <si>
    <t>阳信福瑞源大药房</t>
  </si>
  <si>
    <t>阳信镇北关中心卫生室</t>
  </si>
  <si>
    <t>沾化国瑞医药连锁有限责任公司</t>
  </si>
  <si>
    <t>滨州市滨城区国美大药房有限公司</t>
  </si>
  <si>
    <t>无棣福顺康大药房</t>
  </si>
  <si>
    <t>滨城刘虎中医诊所</t>
  </si>
  <si>
    <t>商店镇商店第一社区卫生室</t>
  </si>
  <si>
    <t>山东省惠民县梦之康大药房连锁有限公司</t>
  </si>
  <si>
    <t>洋湖乡张扬社区卫生室</t>
  </si>
  <si>
    <t>阳信镇霍楼社区卫生室</t>
  </si>
  <si>
    <t>棉纺诊所</t>
  </si>
  <si>
    <t>惠民广益堂诊所</t>
  </si>
  <si>
    <t>惠民县古城药房</t>
  </si>
  <si>
    <t>滨州鲁恒眼科医院</t>
  </si>
  <si>
    <t>惠民县春英大药房</t>
  </si>
  <si>
    <t>高新区小营社区门诊</t>
  </si>
  <si>
    <t>商店镇张连范社区卫生室</t>
  </si>
  <si>
    <t>邹平县宏盛堂大药店</t>
  </si>
  <si>
    <t>商店镇魏宅社区卫生室</t>
  </si>
  <si>
    <t>杜店刘桂然诊所</t>
  </si>
  <si>
    <t>黄山办乔木新村卫生室</t>
  </si>
  <si>
    <t>邹平孙辉诊所</t>
  </si>
  <si>
    <t>流坡坞镇南街社区卫生室</t>
  </si>
  <si>
    <t>滨城区彭李街道办事处张课第一卫生室</t>
  </si>
  <si>
    <t>滨城区市西街道办事处兴民社区卫生服务站</t>
  </si>
  <si>
    <t>邹平惠康医药有限公司</t>
  </si>
  <si>
    <t>滨州市滨城区彭李街道办事处安民社区卫生服务站</t>
  </si>
  <si>
    <t xml:space="preserve">水落坡镇水落坡街村南卫生室 </t>
  </si>
  <si>
    <t>博兴县福康大药房</t>
  </si>
  <si>
    <t>滨州市沾化区中医院</t>
  </si>
  <si>
    <t>水落坡乡郭赵湾社区卫生室</t>
  </si>
  <si>
    <t>水落坡乡五支刘社区卫生室</t>
  </si>
  <si>
    <t>山东滨州万寿堂医药有限公司万寿堂大药房</t>
  </si>
  <si>
    <t>滨州市修正堂医药有限公司</t>
  </si>
  <si>
    <t>惠民县淄角镇东街本草堂药店</t>
  </si>
  <si>
    <t>惠民温博园诊所</t>
  </si>
  <si>
    <t>邹平县韩店镇仁源堂药店</t>
  </si>
  <si>
    <t>黛溪办鄢家村卫生室</t>
  </si>
  <si>
    <t>无棣县聚福堂药店连锁有限公司</t>
  </si>
  <si>
    <t>洋湖乡魏楼社区卫生室</t>
  </si>
  <si>
    <t>无棣汇仁堂药店</t>
  </si>
  <si>
    <t>阳信县济康大药房</t>
  </si>
  <si>
    <t>恒泰社区卫生室</t>
  </si>
  <si>
    <t>河流镇户李村社区卫生室</t>
  </si>
  <si>
    <t>滨城陈树勇诊所</t>
  </si>
  <si>
    <t>河流镇西孟社区卫生室</t>
  </si>
  <si>
    <t>滨州市滨城区康宁药店有限公司</t>
  </si>
  <si>
    <t>阳信县劳店健民大药房</t>
  </si>
  <si>
    <t>滨城区市西街道办事处魏家卫生室</t>
  </si>
  <si>
    <t>滨城万寿堂医院</t>
  </si>
  <si>
    <t>杜店蒋秀芬诊所</t>
  </si>
  <si>
    <t>刘立波诊所</t>
  </si>
  <si>
    <t>滨城谢凤树诊所</t>
  </si>
  <si>
    <t>居民诊所</t>
  </si>
  <si>
    <t xml:space="preserve">阳信人民诊所  </t>
  </si>
  <si>
    <t>惠民县益达康大药房连锁有限公司</t>
  </si>
  <si>
    <t>阳信镇西关村第二卫生室</t>
  </si>
  <si>
    <t>贾家台村卫生室</t>
  </si>
  <si>
    <t>流坡坞镇西苟社区卫生室</t>
  </si>
  <si>
    <t>滨城区市西街道办事处丁口第三卫生室</t>
  </si>
  <si>
    <t>滨城区市西街道办事处康家卫生室</t>
  </si>
  <si>
    <t>滨州市沾化区益生堂大药房有限公司</t>
  </si>
  <si>
    <t>何坊街道香翟村卫生室</t>
  </si>
  <si>
    <t>水落坡乡雷家社区卫生室</t>
  </si>
  <si>
    <t>信诚街道办事处东南村卫生室</t>
  </si>
  <si>
    <t>滨州市滨城区含芳药店</t>
  </si>
  <si>
    <t>滨城朱林诊所</t>
  </si>
  <si>
    <t>博兴县永康药店</t>
  </si>
  <si>
    <t>邹平高涛中医诊所</t>
  </si>
  <si>
    <t>滨州市万全医药保健品连锁有限公司</t>
  </si>
  <si>
    <t>靖和堂医药花园新城诊所</t>
  </si>
  <si>
    <t>阳信镇侯家社区卫生室</t>
  </si>
  <si>
    <t>惠民县东涛大药房</t>
  </si>
  <si>
    <t>阳信县百姓大药房医药连锁有限公司</t>
  </si>
  <si>
    <t>惠民县众可万寿堂大药房连锁有限公司</t>
  </si>
  <si>
    <t>博兴县盛和堂大药店</t>
  </si>
  <si>
    <t>滨州市滨城区彭李街道办事处黄河社区卫生服务站</t>
  </si>
  <si>
    <t>孙武街道高官村卫生室</t>
  </si>
  <si>
    <t>滨州市精诚便民医药连锁有限公司</t>
  </si>
  <si>
    <t>滨州市滨城区泰华堂大药房</t>
  </si>
  <si>
    <t>滨州益民堂大药房有限公司</t>
  </si>
  <si>
    <t>何坊街道王官村卫生室</t>
  </si>
  <si>
    <t>金阳街道张杠社区卫生室</t>
  </si>
  <si>
    <t>滨城区市西街道办事处张八棍第四卫生室</t>
  </si>
  <si>
    <t>邹平仁益医药连锁有限公司</t>
  </si>
  <si>
    <t>无棣县益寿康大药房</t>
  </si>
  <si>
    <t>滨城王洪波诊所</t>
  </si>
  <si>
    <t>翟王镇粉刘中心卫生室</t>
  </si>
  <si>
    <t>商店镇小桑园区第一社区卫生室</t>
  </si>
  <si>
    <t>博兴县德康大药店</t>
  </si>
  <si>
    <t>滨州市第一中学卫生室</t>
  </si>
  <si>
    <t>山东弘旭医药连锁经营有限公司</t>
  </si>
  <si>
    <t>滨城赵淑潭诊所</t>
  </si>
  <si>
    <t>滨州市滨源医药连锁有限公司</t>
  </si>
  <si>
    <t>振邦诊所</t>
  </si>
  <si>
    <t>麻店镇麻店街卫生所</t>
  </si>
  <si>
    <t>利津曙光诊所</t>
  </si>
  <si>
    <t>邹平百盛医药连锁有限公司</t>
  </si>
  <si>
    <t>高新区小营办事处愉悦城中心卫生室</t>
  </si>
  <si>
    <t>山东张氏君安医药有限公司</t>
  </si>
  <si>
    <t>市东办事处福临家园社区卫生服务站</t>
  </si>
  <si>
    <t>高青县天德堂药店</t>
  </si>
  <si>
    <t>博兴县康惠大药房</t>
  </si>
  <si>
    <t>博兴县瑞康药房</t>
  </si>
  <si>
    <t>西门街卫生室</t>
  </si>
  <si>
    <t>滨城区市东街道办事处郑家第一卫生室</t>
  </si>
  <si>
    <t>国昌控股集团有限公司医务室</t>
  </si>
  <si>
    <t>博兴县陈户镇春梅便民药店</t>
  </si>
  <si>
    <t>博兴县济生堂大药房旗舰店</t>
  </si>
  <si>
    <t>滨州市住房和城乡建设局卫生所</t>
  </si>
  <si>
    <t>邹平县金正医药连锁有限公司</t>
  </si>
  <si>
    <t>高新办魏纺路路北卫生室</t>
  </si>
  <si>
    <t>滨州市厚德医药有限公司</t>
  </si>
  <si>
    <t>河口胜利药店第二药店</t>
  </si>
  <si>
    <t>河口廷胜诊所</t>
  </si>
  <si>
    <t>滨城区市东街道办事处天王堂第一卫生室</t>
  </si>
  <si>
    <t>山东京博控股股份有限公司京博雅苑卫生室</t>
  </si>
  <si>
    <t>山东京博控股股份有限公司工业园卫生室</t>
  </si>
  <si>
    <t>滨城赵玉芬诊所</t>
  </si>
  <si>
    <t>滨州市北海经济开发区马山子镇济堂药店</t>
  </si>
  <si>
    <t>滨州职业学院附属医院</t>
  </si>
  <si>
    <t>博兴县陈户镇桥子村卫生室</t>
  </si>
  <si>
    <t>滨州市滨城区市西办事处春晖社区卫生服务站</t>
  </si>
  <si>
    <t>滨城区市东街道办事处沙家第一卫生室</t>
  </si>
  <si>
    <t>滨城区三河湖镇曹桥村卫生室</t>
  </si>
  <si>
    <t>邹平县方正医药有限公司</t>
  </si>
  <si>
    <t>滨城区滨北街道办事处利民社区卫生服务站</t>
  </si>
  <si>
    <t>滨州济民堂医药有限公司</t>
  </si>
  <si>
    <t>滨城区北镇街道办事处化工社区卫生服务站</t>
  </si>
  <si>
    <t>山东京博控股股份有限公司京博和谐家园卫生室</t>
  </si>
  <si>
    <t>山东无棣医药公司</t>
  </si>
  <si>
    <t>刁口乡兴牧村卫生室</t>
  </si>
  <si>
    <t>滨城区市西街道办事处徐家第二卫生室</t>
  </si>
  <si>
    <t>滨北办事处梧桐社区卫生服务站</t>
  </si>
  <si>
    <t>惠民县泓景大药房有限公司</t>
  </si>
  <si>
    <t>惠民县舒敏大药房</t>
  </si>
  <si>
    <t>滨州晟滨医药有限公司</t>
  </si>
  <si>
    <t>滨城区市东街道办事处北郝第二卫生室</t>
  </si>
  <si>
    <t>北海新区泰和祥药店</t>
  </si>
  <si>
    <t>利津县天德堂大药房有限公司</t>
  </si>
  <si>
    <t>滨城魏玲玲诊所</t>
  </si>
  <si>
    <t>滨州市回春堂大药店有限公司</t>
  </si>
  <si>
    <t>沾化区冯家镇王尔庄中心卫生室</t>
  </si>
  <si>
    <t>滨城区杨柳雪镇大唐村卫生室</t>
  </si>
  <si>
    <t>滨城区市东街道办事处宣家第一卫生室</t>
  </si>
  <si>
    <t>无棣棣城医院</t>
  </si>
  <si>
    <t>滨州市滨城区康慧药店</t>
  </si>
  <si>
    <t>无棣县佘家镇顺昌百姓大药房</t>
  </si>
  <si>
    <t>滨城李延花诊所</t>
  </si>
  <si>
    <t>杜店王会宾诊所</t>
  </si>
  <si>
    <t>博兴县庞家镇民生大药店旗舰店</t>
  </si>
  <si>
    <t>滨城王欣铸诊所</t>
  </si>
  <si>
    <t>彭李街道办事处为民社区卫生服务站</t>
  </si>
  <si>
    <t>阳信县商店镇小桑卫生院</t>
  </si>
  <si>
    <t>彭李办事处田园牧歌社区卫生服务站</t>
  </si>
  <si>
    <t>杜店吕钰诊所</t>
  </si>
  <si>
    <t>利津县北宋镇祥和药店</t>
  </si>
  <si>
    <t>惠民康民诊所</t>
  </si>
  <si>
    <t>博兴县店子镇同济堂大药店</t>
  </si>
  <si>
    <t>惠民县宝芝林医药连锁有限公司</t>
  </si>
  <si>
    <t>滨州市沾化区鲁康医药连锁有限公司</t>
  </si>
  <si>
    <t>连锁27店</t>
  </si>
  <si>
    <t>连锁19店</t>
  </si>
  <si>
    <t>连锁13店</t>
  </si>
  <si>
    <t>连锁5店</t>
  </si>
  <si>
    <t>连锁11店</t>
  </si>
  <si>
    <t>连锁29店</t>
  </si>
  <si>
    <t>连锁39店</t>
  </si>
  <si>
    <t>连锁34店</t>
  </si>
  <si>
    <t>中心店</t>
  </si>
  <si>
    <t>连锁36店</t>
  </si>
  <si>
    <t>连锁15店</t>
  </si>
  <si>
    <t>连锁16店</t>
  </si>
  <si>
    <t>连锁12店</t>
  </si>
  <si>
    <t>连锁32店</t>
  </si>
  <si>
    <t>连锁37店</t>
  </si>
  <si>
    <t>连锁3店</t>
  </si>
  <si>
    <t>连锁10店</t>
  </si>
  <si>
    <t>连锁1店</t>
  </si>
  <si>
    <t>连锁45店</t>
  </si>
  <si>
    <t>连锁47店</t>
  </si>
  <si>
    <t>连锁7店</t>
  </si>
  <si>
    <t>连锁35店</t>
  </si>
  <si>
    <t>连锁42店</t>
  </si>
  <si>
    <t>连锁17店</t>
  </si>
  <si>
    <t>连锁14店</t>
  </si>
  <si>
    <t>连锁33店</t>
  </si>
  <si>
    <t>连锁43店</t>
  </si>
  <si>
    <t>连锁31店</t>
  </si>
  <si>
    <t>连锁18店</t>
  </si>
  <si>
    <t>连锁6店</t>
  </si>
  <si>
    <t>连锁26店</t>
  </si>
  <si>
    <t>连锁51店</t>
  </si>
  <si>
    <t>连锁20店</t>
  </si>
  <si>
    <t>滨16店</t>
  </si>
  <si>
    <t>滨17店</t>
  </si>
  <si>
    <t>滨6店</t>
  </si>
  <si>
    <t>滨旗舰店</t>
  </si>
  <si>
    <t>连锁40店</t>
  </si>
  <si>
    <t>连锁9店</t>
  </si>
  <si>
    <t>连锁23店</t>
  </si>
  <si>
    <t>连锁21店</t>
  </si>
  <si>
    <t>连锁24店</t>
  </si>
  <si>
    <t>连锁41店</t>
  </si>
  <si>
    <t>连锁50店</t>
  </si>
  <si>
    <t>连锁52店</t>
  </si>
  <si>
    <t>滨3店</t>
  </si>
  <si>
    <t>连锁38店</t>
  </si>
  <si>
    <t>连锁25店</t>
  </si>
  <si>
    <t>连锁28店</t>
  </si>
  <si>
    <t>连锁4店</t>
  </si>
  <si>
    <t>连锁22店</t>
  </si>
  <si>
    <t>连锁49店</t>
  </si>
  <si>
    <t>滨11店</t>
  </si>
  <si>
    <t>连锁2店</t>
  </si>
  <si>
    <t>连锁30店</t>
  </si>
  <si>
    <t>滨15店</t>
  </si>
  <si>
    <t>滨1店</t>
  </si>
  <si>
    <t>连锁8店</t>
  </si>
  <si>
    <t>连锁46店</t>
  </si>
  <si>
    <t>陵城区滋镇中心卫生院</t>
  </si>
  <si>
    <t>博山区机关卫生所</t>
  </si>
  <si>
    <t>菏泽九州通医药有限公司</t>
  </si>
  <si>
    <t>泰山区上高街道社区卫生服务中心</t>
  </si>
  <si>
    <t>济阳县孙耿街道办事处社区卫生服务中心</t>
  </si>
  <si>
    <t>济南市天桥区制锦市街道办事处社区卫生服务中心</t>
  </si>
  <si>
    <t>济南市历下区智远办事处盛福社区卫生服务中心</t>
  </si>
  <si>
    <t>济南市市中区舜耕街道办事处阳光舜城社区卫生服务站</t>
  </si>
  <si>
    <t>济南市历城区华山街道办事处社区卫生服务中心</t>
  </si>
  <si>
    <t>济南市天桥区大桥镇卫生院</t>
  </si>
  <si>
    <t>平阴县孔村镇卫生院</t>
  </si>
  <si>
    <t>潍坊市寒亭区朱里街道河滩卫生院</t>
  </si>
  <si>
    <t>乐陵市朱集镇中心卫生院</t>
  </si>
  <si>
    <t>临朐县冶源中心卫生院杨善分院</t>
  </si>
  <si>
    <t>陵城区徽王庄镇官道孙卫生院</t>
  </si>
  <si>
    <t>陵县糜镇张习桥卫生院</t>
  </si>
  <si>
    <t>济南市历城区唐王镇卫生院</t>
  </si>
  <si>
    <t>青州市何官卫生院分院</t>
  </si>
  <si>
    <t>商河县贾庄镇卫生院</t>
  </si>
  <si>
    <t>新泰市刘杜中心卫生院</t>
  </si>
  <si>
    <t>乐陵市杨安镇中心卫生院</t>
  </si>
  <si>
    <t>陵城区陵城镇刘泮卫生院</t>
  </si>
  <si>
    <t>齐河县祝阿镇卫生院</t>
  </si>
  <si>
    <t>德州经济技术开发区赵虎镇中心卫生院</t>
  </si>
  <si>
    <t>新泰市汶南中心卫生院</t>
  </si>
  <si>
    <t>新泰市龙廷中心卫生院</t>
  </si>
  <si>
    <t>夏津县郑保屯镇卫生院</t>
  </si>
  <si>
    <t>济生堂中心店</t>
  </si>
  <si>
    <t>济生堂冯家店</t>
  </si>
  <si>
    <t>济生堂清华园店</t>
  </si>
  <si>
    <t>济生堂龙居店</t>
  </si>
  <si>
    <t>济生堂永丰店</t>
  </si>
  <si>
    <t>济生堂环宇店</t>
  </si>
  <si>
    <t>济生堂下洼店</t>
  </si>
  <si>
    <t>济生堂昌盛店</t>
  </si>
  <si>
    <t>济生堂广场店</t>
  </si>
  <si>
    <t>济生堂体育场店</t>
  </si>
  <si>
    <t>济生堂济仁堂店</t>
  </si>
  <si>
    <t>济生堂富桥店</t>
  </si>
  <si>
    <t>济生堂影院店</t>
  </si>
  <si>
    <t>济生堂富国店</t>
  </si>
  <si>
    <t>济生堂同济店</t>
  </si>
  <si>
    <t>济生堂金康店</t>
  </si>
  <si>
    <t>济生堂金海店</t>
  </si>
  <si>
    <t>济生堂新华店</t>
  </si>
  <si>
    <t>济生堂冯家二店</t>
  </si>
  <si>
    <t>济生堂新合作店</t>
  </si>
  <si>
    <t>济生堂王见南店</t>
  </si>
  <si>
    <t>济生堂大高店</t>
  </si>
  <si>
    <t>济生堂明珠店</t>
  </si>
  <si>
    <t>济生堂富城店</t>
  </si>
  <si>
    <t>滨州经济开发区杜店街道社区卫生服务中心</t>
  </si>
  <si>
    <t>惠民县人民医院（北）</t>
  </si>
  <si>
    <t>韩店镇旧口中心卫生室</t>
  </si>
  <si>
    <t>邹平李杰章诊所</t>
  </si>
  <si>
    <t>长山镇东南中心卫生室</t>
  </si>
  <si>
    <t>孙镇曹王村何玉民卫生室</t>
  </si>
  <si>
    <t>山东魏桥创业集团第一工业园医务室</t>
  </si>
  <si>
    <t>滨州益康医药连锁有限公司邹平县魏桥益民店</t>
  </si>
  <si>
    <t>明集镇段桥中心卫生室</t>
  </si>
  <si>
    <t>长山镇大丁村孔向阳卫生室</t>
  </si>
  <si>
    <t>淄角镇前韩村卫生室</t>
  </si>
  <si>
    <t>魏桥镇东码头中心卫生室</t>
  </si>
  <si>
    <t>明集镇开发区中心卫生室</t>
  </si>
  <si>
    <t>高新办盖家村卫生室</t>
  </si>
  <si>
    <t>滨州市滨城区市立医院</t>
  </si>
  <si>
    <t>博兴县健民大药房</t>
  </si>
  <si>
    <t>孙武街道世纪园诊所</t>
  </si>
  <si>
    <t>大年陈乡中心卫生院（基药）</t>
  </si>
  <si>
    <t>滨州百佳妇产医院</t>
  </si>
  <si>
    <t>滨城济滨医院</t>
  </si>
  <si>
    <t>利津县万德福大药房</t>
  </si>
  <si>
    <t>滨城区杨柳雪镇小唐村卫生室</t>
  </si>
  <si>
    <t>惠民县康舒大药房</t>
  </si>
  <si>
    <t>滨城区市东街道办事处郑家第三卫生室</t>
  </si>
  <si>
    <t>滨州市瑞丰医药连锁经营有限责任公司</t>
  </si>
  <si>
    <t>滨城刘利剑中医诊所</t>
  </si>
  <si>
    <t>滨城瑞慷医院</t>
  </si>
  <si>
    <t>滨城区市西街道办事处张八棍第二卫生室</t>
  </si>
  <si>
    <t>西南街卫生室</t>
  </si>
  <si>
    <t>滨州市滨城区彭李街道办事处北海社区卫生服务站</t>
  </si>
  <si>
    <t>滨城区市西街道办事处李口卫生室</t>
  </si>
  <si>
    <t>瑞康诊所</t>
  </si>
  <si>
    <t>吴苟李村卫生室</t>
  </si>
  <si>
    <t>滨城区彭李街道办事处海河社区卫生服务站</t>
  </si>
  <si>
    <t>滨城孙红霞诊所</t>
  </si>
  <si>
    <t>淄博瑞和医药销售有限公司</t>
  </si>
  <si>
    <t>滨城区彭李街道办事处菜刘卫生室</t>
  </si>
  <si>
    <t>滨城谭桂英诊所</t>
  </si>
  <si>
    <t>滨城区市东街道办事处北杨第三卫生室</t>
  </si>
  <si>
    <t>杜店李岷山诊所</t>
  </si>
  <si>
    <t>滨城庞真真诊所</t>
  </si>
  <si>
    <t>滨城区彭李街道办事处府前社区卫生服务站</t>
  </si>
  <si>
    <t>滨城区市东街道办事处清怡社区卫生服务站</t>
  </si>
  <si>
    <t>市东办事处华天社区卫生服务站</t>
  </si>
  <si>
    <t>滨州市滨城区彭李街道办事处平民社区卫生服务站</t>
  </si>
  <si>
    <t>滨城苏娟诊所</t>
  </si>
  <si>
    <t>滨城区市东街道办事处南蔺卫生室</t>
  </si>
  <si>
    <t>滨城区市东街道办事处常家第一卫生室</t>
  </si>
  <si>
    <t>阳信县益寿康大药房有限公司</t>
  </si>
  <si>
    <t>利津县仁益堂药店</t>
  </si>
  <si>
    <t>滨城杨海虹诊所</t>
  </si>
  <si>
    <t>杜店李俊杰诊所</t>
  </si>
  <si>
    <t>山东民泰大药房连锁有限公司</t>
  </si>
  <si>
    <t>惠民县古城药房第一分店</t>
  </si>
  <si>
    <t>惠民县瑞安康大药房</t>
  </si>
  <si>
    <t>滨城区彭李街道办事处卜家卫生室</t>
  </si>
  <si>
    <t>滨城王全枝诊所</t>
  </si>
  <si>
    <t>商店镇张寨社区卫生室</t>
  </si>
  <si>
    <t>滨城区彭李街道办事处山柳杜第一卫生室</t>
  </si>
  <si>
    <t>滨城籍志涛诊所</t>
  </si>
  <si>
    <t>孙武村卫生室</t>
  </si>
  <si>
    <t>无棣香榭里诊所</t>
  </si>
  <si>
    <t>无棣县康莊大药房</t>
  </si>
  <si>
    <t>滨城区市中街道办事处北一卫生室</t>
  </si>
  <si>
    <t>惠民县班班大药房</t>
  </si>
  <si>
    <t>滨州市康之元大药房医药有限公司</t>
  </si>
  <si>
    <t>滨州市康泉大药房连锁有限公司</t>
  </si>
  <si>
    <t>孙武村寿俊卫生室</t>
  </si>
  <si>
    <t>洋湖乡刀刘村第二卫生室</t>
  </si>
  <si>
    <t>何坊街道官道张村卫生室</t>
  </si>
  <si>
    <t>阳信初心医院</t>
  </si>
  <si>
    <t>滨城韩小亮中医诊所</t>
  </si>
  <si>
    <t>滨州市恒康医药有限公司</t>
  </si>
  <si>
    <t>邹平县韩店镇福源大药店</t>
  </si>
  <si>
    <t>惠民县寿康大药房有限责任公司</t>
  </si>
  <si>
    <t>洋湖乡八里泊社区卫生室</t>
  </si>
  <si>
    <t>阳信镇行宫庙社区卫生室</t>
  </si>
  <si>
    <t>滨城张德辉诊所</t>
  </si>
  <si>
    <t>惠民县康之家药房</t>
  </si>
  <si>
    <t>沾化静康诊所</t>
  </si>
  <si>
    <t>北镇办事处工业园区社区卫生服务站</t>
  </si>
  <si>
    <t>惠民县胡集镇卫生院陈集分院</t>
  </si>
  <si>
    <t>河流镇小李村社区卫生室</t>
  </si>
  <si>
    <t>金红诊所</t>
  </si>
  <si>
    <t>流坡坞镇褚家社区卫生室</t>
  </si>
  <si>
    <t>流坡坞镇西李昂社区卫生室</t>
  </si>
  <si>
    <t>无棣荣玉大药房</t>
  </si>
  <si>
    <t>阳信宜仁堂诊所</t>
  </si>
  <si>
    <t>河流镇丁家村社区卫生室</t>
  </si>
  <si>
    <t>博兴博奥华城中西医诊所</t>
  </si>
  <si>
    <t>惠民董永阁诊所</t>
  </si>
  <si>
    <t>金阳街道蔡王社区卫生室</t>
  </si>
  <si>
    <t>洋湖乡花赵社区卫生室</t>
  </si>
  <si>
    <t>河流镇白家社区卫生室</t>
  </si>
  <si>
    <t>高新小营爱强诊所</t>
  </si>
  <si>
    <t xml:space="preserve">惠民县李庄镇民健大药房 </t>
  </si>
  <si>
    <t>桑落墅镇魏家村卫生室</t>
  </si>
  <si>
    <t>无棣县小泊头镇郑王村社区卫生室</t>
  </si>
  <si>
    <t>孙武街道李仲条村卫生室</t>
  </si>
  <si>
    <t>流坡坞镇北董社区卫生室</t>
  </si>
  <si>
    <t>滨州康杰大药房有限责任公司建翔店</t>
  </si>
  <si>
    <t>滨州高新区康寿堂医药有限公司</t>
  </si>
  <si>
    <t>滨城区三河湖镇高庙村卫生室</t>
  </si>
  <si>
    <t>高新办国际商贸城卫生室</t>
  </si>
  <si>
    <t>滨城区市中街道办事处高杜卫生室</t>
  </si>
  <si>
    <t>阳信镇前陈社区卫生室</t>
  </si>
  <si>
    <t>洋湖乡西冯社区卫生室</t>
  </si>
  <si>
    <t>流坡坞镇窦家社区卫生室</t>
  </si>
  <si>
    <t>洋湖乡洋湖村卫生室</t>
  </si>
  <si>
    <t>连锁48店</t>
  </si>
  <si>
    <t>济生堂富源店</t>
  </si>
  <si>
    <t>杜店周双进诊所</t>
  </si>
  <si>
    <t>滨州市滨城区市东街道办事处北张卫生室</t>
  </si>
  <si>
    <t>邹平同德堂医药有限公司</t>
  </si>
  <si>
    <t>机械厂诊所</t>
  </si>
  <si>
    <t>滨城区市东街道办事处北杨第一卫生室</t>
  </si>
  <si>
    <t>滨州市技术学院医务室</t>
  </si>
  <si>
    <t>滨城刘拥真诊所</t>
  </si>
  <si>
    <t>滨州市沾化区康源诊所</t>
  </si>
  <si>
    <t>滨州市康健医药有限公司</t>
  </si>
  <si>
    <t>滨州高新技术产业开发区高新天康综合门诊部</t>
  </si>
  <si>
    <t>滨州经济开发区延峰大药房</t>
  </si>
  <si>
    <t>滨城区市西街道办事处大有崔第四卫生室</t>
  </si>
  <si>
    <t>河口区德盛街鑫康药店</t>
  </si>
  <si>
    <t>滨城区北镇办事处崔付刘村卫生室</t>
  </si>
  <si>
    <t>滨城区彭李街道办事处大河孙第二卫生室</t>
  </si>
  <si>
    <t>滨城李长顺诊所</t>
  </si>
  <si>
    <t>滨城崔艳华诊所</t>
  </si>
  <si>
    <t>滨州市滨城区彭李街道办事处学苑社区卫生服务站</t>
  </si>
  <si>
    <t>杜店崔山山诊所</t>
  </si>
  <si>
    <t>滨州市恒康医药连锁有限公司</t>
  </si>
  <si>
    <t>凯芳诊所</t>
  </si>
  <si>
    <t>滨城李翔云诊所</t>
  </si>
  <si>
    <t>滨城区市东街道办事处毕家第二卫生室</t>
  </si>
  <si>
    <t>博兴县悦康大药店</t>
  </si>
  <si>
    <t>滨城张卫国诊所</t>
  </si>
  <si>
    <t>滨城区市东街道办事处坊子第二卫生室</t>
  </si>
  <si>
    <t>博兴县金颖医药连锁三店</t>
  </si>
  <si>
    <t>博兴县金颖医药连锁二店</t>
  </si>
  <si>
    <t>博兴县金颖医药连锁一店</t>
  </si>
  <si>
    <t>博兴县金颖医药连锁五店</t>
  </si>
  <si>
    <t>博兴县金颖大药房</t>
  </si>
  <si>
    <t>滨州市沾化区滨海卫生室</t>
  </si>
  <si>
    <t>高青县黄河路大众药店</t>
  </si>
  <si>
    <t>阳信瑞丰诊所</t>
  </si>
  <si>
    <t>滨城梅玲口腔诊所</t>
  </si>
  <si>
    <t>信城街道接官亭村第一卫生室</t>
  </si>
  <si>
    <t>中邮医药滨州连锁有限公司</t>
  </si>
  <si>
    <t>利津县康泰药店</t>
  </si>
  <si>
    <t>商店镇桑西社区卫生室</t>
  </si>
  <si>
    <t>惠民县石庙镇源奎大药房</t>
  </si>
  <si>
    <t>商店镇贾家社区卫生室</t>
  </si>
  <si>
    <t>邹平县魏桥镇里八田中心卫生室</t>
  </si>
  <si>
    <t>惠民正一堂诊所</t>
  </si>
  <si>
    <t>彭李街道办事处仁和园社区卫生服务站</t>
  </si>
  <si>
    <t>阳信镇王楼社区卫生室</t>
  </si>
  <si>
    <t>何坊街道西寨子村卫生室</t>
  </si>
  <si>
    <t>博兴县博昌街道新城社区卫生服务站</t>
  </si>
  <si>
    <t>阳信县商店镇中心卫生院（网购）</t>
  </si>
  <si>
    <t>阳信县水落坡镇卫生院（网购1）</t>
  </si>
  <si>
    <t>滨州市轩鑫大药房有限公司</t>
  </si>
  <si>
    <t>滨城区市东街道办事处郑家第二卫生室</t>
  </si>
  <si>
    <t>惠民县何坊街道御医堂药店</t>
  </si>
  <si>
    <t>惠民县淄角镇卫生院（网购）</t>
  </si>
  <si>
    <t>玉东诊所</t>
  </si>
  <si>
    <t>杜店董树相诊所</t>
  </si>
  <si>
    <t>黛溪办顺河中心卫生室</t>
  </si>
  <si>
    <t>惠民县君瑞大药房有限公司</t>
  </si>
  <si>
    <t>阳信镇南八里社区卫生室</t>
  </si>
  <si>
    <t>滨州市高氏大药房</t>
  </si>
  <si>
    <t>阳信县流坡坞镇卫生院（网购）</t>
  </si>
  <si>
    <t>姜楼镇联伍赵村卫生室</t>
  </si>
  <si>
    <t>邹平青松诊所</t>
  </si>
  <si>
    <t>洋湖乡史张社区卫生室</t>
  </si>
  <si>
    <t>翟王镇张宋社区卫生室</t>
  </si>
  <si>
    <t>无棣县埕口镇卫生院（网购）</t>
  </si>
  <si>
    <t>滨州北海经济开发区马山子镇济堂药店</t>
  </si>
  <si>
    <t>刘廷军诊所</t>
  </si>
  <si>
    <t>河流镇史家社区卫生室</t>
  </si>
  <si>
    <t>惠民县百分大药房</t>
  </si>
  <si>
    <t>惠民县森茸大药房</t>
  </si>
  <si>
    <t>水落坡乡皮店社区卫生室</t>
  </si>
  <si>
    <t>惠民县舒心大药房</t>
  </si>
  <si>
    <t>滨城苑耀芳诊所</t>
  </si>
  <si>
    <t>惠民县桑落墅中心卫生院（网购）</t>
  </si>
  <si>
    <t>洋湖乡前刘店村卫生室</t>
  </si>
  <si>
    <t>阳信镇唐家社区卫生室</t>
  </si>
  <si>
    <t>温店镇李大人村卫生室</t>
  </si>
  <si>
    <t>阳信县河流镇卫生院（网购）</t>
  </si>
  <si>
    <t>滨城心悦诊所</t>
  </si>
  <si>
    <t>滨城区彭李街道办事处山柳刘第二卫生室</t>
  </si>
  <si>
    <t>阳信福源堂大药房有限公司</t>
  </si>
  <si>
    <t>益民诊所</t>
  </si>
  <si>
    <t>信城办纸坊村卫生室</t>
  </si>
  <si>
    <t>惠民县辛店镇卫生院（网购）</t>
  </si>
  <si>
    <t>洋湖乡卫生院中医诊所</t>
  </si>
  <si>
    <t>商店镇八里社区卫生室</t>
  </si>
  <si>
    <t>阳信县景园大药房</t>
  </si>
  <si>
    <t>商店镇小牛社区卫生室</t>
  </si>
  <si>
    <t>阳信镇段赵村第一卫生室</t>
  </si>
  <si>
    <t>滨城区市西街道办事处东碾李第一卫生室</t>
  </si>
  <si>
    <t>惠民杜平诊所</t>
  </si>
  <si>
    <t>无棣百姓大药房</t>
  </si>
  <si>
    <t>无棣县海丰街道城里村社区卫生室</t>
  </si>
  <si>
    <t>焦桥镇前大城村孟芳卫生室</t>
  </si>
  <si>
    <t>淄角镇铁角李村卫生室</t>
  </si>
  <si>
    <t>韩店镇三星中心卫生室</t>
  </si>
  <si>
    <t>黛溪办鄢家中心卫生室</t>
  </si>
  <si>
    <t>高青县高城蔡旺村卫生室</t>
  </si>
  <si>
    <t>青阳镇辛立村卫生室</t>
  </si>
  <si>
    <t>邹平益康诊所</t>
  </si>
  <si>
    <t>桓台县果里镇太平村卫生室</t>
  </si>
  <si>
    <t>淄博利和民医药销售有限公司</t>
  </si>
  <si>
    <t>西董街道办事处黄家河滩中心卫生室</t>
  </si>
  <si>
    <t>邹平马惠霞中西医结合诊所</t>
  </si>
  <si>
    <t>邹平县魏桥镇郑家中心卫生室</t>
  </si>
  <si>
    <t>邹平县码头镇南高中心卫生室</t>
  </si>
  <si>
    <t>邹平县韩店镇小白中心卫生室</t>
  </si>
  <si>
    <t>台子镇店子中心卫生室</t>
  </si>
  <si>
    <t>大胡卫生院</t>
  </si>
  <si>
    <t>青州市何官卫生院</t>
  </si>
  <si>
    <t>青州市邵庄卫生院</t>
  </si>
  <si>
    <t>庆云县中丁乡卫生院</t>
  </si>
  <si>
    <t>平原县王打卦镇卫生院</t>
  </si>
  <si>
    <t>齐河县晏城街道卫生院</t>
  </si>
  <si>
    <t>庆云县东辛店镇卫生院</t>
  </si>
  <si>
    <t>商河县郑路中心卫生院</t>
  </si>
  <si>
    <t>济阳县仁风镇中心卫生院</t>
  </si>
  <si>
    <t>庆云县常家镇中心卫生院</t>
  </si>
  <si>
    <t>潍坊市潍城区望留镇卫生院</t>
  </si>
  <si>
    <t>潍坊市潍城区于河镇卫生院</t>
  </si>
  <si>
    <t>陵城区安德街道办事处卫生院</t>
  </si>
  <si>
    <t>齐河县城区社区卫生服务中心</t>
  </si>
  <si>
    <t>潍坊市潍城区杏埠中心卫生院</t>
  </si>
  <si>
    <t>潍城区西关街道豪德社区卫生服务中心</t>
  </si>
  <si>
    <t>潍城区西关街道中和街社区卫生服务站</t>
  </si>
  <si>
    <t>济阳县回河街道办事处社区卫生服务中心</t>
  </si>
  <si>
    <t>济阳县太平街道办事处社区卫生服务中心</t>
  </si>
  <si>
    <t>德州经济开发区宋官屯镇社区卫生服务中心</t>
  </si>
  <si>
    <t>济南市历下区东关办事处历下二院社区卫生服务站</t>
  </si>
  <si>
    <t>济南市历下区姚家办事处名士豪庭社区卫生服务站</t>
  </si>
  <si>
    <t>惠民县丰好大药房</t>
  </si>
  <si>
    <t>滨州华健医院</t>
  </si>
  <si>
    <t>翟王镇南夏社区卫生室</t>
  </si>
  <si>
    <t>桑落墅镇大道张村卫生室</t>
  </si>
  <si>
    <t>阳信镇边家社区卫生室</t>
  </si>
  <si>
    <t>滨州市滨城区彭李街道办事处吉泰阳光社区卫生服务站</t>
  </si>
  <si>
    <t>海丰冯铺社区卫生室</t>
  </si>
  <si>
    <t>交通诊所</t>
  </si>
  <si>
    <t>阳信县中医医院</t>
  </si>
  <si>
    <t>阳信颐和医院</t>
  </si>
  <si>
    <t>孙武街道法义卫生室</t>
  </si>
  <si>
    <t>翟王镇翟王社区卫生室</t>
  </si>
  <si>
    <t>洋湖乡勃李社区卫生室</t>
  </si>
  <si>
    <t>青阳镇西窝陀村王令峰卫生室</t>
  </si>
  <si>
    <t>博兴县吕艺镇博华佳苑社区卫生室</t>
  </si>
  <si>
    <t>高青县田镇街道办事处周陈村卫生室</t>
  </si>
  <si>
    <t>西董街道办朱家中心卫生室</t>
  </si>
  <si>
    <t>高青县黑里寨镇黑三村卫生室</t>
  </si>
  <si>
    <t>邹平县韩店镇杨村中心卫生室</t>
  </si>
  <si>
    <t>山东魏桥创业集团第三工业园医务室</t>
  </si>
  <si>
    <t>黄山办大李村孙玉宝卫生室</t>
  </si>
  <si>
    <t>长山镇张旺中心卫生室</t>
  </si>
  <si>
    <t>魏桥镇康庄中心卫生室</t>
  </si>
  <si>
    <t>码头镇三合中心卫生室</t>
  </si>
  <si>
    <t>明集镇南宋中心卫生室</t>
  </si>
  <si>
    <t>长山镇弥勒中心卫生室</t>
  </si>
  <si>
    <t>惠民县麻店镇鸿泰大药店</t>
  </si>
  <si>
    <t>滨城区彭李街道办事处山柳杜第二卫生室</t>
  </si>
  <si>
    <t>盐窝镇门家村卫生室</t>
  </si>
  <si>
    <t>博兴县友谊医院</t>
  </si>
  <si>
    <t>凤凰城街道十里村卫生室</t>
  </si>
  <si>
    <t>辛店镇辛营村卫生室</t>
  </si>
  <si>
    <t>滨州经济开发区刘立波诊所</t>
  </si>
  <si>
    <t>黛溪办东关新村卫生室</t>
  </si>
  <si>
    <t>滨州市滨城区韩小亮中医诊所</t>
  </si>
  <si>
    <t>滨城韩宝亮诊所</t>
  </si>
  <si>
    <t>滨州市滨城区区直机关医院</t>
  </si>
  <si>
    <t>昌乐县白塔卫生院</t>
  </si>
  <si>
    <t>乐陵市花园镇卫生院</t>
  </si>
  <si>
    <t>乐陵市西段乡卫生院</t>
  </si>
  <si>
    <t>昌乐县鄌郚中心卫生院</t>
  </si>
  <si>
    <t>济阳县垛石镇中心卫生院</t>
  </si>
  <si>
    <t>乐陵市郑店镇中心卫生院</t>
  </si>
  <si>
    <t>宁津县柴胡店中心卫生院</t>
  </si>
  <si>
    <t>齐河县表白寺镇中心卫生院</t>
  </si>
  <si>
    <t>乐陵市孔镇镇张桥社区卫生服务中心</t>
  </si>
  <si>
    <t>开发区土桥卫生院</t>
  </si>
  <si>
    <t>陵县前孙镇卫生院</t>
  </si>
  <si>
    <t>陵城区陵城镇卫生院</t>
  </si>
  <si>
    <t>陵城区神头镇卫生院</t>
  </si>
  <si>
    <t>新泰市东都镇卫生院</t>
  </si>
  <si>
    <t>新泰市宫里镇卫生院</t>
  </si>
  <si>
    <t>德州市陵城区糜镇卫生院</t>
  </si>
  <si>
    <t>新泰市新汶街道社区卫生服务中心</t>
  </si>
  <si>
    <t>庆云县庆云镇卫生院</t>
  </si>
  <si>
    <t>德州市陵城区义渡口镇中心卫生院</t>
  </si>
  <si>
    <t>陵城区宋家镇黄集卫生院</t>
  </si>
  <si>
    <t>济南市槐荫区青年公园办事处岔路街社区卫生服务站</t>
  </si>
  <si>
    <t>山东福华医药有限公司</t>
  </si>
  <si>
    <t>滨州弘德药业有限公司</t>
  </si>
  <si>
    <t>商业名称</t>
  </si>
  <si>
    <t>弘德</t>
  </si>
  <si>
    <t>名称</t>
  </si>
  <si>
    <t>生产厂家</t>
  </si>
  <si>
    <t>日期</t>
  </si>
  <si>
    <t>出库数量</t>
  </si>
  <si>
    <t>含税价</t>
  </si>
  <si>
    <t>批次</t>
  </si>
  <si>
    <t>单位名称</t>
  </si>
  <si>
    <t>福华</t>
  </si>
  <si>
    <t>商品名称</t>
  </si>
  <si>
    <t>单据日期</t>
  </si>
  <si>
    <t>数量</t>
  </si>
  <si>
    <t>单价</t>
  </si>
  <si>
    <t>批号</t>
  </si>
  <si>
    <t>客户名称</t>
  </si>
  <si>
    <t>黄河</t>
  </si>
  <si>
    <t>商品规格</t>
  </si>
  <si>
    <t>生产企业名称</t>
  </si>
  <si>
    <t>销售数量</t>
  </si>
  <si>
    <t>仁信</t>
  </si>
  <si>
    <t>明细时间</t>
  </si>
  <si>
    <t>价格</t>
  </si>
  <si>
    <t>博仁</t>
  </si>
  <si>
    <t>商品通用名</t>
  </si>
  <si>
    <t>产地</t>
  </si>
  <si>
    <t>开单日期</t>
  </si>
  <si>
    <t>价税合计</t>
  </si>
  <si>
    <t>飞龙</t>
  </si>
  <si>
    <t>通用名称</t>
  </si>
  <si>
    <t>国控菏泽</t>
  </si>
  <si>
    <t>海川</t>
  </si>
  <si>
    <t>生产单位</t>
  </si>
  <si>
    <t>无</t>
  </si>
  <si>
    <t>济南广林</t>
  </si>
  <si>
    <t>开票结算日期</t>
  </si>
  <si>
    <t>九州通</t>
  </si>
  <si>
    <t>康为</t>
  </si>
  <si>
    <t>批次号</t>
  </si>
  <si>
    <t>罗欣宏欣</t>
  </si>
  <si>
    <t>通用名</t>
  </si>
  <si>
    <t>开票日期</t>
  </si>
  <si>
    <t>瑞康山东</t>
  </si>
  <si>
    <t>货品名称</t>
  </si>
  <si>
    <t>实际货物移动日期</t>
  </si>
  <si>
    <t>开票数量</t>
  </si>
  <si>
    <t>开票价格</t>
  </si>
  <si>
    <t>生产批号</t>
  </si>
  <si>
    <t>售达方描述</t>
  </si>
  <si>
    <t>天士力</t>
  </si>
  <si>
    <t>天源</t>
  </si>
  <si>
    <t>优益</t>
  </si>
  <si>
    <t>悦康圆通</t>
  </si>
  <si>
    <t>葡萄糖酸钙口服溶液(有糖)</t>
  </si>
  <si>
    <t>罗红霉素分散片(严迪)(儿)</t>
  </si>
  <si>
    <t>注射用乳糖酸阿奇霉素(齐宏)(精)</t>
  </si>
  <si>
    <t>新盖中盖儿童钙片</t>
  </si>
  <si>
    <t>重组人促红素注射液(CHO细胞)(雪达升)</t>
  </si>
  <si>
    <t>注射用丹参(冻干)</t>
  </si>
  <si>
    <t>10% 10ml*12支</t>
  </si>
  <si>
    <t>10ml:35mg*12支</t>
  </si>
  <si>
    <t>12s</t>
  </si>
  <si>
    <t>75mg*12s</t>
  </si>
  <si>
    <t>2.5g*36s</t>
  </si>
  <si>
    <t>50mg*12s</t>
  </si>
  <si>
    <t>1.75g*36s</t>
  </si>
  <si>
    <t>0.4g</t>
  </si>
  <si>
    <t>北京好药师大药房连锁有限公司济南分公司</t>
  </si>
  <si>
    <t>北京同仁堂(济南)药店有限公司章丘店</t>
  </si>
  <si>
    <t>济南齐乐堂药业有限公司</t>
  </si>
  <si>
    <t>济南荣新大药房有限公司</t>
  </si>
  <si>
    <t>济南心贴心大药房有限公司</t>
  </si>
  <si>
    <t>济南康神大药房有限公司</t>
  </si>
  <si>
    <t>济南市天桥区鸿祥大药房</t>
  </si>
  <si>
    <t>济南众泰新华药店有限公司</t>
  </si>
  <si>
    <t>山东政法学院医院</t>
  </si>
  <si>
    <t>山东省监狱医院</t>
  </si>
  <si>
    <t>济北中学卫生室</t>
  </si>
  <si>
    <t>山东好药师大药房连锁有限公司济南华龙路店</t>
  </si>
  <si>
    <t>山东好药师大药房连锁有限公司济南闫千户店</t>
  </si>
  <si>
    <t>济南康乐福药品零售有限公司</t>
  </si>
  <si>
    <t>济南三笑康大药房有限公司</t>
  </si>
  <si>
    <t>济南市新天地药品连锁有限公司</t>
  </si>
  <si>
    <t>济南天马医保城药品连锁有限公司</t>
  </si>
  <si>
    <t>济南七星大药房有限公司</t>
  </si>
  <si>
    <t>山东先大大药房连锁有限公司</t>
  </si>
  <si>
    <t>章丘市得心药品连锁有限公司</t>
  </si>
  <si>
    <t>济南惠好大药房有限公司</t>
  </si>
  <si>
    <t>济南聚成阁药品零售有限公司</t>
  </si>
  <si>
    <t>山东建联盛嘉中药有限公司</t>
  </si>
  <si>
    <t>槐荫福林诊所</t>
  </si>
  <si>
    <t>康泰诊所</t>
  </si>
  <si>
    <t>历城百合诊所</t>
  </si>
  <si>
    <t>本草堂中医诊所</t>
  </si>
  <si>
    <t>天桥康盛诊所</t>
  </si>
  <si>
    <t>高新百草堂诊所</t>
  </si>
  <si>
    <t>王胡同村卫生室</t>
  </si>
  <si>
    <t>山东省农业科学院卫生所</t>
  </si>
  <si>
    <t>宁阳县第二人民医院东村卫生所</t>
  </si>
  <si>
    <t>博兴友谊医院</t>
  </si>
  <si>
    <t>山东上药商联药业有限公司</t>
  </si>
  <si>
    <t>济南市历城区彩石镇卫生院</t>
  </si>
  <si>
    <t>庆云县后张卫生院</t>
  </si>
  <si>
    <t>济南市槐荫区美里湖办事处社区卫生服务中心</t>
  </si>
  <si>
    <t>夏津县雷集镇卫生院</t>
  </si>
  <si>
    <t>夏津县南城镇卫生院</t>
  </si>
  <si>
    <t>新泰市小协镇卫生院</t>
  </si>
  <si>
    <t>乐陵市寨头堡乡卫生院</t>
  </si>
  <si>
    <t>夏津县香赵庄镇卫生院</t>
  </si>
  <si>
    <t>平原县前曹镇卫生院林庄分院</t>
  </si>
  <si>
    <t>夏津县苏留庄中心卫生院</t>
  </si>
  <si>
    <t>济南市历城区董家镇卫生院</t>
  </si>
  <si>
    <t>济南市历城区西营镇卫生院</t>
  </si>
  <si>
    <t>潍坊市潍城区符山中心卫生院</t>
  </si>
  <si>
    <t>宁津县保店中心卫生院张宅分院</t>
  </si>
  <si>
    <t>泰山区徐家楼街道社区卫生服务中心</t>
  </si>
  <si>
    <t>济阳县济阳街道办事处社区卫生服务中心</t>
  </si>
  <si>
    <t>济南市历城区遥墙街道办事处社区卫生服务中心</t>
  </si>
  <si>
    <t>济南市历下区智远办事处盛景家园社区卫生服务站</t>
  </si>
  <si>
    <t>济南市历下区智远街道办事处林家社区卫生服务站</t>
  </si>
  <si>
    <t>济南市天桥区泺口街道办事处香磨李社区卫生服务站</t>
  </si>
  <si>
    <t>济南市市中区白马山街道办事处二环西路社区卫生服务站</t>
  </si>
  <si>
    <t>临朐县海浮山医院</t>
  </si>
  <si>
    <t>宫血停颗粒（无糖）</t>
  </si>
  <si>
    <t>注射用双黄连粉针(冻干)</t>
  </si>
  <si>
    <t>10g*6d*60h</t>
  </si>
  <si>
    <t>600mg*12z/盒</t>
  </si>
  <si>
    <t>0.1g*20s</t>
  </si>
  <si>
    <t>颠茄磺苄啶片/泻痢停</t>
  </si>
  <si>
    <t>罗红霉素分散片/严迪</t>
  </si>
  <si>
    <t>4mg*30片</t>
  </si>
  <si>
    <t>六味地黄丸(水蜜丸)</t>
  </si>
  <si>
    <t>葡糖糖酸锌口服溶液</t>
  </si>
  <si>
    <t>乳酸菌素片(精）</t>
  </si>
  <si>
    <t>拉西地平片（司乐平）</t>
  </si>
  <si>
    <t>*新贝增盖牌硒加钙咀嚼片</t>
  </si>
  <si>
    <t>7粒</t>
  </si>
  <si>
    <t>10袋</t>
  </si>
  <si>
    <t>5mg*20片</t>
  </si>
  <si>
    <t>0.2g*12包</t>
  </si>
  <si>
    <t>12粒</t>
  </si>
  <si>
    <t>40*110mm*2贴</t>
  </si>
  <si>
    <t>5克*10袋</t>
  </si>
  <si>
    <t>100mg*30片</t>
  </si>
  <si>
    <t>4mg*15粒</t>
  </si>
  <si>
    <t>1.75g*30片</t>
  </si>
  <si>
    <t>1.75g*60片</t>
  </si>
  <si>
    <t>注射用丹参（冻干）</t>
  </si>
  <si>
    <t>400mg</t>
  </si>
  <si>
    <t>10片*5板</t>
  </si>
  <si>
    <t>10毫升*12支（含糖型）</t>
  </si>
  <si>
    <t>10克*10袋</t>
  </si>
  <si>
    <t>新盖中盖高钙片/成人</t>
  </si>
  <si>
    <t>葡萄糖酸钙口服溶液（含糖型）</t>
  </si>
  <si>
    <t>注射用乳糖酸阿奇霉素/齐宏</t>
  </si>
  <si>
    <t>复方铝酸铋片/胃必治</t>
  </si>
  <si>
    <t>颠茄磺苄啶片/泻利停</t>
  </si>
  <si>
    <t>阿莫西林胶囊 益萨林</t>
  </si>
  <si>
    <t>0.25g*10支</t>
  </si>
  <si>
    <t>7枚</t>
  </si>
  <si>
    <t>0.5g*12粒*3板</t>
  </si>
  <si>
    <t>228.5mg*12片</t>
  </si>
  <si>
    <t>8粒</t>
  </si>
  <si>
    <t>10ml*10支（1ml相当于1.5g）</t>
  </si>
  <si>
    <t>10ml*12支（含糖型）</t>
  </si>
  <si>
    <t>63g(1.75g*36片)</t>
  </si>
  <si>
    <t>(精)注射用乳糖酸阿奇霉素</t>
  </si>
  <si>
    <t>颠茄磺苄啶片(泻利停)</t>
  </si>
  <si>
    <t>葡萄糖酸钙口服溶液10%</t>
  </si>
  <si>
    <t>血府逐瘀丸(大蜜丸)</t>
  </si>
  <si>
    <t>0.5g*10粒*2板</t>
  </si>
  <si>
    <t>12片*1板</t>
  </si>
  <si>
    <t>0.2g*10粒*3板</t>
  </si>
  <si>
    <t>0.125g*10支</t>
  </si>
  <si>
    <t xml:space="preserve">牛黄消炎片 </t>
  </si>
  <si>
    <t>逐瘀通脉胶囊</t>
  </si>
  <si>
    <t>哈药痛可贴跌打损伤型</t>
  </si>
  <si>
    <t>哈药痛可贴骨质增生型</t>
  </si>
  <si>
    <t>哈药痛可贴颈椎型</t>
  </si>
  <si>
    <t>哈药痛可贴腰椎型</t>
  </si>
  <si>
    <t>罗红霉素分散片（成人）</t>
  </si>
  <si>
    <t>罗红霉素分散片（儿童）</t>
  </si>
  <si>
    <t>颠茄磺苄啶片（成人）</t>
  </si>
  <si>
    <t>哈药痛可贴关节炎型</t>
  </si>
  <si>
    <t>哈药痛可贴肩周型</t>
  </si>
  <si>
    <t>颠茄磺苄啶片（儿童型）</t>
  </si>
  <si>
    <t>0.2g*18粒</t>
  </si>
  <si>
    <t>4贴</t>
  </si>
  <si>
    <t xml:space="preserve">1.2g*18片 </t>
  </si>
  <si>
    <t>注射用丹参（冻干）400mg哈药集团中药二厂</t>
  </si>
  <si>
    <t>注射用丹参400mg哈药集团中药二厂</t>
  </si>
  <si>
    <t>注射用双黄连(冻干)600mg哈药集团中药二厂</t>
  </si>
  <si>
    <t>注射用奥美拉唑钠40mg哈药集团生物工程</t>
  </si>
  <si>
    <t>合并规格唯一化</t>
    <phoneticPr fontId="57" type="noConversion"/>
  </si>
  <si>
    <t>批次号</t>
    <phoneticPr fontId="5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</si>
</sst>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_(* #,##0_);_(* \(#,##0\);_(* &quot;-&quot;_);_(@_)"/>
    <numFmt numFmtId="177" formatCode="_(* #,##0.00_);_(* \(#,##0.00\);_(* &quot;-&quot;??_);_(@_)"/>
    <numFmt numFmtId="178" formatCode="[$-F400]h:mm:ss\ AM/PM"/>
    <numFmt numFmtId="179" formatCode="_ \¥* #,##0.00_ ;_ \¥* \-#,##0.00_ ;_ \¥* &quot;-&quot;??_ ;_ @_ "/>
    <numFmt numFmtId="180" formatCode="_-* #,##0_-;\-* #,##0_-;_-* &quot;-&quot;_-;_-@_-"/>
  </numFmts>
  <fonts count="58" x14ac:knownFonts="1">
    <font>
      <sz val="11"/>
      <color theme="1"/>
      <name val="宋体"/>
      <charset val="134"/>
      <scheme val="minor"/>
    </font>
    <font>
      <sz val="9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rgb="FF9C0006"/>
      <name val="宋体"/>
      <family val="3"/>
      <charset val="134"/>
      <scheme val="minor"/>
    </font>
    <font>
      <sz val="10"/>
      <name val="宋体"/>
      <family val="3"/>
      <charset val="134"/>
    </font>
    <font>
      <sz val="11"/>
      <color indexed="20"/>
      <name val="宋体"/>
      <family val="3"/>
      <charset val="134"/>
    </font>
    <font>
      <sz val="12"/>
      <name val="宋体"/>
      <family val="3"/>
      <charset val="134"/>
    </font>
    <font>
      <sz val="11"/>
      <color indexed="8"/>
      <name val="宋体"/>
      <family val="3"/>
      <charset val="134"/>
      <scheme val="minor"/>
    </font>
    <font>
      <sz val="10"/>
      <name val="Arial"/>
      <family val="2"/>
    </font>
    <font>
      <b/>
      <sz val="11"/>
      <color indexed="8"/>
      <name val="宋体"/>
      <family val="3"/>
      <charset val="134"/>
    </font>
    <font>
      <sz val="10"/>
      <color indexed="8"/>
      <name val="Arial"/>
      <family val="2"/>
    </font>
    <font>
      <sz val="12"/>
      <color theme="1"/>
      <name val="宋体"/>
      <family val="3"/>
      <charset val="134"/>
      <scheme val="minor"/>
    </font>
    <font>
      <sz val="11"/>
      <color rgb="FF3F3F76"/>
      <name val="宋体"/>
      <family val="3"/>
      <charset val="134"/>
      <scheme val="minor"/>
    </font>
    <font>
      <sz val="11"/>
      <color indexed="27"/>
      <name val="宋体"/>
      <family val="3"/>
      <charset val="134"/>
    </font>
    <font>
      <sz val="11"/>
      <color rgb="FF0000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i/>
      <sz val="11"/>
      <color rgb="FF7F7F7F"/>
      <name val="宋体"/>
      <family val="3"/>
      <charset val="134"/>
      <scheme val="minor"/>
    </font>
    <font>
      <sz val="11"/>
      <color indexed="9"/>
      <name val="宋体"/>
      <family val="3"/>
      <charset val="134"/>
    </font>
    <font>
      <b/>
      <sz val="15"/>
      <color theme="3"/>
      <name val="宋体"/>
      <family val="3"/>
      <charset val="134"/>
      <scheme val="minor"/>
    </font>
    <font>
      <b/>
      <sz val="11"/>
      <color rgb="FF3F3F3F"/>
      <name val="宋体"/>
      <family val="3"/>
      <charset val="134"/>
      <scheme val="minor"/>
    </font>
    <font>
      <b/>
      <sz val="18"/>
      <color theme="3"/>
      <name val="宋体"/>
      <family val="3"/>
      <charset val="134"/>
      <scheme val="major"/>
    </font>
    <font>
      <b/>
      <sz val="11"/>
      <color theme="3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sz val="13"/>
      <color theme="3"/>
      <name val="宋体"/>
      <family val="3"/>
      <charset val="134"/>
      <scheme val="minor"/>
    </font>
    <font>
      <b/>
      <sz val="11"/>
      <color rgb="FFFA7D00"/>
      <name val="宋体"/>
      <family val="3"/>
      <charset val="134"/>
      <scheme val="minor"/>
    </font>
    <font>
      <sz val="11"/>
      <color rgb="FFFA7D00"/>
      <name val="宋体"/>
      <family val="3"/>
      <charset val="134"/>
      <scheme val="minor"/>
    </font>
    <font>
      <sz val="11"/>
      <color indexed="17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b/>
      <sz val="18"/>
      <color indexed="56"/>
      <name val="宋体"/>
      <family val="3"/>
      <charset val="134"/>
    </font>
    <font>
      <b/>
      <sz val="11"/>
      <color indexed="62"/>
      <name val="宋体"/>
      <family val="3"/>
      <charset val="134"/>
    </font>
    <font>
      <sz val="11"/>
      <color theme="1"/>
      <name val="Tahoma"/>
      <family val="2"/>
    </font>
    <font>
      <sz val="11"/>
      <color indexed="20"/>
      <name val="Tahoma"/>
      <family val="2"/>
    </font>
    <font>
      <b/>
      <sz val="11"/>
      <color indexed="9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20"/>
      <name val="Calibri"/>
      <family val="2"/>
    </font>
    <font>
      <b/>
      <sz val="15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17"/>
      <name val="Calibri"/>
      <family val="2"/>
    </font>
    <font>
      <b/>
      <sz val="13"/>
      <color indexed="56"/>
      <name val="宋体"/>
      <family val="3"/>
      <charset val="134"/>
    </font>
    <font>
      <i/>
      <sz val="11"/>
      <color indexed="23"/>
      <name val="宋体"/>
      <family val="3"/>
      <charset val="134"/>
    </font>
    <font>
      <b/>
      <sz val="15"/>
      <color indexed="62"/>
      <name val="宋体"/>
      <family val="3"/>
      <charset val="134"/>
    </font>
    <font>
      <b/>
      <sz val="13"/>
      <color indexed="62"/>
      <name val="宋体"/>
      <family val="3"/>
      <charset val="134"/>
    </font>
    <font>
      <sz val="11"/>
      <color rgb="FF000000"/>
      <name val="宋体"/>
      <family val="3"/>
      <charset val="134"/>
    </font>
    <font>
      <b/>
      <sz val="18"/>
      <color indexed="62"/>
      <name val="宋体"/>
      <family val="3"/>
      <charset val="134"/>
    </font>
    <font>
      <b/>
      <sz val="11"/>
      <color indexed="27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17"/>
      <name val="Tahoma"/>
      <family val="2"/>
    </font>
    <font>
      <sz val="11"/>
      <color indexed="62"/>
      <name val="宋体"/>
      <family val="3"/>
      <charset val="134"/>
    </font>
    <font>
      <u/>
      <sz val="11"/>
      <color theme="10"/>
      <name val="宋体"/>
      <family val="3"/>
      <charset val="134"/>
    </font>
    <font>
      <b/>
      <sz val="11"/>
      <color indexed="52"/>
      <name val="宋体"/>
      <family val="3"/>
      <charset val="134"/>
    </font>
    <font>
      <sz val="10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61">
    <fill>
      <patternFill patternType="none"/>
    </fill>
    <fill>
      <patternFill patternType="gray125"/>
    </fill>
    <fill>
      <patternFill patternType="solid">
        <fgColor indexed="2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4506668294322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49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</borders>
  <cellStyleXfs count="3640">
    <xf numFmtId="0" fontId="0" fillId="0" borderId="0">
      <alignment vertical="center"/>
    </xf>
    <xf numFmtId="0" fontId="56" fillId="10" borderId="0" applyNumberFormat="0" applyBorder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56" fillId="13" borderId="0" applyNumberFormat="0" applyBorder="0" applyAlignment="0" applyProtection="0">
      <alignment vertical="center"/>
    </xf>
    <xf numFmtId="0" fontId="56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9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1" fillId="0" borderId="0"/>
    <xf numFmtId="0" fontId="56" fillId="0" borderId="0">
      <alignment vertical="center"/>
    </xf>
    <xf numFmtId="0" fontId="8" fillId="0" borderId="0"/>
    <xf numFmtId="0" fontId="17" fillId="2" borderId="0" applyNumberFormat="0" applyBorder="0" applyAlignment="0" applyProtection="0">
      <alignment vertical="center"/>
    </xf>
    <xf numFmtId="0" fontId="56" fillId="0" borderId="0">
      <alignment vertical="center"/>
    </xf>
    <xf numFmtId="0" fontId="2" fillId="20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12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9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5" fillId="23" borderId="0" applyNumberFormat="0" applyBorder="0" applyAlignment="0" applyProtection="0">
      <alignment vertical="center"/>
    </xf>
    <xf numFmtId="0" fontId="13" fillId="2" borderId="0" applyNumberFormat="0" applyBorder="0" applyAlignment="0" applyProtection="0">
      <alignment vertical="center"/>
    </xf>
    <xf numFmtId="0" fontId="56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177" fontId="4" fillId="0" borderId="0" applyFont="0" applyFill="0" applyBorder="0" applyAlignment="0" applyProtection="0"/>
    <xf numFmtId="0" fontId="56" fillId="0" borderId="0">
      <alignment vertical="center"/>
    </xf>
    <xf numFmtId="0" fontId="5" fillId="6" borderId="0" applyNumberFormat="0" applyBorder="0" applyAlignment="0" applyProtection="0">
      <alignment vertical="center"/>
    </xf>
    <xf numFmtId="9" fontId="6" fillId="0" borderId="0" applyFont="0" applyFill="0" applyBorder="0" applyAlignment="0" applyProtection="0"/>
    <xf numFmtId="0" fontId="56" fillId="0" borderId="0">
      <alignment vertical="center"/>
    </xf>
    <xf numFmtId="0" fontId="56" fillId="18" borderId="0" applyNumberFormat="0" applyBorder="0" applyAlignment="0" applyProtection="0">
      <alignment vertical="center"/>
    </xf>
    <xf numFmtId="0" fontId="56" fillId="12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8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9" fontId="6" fillId="0" borderId="0" applyFont="0" applyFill="0" applyBorder="0" applyAlignment="0" applyProtection="0"/>
    <xf numFmtId="0" fontId="56" fillId="0" borderId="0">
      <alignment vertical="center"/>
    </xf>
    <xf numFmtId="0" fontId="8" fillId="0" borderId="0"/>
    <xf numFmtId="0" fontId="56" fillId="0" borderId="0">
      <alignment vertical="center"/>
    </xf>
    <xf numFmtId="0" fontId="56" fillId="19" borderId="0" applyNumberFormat="0" applyBorder="0" applyAlignment="0" applyProtection="0">
      <alignment vertical="center"/>
    </xf>
    <xf numFmtId="0" fontId="56" fillId="0" borderId="0">
      <alignment vertical="center"/>
    </xf>
    <xf numFmtId="0" fontId="6" fillId="0" borderId="0"/>
    <xf numFmtId="0" fontId="56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56" fillId="0" borderId="0"/>
    <xf numFmtId="9" fontId="56" fillId="0" borderId="0" applyFont="0" applyFill="0" applyBorder="0" applyAlignment="0" applyProtection="0">
      <alignment vertical="center"/>
    </xf>
    <xf numFmtId="0" fontId="56" fillId="24" borderId="4" applyNumberFormat="0" applyFont="0" applyAlignment="0" applyProtection="0">
      <alignment vertical="center"/>
    </xf>
    <xf numFmtId="0" fontId="56" fillId="18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32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8" fillId="0" borderId="0"/>
    <xf numFmtId="0" fontId="2" fillId="4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/>
    <xf numFmtId="0" fontId="56" fillId="19" borderId="0" applyNumberFormat="0" applyBorder="0" applyAlignment="0" applyProtection="0">
      <alignment vertical="center"/>
    </xf>
    <xf numFmtId="0" fontId="56" fillId="0" borderId="0"/>
    <xf numFmtId="0" fontId="56" fillId="0" borderId="0">
      <alignment vertical="center"/>
    </xf>
    <xf numFmtId="0" fontId="31" fillId="0" borderId="0" applyNumberFormat="0" applyFill="0" applyBorder="0" applyAlignment="0" applyProtection="0">
      <alignment vertical="center"/>
    </xf>
    <xf numFmtId="0" fontId="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6" fillId="0" borderId="0"/>
    <xf numFmtId="0" fontId="2" fillId="0" borderId="0">
      <alignment vertical="center"/>
    </xf>
    <xf numFmtId="0" fontId="56" fillId="0" borderId="0">
      <alignment vertical="center"/>
    </xf>
    <xf numFmtId="0" fontId="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4" fillId="0" borderId="0"/>
    <xf numFmtId="0" fontId="56" fillId="0" borderId="0">
      <alignment vertical="center"/>
    </xf>
    <xf numFmtId="0" fontId="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32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0" fontId="8" fillId="0" borderId="0"/>
    <xf numFmtId="0" fontId="2" fillId="15" borderId="0" applyNumberFormat="0" applyBorder="0" applyAlignment="0" applyProtection="0">
      <alignment vertical="center"/>
    </xf>
    <xf numFmtId="0" fontId="56" fillId="9" borderId="0" applyNumberFormat="0" applyBorder="0" applyAlignment="0" applyProtection="0">
      <alignment vertical="center"/>
    </xf>
    <xf numFmtId="0" fontId="10" fillId="0" borderId="0"/>
    <xf numFmtId="0" fontId="56" fillId="0" borderId="0">
      <alignment vertical="center"/>
    </xf>
    <xf numFmtId="0" fontId="56" fillId="10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56" fillId="14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56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10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10" borderId="0" applyNumberFormat="0" applyBorder="0" applyAlignment="0" applyProtection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2" fillId="16" borderId="0" applyNumberFormat="0" applyBorder="0" applyAlignment="0" applyProtection="0">
      <alignment vertical="center"/>
    </xf>
    <xf numFmtId="0" fontId="56" fillId="9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10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56" fillId="0" borderId="0">
      <alignment vertical="center"/>
    </xf>
    <xf numFmtId="0" fontId="8" fillId="0" borderId="0" applyBorder="0"/>
    <xf numFmtId="0" fontId="2" fillId="15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10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7" fillId="0" borderId="0">
      <alignment vertical="center"/>
    </xf>
    <xf numFmtId="0" fontId="32" fillId="0" borderId="12" applyNumberFormat="0" applyFill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10" borderId="0" applyNumberFormat="0" applyBorder="0" applyAlignment="0" applyProtection="0">
      <alignment vertical="center"/>
    </xf>
    <xf numFmtId="0" fontId="56" fillId="10" borderId="0" applyNumberFormat="0" applyBorder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6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56" fillId="0" borderId="0">
      <alignment vertical="center"/>
    </xf>
    <xf numFmtId="0" fontId="56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56" fillId="31" borderId="0" applyNumberFormat="0" applyBorder="0" applyAlignment="0" applyProtection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2" fillId="36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31" borderId="0" applyNumberFormat="0" applyBorder="0" applyAlignment="0" applyProtection="0">
      <alignment vertical="center"/>
    </xf>
    <xf numFmtId="0" fontId="56" fillId="0" borderId="0">
      <alignment vertical="center"/>
    </xf>
    <xf numFmtId="0" fontId="17" fillId="46" borderId="0" applyNumberFormat="0" applyBorder="0" applyAlignment="0" applyProtection="0">
      <alignment vertical="center"/>
    </xf>
    <xf numFmtId="0" fontId="8" fillId="0" borderId="0"/>
    <xf numFmtId="0" fontId="2" fillId="4" borderId="0" applyNumberFormat="0" applyBorder="0" applyAlignment="0" applyProtection="0">
      <alignment vertical="center"/>
    </xf>
    <xf numFmtId="0" fontId="56" fillId="31" borderId="0" applyNumberFormat="0" applyBorder="0" applyAlignment="0" applyProtection="0">
      <alignment vertical="center"/>
    </xf>
    <xf numFmtId="177" fontId="6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2" fillId="17" borderId="3" applyNumberFormat="0" applyAlignment="0" applyProtection="0">
      <alignment vertical="center"/>
    </xf>
    <xf numFmtId="0" fontId="56" fillId="31" borderId="0" applyNumberFormat="0" applyBorder="0" applyAlignment="0" applyProtection="0">
      <alignment vertical="center"/>
    </xf>
    <xf numFmtId="0" fontId="17" fillId="46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4" borderId="0" applyNumberFormat="0" applyBorder="0" applyAlignment="0" applyProtection="0">
      <alignment vertical="center"/>
    </xf>
    <xf numFmtId="0" fontId="56" fillId="31" borderId="0" applyNumberFormat="0" applyBorder="0" applyAlignment="0" applyProtection="0">
      <alignment vertical="center"/>
    </xf>
    <xf numFmtId="0" fontId="56" fillId="0" borderId="0">
      <alignment vertical="center"/>
    </xf>
    <xf numFmtId="0" fontId="2" fillId="6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31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31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8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31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56" fillId="18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6" borderId="0" applyNumberFormat="0" applyBorder="0" applyAlignment="0" applyProtection="0">
      <alignment vertical="center"/>
    </xf>
    <xf numFmtId="0" fontId="10" fillId="0" borderId="0">
      <alignment vertical="top"/>
    </xf>
    <xf numFmtId="0" fontId="56" fillId="0" borderId="0">
      <alignment vertical="center"/>
    </xf>
    <xf numFmtId="0" fontId="56" fillId="0" borderId="0">
      <alignment vertical="center"/>
    </xf>
    <xf numFmtId="0" fontId="56" fillId="31" borderId="0" applyNumberFormat="0" applyBorder="0" applyAlignment="0" applyProtection="0">
      <alignment vertical="center"/>
    </xf>
    <xf numFmtId="0" fontId="17" fillId="46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13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56" fillId="31" borderId="0" applyNumberFormat="0" applyBorder="0" applyAlignment="0" applyProtection="0">
      <alignment vertical="center"/>
    </xf>
    <xf numFmtId="0" fontId="56" fillId="31" borderId="0" applyNumberFormat="0" applyBorder="0" applyAlignment="0" applyProtection="0">
      <alignment vertical="center"/>
    </xf>
    <xf numFmtId="0" fontId="8" fillId="0" borderId="0"/>
    <xf numFmtId="0" fontId="56" fillId="13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0" fontId="8" fillId="0" borderId="0"/>
    <xf numFmtId="0" fontId="56" fillId="0" borderId="0">
      <alignment vertical="center"/>
    </xf>
    <xf numFmtId="0" fontId="56" fillId="0" borderId="0">
      <alignment vertical="center"/>
    </xf>
    <xf numFmtId="0" fontId="2" fillId="47" borderId="0" applyNumberFormat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56" fillId="13" borderId="0" applyNumberFormat="0" applyBorder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56" fillId="13" borderId="0" applyNumberFormat="0" applyBorder="0" applyAlignment="0" applyProtection="0">
      <alignment vertical="center"/>
    </xf>
    <xf numFmtId="0" fontId="56" fillId="13" borderId="0" applyNumberFormat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6" fillId="0" borderId="0">
      <alignment vertical="top"/>
    </xf>
    <xf numFmtId="0" fontId="56" fillId="0" borderId="0">
      <alignment vertical="center"/>
    </xf>
    <xf numFmtId="0" fontId="2" fillId="4" borderId="0" applyNumberFormat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13" borderId="0" applyNumberFormat="0" applyBorder="0" applyAlignment="0" applyProtection="0">
      <alignment vertical="center"/>
    </xf>
    <xf numFmtId="0" fontId="56" fillId="13" borderId="0" applyNumberFormat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13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56" fillId="12" borderId="0" applyNumberFormat="0" applyBorder="0" applyAlignment="0" applyProtection="0">
      <alignment vertical="center"/>
    </xf>
    <xf numFmtId="0" fontId="8" fillId="0" borderId="0"/>
    <xf numFmtId="0" fontId="2" fillId="4" borderId="0" applyNumberFormat="0" applyBorder="0" applyAlignment="0" applyProtection="0">
      <alignment vertical="center"/>
    </xf>
    <xf numFmtId="0" fontId="17" fillId="46" borderId="0" applyNumberFormat="0" applyBorder="0" applyAlignment="0" applyProtection="0">
      <alignment vertical="center"/>
    </xf>
    <xf numFmtId="0" fontId="8" fillId="0" borderId="0"/>
    <xf numFmtId="0" fontId="2" fillId="4" borderId="0" applyNumberFormat="0" applyBorder="0" applyAlignment="0" applyProtection="0">
      <alignment vertical="center"/>
    </xf>
    <xf numFmtId="0" fontId="17" fillId="46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13" borderId="0" applyNumberFormat="0" applyBorder="0" applyAlignment="0" applyProtection="0">
      <alignment vertical="center"/>
    </xf>
    <xf numFmtId="0" fontId="56" fillId="13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39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16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/>
    <xf numFmtId="0" fontId="56" fillId="39" borderId="0" applyNumberFormat="0" applyBorder="0" applyAlignment="0" applyProtection="0">
      <alignment vertical="center"/>
    </xf>
    <xf numFmtId="0" fontId="17" fillId="46" borderId="0" applyNumberFormat="0" applyBorder="0" applyAlignment="0" applyProtection="0">
      <alignment vertical="center"/>
    </xf>
    <xf numFmtId="0" fontId="56" fillId="0" borderId="0"/>
    <xf numFmtId="0" fontId="2" fillId="0" borderId="0">
      <alignment vertical="center"/>
    </xf>
    <xf numFmtId="0" fontId="56" fillId="39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56" fillId="39" borderId="0" applyNumberFormat="0" applyBorder="0" applyAlignment="0" applyProtection="0">
      <alignment vertical="center"/>
    </xf>
    <xf numFmtId="0" fontId="56" fillId="39" borderId="0" applyNumberFormat="0" applyBorder="0" applyAlignment="0" applyProtection="0">
      <alignment vertical="center"/>
    </xf>
    <xf numFmtId="0" fontId="56" fillId="0" borderId="0">
      <alignment vertical="center"/>
    </xf>
    <xf numFmtId="0" fontId="2" fillId="20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39" borderId="0" applyNumberFormat="0" applyBorder="0" applyAlignment="0" applyProtection="0">
      <alignment vertical="center"/>
    </xf>
    <xf numFmtId="0" fontId="4" fillId="0" borderId="0"/>
    <xf numFmtId="0" fontId="56" fillId="39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39" borderId="0" applyNumberFormat="0" applyBorder="0" applyAlignment="0" applyProtection="0">
      <alignment vertical="center"/>
    </xf>
    <xf numFmtId="0" fontId="56" fillId="0" borderId="0">
      <alignment vertical="center"/>
    </xf>
    <xf numFmtId="0" fontId="2" fillId="20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56" fillId="0" borderId="0">
      <alignment vertical="center"/>
    </xf>
    <xf numFmtId="0" fontId="2" fillId="20" borderId="0" applyNumberFormat="0" applyBorder="0" applyAlignment="0" applyProtection="0">
      <alignment vertical="center"/>
    </xf>
    <xf numFmtId="0" fontId="17" fillId="2" borderId="0" applyNumberFormat="0" applyBorder="0" applyAlignment="0" applyProtection="0">
      <alignment vertical="center"/>
    </xf>
    <xf numFmtId="0" fontId="56" fillId="0" borderId="0">
      <alignment vertical="center"/>
    </xf>
    <xf numFmtId="0" fontId="2" fillId="20" borderId="0" applyNumberFormat="0" applyBorder="0" applyAlignment="0" applyProtection="0">
      <alignment vertical="center"/>
    </xf>
    <xf numFmtId="0" fontId="17" fillId="2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20" borderId="0" applyNumberFormat="0" applyBorder="0" applyAlignment="0" applyProtection="0">
      <alignment vertical="center"/>
    </xf>
    <xf numFmtId="0" fontId="17" fillId="2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39" borderId="0" applyNumberFormat="0" applyBorder="0" applyAlignment="0" applyProtection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2" fillId="11" borderId="0" applyNumberFormat="0" applyBorder="0" applyAlignment="0" applyProtection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56" fillId="39" borderId="0" applyNumberFormat="0" applyBorder="0" applyAlignment="0" applyProtection="0">
      <alignment vertical="center"/>
    </xf>
    <xf numFmtId="0" fontId="17" fillId="2" borderId="0" applyNumberFormat="0" applyBorder="0" applyAlignment="0" applyProtection="0">
      <alignment vertical="center"/>
    </xf>
    <xf numFmtId="0" fontId="56" fillId="39" borderId="0" applyNumberFormat="0" applyBorder="0" applyAlignment="0" applyProtection="0">
      <alignment vertical="center"/>
    </xf>
    <xf numFmtId="0" fontId="56" fillId="0" borderId="0"/>
    <xf numFmtId="0" fontId="56" fillId="18" borderId="0" applyNumberFormat="0" applyBorder="0" applyAlignment="0" applyProtection="0">
      <alignment vertical="center"/>
    </xf>
    <xf numFmtId="0" fontId="56" fillId="0" borderId="0">
      <alignment vertical="center"/>
    </xf>
    <xf numFmtId="0" fontId="2" fillId="41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18" borderId="0" applyNumberFormat="0" applyBorder="0" applyAlignment="0" applyProtection="0">
      <alignment vertical="center"/>
    </xf>
    <xf numFmtId="0" fontId="8" fillId="0" borderId="0"/>
    <xf numFmtId="0" fontId="38" fillId="6" borderId="0" applyNumberFormat="0" applyBorder="0" applyAlignment="0" applyProtection="0"/>
    <xf numFmtId="0" fontId="56" fillId="18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56" fillId="0" borderId="0">
      <alignment vertical="center"/>
    </xf>
    <xf numFmtId="0" fontId="2" fillId="41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18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18" borderId="0" applyNumberFormat="0" applyBorder="0" applyAlignment="0" applyProtection="0">
      <alignment vertical="center"/>
    </xf>
    <xf numFmtId="0" fontId="56" fillId="0" borderId="0"/>
    <xf numFmtId="0" fontId="56" fillId="0" borderId="0">
      <alignment vertical="center"/>
    </xf>
    <xf numFmtId="0" fontId="2" fillId="41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2" fillId="41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41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41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18" borderId="0" applyNumberFormat="0" applyBorder="0" applyAlignment="0" applyProtection="0">
      <alignment vertical="center"/>
    </xf>
    <xf numFmtId="0" fontId="56" fillId="18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56" fillId="18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51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2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56" fillId="0" borderId="0">
      <alignment vertical="center"/>
    </xf>
    <xf numFmtId="0" fontId="2" fillId="36" borderId="0" applyNumberFormat="0" applyBorder="0" applyAlignment="0" applyProtection="0">
      <alignment vertical="center"/>
    </xf>
    <xf numFmtId="0" fontId="56" fillId="0" borderId="0">
      <alignment vertical="center"/>
    </xf>
    <xf numFmtId="0" fontId="2" fillId="20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29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29" borderId="0" applyNumberFormat="0" applyBorder="0" applyAlignment="0" applyProtection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29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29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20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36" borderId="0" applyNumberFormat="0" applyBorder="0" applyAlignment="0" applyProtection="0">
      <alignment vertical="center"/>
    </xf>
    <xf numFmtId="0" fontId="56" fillId="0" borderId="0">
      <alignment vertical="center"/>
    </xf>
    <xf numFmtId="0" fontId="2" fillId="20" borderId="0" applyNumberFormat="0" applyBorder="0" applyAlignment="0" applyProtection="0">
      <alignment vertical="center"/>
    </xf>
    <xf numFmtId="0" fontId="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29" borderId="0" applyNumberFormat="0" applyBorder="0" applyAlignment="0" applyProtection="0">
      <alignment vertical="center"/>
    </xf>
    <xf numFmtId="0" fontId="2" fillId="0" borderId="0">
      <alignment vertical="center"/>
    </xf>
    <xf numFmtId="0" fontId="56" fillId="29" borderId="0" applyNumberFormat="0" applyBorder="0" applyAlignment="0" applyProtection="0">
      <alignment vertical="center"/>
    </xf>
    <xf numFmtId="0" fontId="56" fillId="19" borderId="0" applyNumberFormat="0" applyBorder="0" applyAlignment="0" applyProtection="0">
      <alignment vertical="center"/>
    </xf>
    <xf numFmtId="0" fontId="56" fillId="29" borderId="0" applyNumberFormat="0" applyBorder="0" applyAlignment="0" applyProtection="0">
      <alignment vertical="center"/>
    </xf>
    <xf numFmtId="0" fontId="56" fillId="0" borderId="0">
      <alignment vertical="center"/>
    </xf>
    <xf numFmtId="0" fontId="2" fillId="36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56" fillId="0" borderId="0"/>
    <xf numFmtId="0" fontId="2" fillId="36" borderId="0" applyNumberFormat="0" applyBorder="0" applyAlignment="0" applyProtection="0">
      <alignment vertical="center"/>
    </xf>
    <xf numFmtId="0" fontId="17" fillId="5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56" fillId="0" borderId="0">
      <alignment vertical="center"/>
    </xf>
    <xf numFmtId="0" fontId="2" fillId="36" borderId="0" applyNumberFormat="0" applyBorder="0" applyAlignment="0" applyProtection="0">
      <alignment vertical="center"/>
    </xf>
    <xf numFmtId="0" fontId="17" fillId="50" borderId="0" applyNumberFormat="0" applyBorder="0" applyAlignment="0" applyProtection="0">
      <alignment vertical="center"/>
    </xf>
    <xf numFmtId="0" fontId="56" fillId="14" borderId="0" applyNumberFormat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8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17" fillId="5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36" borderId="0" applyNumberFormat="0" applyBorder="0" applyAlignment="0" applyProtection="0">
      <alignment vertical="center"/>
    </xf>
    <xf numFmtId="0" fontId="17" fillId="50" borderId="0" applyNumberFormat="0" applyBorder="0" applyAlignment="0" applyProtection="0">
      <alignment vertical="center"/>
    </xf>
    <xf numFmtId="0" fontId="56" fillId="14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29" borderId="0" applyNumberFormat="0" applyBorder="0" applyAlignment="0" applyProtection="0">
      <alignment vertical="center"/>
    </xf>
    <xf numFmtId="0" fontId="2" fillId="0" borderId="0">
      <alignment vertical="center"/>
    </xf>
    <xf numFmtId="0" fontId="56" fillId="14" borderId="0" applyNumberFormat="0" applyBorder="0" applyAlignment="0" applyProtection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56" fillId="29" borderId="0" applyNumberFormat="0" applyBorder="0" applyAlignment="0" applyProtection="0">
      <alignment vertical="center"/>
    </xf>
    <xf numFmtId="0" fontId="17" fillId="50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14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29" borderId="0" applyNumberFormat="0" applyBorder="0" applyAlignment="0" applyProtection="0">
      <alignment vertical="center"/>
    </xf>
    <xf numFmtId="0" fontId="6" fillId="0" borderId="0">
      <alignment vertical="center"/>
    </xf>
    <xf numFmtId="0" fontId="56" fillId="8" borderId="0" applyNumberFormat="0" applyBorder="0" applyAlignment="0" applyProtection="0">
      <alignment vertical="center"/>
    </xf>
    <xf numFmtId="0" fontId="2" fillId="48" borderId="0" applyNumberFormat="0" applyBorder="0" applyAlignment="0" applyProtection="0">
      <alignment vertical="center"/>
    </xf>
    <xf numFmtId="0" fontId="56" fillId="8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8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56" fillId="8" borderId="0" applyNumberFormat="0" applyBorder="0" applyAlignment="0" applyProtection="0">
      <alignment vertical="center"/>
    </xf>
    <xf numFmtId="0" fontId="56" fillId="8" borderId="0" applyNumberFormat="0" applyBorder="0" applyAlignment="0" applyProtection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8" borderId="0" applyNumberFormat="0" applyBorder="0" applyAlignment="0" applyProtection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2" fillId="11" borderId="0" applyNumberFormat="0" applyBorder="0" applyAlignment="0" applyProtection="0">
      <alignment vertical="center"/>
    </xf>
    <xf numFmtId="0" fontId="56" fillId="0" borderId="0">
      <alignment vertical="center"/>
    </xf>
    <xf numFmtId="0" fontId="8" fillId="0" borderId="0">
      <alignment vertical="center"/>
    </xf>
    <xf numFmtId="0" fontId="2" fillId="11" borderId="0" applyNumberFormat="0" applyBorder="0" applyAlignment="0" applyProtection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33" fillId="0" borderId="0"/>
    <xf numFmtId="0" fontId="2" fillId="11" borderId="0" applyNumberFormat="0" applyBorder="0" applyAlignment="0" applyProtection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2" fillId="11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8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8" borderId="0" applyNumberFormat="0" applyBorder="0" applyAlignment="0" applyProtection="0">
      <alignment vertical="center"/>
    </xf>
    <xf numFmtId="0" fontId="56" fillId="9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5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56" fillId="9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56" fillId="9" borderId="0" applyNumberFormat="0" applyBorder="0" applyAlignment="0" applyProtection="0">
      <alignment vertical="center"/>
    </xf>
    <xf numFmtId="0" fontId="56" fillId="9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9" borderId="0" applyNumberFormat="0" applyBorder="0" applyAlignment="0" applyProtection="0">
      <alignment vertical="center"/>
    </xf>
    <xf numFmtId="0" fontId="56" fillId="0" borderId="0">
      <alignment vertical="center"/>
    </xf>
    <xf numFmtId="0" fontId="6" fillId="0" borderId="0"/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56" fillId="9" borderId="0" applyNumberFormat="0" applyBorder="0" applyAlignment="0" applyProtection="0">
      <alignment vertical="center"/>
    </xf>
    <xf numFmtId="0" fontId="56" fillId="9" borderId="0" applyNumberFormat="0" applyBorder="0" applyAlignment="0" applyProtection="0">
      <alignment vertical="center"/>
    </xf>
    <xf numFmtId="0" fontId="39" fillId="0" borderId="15" applyNumberFormat="0" applyFill="0" applyAlignment="0" applyProtection="0">
      <alignment vertical="center"/>
    </xf>
    <xf numFmtId="0" fontId="56" fillId="0" borderId="0">
      <alignment vertical="center"/>
    </xf>
    <xf numFmtId="0" fontId="56" fillId="9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12" borderId="0" applyNumberFormat="0" applyBorder="0" applyAlignment="0" applyProtection="0">
      <alignment vertical="center"/>
    </xf>
    <xf numFmtId="0" fontId="56" fillId="24" borderId="4" applyNumberFormat="0" applyFont="0" applyAlignment="0" applyProtection="0">
      <alignment vertical="center"/>
    </xf>
    <xf numFmtId="0" fontId="2" fillId="53" borderId="0" applyNumberFormat="0" applyBorder="0" applyAlignment="0" applyProtection="0">
      <alignment vertical="center"/>
    </xf>
    <xf numFmtId="0" fontId="56" fillId="44" borderId="0" applyNumberFormat="0" applyBorder="0" applyAlignment="0" applyProtection="0">
      <alignment vertical="center"/>
    </xf>
    <xf numFmtId="0" fontId="56" fillId="12" borderId="0" applyNumberFormat="0" applyBorder="0" applyAlignment="0" applyProtection="0">
      <alignment vertical="center"/>
    </xf>
    <xf numFmtId="0" fontId="56" fillId="12" borderId="0" applyNumberFormat="0" applyBorder="0" applyAlignment="0" applyProtection="0">
      <alignment vertical="center"/>
    </xf>
    <xf numFmtId="0" fontId="56" fillId="12" borderId="0" applyNumberFormat="0" applyBorder="0" applyAlignment="0" applyProtection="0">
      <alignment vertical="center"/>
    </xf>
    <xf numFmtId="0" fontId="56" fillId="12" borderId="0" applyNumberFormat="0" applyBorder="0" applyAlignment="0" applyProtection="0">
      <alignment vertical="center"/>
    </xf>
    <xf numFmtId="0" fontId="38" fillId="6" borderId="0" applyNumberFormat="0" applyBorder="0" applyAlignment="0" applyProtection="0"/>
    <xf numFmtId="0" fontId="2" fillId="7" borderId="0" applyNumberFormat="0" applyBorder="0" applyAlignment="0" applyProtection="0">
      <alignment vertical="center"/>
    </xf>
    <xf numFmtId="0" fontId="56" fillId="12" borderId="0" applyNumberFormat="0" applyBorder="0" applyAlignment="0" applyProtection="0">
      <alignment vertical="center"/>
    </xf>
    <xf numFmtId="0" fontId="56" fillId="12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12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8" fillId="0" borderId="0">
      <alignment vertical="center"/>
    </xf>
    <xf numFmtId="0" fontId="2" fillId="7" borderId="0" applyNumberFormat="0" applyBorder="0" applyAlignment="0" applyProtection="0">
      <alignment vertical="center"/>
    </xf>
    <xf numFmtId="0" fontId="56" fillId="0" borderId="0">
      <alignment vertical="center"/>
    </xf>
    <xf numFmtId="0" fontId="6" fillId="0" borderId="0"/>
    <xf numFmtId="0" fontId="2" fillId="7" borderId="0" applyNumberFormat="0" applyBorder="0" applyAlignment="0" applyProtection="0">
      <alignment vertical="center"/>
    </xf>
    <xf numFmtId="0" fontId="56" fillId="0" borderId="0">
      <alignment vertical="center"/>
    </xf>
    <xf numFmtId="177" fontId="6" fillId="0" borderId="0" applyFon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" fillId="48" borderId="0" applyNumberFormat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56" fillId="19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56" fillId="0" borderId="0"/>
    <xf numFmtId="0" fontId="56" fillId="19" borderId="0" applyNumberFormat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0" fontId="41" fillId="4" borderId="0" applyNumberFormat="0" applyBorder="0" applyAlignment="0" applyProtection="0"/>
    <xf numFmtId="0" fontId="40" fillId="0" borderId="0" applyNumberForma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2" fillId="20" borderId="0" applyNumberFormat="0" applyBorder="0" applyAlignment="0" applyProtection="0">
      <alignment vertical="center"/>
    </xf>
    <xf numFmtId="177" fontId="6" fillId="0" borderId="0" applyFont="0" applyFill="0" applyBorder="0" applyAlignment="0" applyProtection="0"/>
    <xf numFmtId="0" fontId="40" fillId="0" borderId="0" applyNumberForma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19" borderId="0" applyNumberFormat="0" applyBorder="0" applyAlignment="0" applyProtection="0">
      <alignment vertical="center"/>
    </xf>
    <xf numFmtId="0" fontId="56" fillId="44" borderId="0" applyNumberFormat="0" applyBorder="0" applyAlignment="0" applyProtection="0">
      <alignment vertical="center"/>
    </xf>
    <xf numFmtId="0" fontId="4" fillId="0" borderId="0"/>
    <xf numFmtId="0" fontId="56" fillId="19" borderId="0" applyNumberFormat="0" applyBorder="0" applyAlignment="0" applyProtection="0">
      <alignment vertical="center"/>
    </xf>
    <xf numFmtId="177" fontId="6" fillId="0" borderId="0" applyFont="0" applyFill="0" applyBorder="0" applyAlignment="0" applyProtection="0"/>
    <xf numFmtId="0" fontId="21" fillId="0" borderId="0" applyNumberForma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/>
    <xf numFmtId="0" fontId="56" fillId="19" borderId="0" applyNumberFormat="0" applyBorder="0" applyAlignment="0" applyProtection="0">
      <alignment vertical="center"/>
    </xf>
    <xf numFmtId="0" fontId="56" fillId="19" borderId="0" applyNumberFormat="0" applyBorder="0" applyAlignment="0" applyProtection="0">
      <alignment vertical="center"/>
    </xf>
    <xf numFmtId="0" fontId="29" fillId="33" borderId="0" applyNumberFormat="0" applyBorder="0" applyAlignment="0" applyProtection="0">
      <alignment vertical="center"/>
    </xf>
    <xf numFmtId="0" fontId="56" fillId="14" borderId="0" applyNumberFormat="0" applyBorder="0" applyAlignment="0" applyProtection="0">
      <alignment vertical="center"/>
    </xf>
    <xf numFmtId="0" fontId="2" fillId="0" borderId="0">
      <alignment vertical="center"/>
    </xf>
    <xf numFmtId="0" fontId="6" fillId="0" borderId="0">
      <alignment vertical="top"/>
    </xf>
    <xf numFmtId="0" fontId="56" fillId="14" borderId="0" applyNumberFormat="0" applyBorder="0" applyAlignment="0" applyProtection="0">
      <alignment vertical="center"/>
    </xf>
    <xf numFmtId="0" fontId="2" fillId="0" borderId="0">
      <alignment vertical="center"/>
    </xf>
    <xf numFmtId="0" fontId="56" fillId="1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7" fillId="0" borderId="0">
      <alignment vertical="center"/>
    </xf>
    <xf numFmtId="0" fontId="2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11" borderId="0" applyNumberFormat="0" applyBorder="0" applyAlignment="0" applyProtection="0">
      <alignment vertical="center"/>
    </xf>
    <xf numFmtId="0" fontId="7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6" fillId="47" borderId="16" applyNumberFormat="0" applyFont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11" borderId="0" applyNumberFormat="0" applyBorder="0" applyAlignment="0" applyProtection="0">
      <alignment vertical="center"/>
    </xf>
    <xf numFmtId="0" fontId="6" fillId="47" borderId="16" applyNumberFormat="0" applyFont="0" applyAlignment="0" applyProtection="0">
      <alignment vertical="center"/>
    </xf>
    <xf numFmtId="0" fontId="56" fillId="14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38" fillId="6" borderId="0" applyNumberFormat="0" applyBorder="0" applyAlignment="0" applyProtection="0"/>
    <xf numFmtId="0" fontId="31" fillId="0" borderId="0" applyNumberFormat="0" applyFill="0" applyBorder="0" applyAlignment="0" applyProtection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56" fillId="14" borderId="0" applyNumberFormat="0" applyBorder="0" applyAlignment="0" applyProtection="0">
      <alignment vertical="center"/>
    </xf>
    <xf numFmtId="0" fontId="56" fillId="24" borderId="4" applyNumberFormat="0" applyFont="0" applyAlignment="0" applyProtection="0">
      <alignment vertical="center"/>
    </xf>
    <xf numFmtId="0" fontId="56" fillId="14" borderId="0" applyNumberFormat="0" applyBorder="0" applyAlignment="0" applyProtection="0">
      <alignment vertical="center"/>
    </xf>
    <xf numFmtId="0" fontId="42" fillId="0" borderId="17" applyNumberFormat="0" applyFill="0" applyAlignment="0" applyProtection="0">
      <alignment vertical="center"/>
    </xf>
    <xf numFmtId="0" fontId="56" fillId="44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56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44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44" borderId="0" applyNumberFormat="0" applyBorder="0" applyAlignment="0" applyProtection="0">
      <alignment vertical="center"/>
    </xf>
    <xf numFmtId="0" fontId="6" fillId="0" borderId="0">
      <alignment vertical="center"/>
    </xf>
    <xf numFmtId="0" fontId="8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44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44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44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6" fillId="24" borderId="4" applyNumberFormat="0" applyFont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32" borderId="0" applyNumberFormat="0" applyBorder="0" applyAlignment="0" applyProtection="0">
      <alignment vertical="center"/>
    </xf>
    <xf numFmtId="0" fontId="17" fillId="50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6" fillId="47" borderId="16" applyNumberFormat="0" applyFont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56" fillId="24" borderId="4" applyNumberFormat="0" applyFont="0" applyAlignment="0" applyProtection="0">
      <alignment vertical="center"/>
    </xf>
    <xf numFmtId="0" fontId="56" fillId="44" borderId="0" applyNumberFormat="0" applyBorder="0" applyAlignment="0" applyProtection="0">
      <alignment vertical="center"/>
    </xf>
    <xf numFmtId="0" fontId="56" fillId="24" borderId="4" applyNumberFormat="0" applyFont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0" fontId="56" fillId="44" borderId="0" applyNumberFormat="0" applyBorder="0" applyAlignment="0" applyProtection="0">
      <alignment vertical="center"/>
    </xf>
    <xf numFmtId="0" fontId="13" fillId="54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27" fillId="4" borderId="0" applyNumberFormat="0" applyBorder="0" applyAlignment="0" applyProtection="0"/>
    <xf numFmtId="0" fontId="15" fillId="21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7" fillId="2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56" fillId="0" borderId="0">
      <alignment vertical="center"/>
    </xf>
    <xf numFmtId="0" fontId="5" fillId="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8" fillId="0" borderId="0"/>
    <xf numFmtId="0" fontId="13" fillId="53" borderId="0" applyNumberFormat="0" applyBorder="0" applyAlignment="0" applyProtection="0">
      <alignment vertical="center"/>
    </xf>
    <xf numFmtId="0" fontId="8" fillId="0" borderId="0"/>
    <xf numFmtId="0" fontId="15" fillId="22" borderId="0" applyNumberFormat="0" applyBorder="0" applyAlignment="0" applyProtection="0">
      <alignment vertical="center"/>
    </xf>
    <xf numFmtId="0" fontId="8" fillId="0" borderId="0"/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5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15" fillId="22" borderId="0" applyNumberFormat="0" applyBorder="0" applyAlignment="0" applyProtection="0">
      <alignment vertical="center"/>
    </xf>
    <xf numFmtId="0" fontId="56" fillId="0" borderId="0">
      <alignment vertical="center"/>
    </xf>
    <xf numFmtId="0" fontId="15" fillId="42" borderId="0" applyNumberFormat="0" applyBorder="0" applyAlignment="0" applyProtection="0">
      <alignment vertical="center"/>
    </xf>
    <xf numFmtId="0" fontId="13" fillId="54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5" fillId="42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7" fillId="54" borderId="0" applyNumberFormat="0" applyBorder="0" applyAlignment="0" applyProtection="0">
      <alignment vertical="center"/>
    </xf>
    <xf numFmtId="0" fontId="17" fillId="54" borderId="0" applyNumberFormat="0" applyBorder="0" applyAlignment="0" applyProtection="0">
      <alignment vertical="center"/>
    </xf>
    <xf numFmtId="0" fontId="17" fillId="54" borderId="0" applyNumberFormat="0" applyBorder="0" applyAlignment="0" applyProtection="0">
      <alignment vertical="center"/>
    </xf>
    <xf numFmtId="0" fontId="17" fillId="54" borderId="0" applyNumberFormat="0" applyBorder="0" applyAlignment="0" applyProtection="0">
      <alignment vertical="center"/>
    </xf>
    <xf numFmtId="0" fontId="17" fillId="54" borderId="0" applyNumberFormat="0" applyBorder="0" applyAlignment="0" applyProtection="0">
      <alignment vertical="center"/>
    </xf>
    <xf numFmtId="0" fontId="17" fillId="54" borderId="0" applyNumberFormat="0" applyBorder="0" applyAlignment="0" applyProtection="0">
      <alignment vertical="center"/>
    </xf>
    <xf numFmtId="0" fontId="15" fillId="42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15" fillId="42" borderId="0" applyNumberFormat="0" applyBorder="0" applyAlignment="0" applyProtection="0">
      <alignment vertical="center"/>
    </xf>
    <xf numFmtId="0" fontId="13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15" fillId="23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7" fillId="51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7" fillId="51" borderId="0" applyNumberFormat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7" fillId="51" borderId="0" applyNumberFormat="0" applyBorder="0" applyAlignment="0" applyProtection="0">
      <alignment vertical="center"/>
    </xf>
    <xf numFmtId="0" fontId="17" fillId="51" borderId="0" applyNumberFormat="0" applyBorder="0" applyAlignment="0" applyProtection="0">
      <alignment vertical="center"/>
    </xf>
    <xf numFmtId="0" fontId="17" fillId="51" borderId="0" applyNumberFormat="0" applyBorder="0" applyAlignment="0" applyProtection="0">
      <alignment vertical="center"/>
    </xf>
    <xf numFmtId="0" fontId="56" fillId="0" borderId="0"/>
    <xf numFmtId="0" fontId="4" fillId="0" borderId="0">
      <alignment vertical="center"/>
    </xf>
    <xf numFmtId="0" fontId="56" fillId="0" borderId="0"/>
    <xf numFmtId="0" fontId="7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2" fillId="0" borderId="0">
      <alignment vertical="center"/>
    </xf>
    <xf numFmtId="9" fontId="56" fillId="0" borderId="0" applyFon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177" fontId="4" fillId="0" borderId="0" applyFont="0" applyFill="0" applyBorder="0" applyAlignment="0" applyProtection="0"/>
    <xf numFmtId="0" fontId="20" fillId="0" borderId="0" applyNumberForma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9" fontId="46" fillId="0" borderId="0">
      <alignment vertical="center"/>
    </xf>
    <xf numFmtId="0" fontId="24" fillId="0" borderId="8" applyNumberFormat="0" applyFill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9" fontId="56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6" fillId="0" borderId="0">
      <alignment vertical="center"/>
    </xf>
    <xf numFmtId="9" fontId="56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" fillId="6" borderId="0" applyNumberFormat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56" fillId="0" borderId="0"/>
    <xf numFmtId="177" fontId="4" fillId="0" borderId="0" applyFont="0" applyFill="0" applyBorder="0" applyAlignment="0" applyProtection="0"/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21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20" fillId="0" borderId="0" applyNumberFormat="0" applyFill="0" applyBorder="0" applyAlignment="0" applyProtection="0">
      <alignment vertical="center"/>
    </xf>
    <xf numFmtId="177" fontId="4" fillId="0" borderId="0" applyFont="0" applyFill="0" applyBorder="0" applyAlignment="0" applyProtection="0"/>
    <xf numFmtId="0" fontId="56" fillId="0" borderId="0">
      <alignment vertical="center"/>
    </xf>
    <xf numFmtId="0" fontId="31" fillId="0" borderId="0" applyNumberForma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1" fillId="4" borderId="0" applyNumberFormat="0" applyBorder="0" applyAlignment="0" applyProtection="0"/>
    <xf numFmtId="0" fontId="18" fillId="0" borderId="5" applyNumberFormat="0" applyFill="0" applyAlignment="0" applyProtection="0">
      <alignment vertical="center"/>
    </xf>
    <xf numFmtId="0" fontId="39" fillId="0" borderId="15" applyNumberFormat="0" applyFill="0" applyAlignment="0" applyProtection="0">
      <alignment vertical="center"/>
    </xf>
    <xf numFmtId="0" fontId="39" fillId="0" borderId="15" applyNumberFormat="0" applyFill="0" applyAlignment="0" applyProtection="0">
      <alignment vertical="center"/>
    </xf>
    <xf numFmtId="0" fontId="39" fillId="0" borderId="15" applyNumberFormat="0" applyFill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39" fillId="0" borderId="15" applyNumberFormat="0" applyFill="0" applyAlignment="0" applyProtection="0">
      <alignment vertical="center"/>
    </xf>
    <xf numFmtId="0" fontId="56" fillId="0" borderId="0">
      <alignment vertical="center"/>
    </xf>
    <xf numFmtId="0" fontId="39" fillId="0" borderId="15" applyNumberFormat="0" applyFill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56" fillId="0" borderId="0">
      <alignment vertical="center"/>
    </xf>
    <xf numFmtId="0" fontId="42" fillId="0" borderId="17" applyNumberFormat="0" applyFill="0" applyAlignment="0" applyProtection="0">
      <alignment vertical="center"/>
    </xf>
    <xf numFmtId="0" fontId="42" fillId="0" borderId="17" applyNumberFormat="0" applyFill="0" applyAlignment="0" applyProtection="0">
      <alignment vertical="center"/>
    </xf>
    <xf numFmtId="0" fontId="42" fillId="0" borderId="17" applyNumberFormat="0" applyFill="0" applyAlignment="0" applyProtection="0">
      <alignment vertical="center"/>
    </xf>
    <xf numFmtId="0" fontId="42" fillId="0" borderId="17" applyNumberFormat="0" applyFill="0" applyAlignment="0" applyProtection="0">
      <alignment vertical="center"/>
    </xf>
    <xf numFmtId="0" fontId="56" fillId="0" borderId="0">
      <alignment vertical="center"/>
    </xf>
    <xf numFmtId="0" fontId="42" fillId="0" borderId="17" applyNumberFormat="0" applyFill="0" applyAlignment="0" applyProtection="0">
      <alignment vertical="center"/>
    </xf>
    <xf numFmtId="0" fontId="56" fillId="0" borderId="0">
      <alignment vertical="center"/>
    </xf>
    <xf numFmtId="0" fontId="24" fillId="0" borderId="8" applyNumberFormat="0" applyFill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7" fillId="0" borderId="0">
      <alignment vertical="center"/>
    </xf>
    <xf numFmtId="0" fontId="21" fillId="0" borderId="9" applyNumberFormat="0" applyFill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40" fillId="0" borderId="19" applyNumberFormat="0" applyFill="0" applyAlignment="0" applyProtection="0">
      <alignment vertical="center"/>
    </xf>
    <xf numFmtId="0" fontId="2" fillId="0" borderId="0">
      <alignment vertical="center"/>
    </xf>
    <xf numFmtId="0" fontId="40" fillId="0" borderId="19" applyNumberFormat="0" applyFill="0" applyAlignment="0" applyProtection="0">
      <alignment vertical="center"/>
    </xf>
    <xf numFmtId="0" fontId="40" fillId="0" borderId="19" applyNumberFormat="0" applyFill="0" applyAlignment="0" applyProtection="0">
      <alignment vertical="center"/>
    </xf>
    <xf numFmtId="0" fontId="40" fillId="0" borderId="19" applyNumberFormat="0" applyFill="0" applyAlignment="0" applyProtection="0">
      <alignment vertical="center"/>
    </xf>
    <xf numFmtId="0" fontId="56" fillId="0" borderId="0">
      <alignment vertical="center"/>
    </xf>
    <xf numFmtId="0" fontId="40" fillId="0" borderId="19" applyNumberFormat="0" applyFill="0" applyAlignment="0" applyProtection="0">
      <alignment vertical="center"/>
    </xf>
    <xf numFmtId="0" fontId="4" fillId="0" borderId="0"/>
    <xf numFmtId="0" fontId="56" fillId="0" borderId="0">
      <alignment vertical="center"/>
    </xf>
    <xf numFmtId="0" fontId="56" fillId="0" borderId="0">
      <alignment vertical="center"/>
    </xf>
    <xf numFmtId="0" fontId="40" fillId="0" borderId="19" applyNumberFormat="0" applyFill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177" fontId="6" fillId="0" borderId="0" applyFont="0" applyFill="0" applyBorder="0" applyAlignment="0" applyProtection="0"/>
    <xf numFmtId="0" fontId="56" fillId="0" borderId="0">
      <alignment vertical="center"/>
    </xf>
    <xf numFmtId="0" fontId="40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0" fontId="47" fillId="0" borderId="0" applyNumberFormat="0" applyFill="0" applyBorder="0" applyAlignment="0" applyProtection="0">
      <alignment vertical="center"/>
    </xf>
    <xf numFmtId="0" fontId="6" fillId="0" borderId="0"/>
    <xf numFmtId="0" fontId="20" fillId="0" borderId="0" applyNumberFormat="0" applyFill="0" applyBorder="0" applyAlignment="0" applyProtection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31" fillId="0" borderId="0" applyNumberFormat="0" applyFill="0" applyBorder="0" applyAlignment="0" applyProtection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31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6" fillId="0" borderId="0">
      <alignment vertical="center"/>
    </xf>
    <xf numFmtId="0" fontId="38" fillId="6" borderId="0" applyNumberFormat="0" applyBorder="0" applyAlignment="0" applyProtection="0"/>
    <xf numFmtId="0" fontId="38" fillId="6" borderId="0" applyNumberFormat="0" applyBorder="0" applyAlignment="0" applyProtection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34" fillId="6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56" fillId="0" borderId="0">
      <alignment vertical="center"/>
    </xf>
    <xf numFmtId="0" fontId="8" fillId="0" borderId="0">
      <alignment vertical="center"/>
    </xf>
    <xf numFmtId="0" fontId="5" fillId="6" borderId="0" applyNumberFormat="0" applyBorder="0" applyAlignment="0" applyProtection="0">
      <alignment vertical="center"/>
    </xf>
    <xf numFmtId="0" fontId="56" fillId="0" borderId="0">
      <alignment vertical="center"/>
    </xf>
    <xf numFmtId="0" fontId="8" fillId="0" borderId="0"/>
    <xf numFmtId="0" fontId="15" fillId="40" borderId="0" applyNumberFormat="0" applyBorder="0" applyAlignment="0" applyProtection="0">
      <alignment vertical="center"/>
    </xf>
    <xf numFmtId="0" fontId="38" fillId="6" borderId="0" applyNumberFormat="0" applyBorder="0" applyAlignment="0" applyProtection="0"/>
    <xf numFmtId="0" fontId="5" fillId="6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" fillId="6" borderId="0" applyNumberFormat="0" applyBorder="0" applyAlignment="0" applyProtection="0"/>
    <xf numFmtId="0" fontId="56" fillId="0" borderId="0">
      <alignment vertical="center"/>
    </xf>
    <xf numFmtId="0" fontId="5" fillId="6" borderId="0" applyNumberFormat="0" applyBorder="0" applyAlignment="0" applyProtection="0">
      <alignment vertical="center"/>
    </xf>
    <xf numFmtId="0" fontId="17" fillId="55" borderId="0" applyNumberFormat="0" applyBorder="0" applyAlignment="0" applyProtection="0">
      <alignment vertical="center"/>
    </xf>
    <xf numFmtId="0" fontId="4" fillId="0" borderId="0"/>
    <xf numFmtId="0" fontId="5" fillId="6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8" fillId="0" borderId="0"/>
    <xf numFmtId="0" fontId="56" fillId="0" borderId="0">
      <alignment vertical="center"/>
    </xf>
    <xf numFmtId="0" fontId="2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8" fillId="0" borderId="0">
      <alignment vertical="center"/>
    </xf>
    <xf numFmtId="0" fontId="56" fillId="0" borderId="0"/>
    <xf numFmtId="0" fontId="56" fillId="0" borderId="0">
      <alignment vertical="center"/>
    </xf>
    <xf numFmtId="0" fontId="6" fillId="0" borderId="0">
      <alignment vertical="center"/>
    </xf>
    <xf numFmtId="0" fontId="8" fillId="0" borderId="0">
      <alignment vertical="center"/>
    </xf>
    <xf numFmtId="0" fontId="56" fillId="0" borderId="0"/>
    <xf numFmtId="0" fontId="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56" fillId="0" borderId="0"/>
    <xf numFmtId="0" fontId="56" fillId="0" borderId="0">
      <alignment vertical="center"/>
    </xf>
    <xf numFmtId="0" fontId="8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8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8" fillId="45" borderId="13" applyNumberFormat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1" fillId="4" borderId="0" applyNumberFormat="0" applyBorder="0" applyAlignment="0" applyProtection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2" fillId="27" borderId="7" applyNumberFormat="0" applyAlignment="0" applyProtection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" fillId="0" borderId="0">
      <alignment vertical="center"/>
    </xf>
    <xf numFmtId="0" fontId="56" fillId="0" borderId="0">
      <alignment vertical="center"/>
    </xf>
    <xf numFmtId="0" fontId="4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178" fontId="56" fillId="0" borderId="0"/>
    <xf numFmtId="0" fontId="56" fillId="0" borderId="0">
      <alignment vertical="center"/>
    </xf>
    <xf numFmtId="0" fontId="56" fillId="0" borderId="0">
      <alignment vertical="center"/>
    </xf>
    <xf numFmtId="176" fontId="56" fillId="0" borderId="0" applyFont="0" applyFill="0" applyBorder="0" applyAlignment="0" applyProtection="0">
      <alignment vertical="center"/>
    </xf>
    <xf numFmtId="178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176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33" fillId="0" borderId="0"/>
    <xf numFmtId="0" fontId="27" fillId="4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8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30" fillId="34" borderId="0" applyNumberFormat="0" applyBorder="0" applyAlignment="0" applyProtection="0">
      <alignment vertical="center"/>
    </xf>
    <xf numFmtId="0" fontId="56" fillId="0" borderId="0">
      <alignment vertical="center"/>
    </xf>
    <xf numFmtId="0" fontId="49" fillId="53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9" fillId="53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0" borderId="0"/>
    <xf numFmtId="0" fontId="56" fillId="0" borderId="0"/>
    <xf numFmtId="0" fontId="56" fillId="0" borderId="0"/>
    <xf numFmtId="0" fontId="7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" fillId="0" borderId="0"/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33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35" fillId="45" borderId="13" applyNumberFormat="0" applyAlignment="0" applyProtection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8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24" borderId="4" applyNumberFormat="0" applyFont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5" fillId="25" borderId="3" applyNumberFormat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24" borderId="4" applyNumberFormat="0" applyFont="0" applyAlignment="0" applyProtection="0">
      <alignment vertical="center"/>
    </xf>
    <xf numFmtId="0" fontId="25" fillId="25" borderId="3" applyNumberFormat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8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8" fillId="0" borderId="0">
      <alignment vertical="center"/>
    </xf>
    <xf numFmtId="0" fontId="56" fillId="0" borderId="0">
      <alignment vertical="center"/>
    </xf>
    <xf numFmtId="0" fontId="8" fillId="0" borderId="0">
      <alignment vertical="center"/>
    </xf>
    <xf numFmtId="0" fontId="56" fillId="0" borderId="0">
      <alignment vertical="center"/>
    </xf>
    <xf numFmtId="0" fontId="8" fillId="0" borderId="0"/>
    <xf numFmtId="0" fontId="2" fillId="0" borderId="0">
      <alignment vertical="center"/>
    </xf>
    <xf numFmtId="0" fontId="8" fillId="0" borderId="0">
      <alignment vertical="center"/>
    </xf>
    <xf numFmtId="0" fontId="56" fillId="0" borderId="0">
      <alignment vertical="center"/>
    </xf>
    <xf numFmtId="177" fontId="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56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2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8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3" fillId="57" borderId="0" applyNumberFormat="0" applyBorder="0" applyAlignment="0" applyProtection="0">
      <alignment vertical="center"/>
    </xf>
    <xf numFmtId="0" fontId="56" fillId="0" borderId="0">
      <alignment vertical="center"/>
    </xf>
    <xf numFmtId="0" fontId="15" fillId="30" borderId="0" applyNumberFormat="0" applyBorder="0" applyAlignment="0" applyProtection="0">
      <alignment vertical="center"/>
    </xf>
    <xf numFmtId="0" fontId="56" fillId="0" borderId="0">
      <alignment vertical="center"/>
    </xf>
    <xf numFmtId="0" fontId="17" fillId="57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24" borderId="4" applyNumberFormat="0" applyFont="0" applyAlignment="0" applyProtection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8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" fillId="0" borderId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8" fillId="0" borderId="0"/>
    <xf numFmtId="0" fontId="56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8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8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" fillId="0" borderId="0"/>
    <xf numFmtId="0" fontId="5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30" fillId="34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9" fillId="53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177" fontId="2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29" fillId="33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" fillId="0" borderId="0"/>
    <xf numFmtId="0" fontId="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1" fillId="4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4" fillId="0" borderId="0"/>
    <xf numFmtId="0" fontId="56" fillId="0" borderId="0">
      <alignment vertical="center"/>
    </xf>
    <xf numFmtId="0" fontId="4" fillId="0" borderId="0"/>
    <xf numFmtId="0" fontId="56" fillId="0" borderId="0">
      <alignment vertical="center"/>
    </xf>
    <xf numFmtId="0" fontId="13" fillId="52" borderId="0" applyNumberFormat="0" applyBorder="0" applyAlignment="0" applyProtection="0">
      <alignment vertical="center"/>
    </xf>
    <xf numFmtId="0" fontId="4" fillId="0" borderId="0"/>
    <xf numFmtId="0" fontId="56" fillId="0" borderId="0">
      <alignment vertical="center"/>
    </xf>
    <xf numFmtId="0" fontId="15" fillId="37" borderId="0" applyNumberFormat="0" applyBorder="0" applyAlignment="0" applyProtection="0">
      <alignment vertical="center"/>
    </xf>
    <xf numFmtId="0" fontId="4" fillId="0" borderId="0"/>
    <xf numFmtId="0" fontId="56" fillId="0" borderId="0">
      <alignment vertical="center"/>
    </xf>
    <xf numFmtId="0" fontId="17" fillId="52" borderId="0" applyNumberFormat="0" applyBorder="0" applyAlignment="0" applyProtection="0">
      <alignment vertical="center"/>
    </xf>
    <xf numFmtId="0" fontId="4" fillId="0" borderId="0"/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4" fillId="0" borderId="0"/>
    <xf numFmtId="0" fontId="56" fillId="0" borderId="0">
      <alignment vertical="center"/>
    </xf>
    <xf numFmtId="177" fontId="2" fillId="0" borderId="0" applyFont="0" applyFill="0" applyBorder="0" applyAlignment="0" applyProtection="0">
      <alignment vertical="center"/>
    </xf>
    <xf numFmtId="0" fontId="4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4" fillId="0" borderId="0"/>
    <xf numFmtId="0" fontId="56" fillId="0" borderId="0">
      <alignment vertical="center"/>
    </xf>
    <xf numFmtId="0" fontId="56" fillId="0" borderId="0">
      <alignment vertical="center"/>
    </xf>
    <xf numFmtId="0" fontId="4" fillId="0" borderId="0"/>
    <xf numFmtId="0" fontId="56" fillId="0" borderId="0">
      <alignment vertical="center"/>
    </xf>
    <xf numFmtId="0" fontId="4" fillId="0" borderId="0"/>
    <xf numFmtId="0" fontId="56" fillId="0" borderId="0">
      <alignment vertical="center"/>
    </xf>
    <xf numFmtId="0" fontId="4" fillId="0" borderId="0"/>
    <xf numFmtId="0" fontId="56" fillId="0" borderId="0">
      <alignment vertical="center"/>
    </xf>
    <xf numFmtId="178" fontId="4" fillId="0" borderId="0"/>
    <xf numFmtId="0" fontId="6" fillId="0" borderId="0">
      <alignment vertical="top"/>
    </xf>
    <xf numFmtId="0" fontId="4" fillId="0" borderId="0"/>
    <xf numFmtId="0" fontId="56" fillId="0" borderId="0">
      <alignment vertical="center"/>
    </xf>
    <xf numFmtId="0" fontId="4" fillId="0" borderId="0"/>
    <xf numFmtId="0" fontId="56" fillId="0" borderId="0">
      <alignment vertical="center"/>
    </xf>
    <xf numFmtId="178" fontId="4" fillId="0" borderId="0"/>
    <xf numFmtId="0" fontId="56" fillId="0" borderId="0"/>
    <xf numFmtId="0" fontId="4" fillId="0" borderId="0"/>
    <xf numFmtId="0" fontId="56" fillId="0" borderId="0">
      <alignment vertical="center"/>
    </xf>
    <xf numFmtId="0" fontId="4" fillId="0" borderId="0"/>
    <xf numFmtId="0" fontId="56" fillId="0" borderId="0">
      <alignment vertical="center"/>
    </xf>
    <xf numFmtId="0" fontId="4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" fillId="0" borderId="0"/>
    <xf numFmtId="0" fontId="56" fillId="0" borderId="0">
      <alignment vertical="center"/>
    </xf>
    <xf numFmtId="0" fontId="4" fillId="0" borderId="0"/>
    <xf numFmtId="0" fontId="56" fillId="0" borderId="0">
      <alignment vertical="center"/>
    </xf>
    <xf numFmtId="0" fontId="4" fillId="0" borderId="0"/>
    <xf numFmtId="0" fontId="56" fillId="0" borderId="0">
      <alignment vertical="center"/>
    </xf>
    <xf numFmtId="177" fontId="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10" fillId="0" borderId="0"/>
    <xf numFmtId="0" fontId="56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0" fillId="0" borderId="0"/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2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2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9" fillId="53" borderId="0" applyNumberFormat="0" applyBorder="0" applyAlignment="0" applyProtection="0">
      <alignment vertical="center"/>
    </xf>
    <xf numFmtId="0" fontId="56" fillId="0" borderId="0">
      <alignment vertical="center"/>
    </xf>
    <xf numFmtId="0" fontId="49" fillId="53" borderId="0" applyNumberFormat="0" applyBorder="0" applyAlignment="0" applyProtection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7" fillId="52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7" fillId="52" borderId="0" applyNumberFormat="0" applyBorder="0" applyAlignment="0" applyProtection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7" fillId="52" borderId="0" applyNumberFormat="0" applyBorder="0" applyAlignment="0" applyProtection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6" fillId="0" borderId="0">
      <alignment vertical="top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7" fillId="52" borderId="0" applyNumberFormat="0" applyBorder="0" applyAlignment="0" applyProtection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7" fillId="52" borderId="0" applyNumberFormat="0" applyBorder="0" applyAlignment="0" applyProtection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37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6" fillId="0" borderId="0">
      <alignment vertical="top"/>
    </xf>
    <xf numFmtId="0" fontId="56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/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37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6" fillId="0" borderId="0"/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4" fillId="0" borderId="0"/>
    <xf numFmtId="0" fontId="8" fillId="0" borderId="0"/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4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14" fillId="0" borderId="0">
      <alignment vertical="center"/>
    </xf>
    <xf numFmtId="0" fontId="56" fillId="0" borderId="0"/>
    <xf numFmtId="0" fontId="56" fillId="0" borderId="0"/>
    <xf numFmtId="0" fontId="6" fillId="0" borderId="0"/>
    <xf numFmtId="0" fontId="56" fillId="0" borderId="0"/>
    <xf numFmtId="0" fontId="56" fillId="0" borderId="0"/>
    <xf numFmtId="0" fontId="56" fillId="24" borderId="4" applyNumberFormat="0" applyFont="0" applyAlignment="0" applyProtection="0">
      <alignment vertical="center"/>
    </xf>
    <xf numFmtId="0" fontId="56" fillId="0" borderId="0"/>
    <xf numFmtId="0" fontId="56" fillId="0" borderId="0"/>
    <xf numFmtId="0" fontId="56" fillId="24" borderId="4" applyNumberFormat="0" applyFont="0" applyAlignment="0" applyProtection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4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2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4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177" fontId="56" fillId="0" borderId="0" applyFont="0" applyFill="0" applyBorder="0" applyAlignment="0" applyProtection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4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7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2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8" fillId="0" borderId="0"/>
    <xf numFmtId="0" fontId="56" fillId="0" borderId="0"/>
    <xf numFmtId="0" fontId="56" fillId="0" borderId="0"/>
    <xf numFmtId="0" fontId="56" fillId="0" borderId="0"/>
    <xf numFmtId="0" fontId="4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2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/>
    <xf numFmtId="0" fontId="56" fillId="0" borderId="0"/>
    <xf numFmtId="0" fontId="6" fillId="0" borderId="0"/>
    <xf numFmtId="0" fontId="6" fillId="0" borderId="0"/>
    <xf numFmtId="0" fontId="56" fillId="0" borderId="0"/>
    <xf numFmtId="0" fontId="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6" fillId="0" borderId="0"/>
    <xf numFmtId="0" fontId="17" fillId="56" borderId="0" applyNumberFormat="0" applyBorder="0" applyAlignment="0" applyProtection="0">
      <alignment vertical="center"/>
    </xf>
    <xf numFmtId="0" fontId="6" fillId="0" borderId="0"/>
    <xf numFmtId="0" fontId="15" fillId="40" borderId="0" applyNumberFormat="0" applyBorder="0" applyAlignment="0" applyProtection="0">
      <alignment vertical="center"/>
    </xf>
    <xf numFmtId="0" fontId="14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6" fillId="0" borderId="0">
      <alignment vertical="center"/>
    </xf>
    <xf numFmtId="0" fontId="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/>
    <xf numFmtId="0" fontId="4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2" fillId="0" borderId="0">
      <alignment vertical="center"/>
    </xf>
    <xf numFmtId="0" fontId="2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4" fillId="0" borderId="0">
      <alignment vertical="center"/>
    </xf>
    <xf numFmtId="0" fontId="56" fillId="0" borderId="0"/>
    <xf numFmtId="0" fontId="56" fillId="0" borderId="0"/>
    <xf numFmtId="0" fontId="2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6" fillId="0" borderId="0"/>
    <xf numFmtId="0" fontId="56" fillId="0" borderId="0"/>
    <xf numFmtId="0" fontId="56" fillId="0" borderId="0"/>
    <xf numFmtId="0" fontId="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9" fillId="0" borderId="2" applyNumberFormat="0" applyFill="0" applyAlignment="0" applyProtection="0">
      <alignment vertical="center"/>
    </xf>
    <xf numFmtId="0" fontId="56" fillId="0" borderId="0"/>
    <xf numFmtId="0" fontId="9" fillId="0" borderId="2" applyNumberFormat="0" applyFill="0" applyAlignment="0" applyProtection="0">
      <alignment vertical="center"/>
    </xf>
    <xf numFmtId="0" fontId="2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2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6" fillId="0" borderId="0">
      <alignment vertical="center"/>
    </xf>
    <xf numFmtId="0" fontId="56" fillId="0" borderId="0"/>
    <xf numFmtId="0" fontId="56" fillId="0" borderId="0"/>
    <xf numFmtId="0" fontId="6" fillId="0" borderId="0">
      <alignment vertical="top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8" fillId="0" borderId="0"/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4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" fillId="0" borderId="0"/>
    <xf numFmtId="0" fontId="4" fillId="0" borderId="0"/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38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35" fillId="45" borderId="1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5" fillId="45" borderId="13" applyNumberFormat="0" applyAlignment="0" applyProtection="0">
      <alignment vertical="center"/>
    </xf>
    <xf numFmtId="0" fontId="2" fillId="0" borderId="0">
      <alignment vertical="center"/>
    </xf>
    <xf numFmtId="0" fontId="22" fillId="27" borderId="7" applyNumberFormat="0" applyAlignment="0" applyProtection="0">
      <alignment vertical="center"/>
    </xf>
    <xf numFmtId="0" fontId="2" fillId="0" borderId="0">
      <alignment vertical="center"/>
    </xf>
    <xf numFmtId="0" fontId="22" fillId="27" borderId="7" applyNumberFormat="0" applyAlignment="0" applyProtection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6" fillId="0" borderId="0"/>
    <xf numFmtId="0" fontId="2" fillId="0" borderId="0">
      <alignment vertical="center"/>
    </xf>
    <xf numFmtId="0" fontId="6" fillId="0" borderId="0">
      <alignment vertical="center"/>
    </xf>
    <xf numFmtId="0" fontId="17" fillId="50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7" fillId="50" borderId="0" applyNumberFormat="0" applyBorder="0" applyAlignment="0" applyProtection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7" fillId="50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7" fillId="50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7" fillId="50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6" fillId="0" borderId="0"/>
    <xf numFmtId="0" fontId="8" fillId="0" borderId="0"/>
    <xf numFmtId="0" fontId="6" fillId="0" borderId="0"/>
    <xf numFmtId="0" fontId="56" fillId="0" borderId="0">
      <alignment vertical="center"/>
    </xf>
    <xf numFmtId="0" fontId="6" fillId="0" borderId="0"/>
    <xf numFmtId="0" fontId="2" fillId="0" borderId="0">
      <alignment vertical="center"/>
    </xf>
    <xf numFmtId="0" fontId="6" fillId="0" borderId="0"/>
    <xf numFmtId="0" fontId="56" fillId="0" borderId="0">
      <alignment vertical="center"/>
    </xf>
    <xf numFmtId="0" fontId="6" fillId="0" borderId="0"/>
    <xf numFmtId="0" fontId="56" fillId="0" borderId="0">
      <alignment vertical="center"/>
    </xf>
    <xf numFmtId="0" fontId="14" fillId="0" borderId="0">
      <alignment vertical="center"/>
    </xf>
    <xf numFmtId="0" fontId="50" fillId="0" borderId="20" applyNumberFormat="0" applyFill="0" applyAlignment="0" applyProtection="0">
      <alignment vertical="center"/>
    </xf>
    <xf numFmtId="0" fontId="14" fillId="0" borderId="0">
      <alignment vertical="center"/>
    </xf>
    <xf numFmtId="0" fontId="15" fillId="38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38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0" borderId="0">
      <alignment vertical="center"/>
    </xf>
    <xf numFmtId="0" fontId="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6" fillId="0" borderId="0"/>
    <xf numFmtId="0" fontId="14" fillId="0" borderId="0">
      <alignment vertical="center"/>
    </xf>
    <xf numFmtId="0" fontId="14" fillId="0" borderId="0">
      <alignment vertical="center"/>
    </xf>
    <xf numFmtId="0" fontId="12" fillId="17" borderId="3" applyNumberFormat="0" applyAlignment="0" applyProtection="0">
      <alignment vertical="center"/>
    </xf>
    <xf numFmtId="0" fontId="14" fillId="0" borderId="0">
      <alignment vertical="center"/>
    </xf>
    <xf numFmtId="0" fontId="52" fillId="36" borderId="21" applyNumberFormat="0" applyAlignment="0" applyProtection="0">
      <alignment vertical="center"/>
    </xf>
    <xf numFmtId="0" fontId="56" fillId="0" borderId="0">
      <alignment vertical="center"/>
    </xf>
    <xf numFmtId="0" fontId="12" fillId="17" borderId="3" applyNumberFormat="0" applyAlignment="0" applyProtection="0">
      <alignment vertical="center"/>
    </xf>
    <xf numFmtId="0" fontId="14" fillId="0" borderId="0">
      <alignment vertical="center"/>
    </xf>
    <xf numFmtId="0" fontId="52" fillId="36" borderId="21" applyNumberFormat="0" applyAlignment="0" applyProtection="0">
      <alignment vertical="center"/>
    </xf>
    <xf numFmtId="176" fontId="56" fillId="0" borderId="0" applyFont="0" applyFill="0" applyBorder="0" applyAlignment="0" applyProtection="0">
      <alignment vertical="center"/>
    </xf>
    <xf numFmtId="0" fontId="2" fillId="0" borderId="0">
      <alignment vertical="center"/>
    </xf>
    <xf numFmtId="176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176" fontId="7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56" fillId="24" borderId="4" applyNumberFormat="0" applyFont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2" fillId="36" borderId="21" applyNumberFormat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4" fillId="0" borderId="0"/>
    <xf numFmtId="0" fontId="56" fillId="0" borderId="0">
      <alignment vertical="center"/>
    </xf>
    <xf numFmtId="0" fontId="4" fillId="0" borderId="0"/>
    <xf numFmtId="0" fontId="4" fillId="0" borderId="0"/>
    <xf numFmtId="0" fontId="15" fillId="35" borderId="0" applyNumberFormat="0" applyBorder="0" applyAlignment="0" applyProtection="0">
      <alignment vertical="center"/>
    </xf>
    <xf numFmtId="0" fontId="4" fillId="0" borderId="0"/>
    <xf numFmtId="178" fontId="4" fillId="0" borderId="0"/>
    <xf numFmtId="0" fontId="15" fillId="30" borderId="0" applyNumberFormat="0" applyBorder="0" applyAlignment="0" applyProtection="0">
      <alignment vertical="center"/>
    </xf>
    <xf numFmtId="0" fontId="4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56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6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6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24" borderId="4" applyNumberFormat="0" applyFont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24" borderId="4" applyNumberFormat="0" applyFont="0" applyAlignment="0" applyProtection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56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3" fillId="0" borderId="0" applyNumberFormat="0" applyFill="0" applyBorder="0" applyAlignment="0" applyProtection="0">
      <alignment vertical="top"/>
      <protection locked="0"/>
    </xf>
    <xf numFmtId="0" fontId="56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77" fontId="6" fillId="0" borderId="0" applyFont="0" applyFill="0" applyBorder="0" applyAlignment="0" applyProtection="0">
      <alignment vertical="center"/>
    </xf>
    <xf numFmtId="0" fontId="56" fillId="0" borderId="0"/>
    <xf numFmtId="0" fontId="56" fillId="0" borderId="0"/>
    <xf numFmtId="0" fontId="2" fillId="0" borderId="0">
      <alignment vertical="center"/>
    </xf>
    <xf numFmtId="0" fontId="2" fillId="0" borderId="0">
      <alignment vertical="center"/>
    </xf>
    <xf numFmtId="0" fontId="6" fillId="0" borderId="0">
      <alignment vertical="center"/>
    </xf>
    <xf numFmtId="176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176" fontId="56" fillId="0" borderId="0" applyFont="0" applyFill="0" applyBorder="0" applyAlignment="0" applyProtection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2" fillId="0" borderId="0">
      <alignment vertical="center"/>
    </xf>
    <xf numFmtId="0" fontId="56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24" borderId="4" applyNumberFormat="0" applyFont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3" fillId="49" borderId="0" applyNumberFormat="0" applyBorder="0" applyAlignment="0" applyProtection="0">
      <alignment vertical="center"/>
    </xf>
    <xf numFmtId="0" fontId="56" fillId="0" borderId="0">
      <alignment vertical="center"/>
    </xf>
    <xf numFmtId="0" fontId="15" fillId="38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56" fillId="0" borderId="0">
      <alignment vertical="center"/>
    </xf>
    <xf numFmtId="0" fontId="17" fillId="50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177" fontId="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177" fontId="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9" fillId="0" borderId="22" applyNumberFormat="0" applyFill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177" fontId="4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177" fontId="7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177" fontId="7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177" fontId="2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7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/>
    <xf numFmtId="0" fontId="7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2" fillId="0" borderId="0">
      <alignment vertical="center"/>
    </xf>
    <xf numFmtId="177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177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177" fontId="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13" fillId="54" borderId="0" applyNumberFormat="0" applyBorder="0" applyAlignment="0" applyProtection="0">
      <alignment vertical="center"/>
    </xf>
    <xf numFmtId="177" fontId="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15" fillId="40" borderId="0" applyNumberFormat="0" applyBorder="0" applyAlignment="0" applyProtection="0">
      <alignment vertical="center"/>
    </xf>
    <xf numFmtId="177" fontId="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17" fillId="54" borderId="0" applyNumberFormat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177" fontId="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177" fontId="4" fillId="0" borderId="0" applyFont="0" applyFill="0" applyBorder="0" applyAlignment="0" applyProtection="0">
      <alignment vertical="center"/>
    </xf>
    <xf numFmtId="177" fontId="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177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179" fontId="6" fillId="0" borderId="0" applyFont="0" applyFill="0" applyBorder="0" applyAlignment="0" applyProtection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6" fillId="0" borderId="0"/>
    <xf numFmtId="0" fontId="7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6" fillId="0" borderId="0"/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177" fontId="2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6" fillId="0" borderId="0">
      <alignment vertical="center"/>
    </xf>
    <xf numFmtId="0" fontId="8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7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7" fillId="4" borderId="0" applyNumberFormat="0" applyBorder="0" applyAlignment="0" applyProtection="0">
      <alignment vertical="center"/>
    </xf>
    <xf numFmtId="0" fontId="56" fillId="0" borderId="0">
      <alignment vertical="center"/>
    </xf>
    <xf numFmtId="0" fontId="8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8" fillId="0" borderId="0">
      <alignment vertical="center"/>
    </xf>
    <xf numFmtId="0" fontId="55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0" fontId="2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2" fillId="0" borderId="0">
      <alignment vertical="center"/>
    </xf>
    <xf numFmtId="177" fontId="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6" fillId="0" borderId="0" applyFont="0" applyFill="0" applyBorder="0" applyAlignment="0" applyProtection="0">
      <alignment vertical="center"/>
    </xf>
    <xf numFmtId="0" fontId="8" fillId="0" borderId="0" applyBorder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0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8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8" fillId="0" borderId="0" applyBorder="0"/>
    <xf numFmtId="0" fontId="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177" fontId="2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7" fillId="4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6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8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24" borderId="4" applyNumberFormat="0" applyFont="0" applyAlignment="0" applyProtection="0">
      <alignment vertical="center"/>
    </xf>
    <xf numFmtId="0" fontId="2" fillId="0" borderId="0">
      <alignment vertical="center"/>
    </xf>
    <xf numFmtId="0" fontId="56" fillId="24" borderId="4" applyNumberFormat="0" applyFont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8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0" fillId="0" borderId="20" applyNumberFormat="0" applyFill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6" fillId="0" borderId="10" applyNumberFormat="0" applyFill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3" fillId="54" borderId="0" applyNumberFormat="0" applyBorder="0" applyAlignment="0" applyProtection="0">
      <alignment vertical="center"/>
    </xf>
    <xf numFmtId="0" fontId="56" fillId="0" borderId="0">
      <alignment vertical="center"/>
    </xf>
    <xf numFmtId="0" fontId="15" fillId="35" borderId="0" applyNumberFormat="0" applyBorder="0" applyAlignment="0" applyProtection="0">
      <alignment vertical="center"/>
    </xf>
    <xf numFmtId="0" fontId="56" fillId="0" borderId="0">
      <alignment vertical="center"/>
    </xf>
    <xf numFmtId="0" fontId="17" fillId="56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177" fontId="2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7" fillId="4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9" fillId="25" borderId="6" applyNumberFormat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37" fillId="16" borderId="14" applyNumberFormat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37" fillId="48" borderId="14" applyNumberFormat="0" applyAlignment="0" applyProtection="0">
      <alignment vertical="center"/>
    </xf>
    <xf numFmtId="0" fontId="8" fillId="0" borderId="0"/>
    <xf numFmtId="0" fontId="56" fillId="0" borderId="0">
      <alignment vertical="center"/>
    </xf>
    <xf numFmtId="0" fontId="37" fillId="48" borderId="14" applyNumberFormat="0" applyAlignment="0" applyProtection="0">
      <alignment vertical="center"/>
    </xf>
    <xf numFmtId="0" fontId="56" fillId="0" borderId="0">
      <alignment vertical="center"/>
    </xf>
    <xf numFmtId="0" fontId="37" fillId="48" borderId="14" applyNumberFormat="0" applyAlignment="0" applyProtection="0">
      <alignment vertical="center"/>
    </xf>
    <xf numFmtId="0" fontId="56" fillId="0" borderId="0">
      <alignment vertical="center"/>
    </xf>
    <xf numFmtId="0" fontId="37" fillId="48" borderId="14" applyNumberFormat="0" applyAlignment="0" applyProtection="0">
      <alignment vertical="center"/>
    </xf>
    <xf numFmtId="0" fontId="56" fillId="0" borderId="0">
      <alignment vertical="center"/>
    </xf>
    <xf numFmtId="0" fontId="37" fillId="48" borderId="14" applyNumberFormat="0" applyAlignment="0" applyProtection="0">
      <alignment vertical="center"/>
    </xf>
    <xf numFmtId="0" fontId="56" fillId="0" borderId="0">
      <alignment vertical="center"/>
    </xf>
    <xf numFmtId="0" fontId="19" fillId="25" borderId="6" applyNumberFormat="0" applyAlignment="0" applyProtection="0">
      <alignment vertical="center"/>
    </xf>
    <xf numFmtId="0" fontId="56" fillId="0" borderId="0">
      <alignment vertical="center"/>
    </xf>
    <xf numFmtId="0" fontId="19" fillId="25" borderId="6" applyNumberFormat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7" fillId="54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8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47" borderId="16" applyNumberFormat="0" applyFont="0" applyAlignment="0" applyProtection="0">
      <alignment vertical="center"/>
    </xf>
    <xf numFmtId="0" fontId="8" fillId="0" borderId="0"/>
    <xf numFmtId="0" fontId="6" fillId="0" borderId="0">
      <alignment vertical="center"/>
    </xf>
    <xf numFmtId="0" fontId="56" fillId="24" borderId="4" applyNumberFormat="0" applyFont="0" applyAlignment="0" applyProtection="0">
      <alignment vertical="center"/>
    </xf>
    <xf numFmtId="0" fontId="56" fillId="0" borderId="0">
      <alignment vertical="center"/>
    </xf>
    <xf numFmtId="0" fontId="56" fillId="24" borderId="4" applyNumberFormat="0" applyFont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19" fillId="25" borderId="6" applyNumberFormat="0" applyAlignment="0" applyProtection="0">
      <alignment vertical="center"/>
    </xf>
    <xf numFmtId="0" fontId="8" fillId="0" borderId="0" applyBorder="0"/>
    <xf numFmtId="0" fontId="37" fillId="48" borderId="14" applyNumberFormat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35" fillId="45" borderId="13" applyNumberFormat="0" applyAlignment="0" applyProtection="0">
      <alignment vertical="center"/>
    </xf>
    <xf numFmtId="0" fontId="56" fillId="0" borderId="0">
      <alignment vertical="center"/>
    </xf>
    <xf numFmtId="0" fontId="53" fillId="0" borderId="0" applyNumberFormat="0" applyFill="0" applyBorder="0" applyAlignment="0" applyProtection="0">
      <alignment vertical="top"/>
      <protection locked="0"/>
    </xf>
    <xf numFmtId="0" fontId="53" fillId="0" borderId="0" applyNumberFormat="0" applyFill="0" applyBorder="0" applyAlignment="0" applyProtection="0">
      <alignment vertical="top"/>
      <protection locked="0"/>
    </xf>
    <xf numFmtId="0" fontId="53" fillId="0" borderId="0" applyNumberFormat="0" applyFill="0" applyBorder="0" applyAlignment="0" applyProtection="0">
      <alignment vertical="top"/>
      <protection locked="0"/>
    </xf>
    <xf numFmtId="0" fontId="29" fillId="33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9" fillId="33" borderId="0" applyNumberFormat="0" applyBorder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41" fillId="4" borderId="0" applyNumberFormat="0" applyBorder="0" applyAlignment="0" applyProtection="0"/>
    <xf numFmtId="0" fontId="51" fillId="4" borderId="0" applyNumberFormat="0" applyBorder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41" fillId="4" borderId="0" applyNumberFormat="0" applyBorder="0" applyAlignment="0" applyProtection="0"/>
    <xf numFmtId="0" fontId="41" fillId="4" borderId="0" applyNumberFormat="0" applyBorder="0" applyAlignment="0" applyProtection="0"/>
    <xf numFmtId="0" fontId="27" fillId="4" borderId="0" applyNumberFormat="0" applyBorder="0" applyAlignment="0" applyProtection="0">
      <alignment vertical="center"/>
    </xf>
    <xf numFmtId="0" fontId="17" fillId="55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17" fillId="55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25" fillId="25" borderId="3" applyNumberFormat="0" applyAlignment="0" applyProtection="0">
      <alignment vertical="center"/>
    </xf>
    <xf numFmtId="0" fontId="54" fillId="16" borderId="21" applyNumberFormat="0" applyAlignment="0" applyProtection="0">
      <alignment vertical="center"/>
    </xf>
    <xf numFmtId="0" fontId="25" fillId="25" borderId="3" applyNumberFormat="0" applyAlignment="0" applyProtection="0">
      <alignment vertical="center"/>
    </xf>
    <xf numFmtId="0" fontId="54" fillId="48" borderId="21" applyNumberFormat="0" applyAlignment="0" applyProtection="0">
      <alignment vertical="center"/>
    </xf>
    <xf numFmtId="0" fontId="54" fillId="48" borderId="21" applyNumberFormat="0" applyAlignment="0" applyProtection="0">
      <alignment vertical="center"/>
    </xf>
    <xf numFmtId="0" fontId="54" fillId="48" borderId="21" applyNumberFormat="0" applyAlignment="0" applyProtection="0">
      <alignment vertical="center"/>
    </xf>
    <xf numFmtId="0" fontId="54" fillId="48" borderId="21" applyNumberFormat="0" applyAlignment="0" applyProtection="0">
      <alignment vertical="center"/>
    </xf>
    <xf numFmtId="0" fontId="54" fillId="48" borderId="21" applyNumberFormat="0" applyAlignment="0" applyProtection="0">
      <alignment vertical="center"/>
    </xf>
    <xf numFmtId="0" fontId="54" fillId="48" borderId="21" applyNumberFormat="0" applyAlignment="0" applyProtection="0">
      <alignment vertical="center"/>
    </xf>
    <xf numFmtId="0" fontId="22" fillId="27" borderId="7" applyNumberFormat="0" applyAlignment="0" applyProtection="0">
      <alignment vertical="center"/>
    </xf>
    <xf numFmtId="0" fontId="35" fillId="45" borderId="13" applyNumberFormat="0" applyAlignment="0" applyProtection="0">
      <alignment vertical="center"/>
    </xf>
    <xf numFmtId="0" fontId="35" fillId="45" borderId="13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6" fillId="0" borderId="0">
      <alignment vertical="center"/>
    </xf>
    <xf numFmtId="177" fontId="6" fillId="0" borderId="0" applyFont="0" applyFill="0" applyBorder="0" applyAlignment="0" applyProtection="0">
      <alignment vertical="center"/>
    </xf>
    <xf numFmtId="177" fontId="6" fillId="0" borderId="0" applyFont="0" applyFill="0" applyBorder="0" applyAlignment="0" applyProtection="0">
      <alignment vertical="center"/>
    </xf>
    <xf numFmtId="177" fontId="6" fillId="0" borderId="0" applyFont="0" applyFill="0" applyBorder="0" applyAlignment="0" applyProtection="0">
      <alignment vertical="center"/>
    </xf>
    <xf numFmtId="177" fontId="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2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2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2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6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6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6" fontId="7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6" fillId="0" borderId="0" applyFont="0" applyFill="0" applyBorder="0" applyAlignment="0" applyProtection="0"/>
    <xf numFmtId="177" fontId="2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6" fontId="56" fillId="0" borderId="0" applyFont="0" applyFill="0" applyBorder="0" applyAlignment="0" applyProtection="0">
      <alignment vertical="center"/>
    </xf>
    <xf numFmtId="176" fontId="56" fillId="0" borderId="0" applyFont="0" applyFill="0" applyBorder="0" applyAlignment="0" applyProtection="0">
      <alignment vertical="center"/>
    </xf>
    <xf numFmtId="176" fontId="56" fillId="0" borderId="0" applyFont="0" applyFill="0" applyBorder="0" applyAlignment="0" applyProtection="0">
      <alignment vertical="center"/>
    </xf>
    <xf numFmtId="176" fontId="56" fillId="0" borderId="0" applyFont="0" applyFill="0" applyBorder="0" applyAlignment="0" applyProtection="0">
      <alignment vertical="center"/>
    </xf>
    <xf numFmtId="176" fontId="7" fillId="0" borderId="0" applyFont="0" applyFill="0" applyBorder="0" applyAlignment="0" applyProtection="0">
      <alignment vertical="center"/>
    </xf>
    <xf numFmtId="176" fontId="7" fillId="0" borderId="0" applyFont="0" applyFill="0" applyBorder="0" applyAlignment="0" applyProtection="0">
      <alignment vertical="center"/>
    </xf>
    <xf numFmtId="176" fontId="7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56" fillId="0" borderId="0" applyFont="0" applyFill="0" applyBorder="0" applyAlignment="0" applyProtection="0">
      <alignment vertical="center"/>
    </xf>
    <xf numFmtId="176" fontId="56" fillId="0" borderId="0" applyFont="0" applyFill="0" applyBorder="0" applyAlignment="0" applyProtection="0">
      <alignment vertical="center"/>
    </xf>
    <xf numFmtId="176" fontId="56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80" fontId="4" fillId="0" borderId="0" applyFont="0" applyFill="0" applyBorder="0" applyAlignment="0" applyProtection="0">
      <alignment vertical="center"/>
    </xf>
    <xf numFmtId="0" fontId="17" fillId="56" borderId="0" applyNumberFormat="0" applyBorder="0" applyAlignment="0" applyProtection="0">
      <alignment vertical="center"/>
    </xf>
    <xf numFmtId="0" fontId="17" fillId="56" borderId="0" applyNumberFormat="0" applyBorder="0" applyAlignment="0" applyProtection="0">
      <alignment vertical="center"/>
    </xf>
    <xf numFmtId="0" fontId="17" fillId="56" borderId="0" applyNumberFormat="0" applyBorder="0" applyAlignment="0" applyProtection="0">
      <alignment vertical="center"/>
    </xf>
    <xf numFmtId="0" fontId="17" fillId="56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7" fillId="57" borderId="0" applyNumberFormat="0" applyBorder="0" applyAlignment="0" applyProtection="0">
      <alignment vertical="center"/>
    </xf>
    <xf numFmtId="0" fontId="17" fillId="57" borderId="0" applyNumberFormat="0" applyBorder="0" applyAlignment="0" applyProtection="0">
      <alignment vertical="center"/>
    </xf>
    <xf numFmtId="0" fontId="17" fillId="57" borderId="0" applyNumberFormat="0" applyBorder="0" applyAlignment="0" applyProtection="0">
      <alignment vertical="center"/>
    </xf>
    <xf numFmtId="0" fontId="17" fillId="57" borderId="0" applyNumberFormat="0" applyBorder="0" applyAlignment="0" applyProtection="0">
      <alignment vertical="center"/>
    </xf>
    <xf numFmtId="0" fontId="17" fillId="57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7" fillId="54" borderId="0" applyNumberFormat="0" applyBorder="0" applyAlignment="0" applyProtection="0">
      <alignment vertical="center"/>
    </xf>
    <xf numFmtId="0" fontId="17" fillId="54" borderId="0" applyNumberFormat="0" applyBorder="0" applyAlignment="0" applyProtection="0">
      <alignment vertical="center"/>
    </xf>
    <xf numFmtId="0" fontId="17" fillId="54" borderId="0" applyNumberFormat="0" applyBorder="0" applyAlignment="0" applyProtection="0">
      <alignment vertical="center"/>
    </xf>
    <xf numFmtId="0" fontId="17" fillId="54" borderId="0" applyNumberFormat="0" applyBorder="0" applyAlignment="0" applyProtection="0">
      <alignment vertical="center"/>
    </xf>
    <xf numFmtId="0" fontId="15" fillId="40" borderId="0" applyNumberFormat="0" applyBorder="0" applyAlignment="0" applyProtection="0">
      <alignment vertical="center"/>
    </xf>
    <xf numFmtId="0" fontId="15" fillId="43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5" fillId="43" borderId="0" applyNumberFormat="0" applyBorder="0" applyAlignment="0" applyProtection="0">
      <alignment vertical="center"/>
    </xf>
    <xf numFmtId="0" fontId="17" fillId="55" borderId="0" applyNumberFormat="0" applyBorder="0" applyAlignment="0" applyProtection="0">
      <alignment vertical="center"/>
    </xf>
    <xf numFmtId="0" fontId="17" fillId="55" borderId="0" applyNumberFormat="0" applyBorder="0" applyAlignment="0" applyProtection="0">
      <alignment vertical="center"/>
    </xf>
    <xf numFmtId="0" fontId="17" fillId="55" borderId="0" applyNumberFormat="0" applyBorder="0" applyAlignment="0" applyProtection="0">
      <alignment vertical="center"/>
    </xf>
    <xf numFmtId="0" fontId="15" fillId="43" borderId="0" applyNumberFormat="0" applyBorder="0" applyAlignment="0" applyProtection="0">
      <alignment vertical="center"/>
    </xf>
    <xf numFmtId="0" fontId="15" fillId="43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30" fillId="34" borderId="0" applyNumberFormat="0" applyBorder="0" applyAlignment="0" applyProtection="0">
      <alignment vertical="center"/>
    </xf>
    <xf numFmtId="0" fontId="30" fillId="34" borderId="0" applyNumberFormat="0" applyBorder="0" applyAlignment="0" applyProtection="0">
      <alignment vertical="center"/>
    </xf>
    <xf numFmtId="0" fontId="52" fillId="36" borderId="21" applyNumberFormat="0" applyAlignment="0" applyProtection="0">
      <alignment vertical="center"/>
    </xf>
    <xf numFmtId="0" fontId="52" fillId="36" borderId="21" applyNumberFormat="0" applyAlignment="0" applyProtection="0">
      <alignment vertical="center"/>
    </xf>
    <xf numFmtId="0" fontId="52" fillId="36" borderId="21" applyNumberFormat="0" applyAlignment="0" applyProtection="0">
      <alignment vertical="center"/>
    </xf>
    <xf numFmtId="0" fontId="52" fillId="36" borderId="21" applyNumberFormat="0" applyAlignment="0" applyProtection="0">
      <alignment vertical="center"/>
    </xf>
    <xf numFmtId="0" fontId="12" fillId="17" borderId="3" applyNumberFormat="0" applyAlignment="0" applyProtection="0">
      <alignment vertical="center"/>
    </xf>
    <xf numFmtId="0" fontId="56" fillId="24" borderId="4" applyNumberFormat="0" applyFont="0" applyAlignment="0" applyProtection="0">
      <alignment vertical="center"/>
    </xf>
    <xf numFmtId="0" fontId="56" fillId="24" borderId="4" applyNumberFormat="0" applyFont="0" applyAlignment="0" applyProtection="0">
      <alignment vertical="center"/>
    </xf>
    <xf numFmtId="0" fontId="56" fillId="24" borderId="4" applyNumberFormat="0" applyFont="0" applyAlignment="0" applyProtection="0">
      <alignment vertical="center"/>
    </xf>
    <xf numFmtId="0" fontId="6" fillId="47" borderId="16" applyNumberFormat="0" applyFont="0" applyAlignment="0" applyProtection="0">
      <alignment vertical="center"/>
    </xf>
    <xf numFmtId="0" fontId="6" fillId="47" borderId="16" applyNumberFormat="0" applyFont="0" applyAlignment="0" applyProtection="0">
      <alignment vertical="center"/>
    </xf>
    <xf numFmtId="0" fontId="6" fillId="47" borderId="16" applyNumberFormat="0" applyFont="0" applyAlignment="0" applyProtection="0">
      <alignment vertical="center"/>
    </xf>
    <xf numFmtId="0" fontId="56" fillId="24" borderId="4" applyNumberFormat="0" applyFont="0" applyAlignment="0" applyProtection="0">
      <alignment vertical="center"/>
    </xf>
  </cellStyleXfs>
  <cellXfs count="16">
    <xf numFmtId="0" fontId="0" fillId="0" borderId="0" xfId="0">
      <alignment vertical="center"/>
    </xf>
    <xf numFmtId="0" fontId="0" fillId="3" borderId="0" xfId="0" applyFill="1">
      <alignment vertical="center"/>
    </xf>
    <xf numFmtId="0" fontId="56" fillId="3" borderId="0" xfId="0" applyFont="1" applyFill="1">
      <alignment vertical="center"/>
    </xf>
    <xf numFmtId="0" fontId="0" fillId="9" borderId="0" xfId="0" applyFill="1">
      <alignment vertical="center"/>
    </xf>
    <xf numFmtId="49" fontId="0" fillId="58" borderId="0" xfId="0" applyNumberFormat="1" applyFill="1" applyAlignment="1">
      <alignment horizontal="center" vertical="center" wrapText="1"/>
    </xf>
    <xf numFmtId="49" fontId="0" fillId="58" borderId="0" xfId="0" applyNumberFormat="1" applyFill="1">
      <alignment vertical="center"/>
    </xf>
    <xf numFmtId="0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1" fillId="0" borderId="1" xfId="0" applyNumberFormat="1" applyFont="1" applyFill="1" applyBorder="1" applyAlignment="1">
      <alignment horizontal="center" vertical="center" wrapText="1"/>
    </xf>
    <xf numFmtId="0" fontId="0" fillId="0" borderId="0" xfId="0" applyNumberFormat="1" applyFill="1" applyAlignment="1">
      <alignment vertical="center" wrapText="1"/>
    </xf>
    <xf numFmtId="0" fontId="1" fillId="59" borderId="1" xfId="0" applyNumberFormat="1" applyFont="1" applyFill="1" applyBorder="1" applyAlignment="1">
      <alignment horizontal="center" vertical="center" wrapText="1"/>
    </xf>
    <xf numFmtId="0" fontId="56" fillId="0" borderId="0" xfId="0" applyNumberFormat="1" applyFont="1" applyFill="1" applyAlignment="1">
      <alignment vertical="center" wrapText="1"/>
    </xf>
    <xf numFmtId="0" fontId="56" fillId="0" borderId="0" xfId="0" applyFont="1">
      <alignment vertical="center"/>
    </xf>
    <xf numFmtId="0" fontId="0" fillId="3" borderId="0" xfId="0" applyFont="1" applyFill="1">
      <alignment vertical="center"/>
    </xf>
    <xf numFmtId="0" fontId="1" fillId="60" borderId="1" xfId="0" applyNumberFormat="1" applyFont="1" applyFill="1" applyBorder="1" applyAlignment="1">
      <alignment horizontal="center" vertical="center" wrapText="1"/>
    </xf>
  </cellXfs>
  <cellStyles count="3640">
    <cellStyle name="_ET_STYLE_NoName_00_" xfId="88" xr:uid="{00000000-0005-0000-0000-000088000000}"/>
    <cellStyle name="20% - 强调文字颜色 1 2" xfId="1" xr:uid="{00000000-0005-0000-0000-000002000000}"/>
    <cellStyle name="20% - 强调文字颜色 1 2 2" xfId="110" xr:uid="{00000000-0005-0000-0000-00009E000000}"/>
    <cellStyle name="20% - 强调文字颜色 1 2 3" xfId="93" xr:uid="{00000000-0005-0000-0000-00008D000000}"/>
    <cellStyle name="20% - 强调文字颜色 1 2 3 2" xfId="105" xr:uid="{00000000-0005-0000-0000-000099000000}"/>
    <cellStyle name="20% - 强调文字颜色 1 2 3 2 2" xfId="107" xr:uid="{00000000-0005-0000-0000-00009B000000}"/>
    <cellStyle name="20% - 强调文字颜色 1 2 3 3" xfId="113" xr:uid="{00000000-0005-0000-0000-0000A1000000}"/>
    <cellStyle name="20% - 强调文字颜色 1 2 4" xfId="117" xr:uid="{00000000-0005-0000-0000-0000A5000000}"/>
    <cellStyle name="20% - 强调文字颜色 1 2 5" xfId="123" xr:uid="{00000000-0005-0000-0000-0000AB000000}"/>
    <cellStyle name="20% - 强调文字颜色 1 2 5 2" xfId="126" xr:uid="{00000000-0005-0000-0000-0000AE000000}"/>
    <cellStyle name="20% - 强调文字颜色 1 2 6" xfId="130" xr:uid="{00000000-0005-0000-0000-0000B2000000}"/>
    <cellStyle name="20% - 强调文字颜色 1 3" xfId="101" xr:uid="{00000000-0005-0000-0000-000095000000}"/>
    <cellStyle name="20% - 强调文字颜色 1 4" xfId="94" xr:uid="{00000000-0005-0000-0000-00008E000000}"/>
    <cellStyle name="20% - 强调文字颜色 1 5" xfId="89" xr:uid="{00000000-0005-0000-0000-000089000000}"/>
    <cellStyle name="20% - 强调文字颜色 1 6" xfId="95" xr:uid="{00000000-0005-0000-0000-00008F000000}"/>
    <cellStyle name="20% - 强调文字颜色 1 7" xfId="100" xr:uid="{00000000-0005-0000-0000-000094000000}"/>
    <cellStyle name="20% - 强调文字颜色 1 8" xfId="136" xr:uid="{00000000-0005-0000-0000-0000B8000000}"/>
    <cellStyle name="20% - 强调文字颜色 1 8 2" xfId="137" xr:uid="{00000000-0005-0000-0000-0000B9000000}"/>
    <cellStyle name="20% - 强调文字颜色 1 9" xfId="145" xr:uid="{00000000-0005-0000-0000-0000C1000000}"/>
    <cellStyle name="20% - 强调文字颜色 2 2" xfId="147" xr:uid="{00000000-0005-0000-0000-0000C3000000}"/>
    <cellStyle name="20% - 强调文字颜色 2 2 2" xfId="150" xr:uid="{00000000-0005-0000-0000-0000C6000000}"/>
    <cellStyle name="20% - 强调文字颜色 2 2 3" xfId="152" xr:uid="{00000000-0005-0000-0000-0000C8000000}"/>
    <cellStyle name="20% - 强调文字颜色 2 2 3 2" xfId="157" xr:uid="{00000000-0005-0000-0000-0000CD000000}"/>
    <cellStyle name="20% - 强调文字颜色 2 2 3 2 2" xfId="161" xr:uid="{00000000-0005-0000-0000-0000D1000000}"/>
    <cellStyle name="20% - 强调文字颜色 2 2 3 3" xfId="166" xr:uid="{00000000-0005-0000-0000-0000D6000000}"/>
    <cellStyle name="20% - 强调文字颜色 2 2 4" xfId="168" xr:uid="{00000000-0005-0000-0000-0000D8000000}"/>
    <cellStyle name="20% - 强调文字颜色 2 2 5" xfId="172" xr:uid="{00000000-0005-0000-0000-0000DC000000}"/>
    <cellStyle name="20% - 强调文字颜色 2 2 5 2" xfId="178" xr:uid="{00000000-0005-0000-0000-0000E2000000}"/>
    <cellStyle name="20% - 强调文字颜色 2 2 6" xfId="182" xr:uid="{00000000-0005-0000-0000-0000E6000000}"/>
    <cellStyle name="20% - 强调文字颜色 2 3" xfId="183" xr:uid="{00000000-0005-0000-0000-0000E7000000}"/>
    <cellStyle name="20% - 强调文字颜色 2 4" xfId="185" xr:uid="{00000000-0005-0000-0000-0000E9000000}"/>
    <cellStyle name="20% - 强调文字颜色 2 5" xfId="186" xr:uid="{00000000-0005-0000-0000-0000EA000000}"/>
    <cellStyle name="20% - 强调文字颜色 2 6" xfId="187" xr:uid="{00000000-0005-0000-0000-0000EB000000}"/>
    <cellStyle name="20% - 强调文字颜色 2 7" xfId="191" xr:uid="{00000000-0005-0000-0000-0000EF000000}"/>
    <cellStyle name="20% - 强调文字颜色 2 8" xfId="195" xr:uid="{00000000-0005-0000-0000-0000F3000000}"/>
    <cellStyle name="20% - 强调文字颜色 2 8 2" xfId="200" xr:uid="{00000000-0005-0000-0000-0000F8000000}"/>
    <cellStyle name="20% - 强调文字颜色 2 9" xfId="201" xr:uid="{00000000-0005-0000-0000-0000F9000000}"/>
    <cellStyle name="20% - 强调文字颜色 3 2" xfId="203" xr:uid="{00000000-0005-0000-0000-0000FB000000}"/>
    <cellStyle name="20% - 强调文字颜色 3 2 2" xfId="209" xr:uid="{00000000-0005-0000-0000-000001010000}"/>
    <cellStyle name="20% - 强调文字颜色 3 2 3" xfId="215" xr:uid="{00000000-0005-0000-0000-000007010000}"/>
    <cellStyle name="20% - 强调文字颜色 3 2 3 2" xfId="217" xr:uid="{00000000-0005-0000-0000-000009010000}"/>
    <cellStyle name="20% - 强调文字颜色 3 2 3 2 2" xfId="218" xr:uid="{00000000-0005-0000-0000-00000A010000}"/>
    <cellStyle name="20% - 强调文字颜色 3 2 3 3" xfId="3" xr:uid="{00000000-0005-0000-0000-000005000000}"/>
    <cellStyle name="20% - 强调文字颜色 3 2 4" xfId="223" xr:uid="{00000000-0005-0000-0000-00000F010000}"/>
    <cellStyle name="20% - 强调文字颜色 3 2 5" xfId="229" xr:uid="{00000000-0005-0000-0000-000015010000}"/>
    <cellStyle name="20% - 强调文字颜色 3 2 5 2" xfId="230" xr:uid="{00000000-0005-0000-0000-000016010000}"/>
    <cellStyle name="20% - 强调文字颜色 3 2 6" xfId="235" xr:uid="{00000000-0005-0000-0000-00001B010000}"/>
    <cellStyle name="20% - 强调文字颜色 3 3" xfId="63" xr:uid="{00000000-0005-0000-0000-00005E000000}"/>
    <cellStyle name="20% - 强调文字颜色 3 4" xfId="239" xr:uid="{00000000-0005-0000-0000-00001F010000}"/>
    <cellStyle name="20% - 强调文字颜色 3 5" xfId="242" xr:uid="{00000000-0005-0000-0000-000022010000}"/>
    <cellStyle name="20% - 强调文字颜色 3 6" xfId="156" xr:uid="{00000000-0005-0000-0000-0000CC000000}"/>
    <cellStyle name="20% - 强调文字颜色 3 7" xfId="165" xr:uid="{00000000-0005-0000-0000-0000D5000000}"/>
    <cellStyle name="20% - 强调文字颜色 3 8" xfId="246" xr:uid="{00000000-0005-0000-0000-000026010000}"/>
    <cellStyle name="20% - 强调文字颜色 3 8 2" xfId="247" xr:uid="{00000000-0005-0000-0000-000027010000}"/>
    <cellStyle name="20% - 强调文字颜色 3 9" xfId="198" xr:uid="{00000000-0005-0000-0000-0000F6000000}"/>
    <cellStyle name="20% - 强调文字颜色 4 2" xfId="249" xr:uid="{00000000-0005-0000-0000-000029010000}"/>
    <cellStyle name="20% - 强调文字颜色 4 2 2" xfId="253" xr:uid="{00000000-0005-0000-0000-00002D010000}"/>
    <cellStyle name="20% - 强调文字颜色 4 2 3" xfId="257" xr:uid="{00000000-0005-0000-0000-000031010000}"/>
    <cellStyle name="20% - 强调文字颜色 4 2 3 2" xfId="261" xr:uid="{00000000-0005-0000-0000-000035010000}"/>
    <cellStyle name="20% - 强调文字颜色 4 2 3 2 2" xfId="263" xr:uid="{00000000-0005-0000-0000-000037010000}"/>
    <cellStyle name="20% - 强调文字颜色 4 2 3 3" xfId="264" xr:uid="{00000000-0005-0000-0000-000038010000}"/>
    <cellStyle name="20% - 强调文字颜色 4 2 4" xfId="266" xr:uid="{00000000-0005-0000-0000-00003A010000}"/>
    <cellStyle name="20% - 强调文字颜色 4 2 5" xfId="269" xr:uid="{00000000-0005-0000-0000-00003D010000}"/>
    <cellStyle name="20% - 强调文字颜色 4 2 5 2" xfId="271" xr:uid="{00000000-0005-0000-0000-00003F010000}"/>
    <cellStyle name="20% - 强调文字颜色 4 2 6" xfId="273" xr:uid="{00000000-0005-0000-0000-000041010000}"/>
    <cellStyle name="20% - 强调文字颜色 4 3" xfId="275" xr:uid="{00000000-0005-0000-0000-000043010000}"/>
    <cellStyle name="20% - 强调文字颜色 4 4" xfId="278" xr:uid="{00000000-0005-0000-0000-000046010000}"/>
    <cellStyle name="20% - 强调文字颜色 4 5" xfId="17" xr:uid="{00000000-0005-0000-0000-00001E000000}"/>
    <cellStyle name="20% - 强调文字颜色 4 6" xfId="281" xr:uid="{00000000-0005-0000-0000-000049010000}"/>
    <cellStyle name="20% - 强调文字颜色 4 7" xfId="285" xr:uid="{00000000-0005-0000-0000-00004D010000}"/>
    <cellStyle name="20% - 强调文字颜色 4 8" xfId="289" xr:uid="{00000000-0005-0000-0000-000051010000}"/>
    <cellStyle name="20% - 强调文字颜色 4 8 2" xfId="297" xr:uid="{00000000-0005-0000-0000-000059010000}"/>
    <cellStyle name="20% - 强调文字颜色 4 9" xfId="299" xr:uid="{00000000-0005-0000-0000-00005B010000}"/>
    <cellStyle name="20% - 强调文字颜色 5 2" xfId="301" xr:uid="{00000000-0005-0000-0000-00005D010000}"/>
    <cellStyle name="20% - 强调文字颜色 5 2 2" xfId="303" xr:uid="{00000000-0005-0000-0000-00005F010000}"/>
    <cellStyle name="20% - 强调文字颜色 5 2 3" xfId="305" xr:uid="{00000000-0005-0000-0000-000061010000}"/>
    <cellStyle name="20% - 强调文字颜色 5 2 3 2" xfId="308" xr:uid="{00000000-0005-0000-0000-000064010000}"/>
    <cellStyle name="20% - 强调文字颜色 5 2 3 2 2" xfId="184" xr:uid="{00000000-0005-0000-0000-0000E8000000}"/>
    <cellStyle name="20% - 强调文字颜色 5 2 3 3" xfId="39" xr:uid="{00000000-0005-0000-0000-00003B000000}"/>
    <cellStyle name="20% - 强调文字颜色 5 2 4" xfId="311" xr:uid="{00000000-0005-0000-0000-000067010000}"/>
    <cellStyle name="20% - 强调文字颜色 5 2 5" xfId="314" xr:uid="{00000000-0005-0000-0000-00006A010000}"/>
    <cellStyle name="20% - 强调文字颜色 5 2 5 2" xfId="56" xr:uid="{00000000-0005-0000-0000-000054000000}"/>
    <cellStyle name="20% - 强调文字颜色 5 2 6" xfId="316" xr:uid="{00000000-0005-0000-0000-00006C010000}"/>
    <cellStyle name="20% - 强调文字颜色 5 3" xfId="319" xr:uid="{00000000-0005-0000-0000-00006F010000}"/>
    <cellStyle name="20% - 强调文字颜色 5 4" xfId="323" xr:uid="{00000000-0005-0000-0000-000073010000}"/>
    <cellStyle name="20% - 强调文字颜色 5 5" xfId="326" xr:uid="{00000000-0005-0000-0000-000076010000}"/>
    <cellStyle name="20% - 强调文字颜色 5 6" xfId="175" xr:uid="{00000000-0005-0000-0000-0000DF000000}"/>
    <cellStyle name="20% - 强调文字颜色 5 7" xfId="331" xr:uid="{00000000-0005-0000-0000-00007B010000}"/>
    <cellStyle name="20% - 强调文字颜色 5 8" xfId="339" xr:uid="{00000000-0005-0000-0000-000083010000}"/>
    <cellStyle name="20% - 强调文字颜色 5 8 2" xfId="340" xr:uid="{00000000-0005-0000-0000-000084010000}"/>
    <cellStyle name="20% - 强调文字颜色 5 9" xfId="343" xr:uid="{00000000-0005-0000-0000-000087010000}"/>
    <cellStyle name="20% - 强调文字颜色 6 2" xfId="347" xr:uid="{00000000-0005-0000-0000-00008B010000}"/>
    <cellStyle name="20% - 强调文字颜色 6 2 2" xfId="350" xr:uid="{00000000-0005-0000-0000-00008E010000}"/>
    <cellStyle name="20% - 强调文字颜色 6 2 3" xfId="355" xr:uid="{00000000-0005-0000-0000-000093010000}"/>
    <cellStyle name="20% - 强调文字颜色 6 2 3 2" xfId="359" xr:uid="{00000000-0005-0000-0000-000097010000}"/>
    <cellStyle name="20% - 强调文字颜色 6 2 3 2 2" xfId="363" xr:uid="{00000000-0005-0000-0000-00009B010000}"/>
    <cellStyle name="20% - 强调文字颜色 6 2 3 3" xfId="365" xr:uid="{00000000-0005-0000-0000-00009D010000}"/>
    <cellStyle name="20% - 强调文字颜色 6 2 4" xfId="373" xr:uid="{00000000-0005-0000-0000-0000A5010000}"/>
    <cellStyle name="20% - 强调文字颜色 6 2 5" xfId="379" xr:uid="{00000000-0005-0000-0000-0000AB010000}"/>
    <cellStyle name="20% - 强调文字颜色 6 2 5 2" xfId="381" xr:uid="{00000000-0005-0000-0000-0000AD010000}"/>
    <cellStyle name="20% - 强调文字颜色 6 2 6" xfId="383" xr:uid="{00000000-0005-0000-0000-0000AF010000}"/>
    <cellStyle name="20% - 强调文字颜色 6 3" xfId="385" xr:uid="{00000000-0005-0000-0000-0000B1010000}"/>
    <cellStyle name="20% - 强调文字颜色 6 4" xfId="388" xr:uid="{00000000-0005-0000-0000-0000B4010000}"/>
    <cellStyle name="20% - 强调文字颜色 6 5" xfId="392" xr:uid="{00000000-0005-0000-0000-0000B8010000}"/>
    <cellStyle name="20% - 强调文字颜色 6 6" xfId="397" xr:uid="{00000000-0005-0000-0000-0000BD010000}"/>
    <cellStyle name="20% - 强调文字颜色 6 7" xfId="402" xr:uid="{00000000-0005-0000-0000-0000C2010000}"/>
    <cellStyle name="20% - 强调文字颜色 6 8" xfId="407" xr:uid="{00000000-0005-0000-0000-0000C7010000}"/>
    <cellStyle name="20% - 强调文字颜色 6 8 2" xfId="414" xr:uid="{00000000-0005-0000-0000-0000CE010000}"/>
    <cellStyle name="20% - 强调文字颜色 6 9" xfId="419" xr:uid="{00000000-0005-0000-0000-0000D3010000}"/>
    <cellStyle name="40% - 强调文字颜色 1 2" xfId="421" xr:uid="{00000000-0005-0000-0000-0000D5010000}"/>
    <cellStyle name="40% - 强调文字颜色 1 2 2" xfId="422" xr:uid="{00000000-0005-0000-0000-0000D6010000}"/>
    <cellStyle name="40% - 强调文字颜色 1 2 3" xfId="423" xr:uid="{00000000-0005-0000-0000-0000D7010000}"/>
    <cellStyle name="40% - 强调文字颜色 1 2 3 2" xfId="180" xr:uid="{00000000-0005-0000-0000-0000E4000000}"/>
    <cellStyle name="40% - 强调文字颜色 1 2 3 2 2" xfId="396" xr:uid="{00000000-0005-0000-0000-0000BC010000}"/>
    <cellStyle name="40% - 强调文字颜色 1 2 3 3" xfId="425" xr:uid="{00000000-0005-0000-0000-0000D9010000}"/>
    <cellStyle name="40% - 强调文字颜色 1 2 4" xfId="426" xr:uid="{00000000-0005-0000-0000-0000DA010000}"/>
    <cellStyle name="40% - 强调文字颜色 1 2 5" xfId="427" xr:uid="{00000000-0005-0000-0000-0000DB010000}"/>
    <cellStyle name="40% - 强调文字颜色 1 2 5 2" xfId="428" xr:uid="{00000000-0005-0000-0000-0000DC010000}"/>
    <cellStyle name="40% - 强调文字颜色 1 2 6" xfId="431" xr:uid="{00000000-0005-0000-0000-0000DF010000}"/>
    <cellStyle name="40% - 强调文字颜色 1 3" xfId="292" xr:uid="{00000000-0005-0000-0000-000054010000}"/>
    <cellStyle name="40% - 强调文字颜色 1 4" xfId="434" xr:uid="{00000000-0005-0000-0000-0000E2010000}"/>
    <cellStyle name="40% - 强调文字颜色 1 5" xfId="437" xr:uid="{00000000-0005-0000-0000-0000E5010000}"/>
    <cellStyle name="40% - 强调文字颜色 1 6" xfId="442" xr:uid="{00000000-0005-0000-0000-0000EA010000}"/>
    <cellStyle name="40% - 强调文字颜色 1 7" xfId="446" xr:uid="{00000000-0005-0000-0000-0000EE010000}"/>
    <cellStyle name="40% - 强调文字颜色 1 8" xfId="451" xr:uid="{00000000-0005-0000-0000-0000F3010000}"/>
    <cellStyle name="40% - 强调文字颜色 1 8 2" xfId="42" xr:uid="{00000000-0005-0000-0000-00003E000000}"/>
    <cellStyle name="40% - 强调文字颜色 1 9" xfId="453" xr:uid="{00000000-0005-0000-0000-0000F5010000}"/>
    <cellStyle name="40% - 强调文字颜色 2 2" xfId="90" xr:uid="{00000000-0005-0000-0000-00008A000000}"/>
    <cellStyle name="40% - 强调文字颜色 2 2 2" xfId="103" xr:uid="{00000000-0005-0000-0000-000097000000}"/>
    <cellStyle name="40% - 强调文字颜色 2 2 3" xfId="111" xr:uid="{00000000-0005-0000-0000-00009F000000}"/>
    <cellStyle name="40% - 强调文字颜色 2 2 3 2" xfId="454" xr:uid="{00000000-0005-0000-0000-0000F6010000}"/>
    <cellStyle name="40% - 强调文字颜色 2 2 3 2 2" xfId="8" xr:uid="{00000000-0005-0000-0000-00000C000000}"/>
    <cellStyle name="40% - 强调文字颜色 2 2 3 3" xfId="459" xr:uid="{00000000-0005-0000-0000-0000FB010000}"/>
    <cellStyle name="40% - 强调文字颜色 2 2 4" xfId="460" xr:uid="{00000000-0005-0000-0000-0000FC010000}"/>
    <cellStyle name="40% - 强调文字颜色 2 2 5" xfId="461" xr:uid="{00000000-0005-0000-0000-0000FD010000}"/>
    <cellStyle name="40% - 强调文字颜色 2 2 5 2" xfId="462" xr:uid="{00000000-0005-0000-0000-0000FE010000}"/>
    <cellStyle name="40% - 强调文字颜色 2 2 6" xfId="464" xr:uid="{00000000-0005-0000-0000-000000020000}"/>
    <cellStyle name="40% - 强调文字颜色 2 3" xfId="114" xr:uid="{00000000-0005-0000-0000-0000A2000000}"/>
    <cellStyle name="40% - 强调文字颜色 2 4" xfId="118" xr:uid="{00000000-0005-0000-0000-0000A6000000}"/>
    <cellStyle name="40% - 强调文字颜色 2 5" xfId="128" xr:uid="{00000000-0005-0000-0000-0000B0000000}"/>
    <cellStyle name="40% - 强调文字颜色 2 6" xfId="467" xr:uid="{00000000-0005-0000-0000-000003020000}"/>
    <cellStyle name="40% - 强调文字颜色 2 7" xfId="468" xr:uid="{00000000-0005-0000-0000-000004020000}"/>
    <cellStyle name="40% - 强调文字颜色 2 8" xfId="469" xr:uid="{00000000-0005-0000-0000-000005020000}"/>
    <cellStyle name="40% - 强调文字颜色 2 8 2" xfId="470" xr:uid="{00000000-0005-0000-0000-000006020000}"/>
    <cellStyle name="40% - 强调文字颜色 2 9" xfId="473" xr:uid="{00000000-0005-0000-0000-000009020000}"/>
    <cellStyle name="40% - 强调文字颜色 3 2" xfId="476" xr:uid="{00000000-0005-0000-0000-00000C020000}"/>
    <cellStyle name="40% - 强调文字颜色 3 2 2" xfId="478" xr:uid="{00000000-0005-0000-0000-00000E020000}"/>
    <cellStyle name="40% - 强调文字颜色 3 2 3" xfId="480" xr:uid="{00000000-0005-0000-0000-000010020000}"/>
    <cellStyle name="40% - 强调文字颜色 3 2 3 2" xfId="481" xr:uid="{00000000-0005-0000-0000-000011020000}"/>
    <cellStyle name="40% - 强调文字颜色 3 2 3 2 2" xfId="482" xr:uid="{00000000-0005-0000-0000-000012020000}"/>
    <cellStyle name="40% - 强调文字颜色 3 2 3 3" xfId="483" xr:uid="{00000000-0005-0000-0000-000013020000}"/>
    <cellStyle name="40% - 强调文字颜色 3 2 4" xfId="485" xr:uid="{00000000-0005-0000-0000-000015020000}"/>
    <cellStyle name="40% - 强调文字颜色 3 2 5" xfId="486" xr:uid="{00000000-0005-0000-0000-000016020000}"/>
    <cellStyle name="40% - 强调文字颜色 3 2 5 2" xfId="487" xr:uid="{00000000-0005-0000-0000-000017020000}"/>
    <cellStyle name="40% - 强调文字颜色 3 2 6" xfId="489" xr:uid="{00000000-0005-0000-0000-000019020000}"/>
    <cellStyle name="40% - 强调文字颜色 3 3" xfId="492" xr:uid="{00000000-0005-0000-0000-00001C020000}"/>
    <cellStyle name="40% - 强调文字颜色 3 4" xfId="493" xr:uid="{00000000-0005-0000-0000-00001D020000}"/>
    <cellStyle name="40% - 强调文字颜色 3 5" xfId="495" xr:uid="{00000000-0005-0000-0000-00001F020000}"/>
    <cellStyle name="40% - 强调文字颜色 3 6" xfId="498" xr:uid="{00000000-0005-0000-0000-000022020000}"/>
    <cellStyle name="40% - 强调文字颜色 3 7" xfId="309" xr:uid="{00000000-0005-0000-0000-000065010000}"/>
    <cellStyle name="40% - 强调文字颜色 3 8" xfId="40" xr:uid="{00000000-0005-0000-0000-00003C000000}"/>
    <cellStyle name="40% - 强调文字颜色 3 8 2" xfId="237" xr:uid="{00000000-0005-0000-0000-00001D010000}"/>
    <cellStyle name="40% - 强调文字颜色 3 9" xfId="19" xr:uid="{00000000-0005-0000-0000-000020000000}"/>
    <cellStyle name="40% - 强调文字颜色 4 2" xfId="48" xr:uid="{00000000-0005-0000-0000-000049000000}"/>
    <cellStyle name="40% - 强调文字颜色 4 2 2" xfId="502" xr:uid="{00000000-0005-0000-0000-000026020000}"/>
    <cellStyle name="40% - 强调文字颜色 4 2 3" xfId="505" xr:uid="{00000000-0005-0000-0000-000029020000}"/>
    <cellStyle name="40% - 强调文字颜色 4 2 3 2" xfId="66" xr:uid="{00000000-0005-0000-0000-000064000000}"/>
    <cellStyle name="40% - 强调文字颜色 4 2 3 2 2" xfId="508" xr:uid="{00000000-0005-0000-0000-00002C020000}"/>
    <cellStyle name="40% - 强调文字颜色 4 2 3 3" xfId="51" xr:uid="{00000000-0005-0000-0000-00004F000000}"/>
    <cellStyle name="40% - 强调文字颜色 4 2 4" xfId="514" xr:uid="{00000000-0005-0000-0000-000032020000}"/>
    <cellStyle name="40% - 强调文字颜色 4 2 5" xfId="518" xr:uid="{00000000-0005-0000-0000-000036020000}"/>
    <cellStyle name="40% - 强调文字颜色 4 2 5 2" xfId="521" xr:uid="{00000000-0005-0000-0000-000039020000}"/>
    <cellStyle name="40% - 强调文字颜色 4 2 6" xfId="527" xr:uid="{00000000-0005-0000-0000-00003F020000}"/>
    <cellStyle name="40% - 强调文字颜色 4 3" xfId="528" xr:uid="{00000000-0005-0000-0000-000040020000}"/>
    <cellStyle name="40% - 强调文字颜色 4 4" xfId="348" xr:uid="{00000000-0005-0000-0000-00008C010000}"/>
    <cellStyle name="40% - 强调文字颜色 4 5" xfId="352" xr:uid="{00000000-0005-0000-0000-000090010000}"/>
    <cellStyle name="40% - 强调文字颜色 4 6" xfId="368" xr:uid="{00000000-0005-0000-0000-0000A0010000}"/>
    <cellStyle name="40% - 强调文字颜色 4 7" xfId="375" xr:uid="{00000000-0005-0000-0000-0000A7010000}"/>
    <cellStyle name="40% - 强调文字颜色 4 8" xfId="382" xr:uid="{00000000-0005-0000-0000-0000AE010000}"/>
    <cellStyle name="40% - 强调文字颜色 4 8 2" xfId="533" xr:uid="{00000000-0005-0000-0000-000045020000}"/>
    <cellStyle name="40% - 强调文字颜色 4 9" xfId="534" xr:uid="{00000000-0005-0000-0000-000046020000}"/>
    <cellStyle name="40% - 强调文字颜色 5 2" xfId="536" xr:uid="{00000000-0005-0000-0000-000048020000}"/>
    <cellStyle name="40% - 强调文字颜色 5 2 2" xfId="390" xr:uid="{00000000-0005-0000-0000-0000B6010000}"/>
    <cellStyle name="40% - 强调文字颜色 5 2 3" xfId="394" xr:uid="{00000000-0005-0000-0000-0000BA010000}"/>
    <cellStyle name="40% - 强调文字颜色 5 2 3 2" xfId="539" xr:uid="{00000000-0005-0000-0000-00004B020000}"/>
    <cellStyle name="40% - 强调文字颜色 5 2 3 2 2" xfId="97" xr:uid="{00000000-0005-0000-0000-000091000000}"/>
    <cellStyle name="40% - 强调文字颜色 5 2 3 3" xfId="541" xr:uid="{00000000-0005-0000-0000-00004D020000}"/>
    <cellStyle name="40% - 强调文字颜色 5 2 4" xfId="399" xr:uid="{00000000-0005-0000-0000-0000BF010000}"/>
    <cellStyle name="40% - 强调文字颜色 5 2 5" xfId="404" xr:uid="{00000000-0005-0000-0000-0000C4010000}"/>
    <cellStyle name="40% - 强调文字颜色 5 2 5 2" xfId="409" xr:uid="{00000000-0005-0000-0000-0000C9010000}"/>
    <cellStyle name="40% - 强调文字颜色 5 2 6" xfId="417" xr:uid="{00000000-0005-0000-0000-0000D1010000}"/>
    <cellStyle name="40% - 强调文字颜色 5 3" xfId="543" xr:uid="{00000000-0005-0000-0000-00004F020000}"/>
    <cellStyle name="40% - 强调文字颜色 5 4" xfId="544" xr:uid="{00000000-0005-0000-0000-000050020000}"/>
    <cellStyle name="40% - 强调文字颜色 5 5" xfId="550" xr:uid="{00000000-0005-0000-0000-000056020000}"/>
    <cellStyle name="40% - 强调文字颜色 5 6" xfId="557" xr:uid="{00000000-0005-0000-0000-00005D020000}"/>
    <cellStyle name="40% - 强调文字颜色 5 7" xfId="57" xr:uid="{00000000-0005-0000-0000-000055000000}"/>
    <cellStyle name="40% - 强调文字颜色 5 8" xfId="559" xr:uid="{00000000-0005-0000-0000-00005F020000}"/>
    <cellStyle name="40% - 强调文字颜色 5 8 2" xfId="568" xr:uid="{00000000-0005-0000-0000-000068020000}"/>
    <cellStyle name="40% - 强调文字颜色 5 9" xfId="570" xr:uid="{00000000-0005-0000-0000-00006A020000}"/>
    <cellStyle name="40% - 强调文字颜色 6 2" xfId="572" xr:uid="{00000000-0005-0000-0000-00006C020000}"/>
    <cellStyle name="40% - 强调文字颜色 6 2 2" xfId="573" xr:uid="{00000000-0005-0000-0000-00006D020000}"/>
    <cellStyle name="40% - 强调文字颜色 6 2 3" xfId="574" xr:uid="{00000000-0005-0000-0000-00006E020000}"/>
    <cellStyle name="40% - 强调文字颜色 6 2 3 2" xfId="580" xr:uid="{00000000-0005-0000-0000-000074020000}"/>
    <cellStyle name="40% - 强调文字颜色 6 2 3 2 2" xfId="582" xr:uid="{00000000-0005-0000-0000-000076020000}"/>
    <cellStyle name="40% - 强调文字颜色 6 2 3 3" xfId="589" xr:uid="{00000000-0005-0000-0000-00007D020000}"/>
    <cellStyle name="40% - 强调文字颜色 6 2 4" xfId="590" xr:uid="{00000000-0005-0000-0000-00007E020000}"/>
    <cellStyle name="40% - 强调文字颜色 6 2 5" xfId="519" xr:uid="{00000000-0005-0000-0000-000037020000}"/>
    <cellStyle name="40% - 强调文字颜色 6 2 5 2" xfId="592" xr:uid="{00000000-0005-0000-0000-000080020000}"/>
    <cellStyle name="40% - 强调文字颜色 6 2 6" xfId="594" xr:uid="{00000000-0005-0000-0000-000082020000}"/>
    <cellStyle name="40% - 强调文字颜色 6 3" xfId="595" xr:uid="{00000000-0005-0000-0000-000083020000}"/>
    <cellStyle name="40% - 强调文字颜色 6 4" xfId="597" xr:uid="{00000000-0005-0000-0000-000085020000}"/>
    <cellStyle name="40% - 强调文字颜色 6 5" xfId="60" xr:uid="{00000000-0005-0000-0000-000059000000}"/>
    <cellStyle name="40% - 强调文字颜色 6 6" xfId="603" xr:uid="{00000000-0005-0000-0000-00008B020000}"/>
    <cellStyle name="40% - 强调文字颜色 6 7" xfId="607" xr:uid="{00000000-0005-0000-0000-00008F020000}"/>
    <cellStyle name="40% - 强调文字颜色 6 8" xfId="609" xr:uid="{00000000-0005-0000-0000-000091020000}"/>
    <cellStyle name="40% - 强调文字颜色 6 8 2" xfId="612" xr:uid="{00000000-0005-0000-0000-000094020000}"/>
    <cellStyle name="40% - 强调文字颜色 6 9" xfId="479" xr:uid="{00000000-0005-0000-0000-00000F020000}"/>
    <cellStyle name="60% - 强调文字颜色 1 2" xfId="236" xr:uid="{00000000-0005-0000-0000-00001C010000}"/>
    <cellStyle name="60% - 强调文字颜色 1 2 2" xfId="613" xr:uid="{00000000-0005-0000-0000-000095020000}"/>
    <cellStyle name="60% - 强调文字颜色 1 2 3" xfId="614" xr:uid="{00000000-0005-0000-0000-000096020000}"/>
    <cellStyle name="60% - 强调文字颜色 1 2 4" xfId="258" xr:uid="{00000000-0005-0000-0000-000032010000}"/>
    <cellStyle name="60% - 强调文字颜色 1 3" xfId="240" xr:uid="{00000000-0005-0000-0000-000020010000}"/>
    <cellStyle name="60% - 强调文字颜色 1 4" xfId="154" xr:uid="{00000000-0005-0000-0000-0000CA000000}"/>
    <cellStyle name="60% - 强调文字颜色 1 5" xfId="162" xr:uid="{00000000-0005-0000-0000-0000D2000000}"/>
    <cellStyle name="60% - 强调文字颜色 1 6" xfId="243" xr:uid="{00000000-0005-0000-0000-000023010000}"/>
    <cellStyle name="60% - 强调文字颜色 1 7" xfId="196" xr:uid="{00000000-0005-0000-0000-0000F4000000}"/>
    <cellStyle name="60% - 强调文字颜色 1 8" xfId="262" xr:uid="{00000000-0005-0000-0000-000036010000}"/>
    <cellStyle name="60% - 强调文字颜色 1 9" xfId="617" xr:uid="{00000000-0005-0000-0000-000099020000}"/>
    <cellStyle name="60% - 强调文字颜色 2 2" xfId="276" xr:uid="{00000000-0005-0000-0000-000044010000}"/>
    <cellStyle name="60% - 强调文字颜色 2 2 2" xfId="30" xr:uid="{00000000-0005-0000-0000-00002E000000}"/>
    <cellStyle name="60% - 强调文字颜色 2 2 3" xfId="619" xr:uid="{00000000-0005-0000-0000-00009B020000}"/>
    <cellStyle name="60% - 强调文字颜色 2 2 4" xfId="620" xr:uid="{00000000-0005-0000-0000-00009C020000}"/>
    <cellStyle name="60% - 强调文字颜色 2 3" xfId="15" xr:uid="{00000000-0005-0000-0000-00001C000000}"/>
    <cellStyle name="60% - 强调文字颜色 2 4" xfId="279" xr:uid="{00000000-0005-0000-0000-000047010000}"/>
    <cellStyle name="60% - 强调文字颜色 2 5" xfId="282" xr:uid="{00000000-0005-0000-0000-00004A010000}"/>
    <cellStyle name="60% - 强调文字颜色 2 6" xfId="286" xr:uid="{00000000-0005-0000-0000-00004E010000}"/>
    <cellStyle name="60% - 强调文字颜色 2 7" xfId="298" xr:uid="{00000000-0005-0000-0000-00005A010000}"/>
    <cellStyle name="60% - 强调文字颜色 2 8" xfId="621" xr:uid="{00000000-0005-0000-0000-00009D020000}"/>
    <cellStyle name="60% - 强调文字颜色 2 9" xfId="624" xr:uid="{00000000-0005-0000-0000-0000A0020000}"/>
    <cellStyle name="60% - 强调文字颜色 3 2" xfId="320" xr:uid="{00000000-0005-0000-0000-000070010000}"/>
    <cellStyle name="60% - 强调文字颜色 3 2 2" xfId="626" xr:uid="{00000000-0005-0000-0000-0000A2020000}"/>
    <cellStyle name="60% - 强调文字颜色 3 2 3" xfId="628" xr:uid="{00000000-0005-0000-0000-0000A4020000}"/>
    <cellStyle name="60% - 强调文字颜色 3 2 4" xfId="630" xr:uid="{00000000-0005-0000-0000-0000A6020000}"/>
    <cellStyle name="60% - 强调文字颜色 3 3" xfId="324" xr:uid="{00000000-0005-0000-0000-000074010000}"/>
    <cellStyle name="60% - 强调文字颜色 3 4" xfId="174" xr:uid="{00000000-0005-0000-0000-0000DE000000}"/>
    <cellStyle name="60% - 强调文字颜色 3 5" xfId="328" xr:uid="{00000000-0005-0000-0000-000078010000}"/>
    <cellStyle name="60% - 强调文字颜色 3 6" xfId="336" xr:uid="{00000000-0005-0000-0000-000080010000}"/>
    <cellStyle name="60% - 强调文字颜色 3 7" xfId="342" xr:uid="{00000000-0005-0000-0000-000086010000}"/>
    <cellStyle name="60% - 强调文字颜色 3 8" xfId="632" xr:uid="{00000000-0005-0000-0000-0000A8020000}"/>
    <cellStyle name="60% - 强调文字颜色 3 9" xfId="634" xr:uid="{00000000-0005-0000-0000-0000AA020000}"/>
    <cellStyle name="60% - 强调文字颜色 4 2" xfId="386" xr:uid="{00000000-0005-0000-0000-0000B2010000}"/>
    <cellStyle name="60% - 强调文字颜色 4 2 2" xfId="598" xr:uid="{00000000-0005-0000-0000-000086020000}"/>
    <cellStyle name="60% - 强调文字颜色 4 2 3" xfId="61" xr:uid="{00000000-0005-0000-0000-00005A000000}"/>
    <cellStyle name="60% - 强调文字颜色 4 2 4" xfId="604" xr:uid="{00000000-0005-0000-0000-00008C020000}"/>
    <cellStyle name="60% - 强调文字颜色 4 3" xfId="389" xr:uid="{00000000-0005-0000-0000-0000B5010000}"/>
    <cellStyle name="60% - 强调文字颜色 4 4" xfId="393" xr:uid="{00000000-0005-0000-0000-0000B9010000}"/>
    <cellStyle name="60% - 强调文字颜色 4 5" xfId="398" xr:uid="{00000000-0005-0000-0000-0000BE010000}"/>
    <cellStyle name="60% - 强调文字颜色 4 6" xfId="403" xr:uid="{00000000-0005-0000-0000-0000C3010000}"/>
    <cellStyle name="60% - 强调文字颜色 4 7" xfId="415" xr:uid="{00000000-0005-0000-0000-0000CF010000}"/>
    <cellStyle name="60% - 强调文字颜色 4 8" xfId="250" xr:uid="{00000000-0005-0000-0000-00002A010000}"/>
    <cellStyle name="60% - 强调文字颜色 4 9" xfId="254" xr:uid="{00000000-0005-0000-0000-00002E010000}"/>
    <cellStyle name="60% - 强调文字颜色 5 2" xfId="636" xr:uid="{00000000-0005-0000-0000-0000AC020000}"/>
    <cellStyle name="60% - 强调文字颜色 5 2 2" xfId="637" xr:uid="{00000000-0005-0000-0000-0000AD020000}"/>
    <cellStyle name="60% - 强调文字颜色 5 2 3" xfId="640" xr:uid="{00000000-0005-0000-0000-0000B0020000}"/>
    <cellStyle name="60% - 强调文字颜色 5 2 4" xfId="643" xr:uid="{00000000-0005-0000-0000-0000B3020000}"/>
    <cellStyle name="60% - 强调文字颜色 5 3" xfId="644" xr:uid="{00000000-0005-0000-0000-0000B4020000}"/>
    <cellStyle name="60% - 强调文字颜色 5 4" xfId="645" xr:uid="{00000000-0005-0000-0000-0000B5020000}"/>
    <cellStyle name="60% - 强调文字颜色 5 5" xfId="646" xr:uid="{00000000-0005-0000-0000-0000B6020000}"/>
    <cellStyle name="60% - 强调文字颜色 5 6" xfId="647" xr:uid="{00000000-0005-0000-0000-0000B7020000}"/>
    <cellStyle name="60% - 强调文字颜色 5 7" xfId="648" xr:uid="{00000000-0005-0000-0000-0000B8020000}"/>
    <cellStyle name="60% - 强调文字颜色 5 8" xfId="649" xr:uid="{00000000-0005-0000-0000-0000B9020000}"/>
    <cellStyle name="60% - 强调文字颜色 5 9" xfId="654" xr:uid="{00000000-0005-0000-0000-0000BE020000}"/>
    <cellStyle name="60% - 强调文字颜色 6 2" xfId="457" xr:uid="{00000000-0005-0000-0000-0000F9010000}"/>
    <cellStyle name="60% - 强调文字颜色 6 2 2" xfId="655" xr:uid="{00000000-0005-0000-0000-0000BF020000}"/>
    <cellStyle name="60% - 强调文字颜色 6 2 3" xfId="657" xr:uid="{00000000-0005-0000-0000-0000C1020000}"/>
    <cellStyle name="60% - 强调文字颜色 6 2 4" xfId="345" xr:uid="{00000000-0005-0000-0000-000089010000}"/>
    <cellStyle name="60% - 强调文字颜色 6 3" xfId="660" xr:uid="{00000000-0005-0000-0000-0000C4020000}"/>
    <cellStyle name="60% - 强调文字颜色 6 4" xfId="663" xr:uid="{00000000-0005-0000-0000-0000C7020000}"/>
    <cellStyle name="60% - 强调文字颜色 6 5" xfId="667" xr:uid="{00000000-0005-0000-0000-0000CB020000}"/>
    <cellStyle name="60% - 强调文字颜色 6 6" xfId="668" xr:uid="{00000000-0005-0000-0000-0000CC020000}"/>
    <cellStyle name="60% - 强调文字颜色 6 7" xfId="669" xr:uid="{00000000-0005-0000-0000-0000CD020000}"/>
    <cellStyle name="60% - 强调文字颜色 6 8" xfId="29" xr:uid="{00000000-0005-0000-0000-00002D000000}"/>
    <cellStyle name="60% - 强调文字颜色 6 9" xfId="618" xr:uid="{00000000-0005-0000-0000-00009A020000}"/>
    <cellStyle name="Normal" xfId="672" xr:uid="{00000000-0005-0000-0000-0000D0020000}"/>
    <cellStyle name="百分比 10" xfId="547" xr:uid="{00000000-0005-0000-0000-000053020000}"/>
    <cellStyle name="百分比 11" xfId="553" xr:uid="{00000000-0005-0000-0000-000059020000}"/>
    <cellStyle name="百分比 11 2" xfId="675" xr:uid="{00000000-0005-0000-0000-0000D3020000}"/>
    <cellStyle name="百分比 11 2 2" xfId="677" xr:uid="{00000000-0005-0000-0000-0000D5020000}"/>
    <cellStyle name="百分比 11 3" xfId="678" xr:uid="{00000000-0005-0000-0000-0000D6020000}"/>
    <cellStyle name="百分比 12" xfId="54" xr:uid="{00000000-0005-0000-0000-000052000000}"/>
    <cellStyle name="百分比 2" xfId="682" xr:uid="{00000000-0005-0000-0000-0000DA020000}"/>
    <cellStyle name="百分比 2 2" xfId="684" xr:uid="{00000000-0005-0000-0000-0000DC020000}"/>
    <cellStyle name="百分比 2 2 2" xfId="686" xr:uid="{00000000-0005-0000-0000-0000DE020000}"/>
    <cellStyle name="百分比 2 3" xfId="688" xr:uid="{00000000-0005-0000-0000-0000E0020000}"/>
    <cellStyle name="百分比 2 4" xfId="690" xr:uid="{00000000-0005-0000-0000-0000E2020000}"/>
    <cellStyle name="百分比 2 5" xfId="691" xr:uid="{00000000-0005-0000-0000-0000E3020000}"/>
    <cellStyle name="百分比 2 6" xfId="694" xr:uid="{00000000-0005-0000-0000-0000E6020000}"/>
    <cellStyle name="百分比 2 7" xfId="698" xr:uid="{00000000-0005-0000-0000-0000EA020000}"/>
    <cellStyle name="百分比 2 8" xfId="702" xr:uid="{00000000-0005-0000-0000-0000EE020000}"/>
    <cellStyle name="百分比 3" xfId="706" xr:uid="{00000000-0005-0000-0000-0000F2020000}"/>
    <cellStyle name="百分比 3 2" xfId="707" xr:uid="{00000000-0005-0000-0000-0000F3020000}"/>
    <cellStyle name="百分比 3 2 2" xfId="664" xr:uid="{00000000-0005-0000-0000-0000C8020000}"/>
    <cellStyle name="百分比 3 3" xfId="708" xr:uid="{00000000-0005-0000-0000-0000F4020000}"/>
    <cellStyle name="百分比 3 4" xfId="711" xr:uid="{00000000-0005-0000-0000-0000F7020000}"/>
    <cellStyle name="百分比 4" xfId="34" xr:uid="{00000000-0005-0000-0000-000034000000}"/>
    <cellStyle name="百分比 4 2" xfId="714" xr:uid="{00000000-0005-0000-0000-0000FA020000}"/>
    <cellStyle name="百分比 5" xfId="37" xr:uid="{00000000-0005-0000-0000-000038000000}"/>
    <cellStyle name="百分比 6" xfId="44" xr:uid="{00000000-0005-0000-0000-000041000000}"/>
    <cellStyle name="百分比 7" xfId="21" xr:uid="{00000000-0005-0000-0000-000023000000}"/>
    <cellStyle name="百分比 7 2" xfId="722" xr:uid="{00000000-0005-0000-0000-000002030000}"/>
    <cellStyle name="百分比 8" xfId="725" xr:uid="{00000000-0005-0000-0000-000005030000}"/>
    <cellStyle name="百分比 9" xfId="728" xr:uid="{00000000-0005-0000-0000-000008030000}"/>
    <cellStyle name="标题 1 2" xfId="712" xr:uid="{00000000-0005-0000-0000-0000F8020000}"/>
    <cellStyle name="标题 1 2 2" xfId="729" xr:uid="{00000000-0005-0000-0000-000009030000}"/>
    <cellStyle name="标题 1 2 3" xfId="731" xr:uid="{00000000-0005-0000-0000-00000B030000}"/>
    <cellStyle name="标题 1 2 4" xfId="732" xr:uid="{00000000-0005-0000-0000-00000C030000}"/>
    <cellStyle name="标题 1 3" xfId="471" xr:uid="{00000000-0005-0000-0000-000007020000}"/>
    <cellStyle name="标题 1 4" xfId="733" xr:uid="{00000000-0005-0000-0000-00000D030000}"/>
    <cellStyle name="标题 1 5" xfId="734" xr:uid="{00000000-0005-0000-0000-00000E030000}"/>
    <cellStyle name="标题 1 6" xfId="737" xr:uid="{00000000-0005-0000-0000-000011030000}"/>
    <cellStyle name="标题 1 7" xfId="739" xr:uid="{00000000-0005-0000-0000-000013030000}"/>
    <cellStyle name="标题 1 8" xfId="138" xr:uid="{00000000-0005-0000-0000-0000BA000000}"/>
    <cellStyle name="标题 1 9" xfId="740" xr:uid="{00000000-0005-0000-0000-000014030000}"/>
    <cellStyle name="标题 10" xfId="683" xr:uid="{00000000-0005-0000-0000-0000DB020000}"/>
    <cellStyle name="标题 11" xfId="687" xr:uid="{00000000-0005-0000-0000-0000DF020000}"/>
    <cellStyle name="标题 12" xfId="689" xr:uid="{00000000-0005-0000-0000-0000E1020000}"/>
    <cellStyle name="标题 2 2" xfId="741" xr:uid="{00000000-0005-0000-0000-000015030000}"/>
    <cellStyle name="标题 2 2 2" xfId="695" xr:uid="{00000000-0005-0000-0000-0000E7020000}"/>
    <cellStyle name="标题 2 2 3" xfId="699" xr:uid="{00000000-0005-0000-0000-0000EB020000}"/>
    <cellStyle name="标题 2 2 4" xfId="571" xr:uid="{00000000-0005-0000-0000-00006B020000}"/>
    <cellStyle name="标题 2 3" xfId="743" xr:uid="{00000000-0005-0000-0000-000017030000}"/>
    <cellStyle name="标题 2 4" xfId="744" xr:uid="{00000000-0005-0000-0000-000018030000}"/>
    <cellStyle name="标题 2 5" xfId="745" xr:uid="{00000000-0005-0000-0000-000019030000}"/>
    <cellStyle name="标题 2 6" xfId="746" xr:uid="{00000000-0005-0000-0000-00001A030000}"/>
    <cellStyle name="标题 2 7" xfId="748" xr:uid="{00000000-0005-0000-0000-00001C030000}"/>
    <cellStyle name="标题 2 8" xfId="750" xr:uid="{00000000-0005-0000-0000-00001E030000}"/>
    <cellStyle name="标题 2 9" xfId="751" xr:uid="{00000000-0005-0000-0000-00001F030000}"/>
    <cellStyle name="标题 3 2" xfId="753" xr:uid="{00000000-0005-0000-0000-000021030000}"/>
    <cellStyle name="标题 3 2 2" xfId="133" xr:uid="{00000000-0005-0000-0000-0000B5000000}"/>
    <cellStyle name="标题 3 2 3" xfId="143" xr:uid="{00000000-0005-0000-0000-0000BF000000}"/>
    <cellStyle name="标题 3 2 4" xfId="755" xr:uid="{00000000-0005-0000-0000-000023030000}"/>
    <cellStyle name="标题 3 3" xfId="757" xr:uid="{00000000-0005-0000-0000-000025030000}"/>
    <cellStyle name="标题 3 4" xfId="758" xr:uid="{00000000-0005-0000-0000-000026030000}"/>
    <cellStyle name="标题 3 5" xfId="759" xr:uid="{00000000-0005-0000-0000-000027030000}"/>
    <cellStyle name="标题 3 6" xfId="761" xr:uid="{00000000-0005-0000-0000-000029030000}"/>
    <cellStyle name="标题 3 7" xfId="765" xr:uid="{00000000-0005-0000-0000-00002D030000}"/>
    <cellStyle name="标题 3 8" xfId="766" xr:uid="{00000000-0005-0000-0000-00002E030000}"/>
    <cellStyle name="标题 3 9" xfId="767" xr:uid="{00000000-0005-0000-0000-00002F030000}"/>
    <cellStyle name="标题 4 2" xfId="717" xr:uid="{00000000-0005-0000-0000-0000FD020000}"/>
    <cellStyle name="标题 4 2 2" xfId="86" xr:uid="{00000000-0005-0000-0000-000086000000}"/>
    <cellStyle name="标题 4 2 3" xfId="159" xr:uid="{00000000-0005-0000-0000-0000CF000000}"/>
    <cellStyle name="标题 4 2 4" xfId="769" xr:uid="{00000000-0005-0000-0000-000031030000}"/>
    <cellStyle name="标题 4 3" xfId="772" xr:uid="{00000000-0005-0000-0000-000034030000}"/>
    <cellStyle name="标题 4 4" xfId="501" xr:uid="{00000000-0005-0000-0000-000025020000}"/>
    <cellStyle name="标题 4 5" xfId="504" xr:uid="{00000000-0005-0000-0000-000028020000}"/>
    <cellStyle name="标题 4 6" xfId="511" xr:uid="{00000000-0005-0000-0000-00002F020000}"/>
    <cellStyle name="标题 4 7" xfId="516" xr:uid="{00000000-0005-0000-0000-000034020000}"/>
    <cellStyle name="标题 4 8" xfId="523" xr:uid="{00000000-0005-0000-0000-00003B020000}"/>
    <cellStyle name="标题 4 9" xfId="204" xr:uid="{00000000-0005-0000-0000-0000FC000000}"/>
    <cellStyle name="标题 5" xfId="724" xr:uid="{00000000-0005-0000-0000-000004030000}"/>
    <cellStyle name="标题 5 2" xfId="774" xr:uid="{00000000-0005-0000-0000-000036030000}"/>
    <cellStyle name="标题 5 3" xfId="776" xr:uid="{00000000-0005-0000-0000-000038030000}"/>
    <cellStyle name="标题 5 4" xfId="69" xr:uid="{00000000-0005-0000-0000-000068000000}"/>
    <cellStyle name="标题 6" xfId="727" xr:uid="{00000000-0005-0000-0000-000007030000}"/>
    <cellStyle name="标题 7" xfId="563" xr:uid="{00000000-0005-0000-0000-000063020000}"/>
    <cellStyle name="标题 8" xfId="780" xr:uid="{00000000-0005-0000-0000-00003C030000}"/>
    <cellStyle name="标题 9" xfId="784" xr:uid="{00000000-0005-0000-0000-000040030000}"/>
    <cellStyle name="差 2" xfId="786" xr:uid="{00000000-0005-0000-0000-000042030000}"/>
    <cellStyle name="差 2 2" xfId="787" xr:uid="{00000000-0005-0000-0000-000043030000}"/>
    <cellStyle name="差 2 3" xfId="124" xr:uid="{00000000-0005-0000-0000-0000AC000000}"/>
    <cellStyle name="差 2 4" xfId="788" xr:uid="{00000000-0005-0000-0000-000044030000}"/>
    <cellStyle name="差 3" xfId="790" xr:uid="{00000000-0005-0000-0000-000046030000}"/>
    <cellStyle name="差 4" xfId="680" xr:uid="{00000000-0005-0000-0000-0000D8020000}"/>
    <cellStyle name="差 5" xfId="704" xr:uid="{00000000-0005-0000-0000-0000F0020000}"/>
    <cellStyle name="差 6" xfId="33" xr:uid="{00000000-0005-0000-0000-000033000000}"/>
    <cellStyle name="差 7" xfId="36" xr:uid="{00000000-0005-0000-0000-000037000000}"/>
    <cellStyle name="差 8" xfId="43" xr:uid="{00000000-0005-0000-0000-000040000000}"/>
    <cellStyle name="差 9" xfId="20" xr:uid="{00000000-0005-0000-0000-000022000000}"/>
    <cellStyle name="差_1109工厂回款汇总" xfId="792" xr:uid="{00000000-0005-0000-0000-000048030000}"/>
    <cellStyle name="差_1109工厂回款汇总_2012年品种毛利情况" xfId="307" xr:uid="{00000000-0005-0000-0000-000063010000}"/>
    <cellStyle name="差_1109工厂回款汇总_2012年主要品种收入毛利表" xfId="793" xr:uid="{00000000-0005-0000-0000-000049030000}"/>
    <cellStyle name="差_1201工厂收入汇总(1)" xfId="798" xr:uid="{00000000-0005-0000-0000-00004E030000}"/>
    <cellStyle name="差_2011年预计报废(1)" xfId="799" xr:uid="{00000000-0005-0000-0000-00004F030000}"/>
    <cellStyle name="差_2012年1季度利润预计" xfId="803" xr:uid="{00000000-0005-0000-0000-000053030000}"/>
    <cellStyle name="差_2012年各公司收入计划（计划版1.21）(终稿)" xfId="484" xr:uid="{00000000-0005-0000-0000-000014020000}"/>
    <cellStyle name="差_2012年各公司收入计划（计划版1.30）(终稿)" xfId="807" xr:uid="{00000000-0005-0000-0000-000057030000}"/>
    <cellStyle name="差_2012年各公司收入计划（力争版1.20）(终稿)" xfId="562" xr:uid="{00000000-0005-0000-0000-000062020000}"/>
    <cellStyle name="差_2012年利润预计(2012.1.21)" xfId="623" xr:uid="{00000000-0005-0000-0000-00009F020000}"/>
    <cellStyle name="差_2012年营业费用预算（终稿1.16）" xfId="710" xr:uid="{00000000-0005-0000-0000-0000F6020000}"/>
    <cellStyle name="差_2012年主要品种收入毛利表" xfId="141" xr:uid="{00000000-0005-0000-0000-0000BD000000}"/>
    <cellStyle name="差_Book1" xfId="596" xr:uid="{00000000-0005-0000-0000-000084020000}"/>
    <cellStyle name="差_Book3" xfId="599" xr:uid="{00000000-0005-0000-0000-000087020000}"/>
    <cellStyle name="差_Book4" xfId="605" xr:uid="{00000000-0005-0000-0000-00008D020000}"/>
    <cellStyle name="差_Xl0000027" xfId="808" xr:uid="{00000000-0005-0000-0000-000058030000}"/>
    <cellStyle name="差_超亿元品种情况表" xfId="811" xr:uid="{00000000-0005-0000-0000-00005B030000}"/>
    <cellStyle name="差_分析表" xfId="813" xr:uid="{00000000-0005-0000-0000-00005D030000}"/>
    <cellStyle name="差_各公司1-3月收入(1)(1)" xfId="816" xr:uid="{00000000-0005-0000-0000-000060030000}"/>
    <cellStyle name="差_预计管理费用（3.3亿元）" xfId="817" xr:uid="{00000000-0005-0000-0000-000061030000}"/>
    <cellStyle name="常规" xfId="0" builtinId="0"/>
    <cellStyle name="常规 10" xfId="818" xr:uid="{00000000-0005-0000-0000-000062030000}"/>
    <cellStyle name="常规 10 10" xfId="820" xr:uid="{00000000-0005-0000-0000-000064030000}"/>
    <cellStyle name="常规 10 11" xfId="824" xr:uid="{00000000-0005-0000-0000-000068030000}"/>
    <cellStyle name="常规 10 12" xfId="825" xr:uid="{00000000-0005-0000-0000-000069030000}"/>
    <cellStyle name="常规 10 13" xfId="826" xr:uid="{00000000-0005-0000-0000-00006A030000}"/>
    <cellStyle name="常规 10 14" xfId="827" xr:uid="{00000000-0005-0000-0000-00006B030000}"/>
    <cellStyle name="常规 10 15" xfId="828" xr:uid="{00000000-0005-0000-0000-00006C030000}"/>
    <cellStyle name="常规 10 16" xfId="829" xr:uid="{00000000-0005-0000-0000-00006D030000}"/>
    <cellStyle name="常规 10 17" xfId="830" xr:uid="{00000000-0005-0000-0000-00006E030000}"/>
    <cellStyle name="常规 10 18" xfId="831" xr:uid="{00000000-0005-0000-0000-00006F030000}"/>
    <cellStyle name="常规 10 18 2" xfId="760" xr:uid="{00000000-0005-0000-0000-000028030000}"/>
    <cellStyle name="常规 10 18 2 2" xfId="334" xr:uid="{00000000-0005-0000-0000-00007E010000}"/>
    <cellStyle name="常规 10 18 3" xfId="764" xr:uid="{00000000-0005-0000-0000-00002C030000}"/>
    <cellStyle name="常规 10 19" xfId="832" xr:uid="{00000000-0005-0000-0000-000070030000}"/>
    <cellStyle name="常规 10 2" xfId="777" xr:uid="{00000000-0005-0000-0000-000039030000}"/>
    <cellStyle name="常规 10 2 2" xfId="833" xr:uid="{00000000-0005-0000-0000-000071030000}"/>
    <cellStyle name="常规 10 2 2 2" xfId="615" xr:uid="{00000000-0005-0000-0000-000097020000}"/>
    <cellStyle name="常规 10 2 2 3" xfId="14" xr:uid="{00000000-0005-0000-0000-000019000000}"/>
    <cellStyle name="常规 10 2 2 4" xfId="835" xr:uid="{00000000-0005-0000-0000-000073030000}"/>
    <cellStyle name="常规 10 2 3" xfId="836" xr:uid="{00000000-0005-0000-0000-000074030000}"/>
    <cellStyle name="常规 10 2 4" xfId="837" xr:uid="{00000000-0005-0000-0000-000075030000}"/>
    <cellStyle name="常规 10 2 5" xfId="838" xr:uid="{00000000-0005-0000-0000-000076030000}"/>
    <cellStyle name="常规 10 2 6" xfId="840" xr:uid="{00000000-0005-0000-0000-000078030000}"/>
    <cellStyle name="常规 10 2 6 2" xfId="653" xr:uid="{00000000-0005-0000-0000-0000BD020000}"/>
    <cellStyle name="常规 10 2 7" xfId="842" xr:uid="{00000000-0005-0000-0000-00007A030000}"/>
    <cellStyle name="常规 10 2 8" xfId="83" xr:uid="{00000000-0005-0000-0000-000083000000}"/>
    <cellStyle name="常规 10 2 8 2" xfId="843" xr:uid="{00000000-0005-0000-0000-00007B030000}"/>
    <cellStyle name="常规 10 3" xfId="781" xr:uid="{00000000-0005-0000-0000-00003D030000}"/>
    <cellStyle name="常规 10 3 2" xfId="845" xr:uid="{00000000-0005-0000-0000-00007D030000}"/>
    <cellStyle name="常规 10 3 3" xfId="847" xr:uid="{00000000-0005-0000-0000-00007F030000}"/>
    <cellStyle name="常规 10 3 4" xfId="380" xr:uid="{00000000-0005-0000-0000-0000AC010000}"/>
    <cellStyle name="常规 10 3 5" xfId="791" xr:uid="{00000000-0005-0000-0000-000047030000}"/>
    <cellStyle name="常规 10 3 6" xfId="805" xr:uid="{00000000-0005-0000-0000-000055030000}"/>
    <cellStyle name="常规 10 4" xfId="848" xr:uid="{00000000-0005-0000-0000-000080030000}"/>
    <cellStyle name="常规 10 4 2" xfId="852" xr:uid="{00000000-0005-0000-0000-000084030000}"/>
    <cellStyle name="常规 10 4 3" xfId="856" xr:uid="{00000000-0005-0000-0000-000088030000}"/>
    <cellStyle name="常规 10 5" xfId="420" xr:uid="{00000000-0005-0000-0000-0000D4010000}"/>
    <cellStyle name="常规 10 6" xfId="290" xr:uid="{00000000-0005-0000-0000-000052010000}"/>
    <cellStyle name="常规 10 6 2" xfId="583" xr:uid="{00000000-0005-0000-0000-000077020000}"/>
    <cellStyle name="常规 10 6 3" xfId="857" xr:uid="{00000000-0005-0000-0000-000089030000}"/>
    <cellStyle name="常规 10 7" xfId="432" xr:uid="{00000000-0005-0000-0000-0000E0010000}"/>
    <cellStyle name="常规 10 7 2" xfId="858" xr:uid="{00000000-0005-0000-0000-00008A030000}"/>
    <cellStyle name="常规 10 8" xfId="439" xr:uid="{00000000-0005-0000-0000-0000E7010000}"/>
    <cellStyle name="常规 10 9" xfId="444" xr:uid="{00000000-0005-0000-0000-0000EC010000}"/>
    <cellStyle name="常规 100" xfId="861" xr:uid="{00000000-0005-0000-0000-00008D030000}"/>
    <cellStyle name="常规 100 2" xfId="865" xr:uid="{00000000-0005-0000-0000-000091030000}"/>
    <cellStyle name="常规 100 2 2" xfId="867" xr:uid="{00000000-0005-0000-0000-000093030000}"/>
    <cellStyle name="常规 100 2 5" xfId="67" xr:uid="{00000000-0005-0000-0000-000066000000}"/>
    <cellStyle name="常规 100 3" xfId="871" xr:uid="{00000000-0005-0000-0000-000097030000}"/>
    <cellStyle name="常规 101" xfId="874" xr:uid="{00000000-0005-0000-0000-00009A030000}"/>
    <cellStyle name="常规 101 2" xfId="804" xr:uid="{00000000-0005-0000-0000-000054030000}"/>
    <cellStyle name="常规 101 2 2" xfId="875" xr:uid="{00000000-0005-0000-0000-00009B030000}"/>
    <cellStyle name="常规 101 3" xfId="878" xr:uid="{00000000-0005-0000-0000-00009E030000}"/>
    <cellStyle name="常规 102" xfId="851" xr:uid="{00000000-0005-0000-0000-000083030000}"/>
    <cellStyle name="常规 102 2" xfId="438" xr:uid="{00000000-0005-0000-0000-0000E6010000}"/>
    <cellStyle name="常规 102 2 2" xfId="880" xr:uid="{00000000-0005-0000-0000-0000A0030000}"/>
    <cellStyle name="常规 102 3" xfId="443" xr:uid="{00000000-0005-0000-0000-0000EB010000}"/>
    <cellStyle name="常规 103" xfId="855" xr:uid="{00000000-0005-0000-0000-000087030000}"/>
    <cellStyle name="常规 104" xfId="531" xr:uid="{00000000-0005-0000-0000-000043020000}"/>
    <cellStyle name="常规 104 2" xfId="496" xr:uid="{00000000-0005-0000-0000-000020020000}"/>
    <cellStyle name="常规 104 2 2" xfId="881" xr:uid="{00000000-0005-0000-0000-0000A1030000}"/>
    <cellStyle name="常规 104 3" xfId="499" xr:uid="{00000000-0005-0000-0000-000023020000}"/>
    <cellStyle name="常规 105" xfId="884" xr:uid="{00000000-0005-0000-0000-0000A4030000}"/>
    <cellStyle name="常规 105 2" xfId="353" xr:uid="{00000000-0005-0000-0000-000091010000}"/>
    <cellStyle name="常规 105 2 2" xfId="357" xr:uid="{00000000-0005-0000-0000-000095010000}"/>
    <cellStyle name="常规 105 3" xfId="369" xr:uid="{00000000-0005-0000-0000-0000A1010000}"/>
    <cellStyle name="常规 106" xfId="887" xr:uid="{00000000-0005-0000-0000-0000A7030000}"/>
    <cellStyle name="常规 106 2" xfId="549" xr:uid="{00000000-0005-0000-0000-000055020000}"/>
    <cellStyle name="常规 106 2 2" xfId="889" xr:uid="{00000000-0005-0000-0000-0000A9030000}"/>
    <cellStyle name="常规 106 3" xfId="556" xr:uid="{00000000-0005-0000-0000-00005C020000}"/>
    <cellStyle name="常规 107" xfId="892" xr:uid="{00000000-0005-0000-0000-0000AC030000}"/>
    <cellStyle name="常规 107 2" xfId="59" xr:uid="{00000000-0005-0000-0000-000058000000}"/>
    <cellStyle name="常规 107 2 2" xfId="894" xr:uid="{00000000-0005-0000-0000-0000AE030000}"/>
    <cellStyle name="常规 107 3" xfId="602" xr:uid="{00000000-0005-0000-0000-00008A020000}"/>
    <cellStyle name="常规 108" xfId="898" xr:uid="{00000000-0005-0000-0000-0000B2030000}"/>
    <cellStyle name="常规 108 2" xfId="902" xr:uid="{00000000-0005-0000-0000-0000B6030000}"/>
    <cellStyle name="常规 108 2 2" xfId="906" xr:uid="{00000000-0005-0000-0000-0000BA030000}"/>
    <cellStyle name="常规 108 3" xfId="911" xr:uid="{00000000-0005-0000-0000-0000BF030000}"/>
    <cellStyle name="常规 109" xfId="915" xr:uid="{00000000-0005-0000-0000-0000C3030000}"/>
    <cellStyle name="常规 109 2" xfId="918" xr:uid="{00000000-0005-0000-0000-0000C6030000}"/>
    <cellStyle name="常规 109 2 2" xfId="190" xr:uid="{00000000-0005-0000-0000-0000EE000000}"/>
    <cellStyle name="常规 109 3" xfId="921" xr:uid="{00000000-0005-0000-0000-0000C9030000}"/>
    <cellStyle name="常规 11" xfId="922" xr:uid="{00000000-0005-0000-0000-0000CA030000}"/>
    <cellStyle name="常规 11 10" xfId="923" xr:uid="{00000000-0005-0000-0000-0000CB030000}"/>
    <cellStyle name="常规 11 10 2" xfId="925" xr:uid="{00000000-0005-0000-0000-0000CD030000}"/>
    <cellStyle name="常规 11 10 3" xfId="927" xr:uid="{00000000-0005-0000-0000-0000CF030000}"/>
    <cellStyle name="常规 11 11" xfId="928" xr:uid="{00000000-0005-0000-0000-0000D0030000}"/>
    <cellStyle name="常规 11 11 2" xfId="929" xr:uid="{00000000-0005-0000-0000-0000D1030000}"/>
    <cellStyle name="常规 11 11 3" xfId="930" xr:uid="{00000000-0005-0000-0000-0000D2030000}"/>
    <cellStyle name="常规 11 12" xfId="931" xr:uid="{00000000-0005-0000-0000-0000D3030000}"/>
    <cellStyle name="常规 11 12 2" xfId="932" xr:uid="{00000000-0005-0000-0000-0000D4030000}"/>
    <cellStyle name="常规 11 12 3" xfId="934" xr:uid="{00000000-0005-0000-0000-0000D6030000}"/>
    <cellStyle name="常规 11 125" xfId="935" xr:uid="{00000000-0005-0000-0000-0000D7030000}"/>
    <cellStyle name="常规 11 13" xfId="936" xr:uid="{00000000-0005-0000-0000-0000D8030000}"/>
    <cellStyle name="常规 11 13 2" xfId="937" xr:uid="{00000000-0005-0000-0000-0000D9030000}"/>
    <cellStyle name="常规 11 13 3" xfId="940" xr:uid="{00000000-0005-0000-0000-0000DC030000}"/>
    <cellStyle name="常规 11 14" xfId="942" xr:uid="{00000000-0005-0000-0000-0000DE030000}"/>
    <cellStyle name="常规 11 14 2" xfId="943" xr:uid="{00000000-0005-0000-0000-0000DF030000}"/>
    <cellStyle name="常规 11 14 3" xfId="944" xr:uid="{00000000-0005-0000-0000-0000E0030000}"/>
    <cellStyle name="常规 11 15" xfId="945" xr:uid="{00000000-0005-0000-0000-0000E1030000}"/>
    <cellStyle name="常规 11 15 2" xfId="946" xr:uid="{00000000-0005-0000-0000-0000E2030000}"/>
    <cellStyle name="常规 11 16" xfId="947" xr:uid="{00000000-0005-0000-0000-0000E3030000}"/>
    <cellStyle name="常规 11 17" xfId="948" xr:uid="{00000000-0005-0000-0000-0000E4030000}"/>
    <cellStyle name="常规 11 18" xfId="64" xr:uid="{00000000-0005-0000-0000-000060000000}"/>
    <cellStyle name="常规 11 18 2" xfId="950" xr:uid="{00000000-0005-0000-0000-0000E6030000}"/>
    <cellStyle name="常规 11 18 2 2" xfId="954" xr:uid="{00000000-0005-0000-0000-0000EA030000}"/>
    <cellStyle name="常规 11 18 3" xfId="958" xr:uid="{00000000-0005-0000-0000-0000EE030000}"/>
    <cellStyle name="常规 11 19" xfId="959" xr:uid="{00000000-0005-0000-0000-0000EF030000}"/>
    <cellStyle name="常规 11 2" xfId="960" xr:uid="{00000000-0005-0000-0000-0000F0030000}"/>
    <cellStyle name="常规 11 2 10" xfId="532" xr:uid="{00000000-0005-0000-0000-000044020000}"/>
    <cellStyle name="常规 11 2 2" xfId="961" xr:uid="{00000000-0005-0000-0000-0000F1030000}"/>
    <cellStyle name="常规 11 2 2 2" xfId="962" xr:uid="{00000000-0005-0000-0000-0000F2030000}"/>
    <cellStyle name="常规 11 2 2 3" xfId="963" xr:uid="{00000000-0005-0000-0000-0000F3030000}"/>
    <cellStyle name="常规 11 2 2 3 2" xfId="964" xr:uid="{00000000-0005-0000-0000-0000F4030000}"/>
    <cellStyle name="常规 11 2 2 4" xfId="965" xr:uid="{00000000-0005-0000-0000-0000F5030000}"/>
    <cellStyle name="常规 11 2 3" xfId="966" xr:uid="{00000000-0005-0000-0000-0000F6030000}"/>
    <cellStyle name="常规 11 2 4" xfId="967" xr:uid="{00000000-0005-0000-0000-0000F7030000}"/>
    <cellStyle name="常规 11 2 5" xfId="968" xr:uid="{00000000-0005-0000-0000-0000F8030000}"/>
    <cellStyle name="常规 11 2 6" xfId="969" xr:uid="{00000000-0005-0000-0000-0000F9030000}"/>
    <cellStyle name="常规 11 2 7" xfId="970" xr:uid="{00000000-0005-0000-0000-0000FA030000}"/>
    <cellStyle name="常规 11 2 8" xfId="971" xr:uid="{00000000-0005-0000-0000-0000FB030000}"/>
    <cellStyle name="常规 11 2 9" xfId="972" xr:uid="{00000000-0005-0000-0000-0000FC030000}"/>
    <cellStyle name="常规 11 2 9 2" xfId="974" xr:uid="{00000000-0005-0000-0000-0000FE030000}"/>
    <cellStyle name="常规 11 3" xfId="975" xr:uid="{00000000-0005-0000-0000-0000FF030000}"/>
    <cellStyle name="常规 11 3 2" xfId="977" xr:uid="{00000000-0005-0000-0000-000001040000}"/>
    <cellStyle name="常规 11 3 2 2" xfId="981" xr:uid="{00000000-0005-0000-0000-000005040000}"/>
    <cellStyle name="常规 11 3 2 3" xfId="985" xr:uid="{00000000-0005-0000-0000-000009040000}"/>
    <cellStyle name="常规 11 3 3" xfId="987" xr:uid="{00000000-0005-0000-0000-00000B040000}"/>
    <cellStyle name="常规 11 3 4" xfId="988" xr:uid="{00000000-0005-0000-0000-00000C040000}"/>
    <cellStyle name="常规 11 3 4 2" xfId="989" xr:uid="{00000000-0005-0000-0000-00000D040000}"/>
    <cellStyle name="常规 11 3 5" xfId="990" xr:uid="{00000000-0005-0000-0000-00000E040000}"/>
    <cellStyle name="常规 11 4" xfId="991" xr:uid="{00000000-0005-0000-0000-00000F040000}"/>
    <cellStyle name="常规 11 5" xfId="992" xr:uid="{00000000-0005-0000-0000-000010040000}"/>
    <cellStyle name="常规 11 6" xfId="993" xr:uid="{00000000-0005-0000-0000-000011040000}"/>
    <cellStyle name="常规 11 7" xfId="995" xr:uid="{00000000-0005-0000-0000-000013040000}"/>
    <cellStyle name="常规 11 8" xfId="996" xr:uid="{00000000-0005-0000-0000-000014040000}"/>
    <cellStyle name="常规 11 8 2" xfId="998" xr:uid="{00000000-0005-0000-0000-000016040000}"/>
    <cellStyle name="常规 11 8 3" xfId="1000" xr:uid="{00000000-0005-0000-0000-000018040000}"/>
    <cellStyle name="常规 11 9" xfId="1001" xr:uid="{00000000-0005-0000-0000-000019040000}"/>
    <cellStyle name="常规 11 9 2" xfId="1002" xr:uid="{00000000-0005-0000-0000-00001A040000}"/>
    <cellStyle name="常规 11 9 3" xfId="1003" xr:uid="{00000000-0005-0000-0000-00001B040000}"/>
    <cellStyle name="常规 110" xfId="883" xr:uid="{00000000-0005-0000-0000-0000A3030000}"/>
    <cellStyle name="常规 110 2" xfId="351" xr:uid="{00000000-0005-0000-0000-00008F010000}"/>
    <cellStyle name="常规 110 2 2" xfId="356" xr:uid="{00000000-0005-0000-0000-000094010000}"/>
    <cellStyle name="常规 110 3" xfId="367" xr:uid="{00000000-0005-0000-0000-00009F010000}"/>
    <cellStyle name="常规 111" xfId="886" xr:uid="{00000000-0005-0000-0000-0000A6030000}"/>
    <cellStyle name="常规 111 2" xfId="548" xr:uid="{00000000-0005-0000-0000-000054020000}"/>
    <cellStyle name="常规 111 2 2" xfId="888" xr:uid="{00000000-0005-0000-0000-0000A8030000}"/>
    <cellStyle name="常规 111 3" xfId="555" xr:uid="{00000000-0005-0000-0000-00005B020000}"/>
    <cellStyle name="常规 112" xfId="891" xr:uid="{00000000-0005-0000-0000-0000AB030000}"/>
    <cellStyle name="常规 112 2" xfId="58" xr:uid="{00000000-0005-0000-0000-000057000000}"/>
    <cellStyle name="常规 112 2 2" xfId="893" xr:uid="{00000000-0005-0000-0000-0000AD030000}"/>
    <cellStyle name="常规 112 3" xfId="601" xr:uid="{00000000-0005-0000-0000-000089020000}"/>
    <cellStyle name="常规 113" xfId="897" xr:uid="{00000000-0005-0000-0000-0000B1030000}"/>
    <cellStyle name="常规 113 2" xfId="901" xr:uid="{00000000-0005-0000-0000-0000B5030000}"/>
    <cellStyle name="常规 113 2 2" xfId="905" xr:uid="{00000000-0005-0000-0000-0000B9030000}"/>
    <cellStyle name="常规 113 3" xfId="910" xr:uid="{00000000-0005-0000-0000-0000BE030000}"/>
    <cellStyle name="常规 114" xfId="914" xr:uid="{00000000-0005-0000-0000-0000C2030000}"/>
    <cellStyle name="常规 115" xfId="1007" xr:uid="{00000000-0005-0000-0000-00001F040000}"/>
    <cellStyle name="常规 116" xfId="1010" xr:uid="{00000000-0005-0000-0000-000022040000}"/>
    <cellStyle name="常规 116 2" xfId="1012" xr:uid="{00000000-0005-0000-0000-000024040000}"/>
    <cellStyle name="常规 116 2 2" xfId="1016" xr:uid="{00000000-0005-0000-0000-000028040000}"/>
    <cellStyle name="常规 116 3" xfId="1019" xr:uid="{00000000-0005-0000-0000-00002B040000}"/>
    <cellStyle name="常规 117" xfId="1022" xr:uid="{00000000-0005-0000-0000-00002E040000}"/>
    <cellStyle name="常规 117 2" xfId="1024" xr:uid="{00000000-0005-0000-0000-000030040000}"/>
    <cellStyle name="常规 117 2 2" xfId="1026" xr:uid="{00000000-0005-0000-0000-000032040000}"/>
    <cellStyle name="常规 117 3" xfId="1029" xr:uid="{00000000-0005-0000-0000-000035040000}"/>
    <cellStyle name="常规 118" xfId="1032" xr:uid="{00000000-0005-0000-0000-000038040000}"/>
    <cellStyle name="常规 118 2" xfId="1036" xr:uid="{00000000-0005-0000-0000-00003C040000}"/>
    <cellStyle name="常规 118 2 2" xfId="1039" xr:uid="{00000000-0005-0000-0000-00003F040000}"/>
    <cellStyle name="常规 118 3" xfId="1045" xr:uid="{00000000-0005-0000-0000-000045040000}"/>
    <cellStyle name="常规 119" xfId="1048" xr:uid="{00000000-0005-0000-0000-000048040000}"/>
    <cellStyle name="常规 119 2" xfId="1051" xr:uid="{00000000-0005-0000-0000-00004B040000}"/>
    <cellStyle name="常规 119 2 2" xfId="1053" xr:uid="{00000000-0005-0000-0000-00004D040000}"/>
    <cellStyle name="常规 119 3" xfId="1056" xr:uid="{00000000-0005-0000-0000-000050040000}"/>
    <cellStyle name="常规 12" xfId="1057" xr:uid="{00000000-0005-0000-0000-000051040000}"/>
    <cellStyle name="常规 12 10" xfId="890" xr:uid="{00000000-0005-0000-0000-0000AA030000}"/>
    <cellStyle name="常规 12 11" xfId="896" xr:uid="{00000000-0005-0000-0000-0000B0030000}"/>
    <cellStyle name="常规 12 12" xfId="913" xr:uid="{00000000-0005-0000-0000-0000C1030000}"/>
    <cellStyle name="常规 12 13" xfId="1006" xr:uid="{00000000-0005-0000-0000-00001E040000}"/>
    <cellStyle name="常规 12 14" xfId="1009" xr:uid="{00000000-0005-0000-0000-000021040000}"/>
    <cellStyle name="常规 12 15" xfId="1021" xr:uid="{00000000-0005-0000-0000-00002D040000}"/>
    <cellStyle name="常规 12 16" xfId="1031" xr:uid="{00000000-0005-0000-0000-000037040000}"/>
    <cellStyle name="常规 12 16 2" xfId="1035" xr:uid="{00000000-0005-0000-0000-00003B040000}"/>
    <cellStyle name="常规 12 16 2 2" xfId="1038" xr:uid="{00000000-0005-0000-0000-00003E040000}"/>
    <cellStyle name="常规 12 16 3" xfId="1044" xr:uid="{00000000-0005-0000-0000-000044040000}"/>
    <cellStyle name="常规 12 17" xfId="1047" xr:uid="{00000000-0005-0000-0000-000047040000}"/>
    <cellStyle name="常规 12 17 2" xfId="1050" xr:uid="{00000000-0005-0000-0000-00004A040000}"/>
    <cellStyle name="常规 12 17 3" xfId="1055" xr:uid="{00000000-0005-0000-0000-00004F040000}"/>
    <cellStyle name="常规 12 17 4" xfId="1058" xr:uid="{00000000-0005-0000-0000-000052040000}"/>
    <cellStyle name="常规 12 18" xfId="1061" xr:uid="{00000000-0005-0000-0000-000055040000}"/>
    <cellStyle name="常规 12 2" xfId="1062" xr:uid="{00000000-0005-0000-0000-000056040000}"/>
    <cellStyle name="常规 12 2 2" xfId="1064" xr:uid="{00000000-0005-0000-0000-000058040000}"/>
    <cellStyle name="常规 12 2 2 2" xfId="1066" xr:uid="{00000000-0005-0000-0000-00005A040000}"/>
    <cellStyle name="常规 12 2 2 3" xfId="1068" xr:uid="{00000000-0005-0000-0000-00005C040000}"/>
    <cellStyle name="常规 12 2 3" xfId="1070" xr:uid="{00000000-0005-0000-0000-00005E040000}"/>
    <cellStyle name="常规 12 2 3 2" xfId="1073" xr:uid="{00000000-0005-0000-0000-000061040000}"/>
    <cellStyle name="常规 12 2 4" xfId="1075" xr:uid="{00000000-0005-0000-0000-000063040000}"/>
    <cellStyle name="常规 12 3" xfId="1076" xr:uid="{00000000-0005-0000-0000-000064040000}"/>
    <cellStyle name="常规 12 3 2" xfId="1077" xr:uid="{00000000-0005-0000-0000-000065040000}"/>
    <cellStyle name="常规 12 3 3" xfId="1078" xr:uid="{00000000-0005-0000-0000-000066040000}"/>
    <cellStyle name="常规 12 4" xfId="1079" xr:uid="{00000000-0005-0000-0000-000067040000}"/>
    <cellStyle name="常规 12 5" xfId="1080" xr:uid="{00000000-0005-0000-0000-000068040000}"/>
    <cellStyle name="常规 12 6" xfId="1081" xr:uid="{00000000-0005-0000-0000-000069040000}"/>
    <cellStyle name="常规 12 7" xfId="1082" xr:uid="{00000000-0005-0000-0000-00006A040000}"/>
    <cellStyle name="常规 12 8" xfId="1083" xr:uid="{00000000-0005-0000-0000-00006B040000}"/>
    <cellStyle name="常规 12 9" xfId="1084" xr:uid="{00000000-0005-0000-0000-00006C040000}"/>
    <cellStyle name="常规 120" xfId="1005" xr:uid="{00000000-0005-0000-0000-00001D040000}"/>
    <cellStyle name="常规 121" xfId="1008" xr:uid="{00000000-0005-0000-0000-000020040000}"/>
    <cellStyle name="常规 121 2" xfId="1011" xr:uid="{00000000-0005-0000-0000-000023040000}"/>
    <cellStyle name="常规 121 2 2" xfId="1015" xr:uid="{00000000-0005-0000-0000-000027040000}"/>
    <cellStyle name="常规 121 3" xfId="1018" xr:uid="{00000000-0005-0000-0000-00002A040000}"/>
    <cellStyle name="常规 122" xfId="1020" xr:uid="{00000000-0005-0000-0000-00002C040000}"/>
    <cellStyle name="常规 122 2" xfId="1023" xr:uid="{00000000-0005-0000-0000-00002F040000}"/>
    <cellStyle name="常规 122 2 2" xfId="1025" xr:uid="{00000000-0005-0000-0000-000031040000}"/>
    <cellStyle name="常规 122 3" xfId="1028" xr:uid="{00000000-0005-0000-0000-000034040000}"/>
    <cellStyle name="常规 123" xfId="1030" xr:uid="{00000000-0005-0000-0000-000036040000}"/>
    <cellStyle name="常规 123 2" xfId="1034" xr:uid="{00000000-0005-0000-0000-00003A040000}"/>
    <cellStyle name="常规 123 2 2" xfId="1037" xr:uid="{00000000-0005-0000-0000-00003D040000}"/>
    <cellStyle name="常规 123 3" xfId="1043" xr:uid="{00000000-0005-0000-0000-000043040000}"/>
    <cellStyle name="常规 124" xfId="1046" xr:uid="{00000000-0005-0000-0000-000046040000}"/>
    <cellStyle name="常规 124 2" xfId="1049" xr:uid="{00000000-0005-0000-0000-000049040000}"/>
    <cellStyle name="常规 124 2 2" xfId="1052" xr:uid="{00000000-0005-0000-0000-00004C040000}"/>
    <cellStyle name="常规 124 3" xfId="1054" xr:uid="{00000000-0005-0000-0000-00004E040000}"/>
    <cellStyle name="常规 125" xfId="1060" xr:uid="{00000000-0005-0000-0000-000054040000}"/>
    <cellStyle name="常规 125 2" xfId="1086" xr:uid="{00000000-0005-0000-0000-00006E040000}"/>
    <cellStyle name="常规 125 2 2" xfId="1090" xr:uid="{00000000-0005-0000-0000-000072040000}"/>
    <cellStyle name="常规 125 3" xfId="1094" xr:uid="{00000000-0005-0000-0000-000076040000}"/>
    <cellStyle name="常规 126" xfId="1096" xr:uid="{00000000-0005-0000-0000-000078040000}"/>
    <cellStyle name="常规 126 2" xfId="1099" xr:uid="{00000000-0005-0000-0000-00007B040000}"/>
    <cellStyle name="常规 126 2 2" xfId="122" xr:uid="{00000000-0005-0000-0000-0000AA000000}"/>
    <cellStyle name="常规 126 3" xfId="1102" xr:uid="{00000000-0005-0000-0000-00007E040000}"/>
    <cellStyle name="常规 127" xfId="1104" xr:uid="{00000000-0005-0000-0000-000080040000}"/>
    <cellStyle name="常规 127 2" xfId="1106" xr:uid="{00000000-0005-0000-0000-000082040000}"/>
    <cellStyle name="常规 127 2 2" xfId="171" xr:uid="{00000000-0005-0000-0000-0000DB000000}"/>
    <cellStyle name="常规 127 3" xfId="1108" xr:uid="{00000000-0005-0000-0000-000084040000}"/>
    <cellStyle name="常规 128" xfId="1110" xr:uid="{00000000-0005-0000-0000-000086040000}"/>
    <cellStyle name="常规 128 2" xfId="1112" xr:uid="{00000000-0005-0000-0000-000088040000}"/>
    <cellStyle name="常规 128 2 2" xfId="228" xr:uid="{00000000-0005-0000-0000-000014010000}"/>
    <cellStyle name="常规 128 3" xfId="1114" xr:uid="{00000000-0005-0000-0000-00008A040000}"/>
    <cellStyle name="常规 129" xfId="1116" xr:uid="{00000000-0005-0000-0000-00008C040000}"/>
    <cellStyle name="常规 129 2" xfId="1117" xr:uid="{00000000-0005-0000-0000-00008D040000}"/>
    <cellStyle name="常规 129 2 2" xfId="268" xr:uid="{00000000-0005-0000-0000-00003C010000}"/>
    <cellStyle name="常规 129 3" xfId="1118" xr:uid="{00000000-0005-0000-0000-00008E040000}"/>
    <cellStyle name="常规 13" xfId="1119" xr:uid="{00000000-0005-0000-0000-00008F040000}"/>
    <cellStyle name="常规 13 10" xfId="1120" xr:uid="{00000000-0005-0000-0000-000090040000}"/>
    <cellStyle name="常规 13 11" xfId="1121" xr:uid="{00000000-0005-0000-0000-000091040000}"/>
    <cellStyle name="常规 13 12" xfId="1123" xr:uid="{00000000-0005-0000-0000-000093040000}"/>
    <cellStyle name="常规 13 13" xfId="1125" xr:uid="{00000000-0005-0000-0000-000095040000}"/>
    <cellStyle name="常规 13 14" xfId="1127" xr:uid="{00000000-0005-0000-0000-000097040000}"/>
    <cellStyle name="常规 13 15" xfId="1128" xr:uid="{00000000-0005-0000-0000-000098040000}"/>
    <cellStyle name="常规 13 16" xfId="1129" xr:uid="{00000000-0005-0000-0000-000099040000}"/>
    <cellStyle name="常规 13 16 2" xfId="318" xr:uid="{00000000-0005-0000-0000-00006E010000}"/>
    <cellStyle name="常规 13 16 2 2" xfId="1130" xr:uid="{00000000-0005-0000-0000-00009A040000}"/>
    <cellStyle name="常规 13 16 3" xfId="322" xr:uid="{00000000-0005-0000-0000-000072010000}"/>
    <cellStyle name="常规 13 17" xfId="1131" xr:uid="{00000000-0005-0000-0000-00009B040000}"/>
    <cellStyle name="常规 13 17 2" xfId="384" xr:uid="{00000000-0005-0000-0000-0000B0010000}"/>
    <cellStyle name="常规 13 17 3" xfId="387" xr:uid="{00000000-0005-0000-0000-0000B3010000}"/>
    <cellStyle name="常规 13 17 4" xfId="391" xr:uid="{00000000-0005-0000-0000-0000B7010000}"/>
    <cellStyle name="常规 13 18" xfId="1132" xr:uid="{00000000-0005-0000-0000-00009C040000}"/>
    <cellStyle name="常规 13 2" xfId="1133" xr:uid="{00000000-0005-0000-0000-00009D040000}"/>
    <cellStyle name="常规 13 2 2" xfId="1135" xr:uid="{00000000-0005-0000-0000-00009F040000}"/>
    <cellStyle name="常规 13 2 2 2" xfId="1137" xr:uid="{00000000-0005-0000-0000-0000A1040000}"/>
    <cellStyle name="常规 13 2 2 3" xfId="1138" xr:uid="{00000000-0005-0000-0000-0000A2040000}"/>
    <cellStyle name="常规 13 2 3" xfId="1140" xr:uid="{00000000-0005-0000-0000-0000A4040000}"/>
    <cellStyle name="常规 13 2 3 2" xfId="1141" xr:uid="{00000000-0005-0000-0000-0000A5040000}"/>
    <cellStyle name="常规 13 2 4" xfId="1143" xr:uid="{00000000-0005-0000-0000-0000A7040000}"/>
    <cellStyle name="常规 13 3" xfId="1144" xr:uid="{00000000-0005-0000-0000-0000A8040000}"/>
    <cellStyle name="常规 13 4" xfId="1145" xr:uid="{00000000-0005-0000-0000-0000A9040000}"/>
    <cellStyle name="常规 13 5" xfId="49" xr:uid="{00000000-0005-0000-0000-00004B000000}"/>
    <cellStyle name="常规 13 6" xfId="1146" xr:uid="{00000000-0005-0000-0000-0000AA040000}"/>
    <cellStyle name="常规 13 7" xfId="349" xr:uid="{00000000-0005-0000-0000-00008D010000}"/>
    <cellStyle name="常规 13 8" xfId="354" xr:uid="{00000000-0005-0000-0000-000092010000}"/>
    <cellStyle name="常规 13 9" xfId="372" xr:uid="{00000000-0005-0000-0000-0000A4010000}"/>
    <cellStyle name="常规 130" xfId="1059" xr:uid="{00000000-0005-0000-0000-000053040000}"/>
    <cellStyle name="常规 131" xfId="1095" xr:uid="{00000000-0005-0000-0000-000077040000}"/>
    <cellStyle name="常规 131 2" xfId="1098" xr:uid="{00000000-0005-0000-0000-00007A040000}"/>
    <cellStyle name="常规 131 2 2" xfId="121" xr:uid="{00000000-0005-0000-0000-0000A9000000}"/>
    <cellStyle name="常规 131 3" xfId="1101" xr:uid="{00000000-0005-0000-0000-00007D040000}"/>
    <cellStyle name="常规 132" xfId="1103" xr:uid="{00000000-0005-0000-0000-00007F040000}"/>
    <cellStyle name="常规 132 2" xfId="1105" xr:uid="{00000000-0005-0000-0000-000081040000}"/>
    <cellStyle name="常规 132 2 2" xfId="170" xr:uid="{00000000-0005-0000-0000-0000DA000000}"/>
    <cellStyle name="常规 132 3" xfId="1107" xr:uid="{00000000-0005-0000-0000-000083040000}"/>
    <cellStyle name="常规 133" xfId="1109" xr:uid="{00000000-0005-0000-0000-000085040000}"/>
    <cellStyle name="常规 133 2" xfId="1111" xr:uid="{00000000-0005-0000-0000-000087040000}"/>
    <cellStyle name="常规 133 2 2" xfId="227" xr:uid="{00000000-0005-0000-0000-000013010000}"/>
    <cellStyle name="常规 133 3" xfId="1113" xr:uid="{00000000-0005-0000-0000-000089040000}"/>
    <cellStyle name="常规 134" xfId="1115" xr:uid="{00000000-0005-0000-0000-00008B040000}"/>
    <cellStyle name="常规 135" xfId="1148" xr:uid="{00000000-0005-0000-0000-0000AC040000}"/>
    <cellStyle name="常规 135 2" xfId="1149" xr:uid="{00000000-0005-0000-0000-0000AD040000}"/>
    <cellStyle name="常规 135 2 2" xfId="313" xr:uid="{00000000-0005-0000-0000-000069010000}"/>
    <cellStyle name="常规 135 3" xfId="1150" xr:uid="{00000000-0005-0000-0000-0000AE040000}"/>
    <cellStyle name="常规 136" xfId="1152" xr:uid="{00000000-0005-0000-0000-0000B0040000}"/>
    <cellStyle name="常规 136 2" xfId="1157" xr:uid="{00000000-0005-0000-0000-0000B5040000}"/>
    <cellStyle name="常规 136 2 2" xfId="378" xr:uid="{00000000-0005-0000-0000-0000AA010000}"/>
    <cellStyle name="常规 136 3" xfId="1161" xr:uid="{00000000-0005-0000-0000-0000B9040000}"/>
    <cellStyle name="常规 137" xfId="1164" xr:uid="{00000000-0005-0000-0000-0000BC040000}"/>
    <cellStyle name="常规 138" xfId="1167" xr:uid="{00000000-0005-0000-0000-0000BF040000}"/>
    <cellStyle name="常规 138 2" xfId="1170" xr:uid="{00000000-0005-0000-0000-0000C2040000}"/>
    <cellStyle name="常规 138 2 2" xfId="1172" xr:uid="{00000000-0005-0000-0000-0000C4040000}"/>
    <cellStyle name="常规 138 3" xfId="1175" xr:uid="{00000000-0005-0000-0000-0000C7040000}"/>
    <cellStyle name="常规 139" xfId="1179" xr:uid="{00000000-0005-0000-0000-0000CB040000}"/>
    <cellStyle name="常规 139 2" xfId="1181" xr:uid="{00000000-0005-0000-0000-0000CD040000}"/>
    <cellStyle name="常规 139 2 2" xfId="1183" xr:uid="{00000000-0005-0000-0000-0000CF040000}"/>
    <cellStyle name="常规 139 3" xfId="1185" xr:uid="{00000000-0005-0000-0000-0000D1040000}"/>
    <cellStyle name="常规 14" xfId="1186" xr:uid="{00000000-0005-0000-0000-0000D2040000}"/>
    <cellStyle name="常规 14 10" xfId="488" xr:uid="{00000000-0005-0000-0000-000018020000}"/>
    <cellStyle name="常规 14 11" xfId="149" xr:uid="{00000000-0005-0000-0000-0000C5000000}"/>
    <cellStyle name="常规 14 12" xfId="151" xr:uid="{00000000-0005-0000-0000-0000C7000000}"/>
    <cellStyle name="常规 14 13" xfId="167" xr:uid="{00000000-0005-0000-0000-0000D7000000}"/>
    <cellStyle name="常规 14 14" xfId="169" xr:uid="{00000000-0005-0000-0000-0000D9000000}"/>
    <cellStyle name="常规 14 15" xfId="181" xr:uid="{00000000-0005-0000-0000-0000E5000000}"/>
    <cellStyle name="常规 14 16" xfId="1187" xr:uid="{00000000-0005-0000-0000-0000D3040000}"/>
    <cellStyle name="常规 14 16 2" xfId="1188" xr:uid="{00000000-0005-0000-0000-0000D4040000}"/>
    <cellStyle name="常规 14 16 2 2" xfId="11" xr:uid="{00000000-0005-0000-0000-000015000000}"/>
    <cellStyle name="常规 14 16 3" xfId="1189" xr:uid="{00000000-0005-0000-0000-0000D5040000}"/>
    <cellStyle name="常规 14 17" xfId="1190" xr:uid="{00000000-0005-0000-0000-0000D6040000}"/>
    <cellStyle name="常规 14 17 2" xfId="1191" xr:uid="{00000000-0005-0000-0000-0000D7040000}"/>
    <cellStyle name="常规 14 17 3" xfId="1192" xr:uid="{00000000-0005-0000-0000-0000D8040000}"/>
    <cellStyle name="常规 14 17 4" xfId="1193" xr:uid="{00000000-0005-0000-0000-0000D9040000}"/>
    <cellStyle name="常规 14 18" xfId="1194" xr:uid="{00000000-0005-0000-0000-0000DA040000}"/>
    <cellStyle name="常规 14 2" xfId="1195" xr:uid="{00000000-0005-0000-0000-0000DB040000}"/>
    <cellStyle name="常规 14 2 2" xfId="1196" xr:uid="{00000000-0005-0000-0000-0000DC040000}"/>
    <cellStyle name="常规 14 2 3" xfId="1197" xr:uid="{00000000-0005-0000-0000-0000DD040000}"/>
    <cellStyle name="常规 14 2 3 2" xfId="1198" xr:uid="{00000000-0005-0000-0000-0000DE040000}"/>
    <cellStyle name="常规 14 2 4" xfId="1199" xr:uid="{00000000-0005-0000-0000-0000DF040000}"/>
    <cellStyle name="常规 14 3" xfId="1200" xr:uid="{00000000-0005-0000-0000-0000E0040000}"/>
    <cellStyle name="常规 14 4" xfId="1201" xr:uid="{00000000-0005-0000-0000-0000E1040000}"/>
    <cellStyle name="常规 14 5" xfId="1202" xr:uid="{00000000-0005-0000-0000-0000E2040000}"/>
    <cellStyle name="常规 14 6" xfId="1203" xr:uid="{00000000-0005-0000-0000-0000E3040000}"/>
    <cellStyle name="常规 14 7" xfId="1204" xr:uid="{00000000-0005-0000-0000-0000E4040000}"/>
    <cellStyle name="常规 14 8" xfId="1205" xr:uid="{00000000-0005-0000-0000-0000E5040000}"/>
    <cellStyle name="常规 14 9" xfId="1206" xr:uid="{00000000-0005-0000-0000-0000E6040000}"/>
    <cellStyle name="常规 140" xfId="1147" xr:uid="{00000000-0005-0000-0000-0000AB040000}"/>
    <cellStyle name="常规 141" xfId="1151" xr:uid="{00000000-0005-0000-0000-0000AF040000}"/>
    <cellStyle name="常规 141 2" xfId="1156" xr:uid="{00000000-0005-0000-0000-0000B4040000}"/>
    <cellStyle name="常规 141 2 2" xfId="377" xr:uid="{00000000-0005-0000-0000-0000A9010000}"/>
    <cellStyle name="常规 141 3" xfId="1160" xr:uid="{00000000-0005-0000-0000-0000B8040000}"/>
    <cellStyle name="常规 142" xfId="1163" xr:uid="{00000000-0005-0000-0000-0000BB040000}"/>
    <cellStyle name="常规 143" xfId="1166" xr:uid="{00000000-0005-0000-0000-0000BE040000}"/>
    <cellStyle name="常规 143 2" xfId="1169" xr:uid="{00000000-0005-0000-0000-0000C1040000}"/>
    <cellStyle name="常规 143 2 2" xfId="1171" xr:uid="{00000000-0005-0000-0000-0000C3040000}"/>
    <cellStyle name="常规 143 3" xfId="1174" xr:uid="{00000000-0005-0000-0000-0000C6040000}"/>
    <cellStyle name="常规 144" xfId="1178" xr:uid="{00000000-0005-0000-0000-0000CA040000}"/>
    <cellStyle name="常规 145" xfId="1211" xr:uid="{00000000-0005-0000-0000-0000EB040000}"/>
    <cellStyle name="常规 145 2" xfId="1214" xr:uid="{00000000-0005-0000-0000-0000EE040000}"/>
    <cellStyle name="常规 145 2 2" xfId="1217" xr:uid="{00000000-0005-0000-0000-0000F1040000}"/>
    <cellStyle name="常规 145 3" xfId="1220" xr:uid="{00000000-0005-0000-0000-0000F4040000}"/>
    <cellStyle name="常规 146" xfId="1225" xr:uid="{00000000-0005-0000-0000-0000F9040000}"/>
    <cellStyle name="常规 146 2" xfId="1230" xr:uid="{00000000-0005-0000-0000-0000FE040000}"/>
    <cellStyle name="常规 146 2 2" xfId="1233" xr:uid="{00000000-0005-0000-0000-000001050000}"/>
    <cellStyle name="常规 146 3" xfId="1237" xr:uid="{00000000-0005-0000-0000-000005050000}"/>
    <cellStyle name="常规 147" xfId="1242" xr:uid="{00000000-0005-0000-0000-00000A050000}"/>
    <cellStyle name="常规 147 2" xfId="1246" xr:uid="{00000000-0005-0000-0000-00000E050000}"/>
    <cellStyle name="常规 147 2 2" xfId="1250" xr:uid="{00000000-0005-0000-0000-000012050000}"/>
    <cellStyle name="常规 147 3" xfId="1254" xr:uid="{00000000-0005-0000-0000-000016050000}"/>
    <cellStyle name="常规 148" xfId="1258" xr:uid="{00000000-0005-0000-0000-00001A050000}"/>
    <cellStyle name="常规 148 2" xfId="1261" xr:uid="{00000000-0005-0000-0000-00001D050000}"/>
    <cellStyle name="常规 148 2 2" xfId="1264" xr:uid="{00000000-0005-0000-0000-000020050000}"/>
    <cellStyle name="常规 148 3" xfId="1267" xr:uid="{00000000-0005-0000-0000-000023050000}"/>
    <cellStyle name="常规 149" xfId="1271" xr:uid="{00000000-0005-0000-0000-000027050000}"/>
    <cellStyle name="常规 149 2" xfId="1273" xr:uid="{00000000-0005-0000-0000-000029050000}"/>
    <cellStyle name="常规 149 2 2" xfId="1275" xr:uid="{00000000-0005-0000-0000-00002B050000}"/>
    <cellStyle name="常规 149 3" xfId="1277" xr:uid="{00000000-0005-0000-0000-00002D050000}"/>
    <cellStyle name="常规 15" xfId="1279" xr:uid="{00000000-0005-0000-0000-00002F050000}"/>
    <cellStyle name="常规 15 10" xfId="1281" xr:uid="{00000000-0005-0000-0000-000031050000}"/>
    <cellStyle name="常规 15 11" xfId="1285" xr:uid="{00000000-0005-0000-0000-000035050000}"/>
    <cellStyle name="常规 15 12" xfId="1287" xr:uid="{00000000-0005-0000-0000-000037050000}"/>
    <cellStyle name="常规 15 13" xfId="1289" xr:uid="{00000000-0005-0000-0000-000039050000}"/>
    <cellStyle name="常规 15 14" xfId="1291" xr:uid="{00000000-0005-0000-0000-00003B050000}"/>
    <cellStyle name="常规 15 15" xfId="1293" xr:uid="{00000000-0005-0000-0000-00003D050000}"/>
    <cellStyle name="常规 15 16" xfId="1295" xr:uid="{00000000-0005-0000-0000-00003F050000}"/>
    <cellStyle name="常规 15 16 2" xfId="1297" xr:uid="{00000000-0005-0000-0000-000041050000}"/>
    <cellStyle name="常规 15 16 2 2" xfId="371" xr:uid="{00000000-0005-0000-0000-0000A3010000}"/>
    <cellStyle name="常规 15 16 3" xfId="1299" xr:uid="{00000000-0005-0000-0000-000043050000}"/>
    <cellStyle name="常规 15 17" xfId="1301" xr:uid="{00000000-0005-0000-0000-000045050000}"/>
    <cellStyle name="常规 15 17 2" xfId="1302" xr:uid="{00000000-0005-0000-0000-000046050000}"/>
    <cellStyle name="常规 15 17 3" xfId="1303" xr:uid="{00000000-0005-0000-0000-000047050000}"/>
    <cellStyle name="常规 15 17 4" xfId="1304" xr:uid="{00000000-0005-0000-0000-000048050000}"/>
    <cellStyle name="常规 15 18" xfId="1305" xr:uid="{00000000-0005-0000-0000-000049050000}"/>
    <cellStyle name="常规 15 2" xfId="693" xr:uid="{00000000-0005-0000-0000-0000E5020000}"/>
    <cellStyle name="常规 15 2 2" xfId="1307" xr:uid="{00000000-0005-0000-0000-00004B050000}"/>
    <cellStyle name="常规 15 2 3" xfId="1308" xr:uid="{00000000-0005-0000-0000-00004C050000}"/>
    <cellStyle name="常规 15 2 3 2" xfId="1309" xr:uid="{00000000-0005-0000-0000-00004D050000}"/>
    <cellStyle name="常规 15 3" xfId="697" xr:uid="{00000000-0005-0000-0000-0000E9020000}"/>
    <cellStyle name="常规 15 4" xfId="701" xr:uid="{00000000-0005-0000-0000-0000ED020000}"/>
    <cellStyle name="常规 15 5" xfId="953" xr:uid="{00000000-0005-0000-0000-0000E9030000}"/>
    <cellStyle name="常规 15 6" xfId="1312" xr:uid="{00000000-0005-0000-0000-000050050000}"/>
    <cellStyle name="常规 15 7" xfId="1315" xr:uid="{00000000-0005-0000-0000-000053050000}"/>
    <cellStyle name="常规 15 8" xfId="1317" xr:uid="{00000000-0005-0000-0000-000055050000}"/>
    <cellStyle name="常规 15 9" xfId="1319" xr:uid="{00000000-0005-0000-0000-000057050000}"/>
    <cellStyle name="常规 150" xfId="1210" xr:uid="{00000000-0005-0000-0000-0000EA040000}"/>
    <cellStyle name="常规 150 2" xfId="1213" xr:uid="{00000000-0005-0000-0000-0000ED040000}"/>
    <cellStyle name="常规 150 2 2" xfId="1216" xr:uid="{00000000-0005-0000-0000-0000F0040000}"/>
    <cellStyle name="常规 150 3" xfId="1219" xr:uid="{00000000-0005-0000-0000-0000F3040000}"/>
    <cellStyle name="常规 151" xfId="1224" xr:uid="{00000000-0005-0000-0000-0000F8040000}"/>
    <cellStyle name="常规 151 2" xfId="1229" xr:uid="{00000000-0005-0000-0000-0000FD040000}"/>
    <cellStyle name="常规 151 2 2" xfId="1232" xr:uid="{00000000-0005-0000-0000-000000050000}"/>
    <cellStyle name="常规 151 3" xfId="1236" xr:uid="{00000000-0005-0000-0000-000004050000}"/>
    <cellStyle name="常规 152" xfId="1241" xr:uid="{00000000-0005-0000-0000-000009050000}"/>
    <cellStyle name="常规 152 2" xfId="1245" xr:uid="{00000000-0005-0000-0000-00000D050000}"/>
    <cellStyle name="常规 152 2 2" xfId="1249" xr:uid="{00000000-0005-0000-0000-000011050000}"/>
    <cellStyle name="常规 152 3" xfId="1253" xr:uid="{00000000-0005-0000-0000-000015050000}"/>
    <cellStyle name="常规 153" xfId="1257" xr:uid="{00000000-0005-0000-0000-000019050000}"/>
    <cellStyle name="常规 153 2" xfId="1260" xr:uid="{00000000-0005-0000-0000-00001C050000}"/>
    <cellStyle name="常规 153 2 2" xfId="1263" xr:uid="{00000000-0005-0000-0000-00001F050000}"/>
    <cellStyle name="常规 153 3" xfId="1266" xr:uid="{00000000-0005-0000-0000-000022050000}"/>
    <cellStyle name="常规 154" xfId="1270" xr:uid="{00000000-0005-0000-0000-000026050000}"/>
    <cellStyle name="常规 154 2" xfId="1272" xr:uid="{00000000-0005-0000-0000-000028050000}"/>
    <cellStyle name="常规 154 2 2" xfId="1274" xr:uid="{00000000-0005-0000-0000-00002A050000}"/>
    <cellStyle name="常规 154 3" xfId="1276" xr:uid="{00000000-0005-0000-0000-00002C050000}"/>
    <cellStyle name="常规 155" xfId="1323" xr:uid="{00000000-0005-0000-0000-00005B050000}"/>
    <cellStyle name="常规 155 2" xfId="1326" xr:uid="{00000000-0005-0000-0000-00005E050000}"/>
    <cellStyle name="常规 155 2 2" xfId="1328" xr:uid="{00000000-0005-0000-0000-000060050000}"/>
    <cellStyle name="常规 155 3" xfId="1330" xr:uid="{00000000-0005-0000-0000-000062050000}"/>
    <cellStyle name="常规 156" xfId="1334" xr:uid="{00000000-0005-0000-0000-000066050000}"/>
    <cellStyle name="常规 156 2" xfId="1338" xr:uid="{00000000-0005-0000-0000-00006A050000}"/>
    <cellStyle name="常规 156 2 2" xfId="1341" xr:uid="{00000000-0005-0000-0000-00006D050000}"/>
    <cellStyle name="常规 156 3" xfId="1345" xr:uid="{00000000-0005-0000-0000-000071050000}"/>
    <cellStyle name="常规 157" xfId="1349" xr:uid="{00000000-0005-0000-0000-000075050000}"/>
    <cellStyle name="常规 157 2" xfId="639" xr:uid="{00000000-0005-0000-0000-0000AF020000}"/>
    <cellStyle name="常规 157 2 2" xfId="1351" xr:uid="{00000000-0005-0000-0000-000077050000}"/>
    <cellStyle name="常规 157 3" xfId="642" xr:uid="{00000000-0005-0000-0000-0000B2020000}"/>
    <cellStyle name="常规 158" xfId="1355" xr:uid="{00000000-0005-0000-0000-00007B050000}"/>
    <cellStyle name="常规 158 2" xfId="1358" xr:uid="{00000000-0005-0000-0000-00007E050000}"/>
    <cellStyle name="常规 158 2 2" xfId="1361" xr:uid="{00000000-0005-0000-0000-000081050000}"/>
    <cellStyle name="常规 158 3" xfId="1364" xr:uid="{00000000-0005-0000-0000-000084050000}"/>
    <cellStyle name="常规 159" xfId="1368" xr:uid="{00000000-0005-0000-0000-000088050000}"/>
    <cellStyle name="常规 159 2" xfId="1371" xr:uid="{00000000-0005-0000-0000-00008B050000}"/>
    <cellStyle name="常规 159 2 2" xfId="1374" xr:uid="{00000000-0005-0000-0000-00008E050000}"/>
    <cellStyle name="常规 159 3" xfId="1377" xr:uid="{00000000-0005-0000-0000-000091050000}"/>
    <cellStyle name="常规 16" xfId="900" xr:uid="{00000000-0005-0000-0000-0000B4030000}"/>
    <cellStyle name="常规 16 10" xfId="1379" xr:uid="{00000000-0005-0000-0000-000093050000}"/>
    <cellStyle name="常规 16 11" xfId="1381" xr:uid="{00000000-0005-0000-0000-000095050000}"/>
    <cellStyle name="常规 16 12" xfId="1383" xr:uid="{00000000-0005-0000-0000-000097050000}"/>
    <cellStyle name="常规 16 13" xfId="652" xr:uid="{00000000-0005-0000-0000-0000BC020000}"/>
    <cellStyle name="常规 16 14" xfId="1385" xr:uid="{00000000-0005-0000-0000-000099050000}"/>
    <cellStyle name="常规 16 15" xfId="1387" xr:uid="{00000000-0005-0000-0000-00009B050000}"/>
    <cellStyle name="常规 16 16" xfId="1389" xr:uid="{00000000-0005-0000-0000-00009D050000}"/>
    <cellStyle name="常规 16 16 2" xfId="1393" xr:uid="{00000000-0005-0000-0000-0000A1050000}"/>
    <cellStyle name="常规 16 16 2 2" xfId="1396" xr:uid="{00000000-0005-0000-0000-0000A4050000}"/>
    <cellStyle name="常规 16 16 3" xfId="1400" xr:uid="{00000000-0005-0000-0000-0000A8050000}"/>
    <cellStyle name="常规 16 17" xfId="1402" xr:uid="{00000000-0005-0000-0000-0000AA050000}"/>
    <cellStyle name="常规 16 17 2" xfId="1408" xr:uid="{00000000-0005-0000-0000-0000B0050000}"/>
    <cellStyle name="常规 16 17 3" xfId="1413" xr:uid="{00000000-0005-0000-0000-0000B5050000}"/>
    <cellStyle name="常规 16 17 4" xfId="1418" xr:uid="{00000000-0005-0000-0000-0000BA050000}"/>
    <cellStyle name="常规 16 18" xfId="1420" xr:uid="{00000000-0005-0000-0000-0000BC050000}"/>
    <cellStyle name="常规 16 2" xfId="904" xr:uid="{00000000-0005-0000-0000-0000B8030000}"/>
    <cellStyle name="常规 16 2 2" xfId="779" xr:uid="{00000000-0005-0000-0000-00003B030000}"/>
    <cellStyle name="常规 16 2 3" xfId="783" xr:uid="{00000000-0005-0000-0000-00003F030000}"/>
    <cellStyle name="常规 16 2 3 2" xfId="1424" xr:uid="{00000000-0005-0000-0000-0000C0050000}"/>
    <cellStyle name="常规 16 3" xfId="1426" xr:uid="{00000000-0005-0000-0000-0000C2050000}"/>
    <cellStyle name="常规 16 4" xfId="1428" xr:uid="{00000000-0005-0000-0000-0000C4050000}"/>
    <cellStyle name="常规 16 5" xfId="1430" xr:uid="{00000000-0005-0000-0000-0000C6050000}"/>
    <cellStyle name="常规 16 6" xfId="1432" xr:uid="{00000000-0005-0000-0000-0000C8050000}"/>
    <cellStyle name="常规 16 7" xfId="1434" xr:uid="{00000000-0005-0000-0000-0000CA050000}"/>
    <cellStyle name="常规 16 8" xfId="1436" xr:uid="{00000000-0005-0000-0000-0000CC050000}"/>
    <cellStyle name="常规 16 9" xfId="1438" xr:uid="{00000000-0005-0000-0000-0000CE050000}"/>
    <cellStyle name="常规 160" xfId="1322" xr:uid="{00000000-0005-0000-0000-00005A050000}"/>
    <cellStyle name="常规 160 2" xfId="1325" xr:uid="{00000000-0005-0000-0000-00005D050000}"/>
    <cellStyle name="常规 160 2 2" xfId="1327" xr:uid="{00000000-0005-0000-0000-00005F050000}"/>
    <cellStyle name="常规 160 3" xfId="1329" xr:uid="{00000000-0005-0000-0000-000061050000}"/>
    <cellStyle name="常规 161" xfId="1333" xr:uid="{00000000-0005-0000-0000-000065050000}"/>
    <cellStyle name="常规 161 2" xfId="1337" xr:uid="{00000000-0005-0000-0000-000069050000}"/>
    <cellStyle name="常规 161 2 2" xfId="1340" xr:uid="{00000000-0005-0000-0000-00006C050000}"/>
    <cellStyle name="常规 161 3" xfId="1344" xr:uid="{00000000-0005-0000-0000-000070050000}"/>
    <cellStyle name="常规 162" xfId="1348" xr:uid="{00000000-0005-0000-0000-000074050000}"/>
    <cellStyle name="常规 162 2" xfId="638" xr:uid="{00000000-0005-0000-0000-0000AE020000}"/>
    <cellStyle name="常规 162 2 2" xfId="1350" xr:uid="{00000000-0005-0000-0000-000076050000}"/>
    <cellStyle name="常规 162 3" xfId="641" xr:uid="{00000000-0005-0000-0000-0000B1020000}"/>
    <cellStyle name="常规 163" xfId="1354" xr:uid="{00000000-0005-0000-0000-00007A050000}"/>
    <cellStyle name="常规 163 2" xfId="1357" xr:uid="{00000000-0005-0000-0000-00007D050000}"/>
    <cellStyle name="常规 163 2 2" xfId="1360" xr:uid="{00000000-0005-0000-0000-000080050000}"/>
    <cellStyle name="常规 163 3" xfId="1363" xr:uid="{00000000-0005-0000-0000-000083050000}"/>
    <cellStyle name="常规 164" xfId="1367" xr:uid="{00000000-0005-0000-0000-000087050000}"/>
    <cellStyle name="常规 164 2" xfId="1370" xr:uid="{00000000-0005-0000-0000-00008A050000}"/>
    <cellStyle name="常规 164 2 2" xfId="1373" xr:uid="{00000000-0005-0000-0000-00008D050000}"/>
    <cellStyle name="常规 164 3" xfId="1376" xr:uid="{00000000-0005-0000-0000-000090050000}"/>
    <cellStyle name="常规 165" xfId="1442" xr:uid="{00000000-0005-0000-0000-0000D2050000}"/>
    <cellStyle name="常规 165 2" xfId="1445" xr:uid="{00000000-0005-0000-0000-0000D5050000}"/>
    <cellStyle name="常规 165 2 2" xfId="1448" xr:uid="{00000000-0005-0000-0000-0000D8050000}"/>
    <cellStyle name="常规 165 3" xfId="1451" xr:uid="{00000000-0005-0000-0000-0000DB050000}"/>
    <cellStyle name="常规 166" xfId="1456" xr:uid="{00000000-0005-0000-0000-0000E0050000}"/>
    <cellStyle name="常规 166 2" xfId="1460" xr:uid="{00000000-0005-0000-0000-0000E4050000}"/>
    <cellStyle name="常规 166 2 2" xfId="1464" xr:uid="{00000000-0005-0000-0000-0000E8050000}"/>
    <cellStyle name="常规 166 3" xfId="1468" xr:uid="{00000000-0005-0000-0000-0000EC050000}"/>
    <cellStyle name="常规 167" xfId="1475" xr:uid="{00000000-0005-0000-0000-0000F3050000}"/>
    <cellStyle name="常规 167 2" xfId="1477" xr:uid="{00000000-0005-0000-0000-0000F5050000}"/>
    <cellStyle name="常规 167 2 2" xfId="1480" xr:uid="{00000000-0005-0000-0000-0000F8050000}"/>
    <cellStyle name="常规 167 3" xfId="1482" xr:uid="{00000000-0005-0000-0000-0000FA050000}"/>
    <cellStyle name="常规 168" xfId="1487" xr:uid="{00000000-0005-0000-0000-0000FF050000}"/>
    <cellStyle name="常规 168 2" xfId="1489" xr:uid="{00000000-0005-0000-0000-000001060000}"/>
    <cellStyle name="常规 168 2 2" xfId="1491" xr:uid="{00000000-0005-0000-0000-000003060000}"/>
    <cellStyle name="常规 168 3" xfId="1493" xr:uid="{00000000-0005-0000-0000-000005060000}"/>
    <cellStyle name="常规 169" xfId="1498" xr:uid="{00000000-0005-0000-0000-00000A060000}"/>
    <cellStyle name="常规 169 2" xfId="1500" xr:uid="{00000000-0005-0000-0000-00000C060000}"/>
    <cellStyle name="常规 169 2 2" xfId="1502" xr:uid="{00000000-0005-0000-0000-00000E060000}"/>
    <cellStyle name="常规 169 3" xfId="1504" xr:uid="{00000000-0005-0000-0000-000010060000}"/>
    <cellStyle name="常规 17" xfId="909" xr:uid="{00000000-0005-0000-0000-0000BD030000}"/>
    <cellStyle name="常规 17 10" xfId="1508" xr:uid="{00000000-0005-0000-0000-000014060000}"/>
    <cellStyle name="常规 17 11" xfId="1512" xr:uid="{00000000-0005-0000-0000-000018060000}"/>
    <cellStyle name="常规 17 12" xfId="1516" xr:uid="{00000000-0005-0000-0000-00001C060000}"/>
    <cellStyle name="常规 17 13" xfId="1520" xr:uid="{00000000-0005-0000-0000-000020060000}"/>
    <cellStyle name="常规 17 14" xfId="1407" xr:uid="{00000000-0005-0000-0000-0000AF050000}"/>
    <cellStyle name="常规 17 15" xfId="1412" xr:uid="{00000000-0005-0000-0000-0000B4050000}"/>
    <cellStyle name="常规 17 16" xfId="1417" xr:uid="{00000000-0005-0000-0000-0000B9050000}"/>
    <cellStyle name="常规 17 16 2" xfId="1522" xr:uid="{00000000-0005-0000-0000-000022060000}"/>
    <cellStyle name="常规 17 16 2 2" xfId="1525" xr:uid="{00000000-0005-0000-0000-000025060000}"/>
    <cellStyle name="常规 17 16 3" xfId="1527" xr:uid="{00000000-0005-0000-0000-000027060000}"/>
    <cellStyle name="常规 17 17" xfId="1530" xr:uid="{00000000-0005-0000-0000-00002A060000}"/>
    <cellStyle name="常规 17 17 2" xfId="1533" xr:uid="{00000000-0005-0000-0000-00002D060000}"/>
    <cellStyle name="常规 17 17 3" xfId="1536" xr:uid="{00000000-0005-0000-0000-000030060000}"/>
    <cellStyle name="常规 17 17 4" xfId="1539" xr:uid="{00000000-0005-0000-0000-000033060000}"/>
    <cellStyle name="常规 17 18" xfId="1542" xr:uid="{00000000-0005-0000-0000-000036060000}"/>
    <cellStyle name="常规 17 2" xfId="1544" xr:uid="{00000000-0005-0000-0000-000038060000}"/>
    <cellStyle name="常规 17 2 2" xfId="1546" xr:uid="{00000000-0005-0000-0000-00003A060000}"/>
    <cellStyle name="常规 17 2 3" xfId="1548" xr:uid="{00000000-0005-0000-0000-00003C060000}"/>
    <cellStyle name="常规 17 2 3 2" xfId="1550" xr:uid="{00000000-0005-0000-0000-00003E060000}"/>
    <cellStyle name="常规 17 3" xfId="1552" xr:uid="{00000000-0005-0000-0000-000040060000}"/>
    <cellStyle name="常规 17 4" xfId="1554" xr:uid="{00000000-0005-0000-0000-000042060000}"/>
    <cellStyle name="常规 17 5" xfId="1556" xr:uid="{00000000-0005-0000-0000-000044060000}"/>
    <cellStyle name="常规 17 6" xfId="1558" xr:uid="{00000000-0005-0000-0000-000046060000}"/>
    <cellStyle name="常规 17 7" xfId="1560" xr:uid="{00000000-0005-0000-0000-000048060000}"/>
    <cellStyle name="常规 17 8" xfId="1562" xr:uid="{00000000-0005-0000-0000-00004A060000}"/>
    <cellStyle name="常规 17 9" xfId="1564" xr:uid="{00000000-0005-0000-0000-00004C060000}"/>
    <cellStyle name="常规 170" xfId="1441" xr:uid="{00000000-0005-0000-0000-0000D1050000}"/>
    <cellStyle name="常规 170 2" xfId="1444" xr:uid="{00000000-0005-0000-0000-0000D4050000}"/>
    <cellStyle name="常规 170 2 2" xfId="1447" xr:uid="{00000000-0005-0000-0000-0000D7050000}"/>
    <cellStyle name="常规 170 3" xfId="1450" xr:uid="{00000000-0005-0000-0000-0000DA050000}"/>
    <cellStyle name="常规 171" xfId="1455" xr:uid="{00000000-0005-0000-0000-0000DF050000}"/>
    <cellStyle name="常规 171 2" xfId="1459" xr:uid="{00000000-0005-0000-0000-0000E3050000}"/>
    <cellStyle name="常规 171 2 2" xfId="1463" xr:uid="{00000000-0005-0000-0000-0000E7050000}"/>
    <cellStyle name="常规 171 3" xfId="1467" xr:uid="{00000000-0005-0000-0000-0000EB050000}"/>
    <cellStyle name="常规 172" xfId="1474" xr:uid="{00000000-0005-0000-0000-0000F2050000}"/>
    <cellStyle name="常规 173" xfId="1486" xr:uid="{00000000-0005-0000-0000-0000FE050000}"/>
    <cellStyle name="常规 174" xfId="1497" xr:uid="{00000000-0005-0000-0000-000009060000}"/>
    <cellStyle name="常规 175" xfId="1569" xr:uid="{00000000-0005-0000-0000-000051060000}"/>
    <cellStyle name="常规 176" xfId="1575" xr:uid="{00000000-0005-0000-0000-000057060000}"/>
    <cellStyle name="常规 177" xfId="1580" xr:uid="{00000000-0005-0000-0000-00005C060000}"/>
    <cellStyle name="常规 178" xfId="1585" xr:uid="{00000000-0005-0000-0000-000061060000}"/>
    <cellStyle name="常规 179" xfId="1589" xr:uid="{00000000-0005-0000-0000-000065060000}"/>
    <cellStyle name="常规 18" xfId="980" xr:uid="{00000000-0005-0000-0000-000004040000}"/>
    <cellStyle name="常规 18 10" xfId="1591" xr:uid="{00000000-0005-0000-0000-000067060000}"/>
    <cellStyle name="常规 18 11" xfId="1593" xr:uid="{00000000-0005-0000-0000-000069060000}"/>
    <cellStyle name="常规 18 12" xfId="1596" xr:uid="{00000000-0005-0000-0000-00006C060000}"/>
    <cellStyle name="常规 18 13" xfId="1599" xr:uid="{00000000-0005-0000-0000-00006F060000}"/>
    <cellStyle name="常规 18 14" xfId="1602" xr:uid="{00000000-0005-0000-0000-000072060000}"/>
    <cellStyle name="常规 18 15" xfId="1605" xr:uid="{00000000-0005-0000-0000-000075060000}"/>
    <cellStyle name="常规 18 16" xfId="1608" xr:uid="{00000000-0005-0000-0000-000078060000}"/>
    <cellStyle name="常规 18 16 2" xfId="1609" xr:uid="{00000000-0005-0000-0000-000079060000}"/>
    <cellStyle name="常规 18 16 2 2" xfId="1610" xr:uid="{00000000-0005-0000-0000-00007A060000}"/>
    <cellStyle name="常规 18 16 3" xfId="31" xr:uid="{00000000-0005-0000-0000-000031000000}"/>
    <cellStyle name="常规 18 17" xfId="1612" xr:uid="{00000000-0005-0000-0000-00007C060000}"/>
    <cellStyle name="常规 18 17 2" xfId="1614" xr:uid="{00000000-0005-0000-0000-00007E060000}"/>
    <cellStyle name="常规 18 17 3" xfId="1616" xr:uid="{00000000-0005-0000-0000-000080060000}"/>
    <cellStyle name="常规 18 17 4" xfId="1617" xr:uid="{00000000-0005-0000-0000-000081060000}"/>
    <cellStyle name="常规 18 18" xfId="1619" xr:uid="{00000000-0005-0000-0000-000083060000}"/>
    <cellStyle name="常规 18 2" xfId="1622" xr:uid="{00000000-0005-0000-0000-000086060000}"/>
    <cellStyle name="常规 18 2 2" xfId="763" xr:uid="{00000000-0005-0000-0000-00002B030000}"/>
    <cellStyle name="常规 18 2 3" xfId="1624" xr:uid="{00000000-0005-0000-0000-000088060000}"/>
    <cellStyle name="常规 18 2 3 2" xfId="1626" xr:uid="{00000000-0005-0000-0000-00008A060000}"/>
    <cellStyle name="常规 18 2 4" xfId="1628" xr:uid="{00000000-0005-0000-0000-00008C060000}"/>
    <cellStyle name="常规 18 3" xfId="1630" xr:uid="{00000000-0005-0000-0000-00008E060000}"/>
    <cellStyle name="常规 18 3 2" xfId="1632" xr:uid="{00000000-0005-0000-0000-000090060000}"/>
    <cellStyle name="常规 18 3 3" xfId="1634" xr:uid="{00000000-0005-0000-0000-000092060000}"/>
    <cellStyle name="常规 18 4" xfId="1636" xr:uid="{00000000-0005-0000-0000-000094060000}"/>
    <cellStyle name="常规 18 5" xfId="1638" xr:uid="{00000000-0005-0000-0000-000096060000}"/>
    <cellStyle name="常规 18 6" xfId="1640" xr:uid="{00000000-0005-0000-0000-000098060000}"/>
    <cellStyle name="常规 18 7" xfId="1644" xr:uid="{00000000-0005-0000-0000-00009C060000}"/>
    <cellStyle name="常规 18 8" xfId="1646" xr:uid="{00000000-0005-0000-0000-00009E060000}"/>
    <cellStyle name="常规 18 9" xfId="1648" xr:uid="{00000000-0005-0000-0000-0000A0060000}"/>
    <cellStyle name="常规 180" xfId="1568" xr:uid="{00000000-0005-0000-0000-000050060000}"/>
    <cellStyle name="常规 180 2" xfId="1652" xr:uid="{00000000-0005-0000-0000-0000A4060000}"/>
    <cellStyle name="常规 180 2 2" xfId="1655" xr:uid="{00000000-0005-0000-0000-0000A7060000}"/>
    <cellStyle name="常规 180 3" xfId="1661" xr:uid="{00000000-0005-0000-0000-0000AD060000}"/>
    <cellStyle name="常规 181" xfId="1574" xr:uid="{00000000-0005-0000-0000-000056060000}"/>
    <cellStyle name="常规 181 2" xfId="1664" xr:uid="{00000000-0005-0000-0000-0000B0060000}"/>
    <cellStyle name="常规 181 2 2" xfId="1668" xr:uid="{00000000-0005-0000-0000-0000B4060000}"/>
    <cellStyle name="常规 181 3" xfId="1672" xr:uid="{00000000-0005-0000-0000-0000B8060000}"/>
    <cellStyle name="常规 182" xfId="1579" xr:uid="{00000000-0005-0000-0000-00005B060000}"/>
    <cellStyle name="常规 182 2" xfId="1676" xr:uid="{00000000-0005-0000-0000-0000BC060000}"/>
    <cellStyle name="常规 182 2 2" xfId="797" xr:uid="{00000000-0005-0000-0000-00004D030000}"/>
    <cellStyle name="常规 182 3" xfId="1680" xr:uid="{00000000-0005-0000-0000-0000C0060000}"/>
    <cellStyle name="常规 183" xfId="1584" xr:uid="{00000000-0005-0000-0000-000060060000}"/>
    <cellStyle name="常规 183 2" xfId="1683" xr:uid="{00000000-0005-0000-0000-0000C3060000}"/>
    <cellStyle name="常规 183 2 2" xfId="450" xr:uid="{00000000-0005-0000-0000-0000F2010000}"/>
    <cellStyle name="常规 183 3" xfId="1687" xr:uid="{00000000-0005-0000-0000-0000C7060000}"/>
    <cellStyle name="常规 184" xfId="1588" xr:uid="{00000000-0005-0000-0000-000064060000}"/>
    <cellStyle name="常规 184 2" xfId="1690" xr:uid="{00000000-0005-0000-0000-0000CA060000}"/>
    <cellStyle name="常规 184 2 2" xfId="1693" xr:uid="{00000000-0005-0000-0000-0000CD060000}"/>
    <cellStyle name="常规 184 3" xfId="1696" xr:uid="{00000000-0005-0000-0000-0000D0060000}"/>
    <cellStyle name="常规 185" xfId="1700" xr:uid="{00000000-0005-0000-0000-0000D4060000}"/>
    <cellStyle name="常规 185 2" xfId="1704" xr:uid="{00000000-0005-0000-0000-0000D8060000}"/>
    <cellStyle name="常规 185 2 2" xfId="1706" xr:uid="{00000000-0005-0000-0000-0000DA060000}"/>
    <cellStyle name="常规 185 3" xfId="1709" xr:uid="{00000000-0005-0000-0000-0000DD060000}"/>
    <cellStyle name="常规 186" xfId="1713" xr:uid="{00000000-0005-0000-0000-0000E1060000}"/>
    <cellStyle name="常规 186 2" xfId="1717" xr:uid="{00000000-0005-0000-0000-0000E5060000}"/>
    <cellStyle name="常规 186 2 2" xfId="1720" xr:uid="{00000000-0005-0000-0000-0000E8060000}"/>
    <cellStyle name="常规 186 3" xfId="1724" xr:uid="{00000000-0005-0000-0000-0000EC060000}"/>
    <cellStyle name="常规 187" xfId="1729" xr:uid="{00000000-0005-0000-0000-0000F1060000}"/>
    <cellStyle name="常规 187 2" xfId="1732" xr:uid="{00000000-0005-0000-0000-0000F4060000}"/>
    <cellStyle name="常规 187 2 2" xfId="1734" xr:uid="{00000000-0005-0000-0000-0000F6060000}"/>
    <cellStyle name="常规 187 3" xfId="1736" xr:uid="{00000000-0005-0000-0000-0000F8060000}"/>
    <cellStyle name="常规 188" xfId="1741" xr:uid="{00000000-0005-0000-0000-0000FD060000}"/>
    <cellStyle name="常规 188 2" xfId="1744" xr:uid="{00000000-0005-0000-0000-000000070000}"/>
    <cellStyle name="常规 188 2 2" xfId="1746" xr:uid="{00000000-0005-0000-0000-000002070000}"/>
    <cellStyle name="常规 188 3" xfId="1749" xr:uid="{00000000-0005-0000-0000-000005070000}"/>
    <cellStyle name="常规 189" xfId="1756" xr:uid="{00000000-0005-0000-0000-00000C070000}"/>
    <cellStyle name="常规 189 2" xfId="1760" xr:uid="{00000000-0005-0000-0000-000010070000}"/>
    <cellStyle name="常规 189 2 2" xfId="736" xr:uid="{00000000-0005-0000-0000-000010030000}"/>
    <cellStyle name="常规 189 3" xfId="1764" xr:uid="{00000000-0005-0000-0000-000014070000}"/>
    <cellStyle name="常规 19" xfId="984" xr:uid="{00000000-0005-0000-0000-000008040000}"/>
    <cellStyle name="常规 19 10" xfId="526" xr:uid="{00000000-0005-0000-0000-00003E020000}"/>
    <cellStyle name="常规 19 11" xfId="208" xr:uid="{00000000-0005-0000-0000-000000010000}"/>
    <cellStyle name="常规 19 12" xfId="214" xr:uid="{00000000-0005-0000-0000-000006010000}"/>
    <cellStyle name="常规 19 13" xfId="222" xr:uid="{00000000-0005-0000-0000-00000E010000}"/>
    <cellStyle name="常规 19 14" xfId="226" xr:uid="{00000000-0005-0000-0000-000012010000}"/>
    <cellStyle name="常规 19 15" xfId="234" xr:uid="{00000000-0005-0000-0000-00001A010000}"/>
    <cellStyle name="常规 19 16" xfId="1767" xr:uid="{00000000-0005-0000-0000-000017070000}"/>
    <cellStyle name="常规 19 17" xfId="1770" xr:uid="{00000000-0005-0000-0000-00001A070000}"/>
    <cellStyle name="常规 19 17 2" xfId="1772" xr:uid="{00000000-0005-0000-0000-00001C070000}"/>
    <cellStyle name="常规 19 17 2 2" xfId="1773" xr:uid="{00000000-0005-0000-0000-00001D070000}"/>
    <cellStyle name="常规 19 17 3" xfId="1775" xr:uid="{00000000-0005-0000-0000-00001F070000}"/>
    <cellStyle name="常规 19 18" xfId="1777" xr:uid="{00000000-0005-0000-0000-000021070000}"/>
    <cellStyle name="常规 19 19" xfId="1778" xr:uid="{00000000-0005-0000-0000-000022070000}"/>
    <cellStyle name="常规 19 2" xfId="1782" xr:uid="{00000000-0005-0000-0000-000026070000}"/>
    <cellStyle name="常规 19 2 2" xfId="1784" xr:uid="{00000000-0005-0000-0000-000028070000}"/>
    <cellStyle name="常规 19 20" xfId="233" xr:uid="{00000000-0005-0000-0000-000019010000}"/>
    <cellStyle name="常规 19 3" xfId="1788" xr:uid="{00000000-0005-0000-0000-00002C070000}"/>
    <cellStyle name="常规 19 4" xfId="1792" xr:uid="{00000000-0005-0000-0000-000030070000}"/>
    <cellStyle name="常规 19 5" xfId="1797" xr:uid="{00000000-0005-0000-0000-000035070000}"/>
    <cellStyle name="常规 19 6" xfId="1801" xr:uid="{00000000-0005-0000-0000-000039070000}"/>
    <cellStyle name="常规 19 7" xfId="413" xr:uid="{00000000-0005-0000-0000-0000CD010000}"/>
    <cellStyle name="常规 19 8" xfId="1805" xr:uid="{00000000-0005-0000-0000-00003D070000}"/>
    <cellStyle name="常规 19 9" xfId="1809" xr:uid="{00000000-0005-0000-0000-000041070000}"/>
    <cellStyle name="常规 190" xfId="1699" xr:uid="{00000000-0005-0000-0000-0000D3060000}"/>
    <cellStyle name="常规 190 2" xfId="1703" xr:uid="{00000000-0005-0000-0000-0000D7060000}"/>
    <cellStyle name="常规 190 2 2" xfId="1705" xr:uid="{00000000-0005-0000-0000-0000D9060000}"/>
    <cellStyle name="常规 190 3" xfId="1708" xr:uid="{00000000-0005-0000-0000-0000DC060000}"/>
    <cellStyle name="常规 191" xfId="1712" xr:uid="{00000000-0005-0000-0000-0000E0060000}"/>
    <cellStyle name="常规 191 2" xfId="1716" xr:uid="{00000000-0005-0000-0000-0000E4060000}"/>
    <cellStyle name="常规 191 2 2" xfId="1719" xr:uid="{00000000-0005-0000-0000-0000E7060000}"/>
    <cellStyle name="常规 191 3" xfId="1723" xr:uid="{00000000-0005-0000-0000-0000EB060000}"/>
    <cellStyle name="常规 192" xfId="1728" xr:uid="{00000000-0005-0000-0000-0000F0060000}"/>
    <cellStyle name="常规 192 2" xfId="1731" xr:uid="{00000000-0005-0000-0000-0000F3060000}"/>
    <cellStyle name="常规 192 2 2" xfId="1733" xr:uid="{00000000-0005-0000-0000-0000F5060000}"/>
    <cellStyle name="常规 192 3" xfId="1735" xr:uid="{00000000-0005-0000-0000-0000F7060000}"/>
    <cellStyle name="常规 193" xfId="1740" xr:uid="{00000000-0005-0000-0000-0000FC060000}"/>
    <cellStyle name="常规 193 2" xfId="1743" xr:uid="{00000000-0005-0000-0000-0000FF060000}"/>
    <cellStyle name="常规 193 2 2" xfId="1745" xr:uid="{00000000-0005-0000-0000-000001070000}"/>
    <cellStyle name="常规 193 3" xfId="1748" xr:uid="{00000000-0005-0000-0000-000004070000}"/>
    <cellStyle name="常规 194" xfId="1755" xr:uid="{00000000-0005-0000-0000-00000B070000}"/>
    <cellStyle name="常规 194 2" xfId="1759" xr:uid="{00000000-0005-0000-0000-00000F070000}"/>
    <cellStyle name="常规 194 2 2" xfId="735" xr:uid="{00000000-0005-0000-0000-00000F030000}"/>
    <cellStyle name="常规 194 3" xfId="1763" xr:uid="{00000000-0005-0000-0000-000013070000}"/>
    <cellStyle name="常规 195" xfId="28" xr:uid="{00000000-0005-0000-0000-00002C000000}"/>
    <cellStyle name="常规 195 2" xfId="1811" xr:uid="{00000000-0005-0000-0000-000043070000}"/>
    <cellStyle name="常规 195 2 2" xfId="1813" xr:uid="{00000000-0005-0000-0000-000045070000}"/>
    <cellStyle name="常规 195 3" xfId="1815" xr:uid="{00000000-0005-0000-0000-000047070000}"/>
    <cellStyle name="常规 196" xfId="579" xr:uid="{00000000-0005-0000-0000-000073020000}"/>
    <cellStyle name="常规 196 2" xfId="581" xr:uid="{00000000-0005-0000-0000-000075020000}"/>
    <cellStyle name="常规 196 2 2" xfId="1816" xr:uid="{00000000-0005-0000-0000-000048070000}"/>
    <cellStyle name="常规 196 3" xfId="1817" xr:uid="{00000000-0005-0000-0000-000049070000}"/>
    <cellStyle name="常规 197" xfId="588" xr:uid="{00000000-0005-0000-0000-00007C020000}"/>
    <cellStyle name="常规 197 2" xfId="1818" xr:uid="{00000000-0005-0000-0000-00004A070000}"/>
    <cellStyle name="常规 197 2 2" xfId="1823" xr:uid="{00000000-0005-0000-0000-00004F070000}"/>
    <cellStyle name="常规 197 3" xfId="1824" xr:uid="{00000000-0005-0000-0000-000050070000}"/>
    <cellStyle name="常规 198" xfId="1828" xr:uid="{00000000-0005-0000-0000-000054070000}"/>
    <cellStyle name="常规 198 2" xfId="1829" xr:uid="{00000000-0005-0000-0000-000055070000}"/>
    <cellStyle name="常规 198 2 2" xfId="1830" xr:uid="{00000000-0005-0000-0000-000056070000}"/>
    <cellStyle name="常规 198 3" xfId="1831" xr:uid="{00000000-0005-0000-0000-000057070000}"/>
    <cellStyle name="常规 199" xfId="1835" xr:uid="{00000000-0005-0000-0000-00005B070000}"/>
    <cellStyle name="常规 199 2" xfId="1837" xr:uid="{00000000-0005-0000-0000-00005D070000}"/>
    <cellStyle name="常规 199 2 2" xfId="1796" xr:uid="{00000000-0005-0000-0000-000034070000}"/>
    <cellStyle name="常规 199 3" xfId="1839" xr:uid="{00000000-0005-0000-0000-00005F070000}"/>
    <cellStyle name="常规 2" xfId="1840" xr:uid="{00000000-0005-0000-0000-000060070000}"/>
    <cellStyle name="常规 2 10" xfId="1842" xr:uid="{00000000-0005-0000-0000-000062070000}"/>
    <cellStyle name="常规 2 10 2" xfId="1843" xr:uid="{00000000-0005-0000-0000-000063070000}"/>
    <cellStyle name="常规 2 10 3" xfId="1844" xr:uid="{00000000-0005-0000-0000-000064070000}"/>
    <cellStyle name="常规 2 100" xfId="1846" xr:uid="{00000000-0005-0000-0000-000066070000}"/>
    <cellStyle name="常规 2 101" xfId="1848" xr:uid="{00000000-0005-0000-0000-000068070000}"/>
    <cellStyle name="常规 2 102" xfId="1850" xr:uid="{00000000-0005-0000-0000-00006A070000}"/>
    <cellStyle name="常规 2 103" xfId="1852" xr:uid="{00000000-0005-0000-0000-00006C070000}"/>
    <cellStyle name="常规 2 104" xfId="1853" xr:uid="{00000000-0005-0000-0000-00006D070000}"/>
    <cellStyle name="常规 2 105" xfId="1781" xr:uid="{00000000-0005-0000-0000-000025070000}"/>
    <cellStyle name="常规 2 106" xfId="1787" xr:uid="{00000000-0005-0000-0000-00002B070000}"/>
    <cellStyle name="常规 2 107" xfId="1791" xr:uid="{00000000-0005-0000-0000-00002F070000}"/>
    <cellStyle name="常规 2 108" xfId="1795" xr:uid="{00000000-0005-0000-0000-000033070000}"/>
    <cellStyle name="常规 2 109" xfId="1800" xr:uid="{00000000-0005-0000-0000-000038070000}"/>
    <cellStyle name="常规 2 11" xfId="1855" xr:uid="{00000000-0005-0000-0000-00006F070000}"/>
    <cellStyle name="常规 2 11 2" xfId="1857" xr:uid="{00000000-0005-0000-0000-000071070000}"/>
    <cellStyle name="常规 2 11 3" xfId="538" xr:uid="{00000000-0005-0000-0000-00004A020000}"/>
    <cellStyle name="常规 2 110" xfId="1780" xr:uid="{00000000-0005-0000-0000-000024070000}"/>
    <cellStyle name="常规 2 111" xfId="1786" xr:uid="{00000000-0005-0000-0000-00002A070000}"/>
    <cellStyle name="常规 2 112" xfId="1790" xr:uid="{00000000-0005-0000-0000-00002E070000}"/>
    <cellStyle name="常规 2 113" xfId="1794" xr:uid="{00000000-0005-0000-0000-000032070000}"/>
    <cellStyle name="常规 2 114" xfId="1799" xr:uid="{00000000-0005-0000-0000-000037070000}"/>
    <cellStyle name="常规 2 115" xfId="412" xr:uid="{00000000-0005-0000-0000-0000CC010000}"/>
    <cellStyle name="常规 2 116" xfId="1804" xr:uid="{00000000-0005-0000-0000-00003C070000}"/>
    <cellStyle name="常规 2 117" xfId="1808" xr:uid="{00000000-0005-0000-0000-000040070000}"/>
    <cellStyle name="常规 2 118" xfId="1859" xr:uid="{00000000-0005-0000-0000-000073070000}"/>
    <cellStyle name="常规 2 119" xfId="1861" xr:uid="{00000000-0005-0000-0000-000075070000}"/>
    <cellStyle name="常规 2 12" xfId="1863" xr:uid="{00000000-0005-0000-0000-000077070000}"/>
    <cellStyle name="常规 2 12 2" xfId="1865" xr:uid="{00000000-0005-0000-0000-000079070000}"/>
    <cellStyle name="常规 2 12 3" xfId="1866" xr:uid="{00000000-0005-0000-0000-00007A070000}"/>
    <cellStyle name="常规 2 120" xfId="411" xr:uid="{00000000-0005-0000-0000-0000CB010000}"/>
    <cellStyle name="常规 2 121" xfId="1803" xr:uid="{00000000-0005-0000-0000-00003B070000}"/>
    <cellStyle name="常规 2 122" xfId="1807" xr:uid="{00000000-0005-0000-0000-00003F070000}"/>
    <cellStyle name="常规 2 123" xfId="1858" xr:uid="{00000000-0005-0000-0000-000072070000}"/>
    <cellStyle name="常规 2 124" xfId="1860" xr:uid="{00000000-0005-0000-0000-000074070000}"/>
    <cellStyle name="常规 2 125" xfId="1868" xr:uid="{00000000-0005-0000-0000-00007C070000}"/>
    <cellStyle name="常规 2 126" xfId="1870" xr:uid="{00000000-0005-0000-0000-00007E070000}"/>
    <cellStyle name="常规 2 127" xfId="1872" xr:uid="{00000000-0005-0000-0000-000080070000}"/>
    <cellStyle name="常规 2 128" xfId="1874" xr:uid="{00000000-0005-0000-0000-000082070000}"/>
    <cellStyle name="常规 2 129" xfId="1876" xr:uid="{00000000-0005-0000-0000-000084070000}"/>
    <cellStyle name="常规 2 13" xfId="1878" xr:uid="{00000000-0005-0000-0000-000086070000}"/>
    <cellStyle name="常规 2 13 2" xfId="1880" xr:uid="{00000000-0005-0000-0000-000088070000}"/>
    <cellStyle name="常规 2 13 3" xfId="408" xr:uid="{00000000-0005-0000-0000-0000C8010000}"/>
    <cellStyle name="常规 2 130" xfId="1867" xr:uid="{00000000-0005-0000-0000-00007B070000}"/>
    <cellStyle name="常规 2 131" xfId="1869" xr:uid="{00000000-0005-0000-0000-00007D070000}"/>
    <cellStyle name="常规 2 132" xfId="1871" xr:uid="{00000000-0005-0000-0000-00007F070000}"/>
    <cellStyle name="常规 2 133" xfId="1873" xr:uid="{00000000-0005-0000-0000-000081070000}"/>
    <cellStyle name="常规 2 134" xfId="1875" xr:uid="{00000000-0005-0000-0000-000083070000}"/>
    <cellStyle name="常规 2 135" xfId="140" xr:uid="{00000000-0005-0000-0000-0000BC000000}"/>
    <cellStyle name="常规 2 136" xfId="1882" xr:uid="{00000000-0005-0000-0000-00008A070000}"/>
    <cellStyle name="常规 2 137" xfId="1885" xr:uid="{00000000-0005-0000-0000-00008D070000}"/>
    <cellStyle name="常规 2 138" xfId="1888" xr:uid="{00000000-0005-0000-0000-000090070000}"/>
    <cellStyle name="常规 2 139" xfId="1891" xr:uid="{00000000-0005-0000-0000-000093070000}"/>
    <cellStyle name="常规 2 14" xfId="1893" xr:uid="{00000000-0005-0000-0000-000095070000}"/>
    <cellStyle name="常规 2 14 2" xfId="213" xr:uid="{00000000-0005-0000-0000-000005010000}"/>
    <cellStyle name="常规 2 14 3" xfId="221" xr:uid="{00000000-0005-0000-0000-00000D010000}"/>
    <cellStyle name="常规 2 140" xfId="139" xr:uid="{00000000-0005-0000-0000-0000BB000000}"/>
    <cellStyle name="常规 2 141" xfId="1881" xr:uid="{00000000-0005-0000-0000-000089070000}"/>
    <cellStyle name="常规 2 142" xfId="1884" xr:uid="{00000000-0005-0000-0000-00008C070000}"/>
    <cellStyle name="常规 2 143" xfId="1887" xr:uid="{00000000-0005-0000-0000-00008F070000}"/>
    <cellStyle name="常规 2 144" xfId="1890" xr:uid="{00000000-0005-0000-0000-000092070000}"/>
    <cellStyle name="常规 2 145" xfId="1897" xr:uid="{00000000-0005-0000-0000-000099070000}"/>
    <cellStyle name="常规 2 146" xfId="721" xr:uid="{00000000-0005-0000-0000-000001030000}"/>
    <cellStyle name="常规 2 147" xfId="1901" xr:uid="{00000000-0005-0000-0000-00009D070000}"/>
    <cellStyle name="常规 2 148" xfId="1905" xr:uid="{00000000-0005-0000-0000-0000A1070000}"/>
    <cellStyle name="常规 2 149" xfId="1909" xr:uid="{00000000-0005-0000-0000-0000A5070000}"/>
    <cellStyle name="常规 2 15" xfId="1912" xr:uid="{00000000-0005-0000-0000-0000A8070000}"/>
    <cellStyle name="常规 2 15 2" xfId="1915" xr:uid="{00000000-0005-0000-0000-0000AB070000}"/>
    <cellStyle name="常规 2 15 3" xfId="1917" xr:uid="{00000000-0005-0000-0000-0000AD070000}"/>
    <cellStyle name="常规 2 150" xfId="1896" xr:uid="{00000000-0005-0000-0000-000098070000}"/>
    <cellStyle name="常规 2 151" xfId="720" xr:uid="{00000000-0005-0000-0000-000000030000}"/>
    <cellStyle name="常规 2 152" xfId="1900" xr:uid="{00000000-0005-0000-0000-00009C070000}"/>
    <cellStyle name="常规 2 153" xfId="1904" xr:uid="{00000000-0005-0000-0000-0000A0070000}"/>
    <cellStyle name="常规 2 154" xfId="1908" xr:uid="{00000000-0005-0000-0000-0000A4070000}"/>
    <cellStyle name="常规 2 155" xfId="1923" xr:uid="{00000000-0005-0000-0000-0000B3070000}"/>
    <cellStyle name="常规 2 156" xfId="1929" xr:uid="{00000000-0005-0000-0000-0000B9070000}"/>
    <cellStyle name="常规 2 157" xfId="1935" xr:uid="{00000000-0005-0000-0000-0000BF070000}"/>
    <cellStyle name="常规 2 158" xfId="1940" xr:uid="{00000000-0005-0000-0000-0000C4070000}"/>
    <cellStyle name="常规 2 159" xfId="1945" xr:uid="{00000000-0005-0000-0000-0000C9070000}"/>
    <cellStyle name="常规 2 16" xfId="1948" xr:uid="{00000000-0005-0000-0000-0000CC070000}"/>
    <cellStyle name="常规 2 16 2" xfId="1951" xr:uid="{00000000-0005-0000-0000-0000CF070000}"/>
    <cellStyle name="常规 2 16 3" xfId="260" xr:uid="{00000000-0005-0000-0000-000034010000}"/>
    <cellStyle name="常规 2 160" xfId="1922" xr:uid="{00000000-0005-0000-0000-0000B2070000}"/>
    <cellStyle name="常规 2 161" xfId="1928" xr:uid="{00000000-0005-0000-0000-0000B8070000}"/>
    <cellStyle name="常规 2 162" xfId="1934" xr:uid="{00000000-0005-0000-0000-0000BE070000}"/>
    <cellStyle name="常规 2 163" xfId="1939" xr:uid="{00000000-0005-0000-0000-0000C3070000}"/>
    <cellStyle name="常规 2 164" xfId="1944" xr:uid="{00000000-0005-0000-0000-0000C8070000}"/>
    <cellStyle name="常规 2 165" xfId="1956" xr:uid="{00000000-0005-0000-0000-0000D4070000}"/>
    <cellStyle name="常规 2 166" xfId="1961" xr:uid="{00000000-0005-0000-0000-0000D9070000}"/>
    <cellStyle name="常规 2 167" xfId="1966" xr:uid="{00000000-0005-0000-0000-0000DE070000}"/>
    <cellStyle name="常规 2 168" xfId="1970" xr:uid="{00000000-0005-0000-0000-0000E2070000}"/>
    <cellStyle name="常规 2 169" xfId="1974" xr:uid="{00000000-0005-0000-0000-0000E6070000}"/>
    <cellStyle name="常规 2 17" xfId="1976" xr:uid="{00000000-0005-0000-0000-0000E8070000}"/>
    <cellStyle name="常规 2 17 2" xfId="1979" xr:uid="{00000000-0005-0000-0000-0000EB070000}"/>
    <cellStyle name="常规 2 17 3" xfId="671" xr:uid="{00000000-0005-0000-0000-0000CF020000}"/>
    <cellStyle name="常规 2 170" xfId="1955" xr:uid="{00000000-0005-0000-0000-0000D3070000}"/>
    <cellStyle name="常规 2 171" xfId="1960" xr:uid="{00000000-0005-0000-0000-0000D8070000}"/>
    <cellStyle name="常规 2 172" xfId="1965" xr:uid="{00000000-0005-0000-0000-0000DD070000}"/>
    <cellStyle name="常规 2 173" xfId="1969" xr:uid="{00000000-0005-0000-0000-0000E1070000}"/>
    <cellStyle name="常规 2 174" xfId="1973" xr:uid="{00000000-0005-0000-0000-0000E5070000}"/>
    <cellStyle name="常规 2 175" xfId="1984" xr:uid="{00000000-0005-0000-0000-0000F0070000}"/>
    <cellStyle name="常规 2 176" xfId="1989" xr:uid="{00000000-0005-0000-0000-0000F5070000}"/>
    <cellStyle name="常规 2 177" xfId="1993" xr:uid="{00000000-0005-0000-0000-0000F9070000}"/>
    <cellStyle name="常规 2 178" xfId="1997" xr:uid="{00000000-0005-0000-0000-0000FD070000}"/>
    <cellStyle name="常规 2 179" xfId="2001" xr:uid="{00000000-0005-0000-0000-000001080000}"/>
    <cellStyle name="常规 2 18" xfId="2003" xr:uid="{00000000-0005-0000-0000-000003080000}"/>
    <cellStyle name="常规 2 18 2" xfId="2005" xr:uid="{00000000-0005-0000-0000-000005080000}"/>
    <cellStyle name="常规 2 18 3" xfId="270" xr:uid="{00000000-0005-0000-0000-00003E010000}"/>
    <cellStyle name="常规 2 180" xfId="1983" xr:uid="{00000000-0005-0000-0000-0000EF070000}"/>
    <cellStyle name="常规 2 181" xfId="1988" xr:uid="{00000000-0005-0000-0000-0000F4070000}"/>
    <cellStyle name="常规 2 182" xfId="1992" xr:uid="{00000000-0005-0000-0000-0000F8070000}"/>
    <cellStyle name="常规 2 183" xfId="1996" xr:uid="{00000000-0005-0000-0000-0000FC070000}"/>
    <cellStyle name="常规 2 184" xfId="2000" xr:uid="{00000000-0005-0000-0000-000000080000}"/>
    <cellStyle name="常规 2 185" xfId="2008" xr:uid="{00000000-0005-0000-0000-000008080000}"/>
    <cellStyle name="常规 2 186" xfId="2011" xr:uid="{00000000-0005-0000-0000-00000B080000}"/>
    <cellStyle name="常规 2 187" xfId="2015" xr:uid="{00000000-0005-0000-0000-00000F080000}"/>
    <cellStyle name="常规 2 188" xfId="2018" xr:uid="{00000000-0005-0000-0000-000012080000}"/>
    <cellStyle name="常规 2 189" xfId="2021" xr:uid="{00000000-0005-0000-0000-000015080000}"/>
    <cellStyle name="常规 2 19" xfId="2023" xr:uid="{00000000-0005-0000-0000-000017080000}"/>
    <cellStyle name="常规 2 19 2" xfId="2025" xr:uid="{00000000-0005-0000-0000-000019080000}"/>
    <cellStyle name="常规 2 19 2 2" xfId="2027" xr:uid="{00000000-0005-0000-0000-00001B080000}"/>
    <cellStyle name="常规 2 19 2 2 2" xfId="2030" xr:uid="{00000000-0005-0000-0000-00001E080000}"/>
    <cellStyle name="常规 2 19 2 3" xfId="1228" xr:uid="{00000000-0005-0000-0000-0000FC040000}"/>
    <cellStyle name="常规 2 19 3" xfId="2032" xr:uid="{00000000-0005-0000-0000-000020080000}"/>
    <cellStyle name="常规 2 19 4" xfId="2034" xr:uid="{00000000-0005-0000-0000-000022080000}"/>
    <cellStyle name="常规 2 190" xfId="2007" xr:uid="{00000000-0005-0000-0000-000007080000}"/>
    <cellStyle name="常规 2 191" xfId="2010" xr:uid="{00000000-0005-0000-0000-00000A080000}"/>
    <cellStyle name="常规 2 192" xfId="2014" xr:uid="{00000000-0005-0000-0000-00000E080000}"/>
    <cellStyle name="常规 2 193" xfId="2017" xr:uid="{00000000-0005-0000-0000-000011080000}"/>
    <cellStyle name="常规 2 194" xfId="2020" xr:uid="{00000000-0005-0000-0000-000014080000}"/>
    <cellStyle name="常规 2 195" xfId="2036" xr:uid="{00000000-0005-0000-0000-000024080000}"/>
    <cellStyle name="常规 2 196" xfId="2038" xr:uid="{00000000-0005-0000-0000-000026080000}"/>
    <cellStyle name="常规 2 197" xfId="2042" xr:uid="{00000000-0005-0000-0000-00002A080000}"/>
    <cellStyle name="常规 2 198" xfId="71" xr:uid="{00000000-0005-0000-0000-00006B000000}"/>
    <cellStyle name="常规 2 199" xfId="73" xr:uid="{00000000-0005-0000-0000-00006F000000}"/>
    <cellStyle name="常规 2 2" xfId="2043" xr:uid="{00000000-0005-0000-0000-00002B080000}"/>
    <cellStyle name="常规 2 2 10" xfId="2044" xr:uid="{00000000-0005-0000-0000-00002C080000}"/>
    <cellStyle name="常规 2 2 10 2" xfId="2045" xr:uid="{00000000-0005-0000-0000-00002D080000}"/>
    <cellStyle name="常规 2 2 10 3" xfId="2046" xr:uid="{00000000-0005-0000-0000-00002E080000}"/>
    <cellStyle name="常规 2 2 100" xfId="2048" xr:uid="{00000000-0005-0000-0000-000030080000}"/>
    <cellStyle name="常规 2 2 101" xfId="2050" xr:uid="{00000000-0005-0000-0000-000032080000}"/>
    <cellStyle name="常规 2 2 102" xfId="2051" xr:uid="{00000000-0005-0000-0000-000033080000}"/>
    <cellStyle name="常规 2 2 103" xfId="2052" xr:uid="{00000000-0005-0000-0000-000034080000}"/>
    <cellStyle name="常规 2 2 104" xfId="2053" xr:uid="{00000000-0005-0000-0000-000035080000}"/>
    <cellStyle name="常规 2 2 105" xfId="2055" xr:uid="{00000000-0005-0000-0000-000037080000}"/>
    <cellStyle name="常规 2 2 106" xfId="2058" xr:uid="{00000000-0005-0000-0000-00003A080000}"/>
    <cellStyle name="常规 2 2 107" xfId="2061" xr:uid="{00000000-0005-0000-0000-00003D080000}"/>
    <cellStyle name="常规 2 2 108" xfId="2064" xr:uid="{00000000-0005-0000-0000-000040080000}"/>
    <cellStyle name="常规 2 2 109" xfId="2067" xr:uid="{00000000-0005-0000-0000-000043080000}"/>
    <cellStyle name="常规 2 2 11" xfId="2068" xr:uid="{00000000-0005-0000-0000-000044080000}"/>
    <cellStyle name="常规 2 2 11 2" xfId="2070" xr:uid="{00000000-0005-0000-0000-000046080000}"/>
    <cellStyle name="常规 2 2 11 3" xfId="2072" xr:uid="{00000000-0005-0000-0000-000048080000}"/>
    <cellStyle name="常规 2 2 110" xfId="2054" xr:uid="{00000000-0005-0000-0000-000036080000}"/>
    <cellStyle name="常规 2 2 111" xfId="2057" xr:uid="{00000000-0005-0000-0000-000039080000}"/>
    <cellStyle name="常规 2 2 112" xfId="2060" xr:uid="{00000000-0005-0000-0000-00003C080000}"/>
    <cellStyle name="常规 2 2 113" xfId="2063" xr:uid="{00000000-0005-0000-0000-00003F080000}"/>
    <cellStyle name="常规 2 2 114" xfId="2066" xr:uid="{00000000-0005-0000-0000-000042080000}"/>
    <cellStyle name="常规 2 2 115" xfId="2074" xr:uid="{00000000-0005-0000-0000-00004A080000}"/>
    <cellStyle name="常规 2 2 116" xfId="2076" xr:uid="{00000000-0005-0000-0000-00004C080000}"/>
    <cellStyle name="常规 2 2 117" xfId="2080" xr:uid="{00000000-0005-0000-0000-000050080000}"/>
    <cellStyle name="常规 2 2 118" xfId="2086" xr:uid="{00000000-0005-0000-0000-000056080000}"/>
    <cellStyle name="常规 2 2 119" xfId="2090" xr:uid="{00000000-0005-0000-0000-00005A080000}"/>
    <cellStyle name="常规 2 2 12" xfId="2091" xr:uid="{00000000-0005-0000-0000-00005B080000}"/>
    <cellStyle name="常规 2 2 12 2" xfId="815" xr:uid="{00000000-0005-0000-0000-00005F030000}"/>
    <cellStyle name="常规 2 2 12 3" xfId="2092" xr:uid="{00000000-0005-0000-0000-00005C080000}"/>
    <cellStyle name="常规 2 2 12 4" xfId="2093" xr:uid="{00000000-0005-0000-0000-00005D080000}"/>
    <cellStyle name="常规 2 2 120" xfId="2073" xr:uid="{00000000-0005-0000-0000-000049080000}"/>
    <cellStyle name="常规 2 2 121" xfId="2075" xr:uid="{00000000-0005-0000-0000-00004B080000}"/>
    <cellStyle name="常规 2 2 122" xfId="2079" xr:uid="{00000000-0005-0000-0000-00004F080000}"/>
    <cellStyle name="常规 2 2 123" xfId="2085" xr:uid="{00000000-0005-0000-0000-000055080000}"/>
    <cellStyle name="常规 2 2 124" xfId="2089" xr:uid="{00000000-0005-0000-0000-000059080000}"/>
    <cellStyle name="常规 2 2 125" xfId="2097" xr:uid="{00000000-0005-0000-0000-000061080000}"/>
    <cellStyle name="常规 2 2 126" xfId="2101" xr:uid="{00000000-0005-0000-0000-000065080000}"/>
    <cellStyle name="常规 2 2 127" xfId="2105" xr:uid="{00000000-0005-0000-0000-000069080000}"/>
    <cellStyle name="常规 2 2 128" xfId="2109" xr:uid="{00000000-0005-0000-0000-00006D080000}"/>
    <cellStyle name="常规 2 2 129" xfId="2113" xr:uid="{00000000-0005-0000-0000-000071080000}"/>
    <cellStyle name="常规 2 2 13" xfId="2114" xr:uid="{00000000-0005-0000-0000-000072080000}"/>
    <cellStyle name="常规 2 2 13 2" xfId="2115" xr:uid="{00000000-0005-0000-0000-000073080000}"/>
    <cellStyle name="常规 2 2 13 3" xfId="2116" xr:uid="{00000000-0005-0000-0000-000074080000}"/>
    <cellStyle name="常规 2 2 13 3 2" xfId="2117" xr:uid="{00000000-0005-0000-0000-000075080000}"/>
    <cellStyle name="常规 2 2 13 3 2 2" xfId="2118" xr:uid="{00000000-0005-0000-0000-000076080000}"/>
    <cellStyle name="常规 2 2 13 3 3" xfId="2119" xr:uid="{00000000-0005-0000-0000-000077080000}"/>
    <cellStyle name="常规 2 2 130" xfId="2096" xr:uid="{00000000-0005-0000-0000-000060080000}"/>
    <cellStyle name="常规 2 2 131" xfId="2100" xr:uid="{00000000-0005-0000-0000-000064080000}"/>
    <cellStyle name="常规 2 2 132" xfId="2104" xr:uid="{00000000-0005-0000-0000-000068080000}"/>
    <cellStyle name="常规 2 2 133" xfId="2108" xr:uid="{00000000-0005-0000-0000-00006C080000}"/>
    <cellStyle name="常规 2 2 134" xfId="2112" xr:uid="{00000000-0005-0000-0000-000070080000}"/>
    <cellStyle name="常规 2 2 135" xfId="2121" xr:uid="{00000000-0005-0000-0000-000079080000}"/>
    <cellStyle name="常规 2 2 136" xfId="2123" xr:uid="{00000000-0005-0000-0000-00007B080000}"/>
    <cellStyle name="常规 2 2 137" xfId="2126" xr:uid="{00000000-0005-0000-0000-00007E080000}"/>
    <cellStyle name="常规 2 2 138" xfId="2129" xr:uid="{00000000-0005-0000-0000-000081080000}"/>
    <cellStyle name="常规 2 2 139" xfId="2131" xr:uid="{00000000-0005-0000-0000-000083080000}"/>
    <cellStyle name="常规 2 2 14" xfId="2133" xr:uid="{00000000-0005-0000-0000-000085080000}"/>
    <cellStyle name="常规 2 2 140" xfId="2120" xr:uid="{00000000-0005-0000-0000-000078080000}"/>
    <cellStyle name="常规 2 2 141" xfId="2122" xr:uid="{00000000-0005-0000-0000-00007A080000}"/>
    <cellStyle name="常规 2 2 142" xfId="2125" xr:uid="{00000000-0005-0000-0000-00007D080000}"/>
    <cellStyle name="常规 2 2 143" xfId="2128" xr:uid="{00000000-0005-0000-0000-000080080000}"/>
    <cellStyle name="常规 2 2 144" xfId="2130" xr:uid="{00000000-0005-0000-0000-000082080000}"/>
    <cellStyle name="常规 2 2 145" xfId="2136" xr:uid="{00000000-0005-0000-0000-000088080000}"/>
    <cellStyle name="常规 2 2 146" xfId="2140" xr:uid="{00000000-0005-0000-0000-00008C080000}"/>
    <cellStyle name="常规 2 2 147" xfId="2143" xr:uid="{00000000-0005-0000-0000-00008F080000}"/>
    <cellStyle name="常规 2 2 148" xfId="2146" xr:uid="{00000000-0005-0000-0000-000092080000}"/>
    <cellStyle name="常规 2 2 149" xfId="2149" xr:uid="{00000000-0005-0000-0000-000095080000}"/>
    <cellStyle name="常规 2 2 15" xfId="2152" xr:uid="{00000000-0005-0000-0000-000098080000}"/>
    <cellStyle name="常规 2 2 150" xfId="2135" xr:uid="{00000000-0005-0000-0000-000087080000}"/>
    <cellStyle name="常规 2 2 151" xfId="2139" xr:uid="{00000000-0005-0000-0000-00008B080000}"/>
    <cellStyle name="常规 2 2 152" xfId="2142" xr:uid="{00000000-0005-0000-0000-00008E080000}"/>
    <cellStyle name="常规 2 2 153" xfId="2145" xr:uid="{00000000-0005-0000-0000-000091080000}"/>
    <cellStyle name="常规 2 2 154" xfId="2148" xr:uid="{00000000-0005-0000-0000-000094080000}"/>
    <cellStyle name="常规 2 2 155" xfId="2156" xr:uid="{00000000-0005-0000-0000-00009C080000}"/>
    <cellStyle name="常规 2 2 156" xfId="2161" xr:uid="{00000000-0005-0000-0000-0000A1080000}"/>
    <cellStyle name="常规 2 2 157" xfId="2166" xr:uid="{00000000-0005-0000-0000-0000A6080000}"/>
    <cellStyle name="常规 2 2 158" xfId="567" xr:uid="{00000000-0005-0000-0000-000067020000}"/>
    <cellStyle name="常规 2 2 159" xfId="2170" xr:uid="{00000000-0005-0000-0000-0000AA080000}"/>
    <cellStyle name="常规 2 2 16" xfId="2173" xr:uid="{00000000-0005-0000-0000-0000AD080000}"/>
    <cellStyle name="常规 2 2 160" xfId="2155" xr:uid="{00000000-0005-0000-0000-00009B080000}"/>
    <cellStyle name="常规 2 2 161" xfId="2160" xr:uid="{00000000-0005-0000-0000-0000A0080000}"/>
    <cellStyle name="常规 2 2 162" xfId="2165" xr:uid="{00000000-0005-0000-0000-0000A5080000}"/>
    <cellStyle name="常规 2 2 163" xfId="566" xr:uid="{00000000-0005-0000-0000-000066020000}"/>
    <cellStyle name="常规 2 2 164" xfId="2169" xr:uid="{00000000-0005-0000-0000-0000A9080000}"/>
    <cellStyle name="常规 2 2 165" xfId="2177" xr:uid="{00000000-0005-0000-0000-0000B1080000}"/>
    <cellStyle name="常规 2 2 166" xfId="1822" xr:uid="{00000000-0005-0000-0000-00004E070000}"/>
    <cellStyle name="常规 2 2 167" xfId="2181" xr:uid="{00000000-0005-0000-0000-0000B5080000}"/>
    <cellStyle name="常规 2 2 168" xfId="296" xr:uid="{00000000-0005-0000-0000-000058010000}"/>
    <cellStyle name="常规 2 2 169" xfId="2185" xr:uid="{00000000-0005-0000-0000-0000B9080000}"/>
    <cellStyle name="常规 2 2 17" xfId="1155" xr:uid="{00000000-0005-0000-0000-0000B3040000}"/>
    <cellStyle name="常规 2 2 170" xfId="2176" xr:uid="{00000000-0005-0000-0000-0000B0080000}"/>
    <cellStyle name="常规 2 2 171" xfId="1821" xr:uid="{00000000-0005-0000-0000-00004D070000}"/>
    <cellStyle name="常规 2 2 172" xfId="2180" xr:uid="{00000000-0005-0000-0000-0000B4080000}"/>
    <cellStyle name="常规 2 2 173" xfId="295" xr:uid="{00000000-0005-0000-0000-000057010000}"/>
    <cellStyle name="常规 2 2 174" xfId="2184" xr:uid="{00000000-0005-0000-0000-0000B8080000}"/>
    <cellStyle name="常规 2 2 175" xfId="2189" xr:uid="{00000000-0005-0000-0000-0000BD080000}"/>
    <cellStyle name="常规 2 2 176" xfId="2193" xr:uid="{00000000-0005-0000-0000-0000C1080000}"/>
    <cellStyle name="常规 2 2 177" xfId="2197" xr:uid="{00000000-0005-0000-0000-0000C5080000}"/>
    <cellStyle name="常规 2 2 178" xfId="2201" xr:uid="{00000000-0005-0000-0000-0000C9080000}"/>
    <cellStyle name="常规 2 2 179" xfId="2205" xr:uid="{00000000-0005-0000-0000-0000CD080000}"/>
    <cellStyle name="常规 2 2 18" xfId="1159" xr:uid="{00000000-0005-0000-0000-0000B7040000}"/>
    <cellStyle name="常规 2 2 180" xfId="2188" xr:uid="{00000000-0005-0000-0000-0000BC080000}"/>
    <cellStyle name="常规 2 2 181" xfId="2192" xr:uid="{00000000-0005-0000-0000-0000C0080000}"/>
    <cellStyle name="常规 2 2 182" xfId="2196" xr:uid="{00000000-0005-0000-0000-0000C4080000}"/>
    <cellStyle name="常规 2 2 183" xfId="2200" xr:uid="{00000000-0005-0000-0000-0000C8080000}"/>
    <cellStyle name="常规 2 2 184" xfId="2204" xr:uid="{00000000-0005-0000-0000-0000CC080000}"/>
    <cellStyle name="常规 2 2 185" xfId="2208" xr:uid="{00000000-0005-0000-0000-0000D0080000}"/>
    <cellStyle name="常规 2 2 186" xfId="2210" xr:uid="{00000000-0005-0000-0000-0000D2080000}"/>
    <cellStyle name="常规 2 2 187" xfId="2213" xr:uid="{00000000-0005-0000-0000-0000D5080000}"/>
    <cellStyle name="常规 2 2 188" xfId="2216" xr:uid="{00000000-0005-0000-0000-0000D8080000}"/>
    <cellStyle name="常规 2 2 189" xfId="2218" xr:uid="{00000000-0005-0000-0000-0000DA080000}"/>
    <cellStyle name="常规 2 2 19" xfId="2220" xr:uid="{00000000-0005-0000-0000-0000DC080000}"/>
    <cellStyle name="常规 2 2 190" xfId="2207" xr:uid="{00000000-0005-0000-0000-0000CF080000}"/>
    <cellStyle name="常规 2 2 191" xfId="2209" xr:uid="{00000000-0005-0000-0000-0000D1080000}"/>
    <cellStyle name="常规 2 2 192" xfId="2212" xr:uid="{00000000-0005-0000-0000-0000D4080000}"/>
    <cellStyle name="常规 2 2 193" xfId="2215" xr:uid="{00000000-0005-0000-0000-0000D7080000}"/>
    <cellStyle name="常规 2 2 194" xfId="2217" xr:uid="{00000000-0005-0000-0000-0000D9080000}"/>
    <cellStyle name="常规 2 2 195" xfId="2221" xr:uid="{00000000-0005-0000-0000-0000DD080000}"/>
    <cellStyle name="常规 2 2 196" xfId="2222" xr:uid="{00000000-0005-0000-0000-0000DE080000}"/>
    <cellStyle name="常规 2 2 197" xfId="2223" xr:uid="{00000000-0005-0000-0000-0000DF080000}"/>
    <cellStyle name="常规 2 2 198" xfId="2224" xr:uid="{00000000-0005-0000-0000-0000E0080000}"/>
    <cellStyle name="常规 2 2 199" xfId="2227" xr:uid="{00000000-0005-0000-0000-0000E3080000}"/>
    <cellStyle name="常规 2 2 2" xfId="2229" xr:uid="{00000000-0005-0000-0000-0000E5080000}"/>
    <cellStyle name="常规 2 2 2 2" xfId="2230" xr:uid="{00000000-0005-0000-0000-0000E6080000}"/>
    <cellStyle name="常规 2 2 2 2 2" xfId="2231" xr:uid="{00000000-0005-0000-0000-0000E7080000}"/>
    <cellStyle name="常规 2 2 2 2 3" xfId="2232" xr:uid="{00000000-0005-0000-0000-0000E8080000}"/>
    <cellStyle name="常规 2 2 2 2 4" xfId="2233" xr:uid="{00000000-0005-0000-0000-0000E9080000}"/>
    <cellStyle name="常规 2 2 2 2 5" xfId="2234" xr:uid="{00000000-0005-0000-0000-0000EA080000}"/>
    <cellStyle name="常规 2 2 2 3" xfId="2235" xr:uid="{00000000-0005-0000-0000-0000EB080000}"/>
    <cellStyle name="常规 2 2 2 3 2" xfId="2236" xr:uid="{00000000-0005-0000-0000-0000EC080000}"/>
    <cellStyle name="常规 2 2 2 3 3" xfId="2237" xr:uid="{00000000-0005-0000-0000-0000ED080000}"/>
    <cellStyle name="常规 2 2 2 4" xfId="65" xr:uid="{00000000-0005-0000-0000-000063000000}"/>
    <cellStyle name="常规 2 2 2 4 2" xfId="507" xr:uid="{00000000-0005-0000-0000-00002B020000}"/>
    <cellStyle name="常规 2 2 2 4 3" xfId="2239" xr:uid="{00000000-0005-0000-0000-0000EF080000}"/>
    <cellStyle name="常规 2 2 2 5" xfId="50" xr:uid="{00000000-0005-0000-0000-00004E000000}"/>
    <cellStyle name="常规 2 2 2 6" xfId="74" xr:uid="{00000000-0005-0000-0000-000071000000}"/>
    <cellStyle name="常规 2 2 2 7" xfId="75" xr:uid="{00000000-0005-0000-0000-000073000000}"/>
    <cellStyle name="常规 2 2 2 8" xfId="78" xr:uid="{00000000-0005-0000-0000-000079000000}"/>
    <cellStyle name="常规 2 2 2 8 2" xfId="2242" xr:uid="{00000000-0005-0000-0000-0000F2080000}"/>
    <cellStyle name="常规 2 2 2 9" xfId="81" xr:uid="{00000000-0005-0000-0000-00007F000000}"/>
    <cellStyle name="常规 2 2 20" xfId="2151" xr:uid="{00000000-0005-0000-0000-000097080000}"/>
    <cellStyle name="常规 2 2 200" xfId="2134" xr:uid="{00000000-0005-0000-0000-000086080000}"/>
    <cellStyle name="常规 2 2 201" xfId="2138" xr:uid="{00000000-0005-0000-0000-00008A080000}"/>
    <cellStyle name="常规 2 2 202" xfId="2141" xr:uid="{00000000-0005-0000-0000-00008D080000}"/>
    <cellStyle name="常规 2 2 203" xfId="2144" xr:uid="{00000000-0005-0000-0000-000090080000}"/>
    <cellStyle name="常规 2 2 204" xfId="2147" xr:uid="{00000000-0005-0000-0000-000093080000}"/>
    <cellStyle name="常规 2 2 205" xfId="2154" xr:uid="{00000000-0005-0000-0000-00009A080000}"/>
    <cellStyle name="常规 2 2 206" xfId="2159" xr:uid="{00000000-0005-0000-0000-00009F080000}"/>
    <cellStyle name="常规 2 2 207" xfId="2164" xr:uid="{00000000-0005-0000-0000-0000A4080000}"/>
    <cellStyle name="常规 2 2 208" xfId="565" xr:uid="{00000000-0005-0000-0000-000065020000}"/>
    <cellStyle name="常规 2 2 209" xfId="2168" xr:uid="{00000000-0005-0000-0000-0000A8080000}"/>
    <cellStyle name="常规 2 2 21" xfId="2172" xr:uid="{00000000-0005-0000-0000-0000AC080000}"/>
    <cellStyle name="常规 2 2 210" xfId="2153" xr:uid="{00000000-0005-0000-0000-000099080000}"/>
    <cellStyle name="常规 2 2 211" xfId="2158" xr:uid="{00000000-0005-0000-0000-00009E080000}"/>
    <cellStyle name="常规 2 2 212" xfId="2163" xr:uid="{00000000-0005-0000-0000-0000A3080000}"/>
    <cellStyle name="常规 2 2 213" xfId="564" xr:uid="{00000000-0005-0000-0000-000064020000}"/>
    <cellStyle name="常规 2 2 214" xfId="2167" xr:uid="{00000000-0005-0000-0000-0000A7080000}"/>
    <cellStyle name="常规 2 2 215" xfId="2175" xr:uid="{00000000-0005-0000-0000-0000AF080000}"/>
    <cellStyle name="常规 2 2 216" xfId="1820" xr:uid="{00000000-0005-0000-0000-00004C070000}"/>
    <cellStyle name="常规 2 2 217" xfId="2179" xr:uid="{00000000-0005-0000-0000-0000B3080000}"/>
    <cellStyle name="常规 2 2 218" xfId="294" xr:uid="{00000000-0005-0000-0000-000056010000}"/>
    <cellStyle name="常规 2 2 219" xfId="2183" xr:uid="{00000000-0005-0000-0000-0000B7080000}"/>
    <cellStyle name="常规 2 2 22" xfId="1154" xr:uid="{00000000-0005-0000-0000-0000B2040000}"/>
    <cellStyle name="常规 2 2 220" xfId="2174" xr:uid="{00000000-0005-0000-0000-0000AE080000}"/>
    <cellStyle name="常规 2 2 221" xfId="1819" xr:uid="{00000000-0005-0000-0000-00004B070000}"/>
    <cellStyle name="常规 2 2 222" xfId="2178" xr:uid="{00000000-0005-0000-0000-0000B2080000}"/>
    <cellStyle name="常规 2 2 223" xfId="293" xr:uid="{00000000-0005-0000-0000-000055010000}"/>
    <cellStyle name="常规 2 2 224" xfId="2182" xr:uid="{00000000-0005-0000-0000-0000B6080000}"/>
    <cellStyle name="常规 2 2 225" xfId="2187" xr:uid="{00000000-0005-0000-0000-0000BB080000}"/>
    <cellStyle name="常规 2 2 226" xfId="2191" xr:uid="{00000000-0005-0000-0000-0000BF080000}"/>
    <cellStyle name="常规 2 2 227" xfId="2195" xr:uid="{00000000-0005-0000-0000-0000C3080000}"/>
    <cellStyle name="常规 2 2 228" xfId="2199" xr:uid="{00000000-0005-0000-0000-0000C7080000}"/>
    <cellStyle name="常规 2 2 229" xfId="2203" xr:uid="{00000000-0005-0000-0000-0000CB080000}"/>
    <cellStyle name="常规 2 2 23" xfId="1158" xr:uid="{00000000-0005-0000-0000-0000B6040000}"/>
    <cellStyle name="常规 2 2 230" xfId="2186" xr:uid="{00000000-0005-0000-0000-0000BA080000}"/>
    <cellStyle name="常规 2 2 231" xfId="2190" xr:uid="{00000000-0005-0000-0000-0000BE080000}"/>
    <cellStyle name="常规 2 2 232" xfId="2194" xr:uid="{00000000-0005-0000-0000-0000C2080000}"/>
    <cellStyle name="常规 2 2 233" xfId="2198" xr:uid="{00000000-0005-0000-0000-0000C6080000}"/>
    <cellStyle name="常规 2 2 234" xfId="2202" xr:uid="{00000000-0005-0000-0000-0000CA080000}"/>
    <cellStyle name="常规 2 2 235" xfId="2206" xr:uid="{00000000-0005-0000-0000-0000CE080000}"/>
    <cellStyle name="常规 2 2 24" xfId="2219" xr:uid="{00000000-0005-0000-0000-0000DB080000}"/>
    <cellStyle name="常规 2 2 25" xfId="2244" xr:uid="{00000000-0005-0000-0000-0000F4080000}"/>
    <cellStyle name="常规 2 2 26" xfId="2246" xr:uid="{00000000-0005-0000-0000-0000F6080000}"/>
    <cellStyle name="常规 2 2 27" xfId="2248" xr:uid="{00000000-0005-0000-0000-0000F8080000}"/>
    <cellStyle name="常规 2 2 28" xfId="2250" xr:uid="{00000000-0005-0000-0000-0000FA080000}"/>
    <cellStyle name="常规 2 2 29" xfId="2252" xr:uid="{00000000-0005-0000-0000-0000FC080000}"/>
    <cellStyle name="常规 2 2 3" xfId="2253" xr:uid="{00000000-0005-0000-0000-0000FD080000}"/>
    <cellStyle name="常规 2 2 3 2" xfId="2254" xr:uid="{00000000-0005-0000-0000-0000FE080000}"/>
    <cellStyle name="常规 2 2 3 3" xfId="2255" xr:uid="{00000000-0005-0000-0000-0000FF080000}"/>
    <cellStyle name="常规 2 2 3 4" xfId="2257" xr:uid="{00000000-0005-0000-0000-000001090000}"/>
    <cellStyle name="常规 2 2 3 5" xfId="2258" xr:uid="{00000000-0005-0000-0000-000002090000}"/>
    <cellStyle name="常规 2 2 30" xfId="2243" xr:uid="{00000000-0005-0000-0000-0000F3080000}"/>
    <cellStyle name="常规 2 2 31" xfId="2245" xr:uid="{00000000-0005-0000-0000-0000F5080000}"/>
    <cellStyle name="常规 2 2 32" xfId="2247" xr:uid="{00000000-0005-0000-0000-0000F7080000}"/>
    <cellStyle name="常规 2 2 33" xfId="2249" xr:uid="{00000000-0005-0000-0000-0000F9080000}"/>
    <cellStyle name="常规 2 2 34" xfId="2251" xr:uid="{00000000-0005-0000-0000-0000FB080000}"/>
    <cellStyle name="常规 2 2 35" xfId="1014" xr:uid="{00000000-0005-0000-0000-000026040000}"/>
    <cellStyle name="常规 2 2 36" xfId="2260" xr:uid="{00000000-0005-0000-0000-000004090000}"/>
    <cellStyle name="常规 2 2 37" xfId="2262" xr:uid="{00000000-0005-0000-0000-000006090000}"/>
    <cellStyle name="常规 2 2 38" xfId="2264" xr:uid="{00000000-0005-0000-0000-000008090000}"/>
    <cellStyle name="常规 2 2 39" xfId="1392" xr:uid="{00000000-0005-0000-0000-0000A0050000}"/>
    <cellStyle name="常规 2 2 4" xfId="2265" xr:uid="{00000000-0005-0000-0000-000009090000}"/>
    <cellStyle name="常规 2 2 4 2" xfId="2266" xr:uid="{00000000-0005-0000-0000-00000A090000}"/>
    <cellStyle name="常规 2 2 4 3" xfId="2267" xr:uid="{00000000-0005-0000-0000-00000B090000}"/>
    <cellStyle name="常规 2 2 4 4" xfId="520" xr:uid="{00000000-0005-0000-0000-000038020000}"/>
    <cellStyle name="常规 2 2 4 5" xfId="2047" xr:uid="{00000000-0005-0000-0000-00002F080000}"/>
    <cellStyle name="常规 2 2 4 6" xfId="2049" xr:uid="{00000000-0005-0000-0000-000031080000}"/>
    <cellStyle name="常规 2 2 40" xfId="1013" xr:uid="{00000000-0005-0000-0000-000025040000}"/>
    <cellStyle name="常规 2 2 41" xfId="2259" xr:uid="{00000000-0005-0000-0000-000003090000}"/>
    <cellStyle name="常规 2 2 42" xfId="2261" xr:uid="{00000000-0005-0000-0000-000005090000}"/>
    <cellStyle name="常规 2 2 43" xfId="2263" xr:uid="{00000000-0005-0000-0000-000007090000}"/>
    <cellStyle name="常规 2 2 44" xfId="1391" xr:uid="{00000000-0005-0000-0000-00009F050000}"/>
    <cellStyle name="常规 2 2 45" xfId="1399" xr:uid="{00000000-0005-0000-0000-0000A7050000}"/>
    <cellStyle name="常规 2 2 46" xfId="2269" xr:uid="{00000000-0005-0000-0000-00000D090000}"/>
    <cellStyle name="常规 2 2 47" xfId="2271" xr:uid="{00000000-0005-0000-0000-00000F090000}"/>
    <cellStyle name="常规 2 2 48" xfId="2273" xr:uid="{00000000-0005-0000-0000-000011090000}"/>
    <cellStyle name="常规 2 2 49" xfId="2275" xr:uid="{00000000-0005-0000-0000-000013090000}"/>
    <cellStyle name="常规 2 2 5" xfId="2276" xr:uid="{00000000-0005-0000-0000-000014090000}"/>
    <cellStyle name="常规 2 2 5 2" xfId="2124" xr:uid="{00000000-0005-0000-0000-00007C080000}"/>
    <cellStyle name="常规 2 2 5 3" xfId="2127" xr:uid="{00000000-0005-0000-0000-00007F080000}"/>
    <cellStyle name="常规 2 2 50" xfId="1398" xr:uid="{00000000-0005-0000-0000-0000A6050000}"/>
    <cellStyle name="常规 2 2 51" xfId="2268" xr:uid="{00000000-0005-0000-0000-00000C090000}"/>
    <cellStyle name="常规 2 2 52" xfId="2270" xr:uid="{00000000-0005-0000-0000-00000E090000}"/>
    <cellStyle name="常规 2 2 53" xfId="2272" xr:uid="{00000000-0005-0000-0000-000010090000}"/>
    <cellStyle name="常规 2 2 54" xfId="2274" xr:uid="{00000000-0005-0000-0000-000012090000}"/>
    <cellStyle name="常规 2 2 55" xfId="2278" xr:uid="{00000000-0005-0000-0000-000016090000}"/>
    <cellStyle name="常规 2 2 56" xfId="2280" xr:uid="{00000000-0005-0000-0000-000018090000}"/>
    <cellStyle name="常规 2 2 57" xfId="2282" xr:uid="{00000000-0005-0000-0000-00001A090000}"/>
    <cellStyle name="常规 2 2 58" xfId="2284" xr:uid="{00000000-0005-0000-0000-00001C090000}"/>
    <cellStyle name="常规 2 2 59" xfId="2287" xr:uid="{00000000-0005-0000-0000-00001F090000}"/>
    <cellStyle name="常规 2 2 6" xfId="713" xr:uid="{00000000-0005-0000-0000-0000F9020000}"/>
    <cellStyle name="常规 2 2 6 2" xfId="2211" xr:uid="{00000000-0005-0000-0000-0000D3080000}"/>
    <cellStyle name="常规 2 2 6 3" xfId="2214" xr:uid="{00000000-0005-0000-0000-0000D6080000}"/>
    <cellStyle name="常规 2 2 60" xfId="2277" xr:uid="{00000000-0005-0000-0000-000015090000}"/>
    <cellStyle name="常规 2 2 61" xfId="2279" xr:uid="{00000000-0005-0000-0000-000017090000}"/>
    <cellStyle name="常规 2 2 62" xfId="2281" xr:uid="{00000000-0005-0000-0000-000019090000}"/>
    <cellStyle name="常规 2 2 63" xfId="2283" xr:uid="{00000000-0005-0000-0000-00001B090000}"/>
    <cellStyle name="常规 2 2 64" xfId="2286" xr:uid="{00000000-0005-0000-0000-00001E090000}"/>
    <cellStyle name="常规 2 2 65" xfId="2290" xr:uid="{00000000-0005-0000-0000-000022090000}"/>
    <cellStyle name="常规 2 2 66" xfId="2292" xr:uid="{00000000-0005-0000-0000-000024090000}"/>
    <cellStyle name="常规 2 2 67" xfId="2295" xr:uid="{00000000-0005-0000-0000-000027090000}"/>
    <cellStyle name="常规 2 2 68" xfId="2298" xr:uid="{00000000-0005-0000-0000-00002A090000}"/>
    <cellStyle name="常规 2 2 69" xfId="2300" xr:uid="{00000000-0005-0000-0000-00002C090000}"/>
    <cellStyle name="常规 2 2 7" xfId="2301" xr:uid="{00000000-0005-0000-0000-00002D090000}"/>
    <cellStyle name="常规 2 2 7 2" xfId="2303" xr:uid="{00000000-0005-0000-0000-00002F090000}"/>
    <cellStyle name="常规 2 2 7 3" xfId="2305" xr:uid="{00000000-0005-0000-0000-000031090000}"/>
    <cellStyle name="常规 2 2 70" xfId="2289" xr:uid="{00000000-0005-0000-0000-000021090000}"/>
    <cellStyle name="常规 2 2 71" xfId="2291" xr:uid="{00000000-0005-0000-0000-000023090000}"/>
    <cellStyle name="常规 2 2 72" xfId="2294" xr:uid="{00000000-0005-0000-0000-000026090000}"/>
    <cellStyle name="常规 2 2 73" xfId="2297" xr:uid="{00000000-0005-0000-0000-000029090000}"/>
    <cellStyle name="常规 2 2 74" xfId="2299" xr:uid="{00000000-0005-0000-0000-00002B090000}"/>
    <cellStyle name="常规 2 2 75" xfId="2307" xr:uid="{00000000-0005-0000-0000-000033090000}"/>
    <cellStyle name="常规 2 2 76" xfId="2309" xr:uid="{00000000-0005-0000-0000-000035090000}"/>
    <cellStyle name="常规 2 2 77" xfId="2312" xr:uid="{00000000-0005-0000-0000-000038090000}"/>
    <cellStyle name="常规 2 2 78" xfId="2314" xr:uid="{00000000-0005-0000-0000-00003A090000}"/>
    <cellStyle name="常规 2 2 79" xfId="2316" xr:uid="{00000000-0005-0000-0000-00003C090000}"/>
    <cellStyle name="常规 2 2 8" xfId="2317" xr:uid="{00000000-0005-0000-0000-00003D090000}"/>
    <cellStyle name="常规 2 2 8 2" xfId="2318" xr:uid="{00000000-0005-0000-0000-00003E090000}"/>
    <cellStyle name="常规 2 2 8 3" xfId="2319" xr:uid="{00000000-0005-0000-0000-00003F090000}"/>
    <cellStyle name="常规 2 2 80" xfId="2306" xr:uid="{00000000-0005-0000-0000-000032090000}"/>
    <cellStyle name="常规 2 2 81" xfId="2308" xr:uid="{00000000-0005-0000-0000-000034090000}"/>
    <cellStyle name="常规 2 2 82" xfId="2311" xr:uid="{00000000-0005-0000-0000-000037090000}"/>
    <cellStyle name="常规 2 2 83" xfId="2313" xr:uid="{00000000-0005-0000-0000-000039090000}"/>
    <cellStyle name="常规 2 2 84" xfId="2315" xr:uid="{00000000-0005-0000-0000-00003B090000}"/>
    <cellStyle name="常规 2 2 85" xfId="1507" xr:uid="{00000000-0005-0000-0000-000013060000}"/>
    <cellStyle name="常规 2 2 86" xfId="1511" xr:uid="{00000000-0005-0000-0000-000017060000}"/>
    <cellStyle name="常规 2 2 87" xfId="1515" xr:uid="{00000000-0005-0000-0000-00001B060000}"/>
    <cellStyle name="常规 2 2 88" xfId="1519" xr:uid="{00000000-0005-0000-0000-00001F060000}"/>
    <cellStyle name="常规 2 2 89" xfId="1406" xr:uid="{00000000-0005-0000-0000-0000AE050000}"/>
    <cellStyle name="常规 2 2 9" xfId="2320" xr:uid="{00000000-0005-0000-0000-000040090000}"/>
    <cellStyle name="常规 2 2 9 2" xfId="2321" xr:uid="{00000000-0005-0000-0000-000041090000}"/>
    <cellStyle name="常规 2 2 9 3" xfId="2322" xr:uid="{00000000-0005-0000-0000-000042090000}"/>
    <cellStyle name="常规 2 2 90" xfId="1506" xr:uid="{00000000-0005-0000-0000-000012060000}"/>
    <cellStyle name="常规 2 2 91" xfId="1510" xr:uid="{00000000-0005-0000-0000-000016060000}"/>
    <cellStyle name="常规 2 2 92" xfId="1514" xr:uid="{00000000-0005-0000-0000-00001A060000}"/>
    <cellStyle name="常规 2 2 93" xfId="1518" xr:uid="{00000000-0005-0000-0000-00001E060000}"/>
    <cellStyle name="常规 2 2 94" xfId="1405" xr:uid="{00000000-0005-0000-0000-0000AD050000}"/>
    <cellStyle name="常规 2 2 95" xfId="1411" xr:uid="{00000000-0005-0000-0000-0000B3050000}"/>
    <cellStyle name="常规 2 2 96" xfId="1416" xr:uid="{00000000-0005-0000-0000-0000B8050000}"/>
    <cellStyle name="常规 2 2 97" xfId="1529" xr:uid="{00000000-0005-0000-0000-000029060000}"/>
    <cellStyle name="常规 2 2 98" xfId="1541" xr:uid="{00000000-0005-0000-0000-000035060000}"/>
    <cellStyle name="常规 2 2 99" xfId="2323" xr:uid="{00000000-0005-0000-0000-000043090000}"/>
    <cellStyle name="常规 2 20" xfId="1911" xr:uid="{00000000-0005-0000-0000-0000A7070000}"/>
    <cellStyle name="常规 2 20 2" xfId="1914" xr:uid="{00000000-0005-0000-0000-0000AA070000}"/>
    <cellStyle name="常规 2 20 2 2" xfId="2324" xr:uid="{00000000-0005-0000-0000-000044090000}"/>
    <cellStyle name="常规 2 20 2 2 2" xfId="2325" xr:uid="{00000000-0005-0000-0000-000045090000}"/>
    <cellStyle name="常规 2 20 2 3" xfId="2326" xr:uid="{00000000-0005-0000-0000-000046090000}"/>
    <cellStyle name="常规 2 20 3" xfId="1916" xr:uid="{00000000-0005-0000-0000-0000AC070000}"/>
    <cellStyle name="常规 2 20 4" xfId="2327" xr:uid="{00000000-0005-0000-0000-000047090000}"/>
    <cellStyle name="常规 2 200" xfId="1895" xr:uid="{00000000-0005-0000-0000-000097070000}"/>
    <cellStyle name="常规 2 201" xfId="719" xr:uid="{00000000-0005-0000-0000-0000FF020000}"/>
    <cellStyle name="常规 2 202" xfId="1899" xr:uid="{00000000-0005-0000-0000-00009B070000}"/>
    <cellStyle name="常规 2 203" xfId="1903" xr:uid="{00000000-0005-0000-0000-00009F070000}"/>
    <cellStyle name="常规 2 204" xfId="1907" xr:uid="{00000000-0005-0000-0000-0000A3070000}"/>
    <cellStyle name="常规 2 205" xfId="1921" xr:uid="{00000000-0005-0000-0000-0000B1070000}"/>
    <cellStyle name="常规 2 206" xfId="1927" xr:uid="{00000000-0005-0000-0000-0000B7070000}"/>
    <cellStyle name="常规 2 207" xfId="1933" xr:uid="{00000000-0005-0000-0000-0000BD070000}"/>
    <cellStyle name="常规 2 208" xfId="1938" xr:uid="{00000000-0005-0000-0000-0000C2070000}"/>
    <cellStyle name="常规 2 209" xfId="1943" xr:uid="{00000000-0005-0000-0000-0000C7070000}"/>
    <cellStyle name="常规 2 21" xfId="1947" xr:uid="{00000000-0005-0000-0000-0000CB070000}"/>
    <cellStyle name="常规 2 21 2" xfId="1950" xr:uid="{00000000-0005-0000-0000-0000CE070000}"/>
    <cellStyle name="常规 2 21 3" xfId="259" xr:uid="{00000000-0005-0000-0000-000033010000}"/>
    <cellStyle name="常规 2 210" xfId="1920" xr:uid="{00000000-0005-0000-0000-0000B0070000}"/>
    <cellStyle name="常规 2 211" xfId="1926" xr:uid="{00000000-0005-0000-0000-0000B6070000}"/>
    <cellStyle name="常规 2 212" xfId="1932" xr:uid="{00000000-0005-0000-0000-0000BC070000}"/>
    <cellStyle name="常规 2 213" xfId="1937" xr:uid="{00000000-0005-0000-0000-0000C1070000}"/>
    <cellStyle name="常规 2 214" xfId="1942" xr:uid="{00000000-0005-0000-0000-0000C6070000}"/>
    <cellStyle name="常规 2 215" xfId="1954" xr:uid="{00000000-0005-0000-0000-0000D2070000}"/>
    <cellStyle name="常规 2 216" xfId="1959" xr:uid="{00000000-0005-0000-0000-0000D7070000}"/>
    <cellStyle name="常规 2 217" xfId="1964" xr:uid="{00000000-0005-0000-0000-0000DC070000}"/>
    <cellStyle name="常规 2 218" xfId="1968" xr:uid="{00000000-0005-0000-0000-0000E0070000}"/>
    <cellStyle name="常规 2 219" xfId="1972" xr:uid="{00000000-0005-0000-0000-0000E4070000}"/>
    <cellStyle name="常规 2 22" xfId="1975" xr:uid="{00000000-0005-0000-0000-0000E7070000}"/>
    <cellStyle name="常规 2 22 2" xfId="1978" xr:uid="{00000000-0005-0000-0000-0000EA070000}"/>
    <cellStyle name="常规 2 22 3" xfId="670" xr:uid="{00000000-0005-0000-0000-0000CE020000}"/>
    <cellStyle name="常规 2 220" xfId="1953" xr:uid="{00000000-0005-0000-0000-0000D1070000}"/>
    <cellStyle name="常规 2 221" xfId="1958" xr:uid="{00000000-0005-0000-0000-0000D6070000}"/>
    <cellStyle name="常规 2 222" xfId="1963" xr:uid="{00000000-0005-0000-0000-0000DB070000}"/>
    <cellStyle name="常规 2 223" xfId="1967" xr:uid="{00000000-0005-0000-0000-0000DF070000}"/>
    <cellStyle name="常规 2 224" xfId="1971" xr:uid="{00000000-0005-0000-0000-0000E3070000}"/>
    <cellStyle name="常规 2 225" xfId="1982" xr:uid="{00000000-0005-0000-0000-0000EE070000}"/>
    <cellStyle name="常规 2 226" xfId="1987" xr:uid="{00000000-0005-0000-0000-0000F3070000}"/>
    <cellStyle name="常规 2 227" xfId="1991" xr:uid="{00000000-0005-0000-0000-0000F7070000}"/>
    <cellStyle name="常规 2 228" xfId="1995" xr:uid="{00000000-0005-0000-0000-0000FB070000}"/>
    <cellStyle name="常规 2 229" xfId="1999" xr:uid="{00000000-0005-0000-0000-0000FF070000}"/>
    <cellStyle name="常规 2 23" xfId="2002" xr:uid="{00000000-0005-0000-0000-000002080000}"/>
    <cellStyle name="常规 2 230" xfId="1981" xr:uid="{00000000-0005-0000-0000-0000ED070000}"/>
    <cellStyle name="常规 2 231" xfId="1986" xr:uid="{00000000-0005-0000-0000-0000F2070000}"/>
    <cellStyle name="常规 2 232" xfId="1990" xr:uid="{00000000-0005-0000-0000-0000F6070000}"/>
    <cellStyle name="常规 2 233" xfId="1994" xr:uid="{00000000-0005-0000-0000-0000FA070000}"/>
    <cellStyle name="常规 2 234" xfId="1998" xr:uid="{00000000-0005-0000-0000-0000FE070000}"/>
    <cellStyle name="常规 2 235" xfId="2006" xr:uid="{00000000-0005-0000-0000-000006080000}"/>
    <cellStyle name="常规 2 235 2" xfId="2328" xr:uid="{00000000-0005-0000-0000-000048090000}"/>
    <cellStyle name="常规 2 235 2 2" xfId="2330" xr:uid="{00000000-0005-0000-0000-00004A090000}"/>
    <cellStyle name="常规 2 235 3" xfId="2331" xr:uid="{00000000-0005-0000-0000-00004B090000}"/>
    <cellStyle name="常规 2 236" xfId="2009" xr:uid="{00000000-0005-0000-0000-000009080000}"/>
    <cellStyle name="常规 2 237" xfId="2013" xr:uid="{00000000-0005-0000-0000-00000D080000}"/>
    <cellStyle name="常规 2 24" xfId="2022" xr:uid="{00000000-0005-0000-0000-000016080000}"/>
    <cellStyle name="常规 2 25" xfId="2333" xr:uid="{00000000-0005-0000-0000-00004D090000}"/>
    <cellStyle name="常规 2 26" xfId="2335" xr:uid="{00000000-0005-0000-0000-00004F090000}"/>
    <cellStyle name="常规 2 27" xfId="2337" xr:uid="{00000000-0005-0000-0000-000051090000}"/>
    <cellStyle name="常规 2 28" xfId="2340" xr:uid="{00000000-0005-0000-0000-000054090000}"/>
    <cellStyle name="常规 2 29" xfId="2343" xr:uid="{00000000-0005-0000-0000-000057090000}"/>
    <cellStyle name="常规 2 3" xfId="2344" xr:uid="{00000000-0005-0000-0000-000058090000}"/>
    <cellStyle name="常规 2 3 10" xfId="2345" xr:uid="{00000000-0005-0000-0000-000059090000}"/>
    <cellStyle name="常规 2 3 11" xfId="2346" xr:uid="{00000000-0005-0000-0000-00005A090000}"/>
    <cellStyle name="常规 2 3 12" xfId="2347" xr:uid="{00000000-0005-0000-0000-00005B090000}"/>
    <cellStyle name="常规 2 3 13" xfId="2348" xr:uid="{00000000-0005-0000-0000-00005C090000}"/>
    <cellStyle name="常规 2 3 14" xfId="2349" xr:uid="{00000000-0005-0000-0000-00005D090000}"/>
    <cellStyle name="常规 2 3 15" xfId="2350" xr:uid="{00000000-0005-0000-0000-00005E090000}"/>
    <cellStyle name="常规 2 3 16" xfId="2026" xr:uid="{00000000-0005-0000-0000-00001A080000}"/>
    <cellStyle name="常规 2 3 17" xfId="1227" xr:uid="{00000000-0005-0000-0000-0000FB040000}"/>
    <cellStyle name="常规 2 3 18" xfId="1235" xr:uid="{00000000-0005-0000-0000-000003050000}"/>
    <cellStyle name="常规 2 3 19" xfId="2351" xr:uid="{00000000-0005-0000-0000-00005F090000}"/>
    <cellStyle name="常规 2 3 2" xfId="2352" xr:uid="{00000000-0005-0000-0000-000060090000}"/>
    <cellStyle name="常规 2 3 2 2" xfId="2353" xr:uid="{00000000-0005-0000-0000-000061090000}"/>
    <cellStyle name="常规 2 3 2 2 2" xfId="2056" xr:uid="{00000000-0005-0000-0000-000038080000}"/>
    <cellStyle name="常规 2 3 2 2 3" xfId="2059" xr:uid="{00000000-0005-0000-0000-00003B080000}"/>
    <cellStyle name="常规 2 3 2 3" xfId="2354" xr:uid="{00000000-0005-0000-0000-000062090000}"/>
    <cellStyle name="常规 2 3 2 3 2" xfId="2157" xr:uid="{00000000-0005-0000-0000-00009D080000}"/>
    <cellStyle name="常规 2 3 2 3 3" xfId="2162" xr:uid="{00000000-0005-0000-0000-0000A2080000}"/>
    <cellStyle name="常规 2 3 2 4" xfId="2355" xr:uid="{00000000-0005-0000-0000-000063090000}"/>
    <cellStyle name="常规 2 3 2 4 2" xfId="2356" xr:uid="{00000000-0005-0000-0000-000064090000}"/>
    <cellStyle name="常规 2 3 2 5" xfId="2329" xr:uid="{00000000-0005-0000-0000-000049090000}"/>
    <cellStyle name="常规 2 3 2 6" xfId="2357" xr:uid="{00000000-0005-0000-0000-000065090000}"/>
    <cellStyle name="常规 2 3 2 6 2" xfId="2358" xr:uid="{00000000-0005-0000-0000-000066090000}"/>
    <cellStyle name="常规 2 3 3" xfId="2359" xr:uid="{00000000-0005-0000-0000-000067090000}"/>
    <cellStyle name="常规 2 3 3 2" xfId="2360" xr:uid="{00000000-0005-0000-0000-000068090000}"/>
    <cellStyle name="常规 2 3 3 3" xfId="2362" xr:uid="{00000000-0005-0000-0000-00006A090000}"/>
    <cellStyle name="常规 2 3 4" xfId="2363" xr:uid="{00000000-0005-0000-0000-00006B090000}"/>
    <cellStyle name="常规 2 3 4 2" xfId="2364" xr:uid="{00000000-0005-0000-0000-00006C090000}"/>
    <cellStyle name="常规 2 3 4 3" xfId="2366" xr:uid="{00000000-0005-0000-0000-00006E090000}"/>
    <cellStyle name="常规 2 3 5" xfId="2367" xr:uid="{00000000-0005-0000-0000-00006F090000}"/>
    <cellStyle name="常规 2 3 6" xfId="2368" xr:uid="{00000000-0005-0000-0000-000070090000}"/>
    <cellStyle name="常规 2 3 7" xfId="2369" xr:uid="{00000000-0005-0000-0000-000071090000}"/>
    <cellStyle name="常规 2 3 8" xfId="2370" xr:uid="{00000000-0005-0000-0000-000072090000}"/>
    <cellStyle name="常规 2 3 9" xfId="2371" xr:uid="{00000000-0005-0000-0000-000073090000}"/>
    <cellStyle name="常规 2 30" xfId="2332" xr:uid="{00000000-0005-0000-0000-00004C090000}"/>
    <cellStyle name="常规 2 31" xfId="2334" xr:uid="{00000000-0005-0000-0000-00004E090000}"/>
    <cellStyle name="常规 2 32" xfId="2336" xr:uid="{00000000-0005-0000-0000-000050090000}"/>
    <cellStyle name="常规 2 33" xfId="2339" xr:uid="{00000000-0005-0000-0000-000053090000}"/>
    <cellStyle name="常规 2 34" xfId="2342" xr:uid="{00000000-0005-0000-0000-000056090000}"/>
    <cellStyle name="常规 2 35" xfId="2374" xr:uid="{00000000-0005-0000-0000-000076090000}"/>
    <cellStyle name="常规 2 36" xfId="2377" xr:uid="{00000000-0005-0000-0000-000079090000}"/>
    <cellStyle name="常规 2 37" xfId="177" xr:uid="{00000000-0005-0000-0000-0000E1000000}"/>
    <cellStyle name="常规 2 38" xfId="2379" xr:uid="{00000000-0005-0000-0000-00007B090000}"/>
    <cellStyle name="常规 2 39" xfId="333" xr:uid="{00000000-0005-0000-0000-00007D010000}"/>
    <cellStyle name="常规 2 4" xfId="2380" xr:uid="{00000000-0005-0000-0000-00007C090000}"/>
    <cellStyle name="常规 2 4 2" xfId="2381" xr:uid="{00000000-0005-0000-0000-00007D090000}"/>
    <cellStyle name="常规 2 4 2 2" xfId="2383" xr:uid="{00000000-0005-0000-0000-00007F090000}"/>
    <cellStyle name="常规 2 4 2 2 2" xfId="2384" xr:uid="{00000000-0005-0000-0000-000080090000}"/>
    <cellStyle name="常规 2 4 2 2 3" xfId="2385" xr:uid="{00000000-0005-0000-0000-000081090000}"/>
    <cellStyle name="常规 2 4 2 3" xfId="2387" xr:uid="{00000000-0005-0000-0000-000083090000}"/>
    <cellStyle name="常规 2 4 2 3 2" xfId="2389" xr:uid="{00000000-0005-0000-0000-000085090000}"/>
    <cellStyle name="常规 2 4 2 3 3" xfId="2390" xr:uid="{00000000-0005-0000-0000-000086090000}"/>
    <cellStyle name="常规 2 4 2 4" xfId="2392" xr:uid="{00000000-0005-0000-0000-000088090000}"/>
    <cellStyle name="常规 2 4 2 4 2" xfId="153" xr:uid="{00000000-0005-0000-0000-0000C9000000}"/>
    <cellStyle name="常规 2 4 2 5" xfId="2393" xr:uid="{00000000-0005-0000-0000-000089090000}"/>
    <cellStyle name="常规 2 4 2 6" xfId="2394" xr:uid="{00000000-0005-0000-0000-00008A090000}"/>
    <cellStyle name="常规 2 4 3" xfId="2395" xr:uid="{00000000-0005-0000-0000-00008B090000}"/>
    <cellStyle name="常规 2 4 3 2" xfId="2396" xr:uid="{00000000-0005-0000-0000-00008C090000}"/>
    <cellStyle name="常规 2 4 3 2 2" xfId="839" xr:uid="{00000000-0005-0000-0000-000077030000}"/>
    <cellStyle name="常规 2 4 3 2 2 2" xfId="651" xr:uid="{00000000-0005-0000-0000-0000BB020000}"/>
    <cellStyle name="常规 2 4 3 2 3" xfId="841" xr:uid="{00000000-0005-0000-0000-000079030000}"/>
    <cellStyle name="常规 2 4 3 3" xfId="2397" xr:uid="{00000000-0005-0000-0000-00008D090000}"/>
    <cellStyle name="常规 2 4 3 4" xfId="2398" xr:uid="{00000000-0005-0000-0000-00008E090000}"/>
    <cellStyle name="常规 2 4 3 4 2" xfId="2399" xr:uid="{00000000-0005-0000-0000-00008F090000}"/>
    <cellStyle name="常规 2 4 3 5" xfId="2228" xr:uid="{00000000-0005-0000-0000-0000E4080000}"/>
    <cellStyle name="常规 2 4 4" xfId="2400" xr:uid="{00000000-0005-0000-0000-000090090000}"/>
    <cellStyle name="常规 2 4 4 2" xfId="2401" xr:uid="{00000000-0005-0000-0000-000091090000}"/>
    <cellStyle name="常规 2 4 4 3" xfId="2403" xr:uid="{00000000-0005-0000-0000-000093090000}"/>
    <cellStyle name="常规 2 4 5" xfId="1845" xr:uid="{00000000-0005-0000-0000-000065070000}"/>
    <cellStyle name="常规 2 4 6" xfId="1847" xr:uid="{00000000-0005-0000-0000-000067070000}"/>
    <cellStyle name="常规 2 4 7" xfId="1849" xr:uid="{00000000-0005-0000-0000-000069070000}"/>
    <cellStyle name="常规 2 4 8" xfId="1851" xr:uid="{00000000-0005-0000-0000-00006B070000}"/>
    <cellStyle name="常规 2 40" xfId="2373" xr:uid="{00000000-0005-0000-0000-000075090000}"/>
    <cellStyle name="常规 2 41" xfId="2376" xr:uid="{00000000-0005-0000-0000-000078090000}"/>
    <cellStyle name="常规 2 42" xfId="176" xr:uid="{00000000-0005-0000-0000-0000E0000000}"/>
    <cellStyle name="常规 2 43" xfId="2378" xr:uid="{00000000-0005-0000-0000-00007A090000}"/>
    <cellStyle name="常规 2 44" xfId="332" xr:uid="{00000000-0005-0000-0000-00007C010000}"/>
    <cellStyle name="常规 2 45" xfId="2405" xr:uid="{00000000-0005-0000-0000-000095090000}"/>
    <cellStyle name="常规 2 46" xfId="2407" xr:uid="{00000000-0005-0000-0000-000097090000}"/>
    <cellStyle name="常规 2 47" xfId="2409" xr:uid="{00000000-0005-0000-0000-000099090000}"/>
    <cellStyle name="常规 2 48" xfId="2411" xr:uid="{00000000-0005-0000-0000-00009B090000}"/>
    <cellStyle name="常规 2 49" xfId="2414" xr:uid="{00000000-0005-0000-0000-00009E090000}"/>
    <cellStyle name="常规 2 5" xfId="2415" xr:uid="{00000000-0005-0000-0000-00009F090000}"/>
    <cellStyle name="常规 2 5 10" xfId="173" xr:uid="{00000000-0005-0000-0000-0000DD000000}"/>
    <cellStyle name="常规 2 5 11" xfId="327" xr:uid="{00000000-0005-0000-0000-000077010000}"/>
    <cellStyle name="常规 2 5 12" xfId="335" xr:uid="{00000000-0005-0000-0000-00007F010000}"/>
    <cellStyle name="常规 2 5 13" xfId="341" xr:uid="{00000000-0005-0000-0000-000085010000}"/>
    <cellStyle name="常规 2 5 14" xfId="631" xr:uid="{00000000-0005-0000-0000-0000A7020000}"/>
    <cellStyle name="常规 2 5 15" xfId="633" xr:uid="{00000000-0005-0000-0000-0000A9020000}"/>
    <cellStyle name="常规 2 5 16" xfId="2416" xr:uid="{00000000-0005-0000-0000-0000A0090000}"/>
    <cellStyle name="常规 2 5 17" xfId="1458" xr:uid="{00000000-0005-0000-0000-0000E2050000}"/>
    <cellStyle name="常规 2 5 18" xfId="1466" xr:uid="{00000000-0005-0000-0000-0000EA050000}"/>
    <cellStyle name="常规 2 5 2" xfId="1883" xr:uid="{00000000-0005-0000-0000-00008B070000}"/>
    <cellStyle name="常规 2 5 2 2" xfId="2418" xr:uid="{00000000-0005-0000-0000-0000A2090000}"/>
    <cellStyle name="常规 2 5 2 2 2" xfId="2419" xr:uid="{00000000-0005-0000-0000-0000A3090000}"/>
    <cellStyle name="常规 2 5 2 2 3" xfId="681" xr:uid="{00000000-0005-0000-0000-0000D9020000}"/>
    <cellStyle name="常规 2 5 2 2 4" xfId="705" xr:uid="{00000000-0005-0000-0000-0000F1020000}"/>
    <cellStyle name="常规 2 5 2 3" xfId="2421" xr:uid="{00000000-0005-0000-0000-0000A5090000}"/>
    <cellStyle name="常规 2 5 2 4" xfId="2423" xr:uid="{00000000-0005-0000-0000-0000A7090000}"/>
    <cellStyle name="常规 2 5 2 5" xfId="2425" xr:uid="{00000000-0005-0000-0000-0000A9090000}"/>
    <cellStyle name="常规 2 5 2 6" xfId="2426" xr:uid="{00000000-0005-0000-0000-0000AA090000}"/>
    <cellStyle name="常规 2 5 2 6 2" xfId="2427" xr:uid="{00000000-0005-0000-0000-0000AB090000}"/>
    <cellStyle name="常规 2 5 2 7" xfId="2428" xr:uid="{00000000-0005-0000-0000-0000AC090000}"/>
    <cellStyle name="常规 2 5 2 8" xfId="146" xr:uid="{00000000-0005-0000-0000-0000C2000000}"/>
    <cellStyle name="常规 2 5 2 8 2" xfId="148" xr:uid="{00000000-0005-0000-0000-0000C4000000}"/>
    <cellStyle name="常规 2 5 3" xfId="1886" xr:uid="{00000000-0005-0000-0000-00008E070000}"/>
    <cellStyle name="常规 2 5 3 2" xfId="2429" xr:uid="{00000000-0005-0000-0000-0000AD090000}"/>
    <cellStyle name="常规 2 5 3 3" xfId="2430" xr:uid="{00000000-0005-0000-0000-0000AE090000}"/>
    <cellStyle name="常规 2 5 4" xfId="1889" xr:uid="{00000000-0005-0000-0000-000091070000}"/>
    <cellStyle name="常规 2 5 4 2" xfId="2431" xr:uid="{00000000-0005-0000-0000-0000AF090000}"/>
    <cellStyle name="常规 2 5 4 3" xfId="2432" xr:uid="{00000000-0005-0000-0000-0000B0090000}"/>
    <cellStyle name="常规 2 5 5" xfId="1894" xr:uid="{00000000-0005-0000-0000-000096070000}"/>
    <cellStyle name="常规 2 5 6" xfId="718" xr:uid="{00000000-0005-0000-0000-0000FE020000}"/>
    <cellStyle name="常规 2 5 7" xfId="1898" xr:uid="{00000000-0005-0000-0000-00009A070000}"/>
    <cellStyle name="常规 2 5 7 2" xfId="2433" xr:uid="{00000000-0005-0000-0000-0000B1090000}"/>
    <cellStyle name="常规 2 5 7 3" xfId="2434" xr:uid="{00000000-0005-0000-0000-0000B2090000}"/>
    <cellStyle name="常规 2 5 8" xfId="1902" xr:uid="{00000000-0005-0000-0000-00009E070000}"/>
    <cellStyle name="常规 2 5 9" xfId="1906" xr:uid="{00000000-0005-0000-0000-0000A2070000}"/>
    <cellStyle name="常规 2 50" xfId="2404" xr:uid="{00000000-0005-0000-0000-000094090000}"/>
    <cellStyle name="常规 2 51" xfId="2406" xr:uid="{00000000-0005-0000-0000-000096090000}"/>
    <cellStyle name="常规 2 52" xfId="2408" xr:uid="{00000000-0005-0000-0000-000098090000}"/>
    <cellStyle name="常规 2 53" xfId="2410" xr:uid="{00000000-0005-0000-0000-00009A090000}"/>
    <cellStyle name="常规 2 54" xfId="2413" xr:uid="{00000000-0005-0000-0000-00009D090000}"/>
    <cellStyle name="常规 2 55" xfId="2437" xr:uid="{00000000-0005-0000-0000-0000B5090000}"/>
    <cellStyle name="常规 2 56" xfId="2441" xr:uid="{00000000-0005-0000-0000-0000B9090000}"/>
    <cellStyle name="常规 2 57" xfId="2444" xr:uid="{00000000-0005-0000-0000-0000BC090000}"/>
    <cellStyle name="常规 2 58" xfId="2447" xr:uid="{00000000-0005-0000-0000-0000BF090000}"/>
    <cellStyle name="常规 2 59" xfId="2450" xr:uid="{00000000-0005-0000-0000-0000C2090000}"/>
    <cellStyle name="常规 2 6" xfId="2451" xr:uid="{00000000-0005-0000-0000-0000C3090000}"/>
    <cellStyle name="常规 2 6 2" xfId="2012" xr:uid="{00000000-0005-0000-0000-00000C080000}"/>
    <cellStyle name="常规 2 6 2 2" xfId="2452" xr:uid="{00000000-0005-0000-0000-0000C4090000}"/>
    <cellStyle name="常规 2 6 2 3" xfId="2454" xr:uid="{00000000-0005-0000-0000-0000C6090000}"/>
    <cellStyle name="常规 2 6 2 4" xfId="2456" xr:uid="{00000000-0005-0000-0000-0000C8090000}"/>
    <cellStyle name="常规 2 6 2 5" xfId="2458" xr:uid="{00000000-0005-0000-0000-0000CA090000}"/>
    <cellStyle name="常规 2 6 2 6" xfId="2460" xr:uid="{00000000-0005-0000-0000-0000CC090000}"/>
    <cellStyle name="常规 2 6 2 7" xfId="2462" xr:uid="{00000000-0005-0000-0000-0000CE090000}"/>
    <cellStyle name="常规 2 6 2 8" xfId="1423" xr:uid="{00000000-0005-0000-0000-0000BF050000}"/>
    <cellStyle name="常规 2 6 3" xfId="2016" xr:uid="{00000000-0005-0000-0000-000010080000}"/>
    <cellStyle name="常规 2 6 4" xfId="2019" xr:uid="{00000000-0005-0000-0000-000013080000}"/>
    <cellStyle name="常规 2 6 5" xfId="2035" xr:uid="{00000000-0005-0000-0000-000023080000}"/>
    <cellStyle name="常规 2 6 6" xfId="2037" xr:uid="{00000000-0005-0000-0000-000025080000}"/>
    <cellStyle name="常规 2 6 7" xfId="2041" xr:uid="{00000000-0005-0000-0000-000029080000}"/>
    <cellStyle name="常规 2 6 7 2" xfId="2464" xr:uid="{00000000-0005-0000-0000-0000D0090000}"/>
    <cellStyle name="常规 2 6 8" xfId="70" xr:uid="{00000000-0005-0000-0000-00006A000000}"/>
    <cellStyle name="常规 2 6 9" xfId="72" xr:uid="{00000000-0005-0000-0000-00006E000000}"/>
    <cellStyle name="常规 2 60" xfId="2436" xr:uid="{00000000-0005-0000-0000-0000B4090000}"/>
    <cellStyle name="常规 2 61" xfId="2440" xr:uid="{00000000-0005-0000-0000-0000B8090000}"/>
    <cellStyle name="常规 2 62" xfId="2443" xr:uid="{00000000-0005-0000-0000-0000BB090000}"/>
    <cellStyle name="常规 2 63" xfId="2446" xr:uid="{00000000-0005-0000-0000-0000BE090000}"/>
    <cellStyle name="常规 2 64" xfId="2449" xr:uid="{00000000-0005-0000-0000-0000C1090000}"/>
    <cellStyle name="常规 2 65" xfId="2467" xr:uid="{00000000-0005-0000-0000-0000D3090000}"/>
    <cellStyle name="常规 2 66" xfId="2470" xr:uid="{00000000-0005-0000-0000-0000D6090000}"/>
    <cellStyle name="常规 2 67" xfId="2472" xr:uid="{00000000-0005-0000-0000-0000D8090000}"/>
    <cellStyle name="常规 2 68" xfId="2474" xr:uid="{00000000-0005-0000-0000-0000DA090000}"/>
    <cellStyle name="常规 2 69" xfId="2476" xr:uid="{00000000-0005-0000-0000-0000DC090000}"/>
    <cellStyle name="常规 2 7" xfId="2477" xr:uid="{00000000-0005-0000-0000-0000DD090000}"/>
    <cellStyle name="常规 2 7 10" xfId="2478" xr:uid="{00000000-0005-0000-0000-0000DE090000}"/>
    <cellStyle name="常规 2 7 11" xfId="2479" xr:uid="{00000000-0005-0000-0000-0000DF090000}"/>
    <cellStyle name="常规 2 7 12" xfId="2480" xr:uid="{00000000-0005-0000-0000-0000E0090000}"/>
    <cellStyle name="常规 2 7 13" xfId="924" xr:uid="{00000000-0005-0000-0000-0000CC030000}"/>
    <cellStyle name="常规 2 7 14" xfId="926" xr:uid="{00000000-0005-0000-0000-0000CE030000}"/>
    <cellStyle name="常规 2 7 15" xfId="2481" xr:uid="{00000000-0005-0000-0000-0000E1090000}"/>
    <cellStyle name="常规 2 7 16" xfId="2482" xr:uid="{00000000-0005-0000-0000-0000E2090000}"/>
    <cellStyle name="常规 2 7 17" xfId="1715" xr:uid="{00000000-0005-0000-0000-0000E3060000}"/>
    <cellStyle name="常规 2 7 18" xfId="1722" xr:uid="{00000000-0005-0000-0000-0000EA060000}"/>
    <cellStyle name="常规 2 7 2" xfId="2483" xr:uid="{00000000-0005-0000-0000-0000E3090000}"/>
    <cellStyle name="常规 2 7 2 2" xfId="2132" xr:uid="{00000000-0005-0000-0000-000084080000}"/>
    <cellStyle name="常规 2 7 2 3" xfId="2150" xr:uid="{00000000-0005-0000-0000-000096080000}"/>
    <cellStyle name="常规 2 7 2 3 2" xfId="2484" xr:uid="{00000000-0005-0000-0000-0000E4090000}"/>
    <cellStyle name="常规 2 7 2 4" xfId="2171" xr:uid="{00000000-0005-0000-0000-0000AB080000}"/>
    <cellStyle name="常规 2 7 2 5" xfId="1153" xr:uid="{00000000-0005-0000-0000-0000B1040000}"/>
    <cellStyle name="常规 2 7 2 5 2" xfId="376" xr:uid="{00000000-0005-0000-0000-0000A8010000}"/>
    <cellStyle name="常规 2 7 3" xfId="2485" xr:uid="{00000000-0005-0000-0000-0000E5090000}"/>
    <cellStyle name="常规 2 7 3 2" xfId="2285" xr:uid="{00000000-0005-0000-0000-00001D090000}"/>
    <cellStyle name="常规 2 7 3 3" xfId="2288" xr:uid="{00000000-0005-0000-0000-000020090000}"/>
    <cellStyle name="常规 2 7 4" xfId="2486" xr:uid="{00000000-0005-0000-0000-0000E6090000}"/>
    <cellStyle name="常规 2 7 4 2" xfId="2487" xr:uid="{00000000-0005-0000-0000-0000E7090000}"/>
    <cellStyle name="常规 2 7 5" xfId="1667" xr:uid="{00000000-0005-0000-0000-0000B3060000}"/>
    <cellStyle name="常规 2 7 6" xfId="2488" xr:uid="{00000000-0005-0000-0000-0000E8090000}"/>
    <cellStyle name="常规 2 7 7" xfId="2489" xr:uid="{00000000-0005-0000-0000-0000E9090000}"/>
    <cellStyle name="常规 2 7 8" xfId="2490" xr:uid="{00000000-0005-0000-0000-0000EA090000}"/>
    <cellStyle name="常规 2 7 9" xfId="2492" xr:uid="{00000000-0005-0000-0000-0000EC090000}"/>
    <cellStyle name="常规 2 70" xfId="2466" xr:uid="{00000000-0005-0000-0000-0000D2090000}"/>
    <cellStyle name="常规 2 71" xfId="2469" xr:uid="{00000000-0005-0000-0000-0000D5090000}"/>
    <cellStyle name="常规 2 72" xfId="2471" xr:uid="{00000000-0005-0000-0000-0000D7090000}"/>
    <cellStyle name="常规 2 73" xfId="2473" xr:uid="{00000000-0005-0000-0000-0000D9090000}"/>
    <cellStyle name="常规 2 74" xfId="2475" xr:uid="{00000000-0005-0000-0000-0000DB090000}"/>
    <cellStyle name="常规 2 75" xfId="2494" xr:uid="{00000000-0005-0000-0000-0000EE090000}"/>
    <cellStyle name="常规 2 76" xfId="2496" xr:uid="{00000000-0005-0000-0000-0000F0090000}"/>
    <cellStyle name="常规 2 77" xfId="2498" xr:uid="{00000000-0005-0000-0000-0000F2090000}"/>
    <cellStyle name="常规 2 78" xfId="2501" xr:uid="{00000000-0005-0000-0000-0000F5090000}"/>
    <cellStyle name="常规 2 79" xfId="2504" xr:uid="{00000000-0005-0000-0000-0000F8090000}"/>
    <cellStyle name="常规 2 8" xfId="2506" xr:uid="{00000000-0005-0000-0000-0000FA090000}"/>
    <cellStyle name="常规 2 8 2" xfId="2508" xr:uid="{00000000-0005-0000-0000-0000FC090000}"/>
    <cellStyle name="常规 2 8 3" xfId="2510" xr:uid="{00000000-0005-0000-0000-0000FE090000}"/>
    <cellStyle name="常规 2 8 4" xfId="2513" xr:uid="{00000000-0005-0000-0000-0000010A0000}"/>
    <cellStyle name="常规 2 8 5" xfId="2516" xr:uid="{00000000-0005-0000-0000-0000040A0000}"/>
    <cellStyle name="常规 2 8 6" xfId="2519" xr:uid="{00000000-0005-0000-0000-0000070A0000}"/>
    <cellStyle name="常规 2 80" xfId="2493" xr:uid="{00000000-0005-0000-0000-0000ED090000}"/>
    <cellStyle name="常规 2 81" xfId="2495" xr:uid="{00000000-0005-0000-0000-0000EF090000}"/>
    <cellStyle name="常规 2 82" xfId="2497" xr:uid="{00000000-0005-0000-0000-0000F1090000}"/>
    <cellStyle name="常规 2 83" xfId="2500" xr:uid="{00000000-0005-0000-0000-0000F4090000}"/>
    <cellStyle name="常规 2 84" xfId="2503" xr:uid="{00000000-0005-0000-0000-0000F7090000}"/>
    <cellStyle name="常规 2 85" xfId="2522" xr:uid="{00000000-0005-0000-0000-00000A0A0000}"/>
    <cellStyle name="常规 2 86" xfId="2524" xr:uid="{00000000-0005-0000-0000-00000C0A0000}"/>
    <cellStyle name="常规 2 87" xfId="2526" xr:uid="{00000000-0005-0000-0000-00000E0A0000}"/>
    <cellStyle name="常规 2 88" xfId="2528" xr:uid="{00000000-0005-0000-0000-0000100A0000}"/>
    <cellStyle name="常规 2 89" xfId="2530" xr:uid="{00000000-0005-0000-0000-0000120A0000}"/>
    <cellStyle name="常规 2 9" xfId="2532" xr:uid="{00000000-0005-0000-0000-0000140A0000}"/>
    <cellStyle name="常规 2 9 2" xfId="2533" xr:uid="{00000000-0005-0000-0000-0000150A0000}"/>
    <cellStyle name="常规 2 9 3" xfId="2534" xr:uid="{00000000-0005-0000-0000-0000160A0000}"/>
    <cellStyle name="常规 2 90" xfId="2521" xr:uid="{00000000-0005-0000-0000-0000090A0000}"/>
    <cellStyle name="常规 2 91" xfId="2523" xr:uid="{00000000-0005-0000-0000-00000B0A0000}"/>
    <cellStyle name="常规 2 92" xfId="2525" xr:uid="{00000000-0005-0000-0000-00000D0A0000}"/>
    <cellStyle name="常规 2 93" xfId="2527" xr:uid="{00000000-0005-0000-0000-00000F0A0000}"/>
    <cellStyle name="常规 2 94" xfId="2529" xr:uid="{00000000-0005-0000-0000-0000110A0000}"/>
    <cellStyle name="常规 2 95" xfId="2535" xr:uid="{00000000-0005-0000-0000-0000170A0000}"/>
    <cellStyle name="常规 2 96" xfId="2536" xr:uid="{00000000-0005-0000-0000-0000180A0000}"/>
    <cellStyle name="常规 2 97" xfId="2537" xr:uid="{00000000-0005-0000-0000-0000190A0000}"/>
    <cellStyle name="常规 2 98" xfId="2538" xr:uid="{00000000-0005-0000-0000-00001A0A0000}"/>
    <cellStyle name="常规 2 99" xfId="2241" xr:uid="{00000000-0005-0000-0000-0000F1080000}"/>
    <cellStyle name="常规 2_2014年集团总部职能部门绩效考核表（人力资源部）" xfId="2539" xr:uid="{00000000-0005-0000-0000-00001B0A0000}"/>
    <cellStyle name="常规 20" xfId="1278" xr:uid="{00000000-0005-0000-0000-00002E050000}"/>
    <cellStyle name="常规 20 10" xfId="1280" xr:uid="{00000000-0005-0000-0000-000030050000}"/>
    <cellStyle name="常规 20 11" xfId="1284" xr:uid="{00000000-0005-0000-0000-000034050000}"/>
    <cellStyle name="常规 20 12" xfId="1286" xr:uid="{00000000-0005-0000-0000-000036050000}"/>
    <cellStyle name="常规 20 13" xfId="1288" xr:uid="{00000000-0005-0000-0000-000038050000}"/>
    <cellStyle name="常规 20 14" xfId="1290" xr:uid="{00000000-0005-0000-0000-00003A050000}"/>
    <cellStyle name="常规 20 15" xfId="1292" xr:uid="{00000000-0005-0000-0000-00003C050000}"/>
    <cellStyle name="常规 20 16" xfId="1294" xr:uid="{00000000-0005-0000-0000-00003E050000}"/>
    <cellStyle name="常规 20 16 2" xfId="1296" xr:uid="{00000000-0005-0000-0000-000040050000}"/>
    <cellStyle name="常规 20 16 2 2" xfId="370" xr:uid="{00000000-0005-0000-0000-0000A2010000}"/>
    <cellStyle name="常规 20 16 3" xfId="1298" xr:uid="{00000000-0005-0000-0000-000042050000}"/>
    <cellStyle name="常规 20 17" xfId="1300" xr:uid="{00000000-0005-0000-0000-000044050000}"/>
    <cellStyle name="常规 20 2" xfId="692" xr:uid="{00000000-0005-0000-0000-0000E4020000}"/>
    <cellStyle name="常规 20 2 2" xfId="1306" xr:uid="{00000000-0005-0000-0000-00004A050000}"/>
    <cellStyle name="常规 20 3" xfId="696" xr:uid="{00000000-0005-0000-0000-0000E8020000}"/>
    <cellStyle name="常规 20 4" xfId="700" xr:uid="{00000000-0005-0000-0000-0000EC020000}"/>
    <cellStyle name="常规 20 5" xfId="952" xr:uid="{00000000-0005-0000-0000-0000E8030000}"/>
    <cellStyle name="常规 20 6" xfId="1311" xr:uid="{00000000-0005-0000-0000-00004F050000}"/>
    <cellStyle name="常规 20 7" xfId="1314" xr:uid="{00000000-0005-0000-0000-000052050000}"/>
    <cellStyle name="常规 20 8" xfId="1316" xr:uid="{00000000-0005-0000-0000-000054050000}"/>
    <cellStyle name="常规 20 9" xfId="1318" xr:uid="{00000000-0005-0000-0000-000056050000}"/>
    <cellStyle name="常规 200" xfId="1209" xr:uid="{00000000-0005-0000-0000-0000E9040000}"/>
    <cellStyle name="常规 200 2" xfId="1212" xr:uid="{00000000-0005-0000-0000-0000EC040000}"/>
    <cellStyle name="常规 200 2 2" xfId="1215" xr:uid="{00000000-0005-0000-0000-0000EF040000}"/>
    <cellStyle name="常规 200 3" xfId="1218" xr:uid="{00000000-0005-0000-0000-0000F2040000}"/>
    <cellStyle name="常规 201" xfId="1223" xr:uid="{00000000-0005-0000-0000-0000F7040000}"/>
    <cellStyle name="常规 201 2" xfId="1226" xr:uid="{00000000-0005-0000-0000-0000FA040000}"/>
    <cellStyle name="常规 201 2 2" xfId="1231" xr:uid="{00000000-0005-0000-0000-0000FF040000}"/>
    <cellStyle name="常规 201 3" xfId="1234" xr:uid="{00000000-0005-0000-0000-000002050000}"/>
    <cellStyle name="常规 202" xfId="1240" xr:uid="{00000000-0005-0000-0000-000008050000}"/>
    <cellStyle name="常规 202 2" xfId="1244" xr:uid="{00000000-0005-0000-0000-00000C050000}"/>
    <cellStyle name="常规 202 2 2" xfId="1248" xr:uid="{00000000-0005-0000-0000-000010050000}"/>
    <cellStyle name="常规 202 3" xfId="1252" xr:uid="{00000000-0005-0000-0000-000014050000}"/>
    <cellStyle name="常规 203" xfId="1256" xr:uid="{00000000-0005-0000-0000-000018050000}"/>
    <cellStyle name="常规 203 2" xfId="1259" xr:uid="{00000000-0005-0000-0000-00001B050000}"/>
    <cellStyle name="常规 203 2 2" xfId="1262" xr:uid="{00000000-0005-0000-0000-00001E050000}"/>
    <cellStyle name="常规 203 3" xfId="1265" xr:uid="{00000000-0005-0000-0000-000021050000}"/>
    <cellStyle name="常规 204" xfId="1269" xr:uid="{00000000-0005-0000-0000-000025050000}"/>
    <cellStyle name="常规 205" xfId="1321" xr:uid="{00000000-0005-0000-0000-000059050000}"/>
    <cellStyle name="常规 206" xfId="1332" xr:uid="{00000000-0005-0000-0000-000064050000}"/>
    <cellStyle name="常规 207" xfId="1347" xr:uid="{00000000-0005-0000-0000-000073050000}"/>
    <cellStyle name="常规 208" xfId="1353" xr:uid="{00000000-0005-0000-0000-000079050000}"/>
    <cellStyle name="常规 209" xfId="1366" xr:uid="{00000000-0005-0000-0000-000086050000}"/>
    <cellStyle name="常规 209 2" xfId="1369" xr:uid="{00000000-0005-0000-0000-000089050000}"/>
    <cellStyle name="常规 209 2 2" xfId="1372" xr:uid="{00000000-0005-0000-0000-00008C050000}"/>
    <cellStyle name="常规 209 3" xfId="1375" xr:uid="{00000000-0005-0000-0000-00008F050000}"/>
    <cellStyle name="常规 21" xfId="899" xr:uid="{00000000-0005-0000-0000-0000B3030000}"/>
    <cellStyle name="常规 21 10" xfId="1378" xr:uid="{00000000-0005-0000-0000-000092050000}"/>
    <cellStyle name="常规 21 11" xfId="1380" xr:uid="{00000000-0005-0000-0000-000094050000}"/>
    <cellStyle name="常规 21 12" xfId="1382" xr:uid="{00000000-0005-0000-0000-000096050000}"/>
    <cellStyle name="常规 21 13" xfId="650" xr:uid="{00000000-0005-0000-0000-0000BA020000}"/>
    <cellStyle name="常规 21 14" xfId="1384" xr:uid="{00000000-0005-0000-0000-000098050000}"/>
    <cellStyle name="常规 21 15" xfId="1386" xr:uid="{00000000-0005-0000-0000-00009A050000}"/>
    <cellStyle name="常规 21 16" xfId="1388" xr:uid="{00000000-0005-0000-0000-00009C050000}"/>
    <cellStyle name="常规 21 16 2" xfId="1390" xr:uid="{00000000-0005-0000-0000-00009E050000}"/>
    <cellStyle name="常规 21 16 2 2" xfId="1395" xr:uid="{00000000-0005-0000-0000-0000A3050000}"/>
    <cellStyle name="常规 21 16 3" xfId="1397" xr:uid="{00000000-0005-0000-0000-0000A5050000}"/>
    <cellStyle name="常规 21 17" xfId="1401" xr:uid="{00000000-0005-0000-0000-0000A9050000}"/>
    <cellStyle name="常规 21 17 2" xfId="1404" xr:uid="{00000000-0005-0000-0000-0000AC050000}"/>
    <cellStyle name="常规 21 17 3" xfId="1410" xr:uid="{00000000-0005-0000-0000-0000B2050000}"/>
    <cellStyle name="常规 21 17 4" xfId="1415" xr:uid="{00000000-0005-0000-0000-0000B7050000}"/>
    <cellStyle name="常规 21 18" xfId="1419" xr:uid="{00000000-0005-0000-0000-0000BB050000}"/>
    <cellStyle name="常规 21 2" xfId="903" xr:uid="{00000000-0005-0000-0000-0000B7030000}"/>
    <cellStyle name="常规 21 2 2" xfId="778" xr:uid="{00000000-0005-0000-0000-00003A030000}"/>
    <cellStyle name="常规 21 2 3" xfId="782" xr:uid="{00000000-0005-0000-0000-00003E030000}"/>
    <cellStyle name="常规 21 2 3 2" xfId="1422" xr:uid="{00000000-0005-0000-0000-0000BE050000}"/>
    <cellStyle name="常规 21 3" xfId="1425" xr:uid="{00000000-0005-0000-0000-0000C1050000}"/>
    <cellStyle name="常规 21 4" xfId="1427" xr:uid="{00000000-0005-0000-0000-0000C3050000}"/>
    <cellStyle name="常规 21 5" xfId="1429" xr:uid="{00000000-0005-0000-0000-0000C5050000}"/>
    <cellStyle name="常规 21 6" xfId="1431" xr:uid="{00000000-0005-0000-0000-0000C7050000}"/>
    <cellStyle name="常规 21 7" xfId="1433" xr:uid="{00000000-0005-0000-0000-0000C9050000}"/>
    <cellStyle name="常规 21 8" xfId="1435" xr:uid="{00000000-0005-0000-0000-0000CB050000}"/>
    <cellStyle name="常规 21 9" xfId="1437" xr:uid="{00000000-0005-0000-0000-0000CD050000}"/>
    <cellStyle name="常规 210" xfId="1320" xr:uid="{00000000-0005-0000-0000-000058050000}"/>
    <cellStyle name="常规 211" xfId="1331" xr:uid="{00000000-0005-0000-0000-000063050000}"/>
    <cellStyle name="常规 211 2" xfId="1336" xr:uid="{00000000-0005-0000-0000-000068050000}"/>
    <cellStyle name="常规 211 2 2" xfId="1339" xr:uid="{00000000-0005-0000-0000-00006B050000}"/>
    <cellStyle name="常规 211 3" xfId="1343" xr:uid="{00000000-0005-0000-0000-00006F050000}"/>
    <cellStyle name="常规 212" xfId="1346" xr:uid="{00000000-0005-0000-0000-000072050000}"/>
    <cellStyle name="常规 213" xfId="1352" xr:uid="{00000000-0005-0000-0000-000078050000}"/>
    <cellStyle name="常规 213 2" xfId="1356" xr:uid="{00000000-0005-0000-0000-00007C050000}"/>
    <cellStyle name="常规 213 2 2" xfId="1359" xr:uid="{00000000-0005-0000-0000-00007F050000}"/>
    <cellStyle name="常规 213 3" xfId="1362" xr:uid="{00000000-0005-0000-0000-000082050000}"/>
    <cellStyle name="常规 214" xfId="1365" xr:uid="{00000000-0005-0000-0000-000085050000}"/>
    <cellStyle name="常规 215" xfId="1440" xr:uid="{00000000-0005-0000-0000-0000D0050000}"/>
    <cellStyle name="常规 215 2" xfId="1443" xr:uid="{00000000-0005-0000-0000-0000D3050000}"/>
    <cellStyle name="常规 215 2 2" xfId="1446" xr:uid="{00000000-0005-0000-0000-0000D6050000}"/>
    <cellStyle name="常规 215 3" xfId="1449" xr:uid="{00000000-0005-0000-0000-0000D9050000}"/>
    <cellStyle name="常规 216" xfId="1454" xr:uid="{00000000-0005-0000-0000-0000DE050000}"/>
    <cellStyle name="常规 217" xfId="1473" xr:uid="{00000000-0005-0000-0000-0000F1050000}"/>
    <cellStyle name="常规 217 2" xfId="1476" xr:uid="{00000000-0005-0000-0000-0000F4050000}"/>
    <cellStyle name="常规 217 2 2" xfId="1479" xr:uid="{00000000-0005-0000-0000-0000F7050000}"/>
    <cellStyle name="常规 217 3" xfId="1481" xr:uid="{00000000-0005-0000-0000-0000F9050000}"/>
    <cellStyle name="常规 218" xfId="1485" xr:uid="{00000000-0005-0000-0000-0000FD050000}"/>
    <cellStyle name="常规 219" xfId="1496" xr:uid="{00000000-0005-0000-0000-000008060000}"/>
    <cellStyle name="常规 219 2" xfId="1499" xr:uid="{00000000-0005-0000-0000-00000B060000}"/>
    <cellStyle name="常规 219 2 2" xfId="1501" xr:uid="{00000000-0005-0000-0000-00000D060000}"/>
    <cellStyle name="常规 219 3" xfId="1503" xr:uid="{00000000-0005-0000-0000-00000F060000}"/>
    <cellStyle name="常规 22" xfId="908" xr:uid="{00000000-0005-0000-0000-0000BC030000}"/>
    <cellStyle name="常规 22 10" xfId="1505" xr:uid="{00000000-0005-0000-0000-000011060000}"/>
    <cellStyle name="常规 22 11" xfId="1509" xr:uid="{00000000-0005-0000-0000-000015060000}"/>
    <cellStyle name="常规 22 12" xfId="1513" xr:uid="{00000000-0005-0000-0000-000019060000}"/>
    <cellStyle name="常规 22 13" xfId="1517" xr:uid="{00000000-0005-0000-0000-00001D060000}"/>
    <cellStyle name="常规 22 14" xfId="1403" xr:uid="{00000000-0005-0000-0000-0000AB050000}"/>
    <cellStyle name="常规 22 15" xfId="1409" xr:uid="{00000000-0005-0000-0000-0000B1050000}"/>
    <cellStyle name="常规 22 16" xfId="1414" xr:uid="{00000000-0005-0000-0000-0000B6050000}"/>
    <cellStyle name="常规 22 16 2" xfId="1521" xr:uid="{00000000-0005-0000-0000-000021060000}"/>
    <cellStyle name="常规 22 16 2 2" xfId="1524" xr:uid="{00000000-0005-0000-0000-000024060000}"/>
    <cellStyle name="常规 22 16 3" xfId="1526" xr:uid="{00000000-0005-0000-0000-000026060000}"/>
    <cellStyle name="常规 22 17" xfId="1528" xr:uid="{00000000-0005-0000-0000-000028060000}"/>
    <cellStyle name="常规 22 17 2" xfId="1532" xr:uid="{00000000-0005-0000-0000-00002C060000}"/>
    <cellStyle name="常规 22 17 3" xfId="1535" xr:uid="{00000000-0005-0000-0000-00002F060000}"/>
    <cellStyle name="常规 22 17 4" xfId="1538" xr:uid="{00000000-0005-0000-0000-000032060000}"/>
    <cellStyle name="常规 22 18" xfId="1540" xr:uid="{00000000-0005-0000-0000-000034060000}"/>
    <cellStyle name="常规 22 2" xfId="1543" xr:uid="{00000000-0005-0000-0000-000037060000}"/>
    <cellStyle name="常规 22 2 2" xfId="1545" xr:uid="{00000000-0005-0000-0000-000039060000}"/>
    <cellStyle name="常规 22 2 3" xfId="1547" xr:uid="{00000000-0005-0000-0000-00003B060000}"/>
    <cellStyle name="常规 22 2 3 2" xfId="1549" xr:uid="{00000000-0005-0000-0000-00003D060000}"/>
    <cellStyle name="常规 22 2 4" xfId="2540" xr:uid="{00000000-0005-0000-0000-00001C0A0000}"/>
    <cellStyle name="常规 22 3" xfId="1551" xr:uid="{00000000-0005-0000-0000-00003F060000}"/>
    <cellStyle name="常规 22 4" xfId="1553" xr:uid="{00000000-0005-0000-0000-000041060000}"/>
    <cellStyle name="常规 22 5" xfId="1555" xr:uid="{00000000-0005-0000-0000-000043060000}"/>
    <cellStyle name="常规 22 6" xfId="1557" xr:uid="{00000000-0005-0000-0000-000045060000}"/>
    <cellStyle name="常规 22 7" xfId="1559" xr:uid="{00000000-0005-0000-0000-000047060000}"/>
    <cellStyle name="常规 22 8" xfId="1561" xr:uid="{00000000-0005-0000-0000-000049060000}"/>
    <cellStyle name="常规 22 9" xfId="1563" xr:uid="{00000000-0005-0000-0000-00004B060000}"/>
    <cellStyle name="常规 220" xfId="1439" xr:uid="{00000000-0005-0000-0000-0000CF050000}"/>
    <cellStyle name="常规 221" xfId="1453" xr:uid="{00000000-0005-0000-0000-0000DD050000}"/>
    <cellStyle name="常规 221 2" xfId="1457" xr:uid="{00000000-0005-0000-0000-0000E1050000}"/>
    <cellStyle name="常规 221 2 2" xfId="1462" xr:uid="{00000000-0005-0000-0000-0000E6050000}"/>
    <cellStyle name="常规 221 3" xfId="1465" xr:uid="{00000000-0005-0000-0000-0000E9050000}"/>
    <cellStyle name="常规 222" xfId="1472" xr:uid="{00000000-0005-0000-0000-0000F0050000}"/>
    <cellStyle name="常规 223" xfId="1484" xr:uid="{00000000-0005-0000-0000-0000FC050000}"/>
    <cellStyle name="常规 223 2" xfId="1488" xr:uid="{00000000-0005-0000-0000-000000060000}"/>
    <cellStyle name="常规 223 2 2" xfId="1490" xr:uid="{00000000-0005-0000-0000-000002060000}"/>
    <cellStyle name="常规 223 3" xfId="1492" xr:uid="{00000000-0005-0000-0000-000004060000}"/>
    <cellStyle name="常规 224" xfId="1495" xr:uid="{00000000-0005-0000-0000-000007060000}"/>
    <cellStyle name="常规 225" xfId="1567" xr:uid="{00000000-0005-0000-0000-00004F060000}"/>
    <cellStyle name="常规 225 2" xfId="1651" xr:uid="{00000000-0005-0000-0000-0000A3060000}"/>
    <cellStyle name="常规 225 2 2" xfId="1654" xr:uid="{00000000-0005-0000-0000-0000A6060000}"/>
    <cellStyle name="常规 225 3" xfId="1660" xr:uid="{00000000-0005-0000-0000-0000AC060000}"/>
    <cellStyle name="常规 226" xfId="1573" xr:uid="{00000000-0005-0000-0000-000055060000}"/>
    <cellStyle name="常规 226 2" xfId="1663" xr:uid="{00000000-0005-0000-0000-0000AF060000}"/>
    <cellStyle name="常规 226 2 2" xfId="1666" xr:uid="{00000000-0005-0000-0000-0000B2060000}"/>
    <cellStyle name="常规 226 3" xfId="1671" xr:uid="{00000000-0005-0000-0000-0000B7060000}"/>
    <cellStyle name="常规 227" xfId="1578" xr:uid="{00000000-0005-0000-0000-00005A060000}"/>
    <cellStyle name="常规 227 2" xfId="1675" xr:uid="{00000000-0005-0000-0000-0000BB060000}"/>
    <cellStyle name="常规 227 2 2" xfId="796" xr:uid="{00000000-0005-0000-0000-00004C030000}"/>
    <cellStyle name="常规 227 3" xfId="1679" xr:uid="{00000000-0005-0000-0000-0000BF060000}"/>
    <cellStyle name="常规 228" xfId="1583" xr:uid="{00000000-0005-0000-0000-00005F060000}"/>
    <cellStyle name="常规 228 2" xfId="1682" xr:uid="{00000000-0005-0000-0000-0000C2060000}"/>
    <cellStyle name="常规 228 2 2" xfId="449" xr:uid="{00000000-0005-0000-0000-0000F1010000}"/>
    <cellStyle name="常规 228 3" xfId="1686" xr:uid="{00000000-0005-0000-0000-0000C6060000}"/>
    <cellStyle name="常规 229" xfId="1587" xr:uid="{00000000-0005-0000-0000-000063060000}"/>
    <cellStyle name="常规 229 2" xfId="1689" xr:uid="{00000000-0005-0000-0000-0000C9060000}"/>
    <cellStyle name="常规 229 2 2" xfId="1692" xr:uid="{00000000-0005-0000-0000-0000CC060000}"/>
    <cellStyle name="常规 229 3" xfId="1695" xr:uid="{00000000-0005-0000-0000-0000CF060000}"/>
    <cellStyle name="常规 23" xfId="979" xr:uid="{00000000-0005-0000-0000-000003040000}"/>
    <cellStyle name="常规 23 10" xfId="1590" xr:uid="{00000000-0005-0000-0000-000066060000}"/>
    <cellStyle name="常规 23 11" xfId="1592" xr:uid="{00000000-0005-0000-0000-000068060000}"/>
    <cellStyle name="常规 23 12" xfId="1595" xr:uid="{00000000-0005-0000-0000-00006B060000}"/>
    <cellStyle name="常规 23 13" xfId="1598" xr:uid="{00000000-0005-0000-0000-00006E060000}"/>
    <cellStyle name="常规 23 14" xfId="1601" xr:uid="{00000000-0005-0000-0000-000071060000}"/>
    <cellStyle name="常规 23 15" xfId="1604" xr:uid="{00000000-0005-0000-0000-000074060000}"/>
    <cellStyle name="常规 23 16" xfId="1607" xr:uid="{00000000-0005-0000-0000-000077060000}"/>
    <cellStyle name="常规 23 17" xfId="1611" xr:uid="{00000000-0005-0000-0000-00007B060000}"/>
    <cellStyle name="常规 23 17 2" xfId="1613" xr:uid="{00000000-0005-0000-0000-00007D060000}"/>
    <cellStyle name="常规 23 17 2 2" xfId="2541" xr:uid="{00000000-0005-0000-0000-00001D0A0000}"/>
    <cellStyle name="常规 23 17 3" xfId="1615" xr:uid="{00000000-0005-0000-0000-00007F060000}"/>
    <cellStyle name="常规 23 18" xfId="1618" xr:uid="{00000000-0005-0000-0000-000082060000}"/>
    <cellStyle name="常规 23 2" xfId="1621" xr:uid="{00000000-0005-0000-0000-000085060000}"/>
    <cellStyle name="常规 23 2 2" xfId="762" xr:uid="{00000000-0005-0000-0000-00002A030000}"/>
    <cellStyle name="常规 23 2 3" xfId="1623" xr:uid="{00000000-0005-0000-0000-000087060000}"/>
    <cellStyle name="常规 23 2 3 2" xfId="1625" xr:uid="{00000000-0005-0000-0000-000089060000}"/>
    <cellStyle name="常规 23 2 4" xfId="1627" xr:uid="{00000000-0005-0000-0000-00008B060000}"/>
    <cellStyle name="常规 23 2 5" xfId="2542" xr:uid="{00000000-0005-0000-0000-00001E0A0000}"/>
    <cellStyle name="常规 23 2 5 2" xfId="2543" xr:uid="{00000000-0005-0000-0000-00001F0A0000}"/>
    <cellStyle name="常规 23 3" xfId="1629" xr:uid="{00000000-0005-0000-0000-00008D060000}"/>
    <cellStyle name="常规 23 3 2" xfId="1631" xr:uid="{00000000-0005-0000-0000-00008F060000}"/>
    <cellStyle name="常规 23 3 3" xfId="1633" xr:uid="{00000000-0005-0000-0000-000091060000}"/>
    <cellStyle name="常规 23 4" xfId="1635" xr:uid="{00000000-0005-0000-0000-000093060000}"/>
    <cellStyle name="常规 23 4 2" xfId="2545" xr:uid="{00000000-0005-0000-0000-0000210A0000}"/>
    <cellStyle name="常规 23 4 3" xfId="2546" xr:uid="{00000000-0005-0000-0000-0000220A0000}"/>
    <cellStyle name="常规 23 5" xfId="1637" xr:uid="{00000000-0005-0000-0000-000095060000}"/>
    <cellStyle name="常规 23 5 2" xfId="2548" xr:uid="{00000000-0005-0000-0000-0000240A0000}"/>
    <cellStyle name="常规 23 6" xfId="1639" xr:uid="{00000000-0005-0000-0000-000097060000}"/>
    <cellStyle name="常规 23 7" xfId="1643" xr:uid="{00000000-0005-0000-0000-00009B060000}"/>
    <cellStyle name="常规 23 8" xfId="1645" xr:uid="{00000000-0005-0000-0000-00009D060000}"/>
    <cellStyle name="常规 23 9" xfId="1647" xr:uid="{00000000-0005-0000-0000-00009F060000}"/>
    <cellStyle name="常规 230" xfId="1566" xr:uid="{00000000-0005-0000-0000-00004E060000}"/>
    <cellStyle name="常规 230 2" xfId="1650" xr:uid="{00000000-0005-0000-0000-0000A2060000}"/>
    <cellStyle name="常规 230 2 2" xfId="1653" xr:uid="{00000000-0005-0000-0000-0000A5060000}"/>
    <cellStyle name="常规 230 3" xfId="1659" xr:uid="{00000000-0005-0000-0000-0000AB060000}"/>
    <cellStyle name="常规 231" xfId="1572" xr:uid="{00000000-0005-0000-0000-000054060000}"/>
    <cellStyle name="常规 231 2" xfId="1662" xr:uid="{00000000-0005-0000-0000-0000AE060000}"/>
    <cellStyle name="常规 231 2 2" xfId="1665" xr:uid="{00000000-0005-0000-0000-0000B1060000}"/>
    <cellStyle name="常规 231 3" xfId="1670" xr:uid="{00000000-0005-0000-0000-0000B6060000}"/>
    <cellStyle name="常规 232" xfId="1577" xr:uid="{00000000-0005-0000-0000-000059060000}"/>
    <cellStyle name="常规 232 2" xfId="1674" xr:uid="{00000000-0005-0000-0000-0000BA060000}"/>
    <cellStyle name="常规 232 2 2" xfId="795" xr:uid="{00000000-0005-0000-0000-00004B030000}"/>
    <cellStyle name="常规 232 3" xfId="1678" xr:uid="{00000000-0005-0000-0000-0000BE060000}"/>
    <cellStyle name="常规 233" xfId="1582" xr:uid="{00000000-0005-0000-0000-00005E060000}"/>
    <cellStyle name="常规 233 2" xfId="1681" xr:uid="{00000000-0005-0000-0000-0000C1060000}"/>
    <cellStyle name="常规 233 2 2" xfId="448" xr:uid="{00000000-0005-0000-0000-0000F0010000}"/>
    <cellStyle name="常规 233 3" xfId="1685" xr:uid="{00000000-0005-0000-0000-0000C5060000}"/>
    <cellStyle name="常规 234" xfId="1586" xr:uid="{00000000-0005-0000-0000-000062060000}"/>
    <cellStyle name="常规 234 2" xfId="1688" xr:uid="{00000000-0005-0000-0000-0000C8060000}"/>
    <cellStyle name="常规 234 2 2" xfId="1691" xr:uid="{00000000-0005-0000-0000-0000CB060000}"/>
    <cellStyle name="常规 234 3" xfId="1694" xr:uid="{00000000-0005-0000-0000-0000CE060000}"/>
    <cellStyle name="常规 235" xfId="1698" xr:uid="{00000000-0005-0000-0000-0000D2060000}"/>
    <cellStyle name="常规 235 2" xfId="1702" xr:uid="{00000000-0005-0000-0000-0000D6060000}"/>
    <cellStyle name="常规 236" xfId="1711" xr:uid="{00000000-0005-0000-0000-0000DF060000}"/>
    <cellStyle name="常规 237" xfId="1727" xr:uid="{00000000-0005-0000-0000-0000EF060000}"/>
    <cellStyle name="常规 238" xfId="1739" xr:uid="{00000000-0005-0000-0000-0000FB060000}"/>
    <cellStyle name="常规 239" xfId="1754" xr:uid="{00000000-0005-0000-0000-00000A070000}"/>
    <cellStyle name="常规 24" xfId="983" xr:uid="{00000000-0005-0000-0000-000007040000}"/>
    <cellStyle name="常规 24 10" xfId="525" xr:uid="{00000000-0005-0000-0000-00003D020000}"/>
    <cellStyle name="常规 24 11" xfId="207" xr:uid="{00000000-0005-0000-0000-0000FF000000}"/>
    <cellStyle name="常规 24 12" xfId="212" xr:uid="{00000000-0005-0000-0000-000004010000}"/>
    <cellStyle name="常规 24 13" xfId="220" xr:uid="{00000000-0005-0000-0000-00000C010000}"/>
    <cellStyle name="常规 24 14" xfId="225" xr:uid="{00000000-0005-0000-0000-000011010000}"/>
    <cellStyle name="常规 24 15" xfId="232" xr:uid="{00000000-0005-0000-0000-000018010000}"/>
    <cellStyle name="常规 24 16" xfId="1766" xr:uid="{00000000-0005-0000-0000-000016070000}"/>
    <cellStyle name="常规 24 16 2" xfId="2549" xr:uid="{00000000-0005-0000-0000-0000250A0000}"/>
    <cellStyle name="常规 24 16 2 2" xfId="2550" xr:uid="{00000000-0005-0000-0000-0000260A0000}"/>
    <cellStyle name="常规 24 16 3" xfId="2551" xr:uid="{00000000-0005-0000-0000-0000270A0000}"/>
    <cellStyle name="常规 24 17" xfId="1769" xr:uid="{00000000-0005-0000-0000-000019070000}"/>
    <cellStyle name="常规 24 17 2" xfId="1771" xr:uid="{00000000-0005-0000-0000-00001B070000}"/>
    <cellStyle name="常规 24 17 3" xfId="1774" xr:uid="{00000000-0005-0000-0000-00001E070000}"/>
    <cellStyle name="常规 24 17 4" xfId="2552" xr:uid="{00000000-0005-0000-0000-0000280A0000}"/>
    <cellStyle name="常规 24 18" xfId="1776" xr:uid="{00000000-0005-0000-0000-000020070000}"/>
    <cellStyle name="常规 24 2" xfId="1779" xr:uid="{00000000-0005-0000-0000-000023070000}"/>
    <cellStyle name="常规 24 2 2" xfId="1783" xr:uid="{00000000-0005-0000-0000-000027070000}"/>
    <cellStyle name="常规 24 2 3" xfId="2553" xr:uid="{00000000-0005-0000-0000-0000290A0000}"/>
    <cellStyle name="常规 24 2 3 2" xfId="2554" xr:uid="{00000000-0005-0000-0000-00002A0A0000}"/>
    <cellStyle name="常规 24 3" xfId="1785" xr:uid="{00000000-0005-0000-0000-000029070000}"/>
    <cellStyle name="常规 24 4" xfId="1789" xr:uid="{00000000-0005-0000-0000-00002D070000}"/>
    <cellStyle name="常规 24 5" xfId="1793" xr:uid="{00000000-0005-0000-0000-000031070000}"/>
    <cellStyle name="常规 24 6" xfId="1798" xr:uid="{00000000-0005-0000-0000-000036070000}"/>
    <cellStyle name="常规 24 7" xfId="410" xr:uid="{00000000-0005-0000-0000-0000CA010000}"/>
    <cellStyle name="常规 24 8" xfId="1802" xr:uid="{00000000-0005-0000-0000-00003A070000}"/>
    <cellStyle name="常规 24 9" xfId="1806" xr:uid="{00000000-0005-0000-0000-00003E070000}"/>
    <cellStyle name="常规 240" xfId="1697" xr:uid="{00000000-0005-0000-0000-0000D1060000}"/>
    <cellStyle name="常规 240 2" xfId="1701" xr:uid="{00000000-0005-0000-0000-0000D5060000}"/>
    <cellStyle name="常规 240 3" xfId="1707" xr:uid="{00000000-0005-0000-0000-0000DB060000}"/>
    <cellStyle name="常规 240 4" xfId="2555" xr:uid="{00000000-0005-0000-0000-00002B0A0000}"/>
    <cellStyle name="常规 241" xfId="1710" xr:uid="{00000000-0005-0000-0000-0000DE060000}"/>
    <cellStyle name="常规 241 2" xfId="1714" xr:uid="{00000000-0005-0000-0000-0000E2060000}"/>
    <cellStyle name="常规 241 2 2" xfId="1718" xr:uid="{00000000-0005-0000-0000-0000E6060000}"/>
    <cellStyle name="常规 241 3" xfId="1721" xr:uid="{00000000-0005-0000-0000-0000E9060000}"/>
    <cellStyle name="常规 241 4" xfId="2556" xr:uid="{00000000-0005-0000-0000-00002C0A0000}"/>
    <cellStyle name="常规 242" xfId="1726" xr:uid="{00000000-0005-0000-0000-0000EE060000}"/>
    <cellStyle name="常规 243" xfId="1738" xr:uid="{00000000-0005-0000-0000-0000FA060000}"/>
    <cellStyle name="常规 244" xfId="1753" xr:uid="{00000000-0005-0000-0000-000009070000}"/>
    <cellStyle name="常规 245" xfId="27" xr:uid="{00000000-0005-0000-0000-00002B000000}"/>
    <cellStyle name="常规 246" xfId="578" xr:uid="{00000000-0005-0000-0000-000072020000}"/>
    <cellStyle name="常规 247" xfId="587" xr:uid="{00000000-0005-0000-0000-00007B020000}"/>
    <cellStyle name="常规 248" xfId="1827" xr:uid="{00000000-0005-0000-0000-000053070000}"/>
    <cellStyle name="常规 249" xfId="1834" xr:uid="{00000000-0005-0000-0000-00005A070000}"/>
    <cellStyle name="常规 25" xfId="2560" xr:uid="{00000000-0005-0000-0000-0000300A0000}"/>
    <cellStyle name="常规 25 10" xfId="2562" xr:uid="{00000000-0005-0000-0000-0000320A0000}"/>
    <cellStyle name="常规 25 11" xfId="2565" xr:uid="{00000000-0005-0000-0000-0000350A0000}"/>
    <cellStyle name="常规 25 12" xfId="2024" xr:uid="{00000000-0005-0000-0000-000018080000}"/>
    <cellStyle name="常规 25 13" xfId="2031" xr:uid="{00000000-0005-0000-0000-00001F080000}"/>
    <cellStyle name="常规 25 14" xfId="2033" xr:uid="{00000000-0005-0000-0000-000021080000}"/>
    <cellStyle name="常规 25 15" xfId="2566" xr:uid="{00000000-0005-0000-0000-0000360A0000}"/>
    <cellStyle name="常规 25 16" xfId="2567" xr:uid="{00000000-0005-0000-0000-0000370A0000}"/>
    <cellStyle name="常规 25 16 2" xfId="2568" xr:uid="{00000000-0005-0000-0000-0000380A0000}"/>
    <cellStyle name="常规 25 16 2 2" xfId="2569" xr:uid="{00000000-0005-0000-0000-0000390A0000}"/>
    <cellStyle name="常规 25 16 3" xfId="1324" xr:uid="{00000000-0005-0000-0000-00005C050000}"/>
    <cellStyle name="常规 25 17" xfId="2570" xr:uid="{00000000-0005-0000-0000-00003A0A0000}"/>
    <cellStyle name="常规 25 17 2" xfId="2571" xr:uid="{00000000-0005-0000-0000-00003B0A0000}"/>
    <cellStyle name="常规 25 17 3" xfId="1335" xr:uid="{00000000-0005-0000-0000-000067050000}"/>
    <cellStyle name="常规 25 17 4" xfId="1342" xr:uid="{00000000-0005-0000-0000-00006E050000}"/>
    <cellStyle name="常规 25 18" xfId="635" xr:uid="{00000000-0005-0000-0000-0000AB020000}"/>
    <cellStyle name="常规 25 2" xfId="1919" xr:uid="{00000000-0005-0000-0000-0000AF070000}"/>
    <cellStyle name="常规 25 2 2" xfId="2573" xr:uid="{00000000-0005-0000-0000-00003D0A0000}"/>
    <cellStyle name="常规 25 2 3" xfId="2575" xr:uid="{00000000-0005-0000-0000-00003F0A0000}"/>
    <cellStyle name="常规 25 2 3 2" xfId="2579" xr:uid="{00000000-0005-0000-0000-0000430A0000}"/>
    <cellStyle name="常规 25 3" xfId="1925" xr:uid="{00000000-0005-0000-0000-0000B5070000}"/>
    <cellStyle name="常规 25 4" xfId="1931" xr:uid="{00000000-0005-0000-0000-0000BB070000}"/>
    <cellStyle name="常规 25 5" xfId="1936" xr:uid="{00000000-0005-0000-0000-0000C0070000}"/>
    <cellStyle name="常规 25 6" xfId="1941" xr:uid="{00000000-0005-0000-0000-0000C5070000}"/>
    <cellStyle name="常规 25 7" xfId="1952" xr:uid="{00000000-0005-0000-0000-0000D0070000}"/>
    <cellStyle name="常规 25 8" xfId="1957" xr:uid="{00000000-0005-0000-0000-0000D5070000}"/>
    <cellStyle name="常规 25 9" xfId="1962" xr:uid="{00000000-0005-0000-0000-0000DA070000}"/>
    <cellStyle name="常规 250" xfId="26" xr:uid="{00000000-0005-0000-0000-00002A000000}"/>
    <cellStyle name="常规 251" xfId="577" xr:uid="{00000000-0005-0000-0000-000071020000}"/>
    <cellStyle name="常规 252" xfId="586" xr:uid="{00000000-0005-0000-0000-00007A020000}"/>
    <cellStyle name="常规 253" xfId="1826" xr:uid="{00000000-0005-0000-0000-000052070000}"/>
    <cellStyle name="常规 254" xfId="1833" xr:uid="{00000000-0005-0000-0000-000059070000}"/>
    <cellStyle name="常规 255" xfId="2581" xr:uid="{00000000-0005-0000-0000-0000450A0000}"/>
    <cellStyle name="常规 256" xfId="2583" xr:uid="{00000000-0005-0000-0000-0000470A0000}"/>
    <cellStyle name="常规 257" xfId="2585" xr:uid="{00000000-0005-0000-0000-0000490A0000}"/>
    <cellStyle name="常规 26" xfId="2587" xr:uid="{00000000-0005-0000-0000-00004B0A0000}"/>
    <cellStyle name="常规 26 2" xfId="10" xr:uid="{00000000-0005-0000-0000-00000F000000}"/>
    <cellStyle name="常规 26 2 2" xfId="475" xr:uid="{00000000-0005-0000-0000-00000B020000}"/>
    <cellStyle name="常规 26 2 3" xfId="491" xr:uid="{00000000-0005-0000-0000-00001B020000}"/>
    <cellStyle name="常规 26 2 3 2" xfId="2559" xr:uid="{00000000-0005-0000-0000-00002F0A0000}"/>
    <cellStyle name="常规 26 3" xfId="77" xr:uid="{00000000-0005-0000-0000-000077000000}"/>
    <cellStyle name="常规 26 4" xfId="80" xr:uid="{00000000-0005-0000-0000-00007C000000}"/>
    <cellStyle name="常规 262" xfId="2584" xr:uid="{00000000-0005-0000-0000-0000480A0000}"/>
    <cellStyle name="常规 262 2" xfId="656" xr:uid="{00000000-0005-0000-0000-0000C0020000}"/>
    <cellStyle name="常规 262 3" xfId="344" xr:uid="{00000000-0005-0000-0000-000088010000}"/>
    <cellStyle name="常规 27" xfId="2589" xr:uid="{00000000-0005-0000-0000-00004D0A0000}"/>
    <cellStyle name="常规 27 2" xfId="2592" xr:uid="{00000000-0005-0000-0000-0000500A0000}"/>
    <cellStyle name="常规 27 2 2" xfId="2594" xr:uid="{00000000-0005-0000-0000-0000520A0000}"/>
    <cellStyle name="常规 27 2 3" xfId="2595" xr:uid="{00000000-0005-0000-0000-0000530A0000}"/>
    <cellStyle name="常规 27 2 3 2" xfId="2596" xr:uid="{00000000-0005-0000-0000-0000540A0000}"/>
    <cellStyle name="常规 27 3" xfId="2598" xr:uid="{00000000-0005-0000-0000-0000560A0000}"/>
    <cellStyle name="常规 27 4" xfId="2600" xr:uid="{00000000-0005-0000-0000-0000580A0000}"/>
    <cellStyle name="常规 28" xfId="2602" xr:uid="{00000000-0005-0000-0000-00005A0A0000}"/>
    <cellStyle name="常规 28 2" xfId="2605" xr:uid="{00000000-0005-0000-0000-00005D0A0000}"/>
    <cellStyle name="常规 28 2 2" xfId="957" xr:uid="{00000000-0005-0000-0000-0000ED030000}"/>
    <cellStyle name="常规 28 3" xfId="2608" xr:uid="{00000000-0005-0000-0000-0000600A0000}"/>
    <cellStyle name="常规 29" xfId="2610" xr:uid="{00000000-0005-0000-0000-0000620A0000}"/>
    <cellStyle name="常规 29 2" xfId="2612" xr:uid="{00000000-0005-0000-0000-0000640A0000}"/>
    <cellStyle name="常规 29 2 2" xfId="2614" xr:uid="{00000000-0005-0000-0000-0000660A0000}"/>
    <cellStyle name="常规 29 3" xfId="2616" xr:uid="{00000000-0005-0000-0000-0000680A0000}"/>
    <cellStyle name="常规 3" xfId="2618" xr:uid="{00000000-0005-0000-0000-00006A0A0000}"/>
    <cellStyle name="常规 3 10" xfId="2069" xr:uid="{00000000-0005-0000-0000-000045080000}"/>
    <cellStyle name="常规 3 10 2" xfId="2619" xr:uid="{00000000-0005-0000-0000-00006B0A0000}"/>
    <cellStyle name="常规 3 10 3" xfId="2621" xr:uid="{00000000-0005-0000-0000-00006D0A0000}"/>
    <cellStyle name="常规 3 11" xfId="2071" xr:uid="{00000000-0005-0000-0000-000047080000}"/>
    <cellStyle name="常规 3 11 2" xfId="2622" xr:uid="{00000000-0005-0000-0000-00006E0A0000}"/>
    <cellStyle name="常规 3 11 3" xfId="2623" xr:uid="{00000000-0005-0000-0000-00006F0A0000}"/>
    <cellStyle name="常规 3 12" xfId="2624" xr:uid="{00000000-0005-0000-0000-0000700A0000}"/>
    <cellStyle name="常规 3 12 2" xfId="2625" xr:uid="{00000000-0005-0000-0000-0000710A0000}"/>
    <cellStyle name="常规 3 12 3" xfId="2626" xr:uid="{00000000-0005-0000-0000-0000720A0000}"/>
    <cellStyle name="常规 3 13" xfId="2627" xr:uid="{00000000-0005-0000-0000-0000730A0000}"/>
    <cellStyle name="常规 3 14" xfId="2628" xr:uid="{00000000-0005-0000-0000-0000740A0000}"/>
    <cellStyle name="常规 3 15" xfId="2629" xr:uid="{00000000-0005-0000-0000-0000750A0000}"/>
    <cellStyle name="常规 3 15 2" xfId="2630" xr:uid="{00000000-0005-0000-0000-0000760A0000}"/>
    <cellStyle name="常规 3 15 3" xfId="2631" xr:uid="{00000000-0005-0000-0000-0000770A0000}"/>
    <cellStyle name="常规 3 16" xfId="2632" xr:uid="{00000000-0005-0000-0000-0000780A0000}"/>
    <cellStyle name="常规 3 17" xfId="2633" xr:uid="{00000000-0005-0000-0000-0000790A0000}"/>
    <cellStyle name="常规 3 18" xfId="2634" xr:uid="{00000000-0005-0000-0000-00007A0A0000}"/>
    <cellStyle name="常规 3 19" xfId="2635" xr:uid="{00000000-0005-0000-0000-00007B0A0000}"/>
    <cellStyle name="常规 3 2" xfId="2453" xr:uid="{00000000-0005-0000-0000-0000C5090000}"/>
    <cellStyle name="常规 3 2 10" xfId="2636" xr:uid="{00000000-0005-0000-0000-00007C0A0000}"/>
    <cellStyle name="常规 3 2 11" xfId="2637" xr:uid="{00000000-0005-0000-0000-00007D0A0000}"/>
    <cellStyle name="常规 3 2 12" xfId="625" xr:uid="{00000000-0005-0000-0000-0000A1020000}"/>
    <cellStyle name="常规 3 2 13" xfId="627" xr:uid="{00000000-0005-0000-0000-0000A3020000}"/>
    <cellStyle name="常规 3 2 14" xfId="629" xr:uid="{00000000-0005-0000-0000-0000A5020000}"/>
    <cellStyle name="常规 3 2 15" xfId="2638" xr:uid="{00000000-0005-0000-0000-00007E0A0000}"/>
    <cellStyle name="常规 3 2 16" xfId="2639" xr:uid="{00000000-0005-0000-0000-00007F0A0000}"/>
    <cellStyle name="常规 3 2 17" xfId="102" xr:uid="{00000000-0005-0000-0000-000096000000}"/>
    <cellStyle name="常规 3 2 2" xfId="2640" xr:uid="{00000000-0005-0000-0000-0000800A0000}"/>
    <cellStyle name="常规 3 2 2 2" xfId="2641" xr:uid="{00000000-0005-0000-0000-0000810A0000}"/>
    <cellStyle name="常规 3 2 2 2 2" xfId="2642" xr:uid="{00000000-0005-0000-0000-0000820A0000}"/>
    <cellStyle name="常规 3 2 2 2 3" xfId="2643" xr:uid="{00000000-0005-0000-0000-0000830A0000}"/>
    <cellStyle name="常规 3 2 2 2 4" xfId="2644" xr:uid="{00000000-0005-0000-0000-0000840A0000}"/>
    <cellStyle name="常规 3 2 2 2 5" xfId="2645" xr:uid="{00000000-0005-0000-0000-0000850A0000}"/>
    <cellStyle name="常规 3 2 2 2 6" xfId="2646" xr:uid="{00000000-0005-0000-0000-0000860A0000}"/>
    <cellStyle name="常规 3 2 2 3" xfId="1856" xr:uid="{00000000-0005-0000-0000-000070070000}"/>
    <cellStyle name="常规 3 2 2 4" xfId="537" xr:uid="{00000000-0005-0000-0000-000049020000}"/>
    <cellStyle name="常规 3 2 2 5" xfId="540" xr:uid="{00000000-0005-0000-0000-00004C020000}"/>
    <cellStyle name="常规 3 2 2 6" xfId="2647" xr:uid="{00000000-0005-0000-0000-0000870A0000}"/>
    <cellStyle name="常规 3 2 2 7" xfId="2648" xr:uid="{00000000-0005-0000-0000-0000880A0000}"/>
    <cellStyle name="常规 3 2 2 8" xfId="2649" xr:uid="{00000000-0005-0000-0000-0000890A0000}"/>
    <cellStyle name="常规 3 2 2 9" xfId="2650" xr:uid="{00000000-0005-0000-0000-00008A0A0000}"/>
    <cellStyle name="常规 3 2 3" xfId="2651" xr:uid="{00000000-0005-0000-0000-00008B0A0000}"/>
    <cellStyle name="常规 3 2 3 2" xfId="2652" xr:uid="{00000000-0005-0000-0000-00008C0A0000}"/>
    <cellStyle name="常规 3 2 3 3" xfId="1864" xr:uid="{00000000-0005-0000-0000-000078070000}"/>
    <cellStyle name="常规 3 2 4" xfId="2653" xr:uid="{00000000-0005-0000-0000-00008D0A0000}"/>
    <cellStyle name="常规 3 2 4 2" xfId="2654" xr:uid="{00000000-0005-0000-0000-00008E0A0000}"/>
    <cellStyle name="常规 3 2 4 3" xfId="1879" xr:uid="{00000000-0005-0000-0000-000087070000}"/>
    <cellStyle name="常规 3 2 5" xfId="202" xr:uid="{00000000-0005-0000-0000-0000FA000000}"/>
    <cellStyle name="常规 3 2 5 2" xfId="206" xr:uid="{00000000-0005-0000-0000-0000FE000000}"/>
    <cellStyle name="常规 3 2 5 3" xfId="211" xr:uid="{00000000-0005-0000-0000-000003010000}"/>
    <cellStyle name="常规 3 2 6" xfId="62" xr:uid="{00000000-0005-0000-0000-00005D000000}"/>
    <cellStyle name="常规 3 2 6 2" xfId="2655" xr:uid="{00000000-0005-0000-0000-00008F0A0000}"/>
    <cellStyle name="常规 3 2 6 3" xfId="1913" xr:uid="{00000000-0005-0000-0000-0000A9070000}"/>
    <cellStyle name="常规 3 2 7" xfId="238" xr:uid="{00000000-0005-0000-0000-00001E010000}"/>
    <cellStyle name="常规 3 2 7 2" xfId="2656" xr:uid="{00000000-0005-0000-0000-0000900A0000}"/>
    <cellStyle name="常规 3 2 7 3" xfId="1949" xr:uid="{00000000-0005-0000-0000-0000CD070000}"/>
    <cellStyle name="常规 3 2 8" xfId="241" xr:uid="{00000000-0005-0000-0000-000021010000}"/>
    <cellStyle name="常规 3 2 8 2" xfId="2657" xr:uid="{00000000-0005-0000-0000-0000910A0000}"/>
    <cellStyle name="常规 3 2 8 3" xfId="1977" xr:uid="{00000000-0005-0000-0000-0000E9070000}"/>
    <cellStyle name="常规 3 2 9" xfId="155" xr:uid="{00000000-0005-0000-0000-0000CB000000}"/>
    <cellStyle name="常规 3 2 9 2" xfId="2658" xr:uid="{00000000-0005-0000-0000-0000920A0000}"/>
    <cellStyle name="常规 3 2 9 3" xfId="2004" xr:uid="{00000000-0005-0000-0000-000004080000}"/>
    <cellStyle name="常规 3 3" xfId="2455" xr:uid="{00000000-0005-0000-0000-0000C7090000}"/>
    <cellStyle name="常规 3 3 10" xfId="2659" xr:uid="{00000000-0005-0000-0000-0000930A0000}"/>
    <cellStyle name="常规 3 3 11" xfId="2660" xr:uid="{00000000-0005-0000-0000-0000940A0000}"/>
    <cellStyle name="常规 3 3 12" xfId="2661" xr:uid="{00000000-0005-0000-0000-0000950A0000}"/>
    <cellStyle name="常规 3 3 13" xfId="2663" xr:uid="{00000000-0005-0000-0000-0000970A0000}"/>
    <cellStyle name="常规 3 3 14" xfId="179" xr:uid="{00000000-0005-0000-0000-0000E3000000}"/>
    <cellStyle name="常规 3 3 15" xfId="424" xr:uid="{00000000-0005-0000-0000-0000D8010000}"/>
    <cellStyle name="常规 3 3 16" xfId="2664" xr:uid="{00000000-0005-0000-0000-0000980A0000}"/>
    <cellStyle name="常规 3 3 17" xfId="2665" xr:uid="{00000000-0005-0000-0000-0000990A0000}"/>
    <cellStyle name="常规 3 3 18" xfId="2666" xr:uid="{00000000-0005-0000-0000-00009A0A0000}"/>
    <cellStyle name="常规 3 3 2" xfId="2667" xr:uid="{00000000-0005-0000-0000-00009B0A0000}"/>
    <cellStyle name="常规 3 3 2 2" xfId="2668" xr:uid="{00000000-0005-0000-0000-00009C0A0000}"/>
    <cellStyle name="常规 3 3 2 2 2" xfId="2671" xr:uid="{00000000-0005-0000-0000-00009F0A0000}"/>
    <cellStyle name="常规 3 3 2 2 3" xfId="2675" xr:uid="{00000000-0005-0000-0000-0000A30A0000}"/>
    <cellStyle name="常规 3 3 2 3" xfId="2676" xr:uid="{00000000-0005-0000-0000-0000A40A0000}"/>
    <cellStyle name="常规 3 3 2 4" xfId="2677" xr:uid="{00000000-0005-0000-0000-0000A50A0000}"/>
    <cellStyle name="常规 3 3 2 5" xfId="2678" xr:uid="{00000000-0005-0000-0000-0000A60A0000}"/>
    <cellStyle name="常规 3 3 2 6" xfId="2679" xr:uid="{00000000-0005-0000-0000-0000A70A0000}"/>
    <cellStyle name="常规 3 3 2 7" xfId="2680" xr:uid="{00000000-0005-0000-0000-0000A80A0000}"/>
    <cellStyle name="常规 3 3 2 7 2" xfId="2681" xr:uid="{00000000-0005-0000-0000-0000A90A0000}"/>
    <cellStyle name="常规 3 3 2 8" xfId="2682" xr:uid="{00000000-0005-0000-0000-0000AA0A0000}"/>
    <cellStyle name="常规 3 3 3" xfId="2683" xr:uid="{00000000-0005-0000-0000-0000AB0A0000}"/>
    <cellStyle name="常规 3 3 3 2" xfId="2684" xr:uid="{00000000-0005-0000-0000-0000AC0A0000}"/>
    <cellStyle name="常规 3 3 3 3" xfId="2685" xr:uid="{00000000-0005-0000-0000-0000AD0A0000}"/>
    <cellStyle name="常规 3 3 4" xfId="2686" xr:uid="{00000000-0005-0000-0000-0000AE0A0000}"/>
    <cellStyle name="常规 3 3 4 2" xfId="2687" xr:uid="{00000000-0005-0000-0000-0000AF0A0000}"/>
    <cellStyle name="常规 3 3 4 3" xfId="2688" xr:uid="{00000000-0005-0000-0000-0000B00A0000}"/>
    <cellStyle name="常规 3 3 5" xfId="248" xr:uid="{00000000-0005-0000-0000-000028010000}"/>
    <cellStyle name="常规 3 3 5 2" xfId="252" xr:uid="{00000000-0005-0000-0000-00002C010000}"/>
    <cellStyle name="常规 3 3 5 3" xfId="256" xr:uid="{00000000-0005-0000-0000-000030010000}"/>
    <cellStyle name="常规 3 3 6" xfId="274" xr:uid="{00000000-0005-0000-0000-000042010000}"/>
    <cellStyle name="常规 3 3 6 2" xfId="2689" xr:uid="{00000000-0005-0000-0000-0000B10A0000}"/>
    <cellStyle name="常规 3 3 6 3" xfId="2690" xr:uid="{00000000-0005-0000-0000-0000B20A0000}"/>
    <cellStyle name="常规 3 3 7" xfId="277" xr:uid="{00000000-0005-0000-0000-000045010000}"/>
    <cellStyle name="常规 3 3 7 2" xfId="2691" xr:uid="{00000000-0005-0000-0000-0000B30A0000}"/>
    <cellStyle name="常规 3 3 8" xfId="18" xr:uid="{00000000-0005-0000-0000-00001F000000}"/>
    <cellStyle name="常规 3 3 9" xfId="280" xr:uid="{00000000-0005-0000-0000-000048010000}"/>
    <cellStyle name="常规 3 4" xfId="2457" xr:uid="{00000000-0005-0000-0000-0000C9090000}"/>
    <cellStyle name="常规 3 4 2" xfId="2692" xr:uid="{00000000-0005-0000-0000-0000B40A0000}"/>
    <cellStyle name="常规 3 4 2 2" xfId="2693" xr:uid="{00000000-0005-0000-0000-0000B50A0000}"/>
    <cellStyle name="常规 3 4 2 2 2" xfId="2694" xr:uid="{00000000-0005-0000-0000-0000B60A0000}"/>
    <cellStyle name="常规 3 4 2 2 3" xfId="2696" xr:uid="{00000000-0005-0000-0000-0000B80A0000}"/>
    <cellStyle name="常规 3 4 2 3" xfId="2697" xr:uid="{00000000-0005-0000-0000-0000B90A0000}"/>
    <cellStyle name="常规 3 4 2 4" xfId="2698" xr:uid="{00000000-0005-0000-0000-0000BA0A0000}"/>
    <cellStyle name="常规 3 4 2 4 2" xfId="2699" xr:uid="{00000000-0005-0000-0000-0000BB0A0000}"/>
    <cellStyle name="常规 3 4 2 5" xfId="2700" xr:uid="{00000000-0005-0000-0000-0000BC0A0000}"/>
    <cellStyle name="常规 3 4 3" xfId="7" xr:uid="{00000000-0005-0000-0000-00000B000000}"/>
    <cellStyle name="常规 3 4 3 2" xfId="2702" xr:uid="{00000000-0005-0000-0000-0000BE0A0000}"/>
    <cellStyle name="常规 3 4 3 3" xfId="2704" xr:uid="{00000000-0005-0000-0000-0000C00A0000}"/>
    <cellStyle name="常规 3 4 4" xfId="2705" xr:uid="{00000000-0005-0000-0000-0000C10A0000}"/>
    <cellStyle name="常规 3 4 5" xfId="300" xr:uid="{00000000-0005-0000-0000-00005C010000}"/>
    <cellStyle name="常规 3 4 6" xfId="317" xr:uid="{00000000-0005-0000-0000-00006D010000}"/>
    <cellStyle name="常规 3 4 7" xfId="321" xr:uid="{00000000-0005-0000-0000-000071010000}"/>
    <cellStyle name="常规 3 4 8" xfId="325" xr:uid="{00000000-0005-0000-0000-000075010000}"/>
    <cellStyle name="常规 3 5" xfId="2459" xr:uid="{00000000-0005-0000-0000-0000CB090000}"/>
    <cellStyle name="常规 3 5 2" xfId="2706" xr:uid="{00000000-0005-0000-0000-0000C20A0000}"/>
    <cellStyle name="常规 3 5 3" xfId="2707" xr:uid="{00000000-0005-0000-0000-0000C30A0000}"/>
    <cellStyle name="常规 3 5 3 2" xfId="994" xr:uid="{00000000-0005-0000-0000-000012040000}"/>
    <cellStyle name="常规 3 5 4" xfId="2708" xr:uid="{00000000-0005-0000-0000-0000C40A0000}"/>
    <cellStyle name="常规 3 5 5" xfId="346" xr:uid="{00000000-0005-0000-0000-00008A010000}"/>
    <cellStyle name="常规 3 6" xfId="2461" xr:uid="{00000000-0005-0000-0000-0000CD090000}"/>
    <cellStyle name="常规 3 6 2" xfId="2709" xr:uid="{00000000-0005-0000-0000-0000C50A0000}"/>
    <cellStyle name="常规 3 6 3" xfId="2710" xr:uid="{00000000-0005-0000-0000-0000C60A0000}"/>
    <cellStyle name="常规 3 6 4" xfId="2711" xr:uid="{00000000-0005-0000-0000-0000C70A0000}"/>
    <cellStyle name="常规 3 6 5" xfId="2712" xr:uid="{00000000-0005-0000-0000-0000C80A0000}"/>
    <cellStyle name="常规 3 7" xfId="1421" xr:uid="{00000000-0005-0000-0000-0000BD050000}"/>
    <cellStyle name="常规 3 7 2" xfId="2713" xr:uid="{00000000-0005-0000-0000-0000C90A0000}"/>
    <cellStyle name="常规 3 7 3" xfId="2714" xr:uid="{00000000-0005-0000-0000-0000CA0A0000}"/>
    <cellStyle name="常规 3 8" xfId="2715" xr:uid="{00000000-0005-0000-0000-0000CB0A0000}"/>
    <cellStyle name="常规 3 8 2" xfId="2716" xr:uid="{00000000-0005-0000-0000-0000CC0A0000}"/>
    <cellStyle name="常规 3 8 3" xfId="2717" xr:uid="{00000000-0005-0000-0000-0000CD0A0000}"/>
    <cellStyle name="常规 3 9" xfId="2718" xr:uid="{00000000-0005-0000-0000-0000CE0A0000}"/>
    <cellStyle name="常规 3 9 2" xfId="2719" xr:uid="{00000000-0005-0000-0000-0000CF0A0000}"/>
    <cellStyle name="常规 3 9 3" xfId="2720" xr:uid="{00000000-0005-0000-0000-0000D00A0000}"/>
    <cellStyle name="常规 30" xfId="2558" xr:uid="{00000000-0005-0000-0000-00002E0A0000}"/>
    <cellStyle name="常规 30 2" xfId="1918" xr:uid="{00000000-0005-0000-0000-0000AE070000}"/>
    <cellStyle name="常规 30 2 2" xfId="2572" xr:uid="{00000000-0005-0000-0000-00003C0A0000}"/>
    <cellStyle name="常规 30 2 3" xfId="2574" xr:uid="{00000000-0005-0000-0000-00003E0A0000}"/>
    <cellStyle name="常规 30 2 3 2" xfId="2578" xr:uid="{00000000-0005-0000-0000-0000420A0000}"/>
    <cellStyle name="常规 30 3" xfId="1924" xr:uid="{00000000-0005-0000-0000-0000B4070000}"/>
    <cellStyle name="常规 30 4" xfId="1930" xr:uid="{00000000-0005-0000-0000-0000BA070000}"/>
    <cellStyle name="常规 31" xfId="2586" xr:uid="{00000000-0005-0000-0000-00004A0A0000}"/>
    <cellStyle name="常规 31 10" xfId="2721" xr:uid="{00000000-0005-0000-0000-0000D10A0000}"/>
    <cellStyle name="常规 31 11" xfId="2722" xr:uid="{00000000-0005-0000-0000-0000D20A0000}"/>
    <cellStyle name="常规 31 12" xfId="2723" xr:uid="{00000000-0005-0000-0000-0000D30A0000}"/>
    <cellStyle name="常规 31 13" xfId="35" xr:uid="{00000000-0005-0000-0000-000036000000}"/>
    <cellStyle name="常规 31 14" xfId="38" xr:uid="{00000000-0005-0000-0000-00003A000000}"/>
    <cellStyle name="常规 31 15" xfId="45" xr:uid="{00000000-0005-0000-0000-000043000000}"/>
    <cellStyle name="常规 31 16" xfId="22" xr:uid="{00000000-0005-0000-0000-000025000000}"/>
    <cellStyle name="常规 31 16 2" xfId="716" xr:uid="{00000000-0005-0000-0000-0000FC020000}"/>
    <cellStyle name="常规 31 16 2 2" xfId="85" xr:uid="{00000000-0005-0000-0000-000085000000}"/>
    <cellStyle name="常规 31 16 3" xfId="771" xr:uid="{00000000-0005-0000-0000-000033030000}"/>
    <cellStyle name="常规 31 17" xfId="723" xr:uid="{00000000-0005-0000-0000-000003030000}"/>
    <cellStyle name="常规 31 17 2" xfId="773" xr:uid="{00000000-0005-0000-0000-000035030000}"/>
    <cellStyle name="常规 31 17 3" xfId="775" xr:uid="{00000000-0005-0000-0000-000037030000}"/>
    <cellStyle name="常规 31 17 4" xfId="68" xr:uid="{00000000-0005-0000-0000-000067000000}"/>
    <cellStyle name="常规 31 18" xfId="726" xr:uid="{00000000-0005-0000-0000-000006030000}"/>
    <cellStyle name="常规 31 2" xfId="9" xr:uid="{00000000-0005-0000-0000-00000E000000}"/>
    <cellStyle name="常规 31 2 2" xfId="474" xr:uid="{00000000-0005-0000-0000-00000A020000}"/>
    <cellStyle name="常规 31 2 3" xfId="490" xr:uid="{00000000-0005-0000-0000-00001A020000}"/>
    <cellStyle name="常规 31 2 3 2" xfId="2557" xr:uid="{00000000-0005-0000-0000-00002D0A0000}"/>
    <cellStyle name="常规 31 3" xfId="76" xr:uid="{00000000-0005-0000-0000-000076000000}"/>
    <cellStyle name="常规 31 4" xfId="79" xr:uid="{00000000-0005-0000-0000-00007B000000}"/>
    <cellStyle name="常规 31 5" xfId="82" xr:uid="{00000000-0005-0000-0000-000081000000}"/>
    <cellStyle name="常规 31 6" xfId="2724" xr:uid="{00000000-0005-0000-0000-0000D40A0000}"/>
    <cellStyle name="常规 31 7" xfId="2725" xr:uid="{00000000-0005-0000-0000-0000D50A0000}"/>
    <cellStyle name="常规 31 8" xfId="2726" xr:uid="{00000000-0005-0000-0000-0000D60A0000}"/>
    <cellStyle name="常规 31 9" xfId="2727" xr:uid="{00000000-0005-0000-0000-0000D70A0000}"/>
    <cellStyle name="常规 32" xfId="2588" xr:uid="{00000000-0005-0000-0000-00004C0A0000}"/>
    <cellStyle name="常规 32 10" xfId="2729" xr:uid="{00000000-0005-0000-0000-0000D90A0000}"/>
    <cellStyle name="常规 32 11" xfId="2730" xr:uid="{00000000-0005-0000-0000-0000DA0A0000}"/>
    <cellStyle name="常规 32 12" xfId="2731" xr:uid="{00000000-0005-0000-0000-0000DB0A0000}"/>
    <cellStyle name="常规 32 13" xfId="2732" xr:uid="{00000000-0005-0000-0000-0000DC0A0000}"/>
    <cellStyle name="常规 32 14" xfId="2733" xr:uid="{00000000-0005-0000-0000-0000DD0A0000}"/>
    <cellStyle name="常规 32 15" xfId="2734" xr:uid="{00000000-0005-0000-0000-0000DE0A0000}"/>
    <cellStyle name="常规 32 16" xfId="2735" xr:uid="{00000000-0005-0000-0000-0000DF0A0000}"/>
    <cellStyle name="常规 32 16 2" xfId="2491" xr:uid="{00000000-0005-0000-0000-0000EB090000}"/>
    <cellStyle name="常规 32 16 2 2" xfId="2736" xr:uid="{00000000-0005-0000-0000-0000E00A0000}"/>
    <cellStyle name="常规 32 16 3" xfId="2591" xr:uid="{00000000-0005-0000-0000-00004F0A0000}"/>
    <cellStyle name="常规 32 17" xfId="2737" xr:uid="{00000000-0005-0000-0000-0000E10A0000}"/>
    <cellStyle name="常规 32 2" xfId="2590" xr:uid="{00000000-0005-0000-0000-00004E0A0000}"/>
    <cellStyle name="常规 32 2 2" xfId="2593" xr:uid="{00000000-0005-0000-0000-0000510A0000}"/>
    <cellStyle name="常规 32 3" xfId="2597" xr:uid="{00000000-0005-0000-0000-0000550A0000}"/>
    <cellStyle name="常规 32 4" xfId="2599" xr:uid="{00000000-0005-0000-0000-0000570A0000}"/>
    <cellStyle name="常规 32 5" xfId="2738" xr:uid="{00000000-0005-0000-0000-0000E20A0000}"/>
    <cellStyle name="常规 32 6" xfId="2739" xr:uid="{00000000-0005-0000-0000-0000E30A0000}"/>
    <cellStyle name="常规 32 7" xfId="2740" xr:uid="{00000000-0005-0000-0000-0000E40A0000}"/>
    <cellStyle name="常规 32 8" xfId="2741" xr:uid="{00000000-0005-0000-0000-0000E50A0000}"/>
    <cellStyle name="常规 32 9" xfId="2742" xr:uid="{00000000-0005-0000-0000-0000E60A0000}"/>
    <cellStyle name="常规 33" xfId="2601" xr:uid="{00000000-0005-0000-0000-0000590A0000}"/>
    <cellStyle name="常规 33 10" xfId="2743" xr:uid="{00000000-0005-0000-0000-0000E70A0000}"/>
    <cellStyle name="常规 33 11" xfId="2744" xr:uid="{00000000-0005-0000-0000-0000E80A0000}"/>
    <cellStyle name="常规 33 12" xfId="2746" xr:uid="{00000000-0005-0000-0000-0000EA0A0000}"/>
    <cellStyle name="常规 33 13" xfId="2749" xr:uid="{00000000-0005-0000-0000-0000ED0A0000}"/>
    <cellStyle name="常规 33 14" xfId="2751" xr:uid="{00000000-0005-0000-0000-0000EF0A0000}"/>
    <cellStyle name="常规 33 15" xfId="2752" xr:uid="{00000000-0005-0000-0000-0000F00A0000}"/>
    <cellStyle name="常规 33 16" xfId="2753" xr:uid="{00000000-0005-0000-0000-0000F10A0000}"/>
    <cellStyle name="常规 33 16 2" xfId="2755" xr:uid="{00000000-0005-0000-0000-0000F30A0000}"/>
    <cellStyle name="常规 33 16 2 2" xfId="2757" xr:uid="{00000000-0005-0000-0000-0000F50A0000}"/>
    <cellStyle name="常规 33 16 3" xfId="2761" xr:uid="{00000000-0005-0000-0000-0000F90A0000}"/>
    <cellStyle name="常规 33 17" xfId="2763" xr:uid="{00000000-0005-0000-0000-0000FB0A0000}"/>
    <cellStyle name="常规 33 2" xfId="2604" xr:uid="{00000000-0005-0000-0000-00005C0A0000}"/>
    <cellStyle name="常规 33 2 2" xfId="956" xr:uid="{00000000-0005-0000-0000-0000EC030000}"/>
    <cellStyle name="常规 33 3" xfId="2607" xr:uid="{00000000-0005-0000-0000-00005F0A0000}"/>
    <cellStyle name="常规 33 4" xfId="2764" xr:uid="{00000000-0005-0000-0000-0000FC0A0000}"/>
    <cellStyle name="常规 33 5" xfId="2765" xr:uid="{00000000-0005-0000-0000-0000FD0A0000}"/>
    <cellStyle name="常规 33 6" xfId="2767" xr:uid="{00000000-0005-0000-0000-0000FF0A0000}"/>
    <cellStyle name="常规 33 7" xfId="2769" xr:uid="{00000000-0005-0000-0000-0000010B0000}"/>
    <cellStyle name="常规 33 8" xfId="2771" xr:uid="{00000000-0005-0000-0000-0000030B0000}"/>
    <cellStyle name="常规 33 9" xfId="2773" xr:uid="{00000000-0005-0000-0000-0000050B0000}"/>
    <cellStyle name="常规 34" xfId="2609" xr:uid="{00000000-0005-0000-0000-0000610A0000}"/>
    <cellStyle name="常规 34 10" xfId="416" xr:uid="{00000000-0005-0000-0000-0000D0010000}"/>
    <cellStyle name="常规 34 11" xfId="251" xr:uid="{00000000-0005-0000-0000-00002B010000}"/>
    <cellStyle name="常规 34 12" xfId="255" xr:uid="{00000000-0005-0000-0000-00002F010000}"/>
    <cellStyle name="常规 34 13" xfId="265" xr:uid="{00000000-0005-0000-0000-000039010000}"/>
    <cellStyle name="常规 34 14" xfId="267" xr:uid="{00000000-0005-0000-0000-00003B010000}"/>
    <cellStyle name="常规 34 15" xfId="272" xr:uid="{00000000-0005-0000-0000-000040010000}"/>
    <cellStyle name="常规 34 16" xfId="844" xr:uid="{00000000-0005-0000-0000-00007C030000}"/>
    <cellStyle name="常规 34 16 2" xfId="2774" xr:uid="{00000000-0005-0000-0000-0000060B0000}"/>
    <cellStyle name="常规 34 16 2 2" xfId="2775" xr:uid="{00000000-0005-0000-0000-0000070B0000}"/>
    <cellStyle name="常规 34 16 3" xfId="2778" xr:uid="{00000000-0005-0000-0000-00000A0B0000}"/>
    <cellStyle name="常规 34 17" xfId="846" xr:uid="{00000000-0005-0000-0000-00007E030000}"/>
    <cellStyle name="常规 34 2" xfId="2611" xr:uid="{00000000-0005-0000-0000-0000630A0000}"/>
    <cellStyle name="常规 34 2 2" xfId="2613" xr:uid="{00000000-0005-0000-0000-0000650A0000}"/>
    <cellStyle name="常规 34 3" xfId="2615" xr:uid="{00000000-0005-0000-0000-0000670A0000}"/>
    <cellStyle name="常规 34 4" xfId="87" xr:uid="{00000000-0005-0000-0000-000087000000}"/>
    <cellStyle name="常规 34 5" xfId="2779" xr:uid="{00000000-0005-0000-0000-00000B0B0000}"/>
    <cellStyle name="常规 34 6" xfId="2781" xr:uid="{00000000-0005-0000-0000-00000D0B0000}"/>
    <cellStyle name="常规 34 7" xfId="2783" xr:uid="{00000000-0005-0000-0000-00000F0B0000}"/>
    <cellStyle name="常规 34 8" xfId="2785" xr:uid="{00000000-0005-0000-0000-0000110B0000}"/>
    <cellStyle name="常规 34 9" xfId="2787" xr:uid="{00000000-0005-0000-0000-0000130B0000}"/>
    <cellStyle name="常规 35" xfId="2789" xr:uid="{00000000-0005-0000-0000-0000150B0000}"/>
    <cellStyle name="常规 35 10" xfId="2078" xr:uid="{00000000-0005-0000-0000-00004E080000}"/>
    <cellStyle name="常规 35 11" xfId="2084" xr:uid="{00000000-0005-0000-0000-000054080000}"/>
    <cellStyle name="常规 35 12" xfId="2088" xr:uid="{00000000-0005-0000-0000-000058080000}"/>
    <cellStyle name="常规 35 13" xfId="2095" xr:uid="{00000000-0005-0000-0000-00005F080000}"/>
    <cellStyle name="常规 35 14" xfId="2099" xr:uid="{00000000-0005-0000-0000-000063080000}"/>
    <cellStyle name="常规 35 15" xfId="2103" xr:uid="{00000000-0005-0000-0000-000067080000}"/>
    <cellStyle name="常规 35 16" xfId="2107" xr:uid="{00000000-0005-0000-0000-00006B080000}"/>
    <cellStyle name="常规 35 16 2" xfId="2791" xr:uid="{00000000-0005-0000-0000-0000170B0000}"/>
    <cellStyle name="常规 35 16 2 2" xfId="2226" xr:uid="{00000000-0005-0000-0000-0000E2080000}"/>
    <cellStyle name="常规 35 16 3" xfId="2793" xr:uid="{00000000-0005-0000-0000-0000190B0000}"/>
    <cellStyle name="常规 35 17" xfId="2111" xr:uid="{00000000-0005-0000-0000-00006F080000}"/>
    <cellStyle name="常规 35 2" xfId="2795" xr:uid="{00000000-0005-0000-0000-00001B0B0000}"/>
    <cellStyle name="常规 35 2 2" xfId="2797" xr:uid="{00000000-0005-0000-0000-00001D0B0000}"/>
    <cellStyle name="常规 35 3" xfId="2799" xr:uid="{00000000-0005-0000-0000-00001F0B0000}"/>
    <cellStyle name="常规 35 4" xfId="2801" xr:uid="{00000000-0005-0000-0000-0000210B0000}"/>
    <cellStyle name="常规 35 5" xfId="2803" xr:uid="{00000000-0005-0000-0000-0000230B0000}"/>
    <cellStyle name="常规 35 6" xfId="2806" xr:uid="{00000000-0005-0000-0000-0000260B0000}"/>
    <cellStyle name="常规 35 7" xfId="2809" xr:uid="{00000000-0005-0000-0000-0000290B0000}"/>
    <cellStyle name="常规 35 8" xfId="2811" xr:uid="{00000000-0005-0000-0000-00002B0B0000}"/>
    <cellStyle name="常规 35 9" xfId="2814" xr:uid="{00000000-0005-0000-0000-00002E0B0000}"/>
    <cellStyle name="常规 36" xfId="2816" xr:uid="{00000000-0005-0000-0000-0000300B0000}"/>
    <cellStyle name="常规 36 10" xfId="2818" xr:uid="{00000000-0005-0000-0000-0000320B0000}"/>
    <cellStyle name="常规 36 11" xfId="2820" xr:uid="{00000000-0005-0000-0000-0000340B0000}"/>
    <cellStyle name="常规 36 12" xfId="2822" xr:uid="{00000000-0005-0000-0000-0000360B0000}"/>
    <cellStyle name="常规 36 13" xfId="2824" xr:uid="{00000000-0005-0000-0000-0000380B0000}"/>
    <cellStyle name="常规 36 14" xfId="2826" xr:uid="{00000000-0005-0000-0000-00003A0B0000}"/>
    <cellStyle name="常规 36 15" xfId="2828" xr:uid="{00000000-0005-0000-0000-00003C0B0000}"/>
    <cellStyle name="常规 36 16" xfId="2830" xr:uid="{00000000-0005-0000-0000-00003E0B0000}"/>
    <cellStyle name="常规 36 16 2" xfId="561" xr:uid="{00000000-0005-0000-0000-000061020000}"/>
    <cellStyle name="常规 36 16 2 2" xfId="2831" xr:uid="{00000000-0005-0000-0000-00003F0B0000}"/>
    <cellStyle name="常规 36 16 3" xfId="2832" xr:uid="{00000000-0005-0000-0000-0000400B0000}"/>
    <cellStyle name="常规 36 17" xfId="2834" xr:uid="{00000000-0005-0000-0000-0000420B0000}"/>
    <cellStyle name="常规 36 18" xfId="2029" xr:uid="{00000000-0005-0000-0000-00001D080000}"/>
    <cellStyle name="常规 36 2" xfId="2836" xr:uid="{00000000-0005-0000-0000-0000440B0000}"/>
    <cellStyle name="常规 36 2 2" xfId="546" xr:uid="{00000000-0005-0000-0000-000052020000}"/>
    <cellStyle name="常规 36 2 3" xfId="552" xr:uid="{00000000-0005-0000-0000-000058020000}"/>
    <cellStyle name="常规 36 2 3 2" xfId="674" xr:uid="{00000000-0005-0000-0000-0000D2020000}"/>
    <cellStyle name="常规 36 2 4" xfId="53" xr:uid="{00000000-0005-0000-0000-000051000000}"/>
    <cellStyle name="常规 36 2 5" xfId="2838" xr:uid="{00000000-0005-0000-0000-0000460B0000}"/>
    <cellStyle name="常规 36 2 5 2" xfId="2310" xr:uid="{00000000-0005-0000-0000-000036090000}"/>
    <cellStyle name="常规 36 3" xfId="2840" xr:uid="{00000000-0005-0000-0000-0000480B0000}"/>
    <cellStyle name="常规 36 4" xfId="2842" xr:uid="{00000000-0005-0000-0000-00004A0B0000}"/>
    <cellStyle name="常规 36 5" xfId="2844" xr:uid="{00000000-0005-0000-0000-00004C0B0000}"/>
    <cellStyle name="常规 36 6" xfId="2847" xr:uid="{00000000-0005-0000-0000-00004F0B0000}"/>
    <cellStyle name="常规 36 7" xfId="2850" xr:uid="{00000000-0005-0000-0000-0000520B0000}"/>
    <cellStyle name="常规 36 8" xfId="2852" xr:uid="{00000000-0005-0000-0000-0000540B0000}"/>
    <cellStyle name="常规 36 9" xfId="2854" xr:uid="{00000000-0005-0000-0000-0000560B0000}"/>
    <cellStyle name="常规 37" xfId="2856" xr:uid="{00000000-0005-0000-0000-0000580B0000}"/>
    <cellStyle name="常规 37 10" xfId="2858" xr:uid="{00000000-0005-0000-0000-00005A0B0000}"/>
    <cellStyle name="常规 37 11" xfId="362" xr:uid="{00000000-0005-0000-0000-00009A010000}"/>
    <cellStyle name="常规 37 12" xfId="2861" xr:uid="{00000000-0005-0000-0000-00005D0B0000}"/>
    <cellStyle name="常规 37 13" xfId="2863" xr:uid="{00000000-0005-0000-0000-00005F0B0000}"/>
    <cellStyle name="常规 37 14" xfId="2865" xr:uid="{00000000-0005-0000-0000-0000610B0000}"/>
    <cellStyle name="常规 37 15" xfId="2867" xr:uid="{00000000-0005-0000-0000-0000630B0000}"/>
    <cellStyle name="常规 37 16" xfId="2869" xr:uid="{00000000-0005-0000-0000-0000650B0000}"/>
    <cellStyle name="常规 37 16 2" xfId="2361" xr:uid="{00000000-0005-0000-0000-000069090000}"/>
    <cellStyle name="常规 37 16 2 2" xfId="2870" xr:uid="{00000000-0005-0000-0000-0000660B0000}"/>
    <cellStyle name="常规 37 16 3" xfId="2871" xr:uid="{00000000-0005-0000-0000-0000670B0000}"/>
    <cellStyle name="常规 37 17" xfId="2873" xr:uid="{00000000-0005-0000-0000-0000690B0000}"/>
    <cellStyle name="常规 37 2" xfId="430" xr:uid="{00000000-0005-0000-0000-0000DE010000}"/>
    <cellStyle name="常规 37 2 2" xfId="2875" xr:uid="{00000000-0005-0000-0000-00006B0B0000}"/>
    <cellStyle name="常规 37 3" xfId="2877" xr:uid="{00000000-0005-0000-0000-00006D0B0000}"/>
    <cellStyle name="常规 37 4" xfId="2879" xr:uid="{00000000-0005-0000-0000-00006F0B0000}"/>
    <cellStyle name="常规 37 5" xfId="2881" xr:uid="{00000000-0005-0000-0000-0000710B0000}"/>
    <cellStyle name="常规 37 6" xfId="1089" xr:uid="{00000000-0005-0000-0000-000071040000}"/>
    <cellStyle name="常规 37 7" xfId="2884" xr:uid="{00000000-0005-0000-0000-0000740B0000}"/>
    <cellStyle name="常规 37 8" xfId="2886" xr:uid="{00000000-0005-0000-0000-0000760B0000}"/>
    <cellStyle name="常规 37 9" xfId="2888" xr:uid="{00000000-0005-0000-0000-0000780B0000}"/>
    <cellStyle name="常规 38" xfId="2891" xr:uid="{00000000-0005-0000-0000-00007B0B0000}"/>
    <cellStyle name="常规 38 10" xfId="2760" xr:uid="{00000000-0005-0000-0000-0000F80A0000}"/>
    <cellStyle name="常规 38 11" xfId="2894" xr:uid="{00000000-0005-0000-0000-00007E0B0000}"/>
    <cellStyle name="常规 38 12" xfId="2898" xr:uid="{00000000-0005-0000-0000-0000820B0000}"/>
    <cellStyle name="常规 38 13" xfId="2902" xr:uid="{00000000-0005-0000-0000-0000860B0000}"/>
    <cellStyle name="常规 38 14" xfId="2907" xr:uid="{00000000-0005-0000-0000-00008B0B0000}"/>
    <cellStyle name="常规 38 15" xfId="2911" xr:uid="{00000000-0005-0000-0000-00008F0B0000}"/>
    <cellStyle name="常规 38 16" xfId="2915" xr:uid="{00000000-0005-0000-0000-0000930B0000}"/>
    <cellStyle name="常规 38 16 2" xfId="2916" xr:uid="{00000000-0005-0000-0000-0000940B0000}"/>
    <cellStyle name="常规 38 16 2 2" xfId="2917" xr:uid="{00000000-0005-0000-0000-0000950B0000}"/>
    <cellStyle name="常规 38 16 3" xfId="2918" xr:uid="{00000000-0005-0000-0000-0000960B0000}"/>
    <cellStyle name="常规 38 17" xfId="2922" xr:uid="{00000000-0005-0000-0000-00009A0B0000}"/>
    <cellStyle name="常规 38 2" xfId="2924" xr:uid="{00000000-0005-0000-0000-00009C0B0000}"/>
    <cellStyle name="常规 38 2 2" xfId="1093" xr:uid="{00000000-0005-0000-0000-000075040000}"/>
    <cellStyle name="常规 38 3" xfId="2926" xr:uid="{00000000-0005-0000-0000-00009E0B0000}"/>
    <cellStyle name="常规 38 4" xfId="2928" xr:uid="{00000000-0005-0000-0000-0000A00B0000}"/>
    <cellStyle name="常规 38 5" xfId="2670" xr:uid="{00000000-0005-0000-0000-00009E0A0000}"/>
    <cellStyle name="常规 38 6" xfId="2674" xr:uid="{00000000-0005-0000-0000-0000A20A0000}"/>
    <cellStyle name="常规 38 7" xfId="2931" xr:uid="{00000000-0005-0000-0000-0000A30B0000}"/>
    <cellStyle name="常规 38 8" xfId="2933" xr:uid="{00000000-0005-0000-0000-0000A50B0000}"/>
    <cellStyle name="常规 38 9" xfId="2935" xr:uid="{00000000-0005-0000-0000-0000A70B0000}"/>
    <cellStyle name="常规 39" xfId="6" xr:uid="{00000000-0005-0000-0000-000008000000}"/>
    <cellStyle name="常规 39 10" xfId="593" xr:uid="{00000000-0005-0000-0000-000081020000}"/>
    <cellStyle name="常规 39 11" xfId="302" xr:uid="{00000000-0005-0000-0000-00005E010000}"/>
    <cellStyle name="常规 39 12" xfId="304" xr:uid="{00000000-0005-0000-0000-000060010000}"/>
    <cellStyle name="常规 39 13" xfId="310" xr:uid="{00000000-0005-0000-0000-000066010000}"/>
    <cellStyle name="常规 39 14" xfId="312" xr:uid="{00000000-0005-0000-0000-000068010000}"/>
    <cellStyle name="常规 39 15" xfId="315" xr:uid="{00000000-0005-0000-0000-00006B010000}"/>
    <cellStyle name="常规 39 16" xfId="976" xr:uid="{00000000-0005-0000-0000-000000040000}"/>
    <cellStyle name="常规 39 16 2" xfId="978" xr:uid="{00000000-0005-0000-0000-000002040000}"/>
    <cellStyle name="常规 39 16 2 2" xfId="1620" xr:uid="{00000000-0005-0000-0000-000084060000}"/>
    <cellStyle name="常规 39 16 3" xfId="982" xr:uid="{00000000-0005-0000-0000-000006040000}"/>
    <cellStyle name="常规 39 17" xfId="986" xr:uid="{00000000-0005-0000-0000-00000A040000}"/>
    <cellStyle name="常规 39 2" xfId="2938" xr:uid="{00000000-0005-0000-0000-0000AA0B0000}"/>
    <cellStyle name="常规 39 2 2" xfId="1658" xr:uid="{00000000-0005-0000-0000-0000AA060000}"/>
    <cellStyle name="常规 39 3" xfId="2940" xr:uid="{00000000-0005-0000-0000-0000AC0B0000}"/>
    <cellStyle name="常规 39 4" xfId="2942" xr:uid="{00000000-0005-0000-0000-0000AE0B0000}"/>
    <cellStyle name="常规 39 5" xfId="2944" xr:uid="{00000000-0005-0000-0000-0000B00B0000}"/>
    <cellStyle name="常规 39 6" xfId="2948" xr:uid="{00000000-0005-0000-0000-0000B40B0000}"/>
    <cellStyle name="常规 39 7" xfId="2951" xr:uid="{00000000-0005-0000-0000-0000B70B0000}"/>
    <cellStyle name="常规 39 8" xfId="2952" xr:uid="{00000000-0005-0000-0000-0000B80B0000}"/>
    <cellStyle name="常规 39 9" xfId="2953" xr:uid="{00000000-0005-0000-0000-0000B90B0000}"/>
    <cellStyle name="常规 4" xfId="2954" xr:uid="{00000000-0005-0000-0000-0000BA0B0000}"/>
    <cellStyle name="常规 4 10" xfId="2955" xr:uid="{00000000-0005-0000-0000-0000BB0B0000}"/>
    <cellStyle name="常规 4 10 2" xfId="1980" xr:uid="{00000000-0005-0000-0000-0000EC070000}"/>
    <cellStyle name="常规 4 10 3" xfId="1985" xr:uid="{00000000-0005-0000-0000-0000F1070000}"/>
    <cellStyle name="常规 4 11" xfId="2956" xr:uid="{00000000-0005-0000-0000-0000BC0B0000}"/>
    <cellStyle name="常规 4 11 2" xfId="2957" xr:uid="{00000000-0005-0000-0000-0000BD0B0000}"/>
    <cellStyle name="常规 4 11 3" xfId="2958" xr:uid="{00000000-0005-0000-0000-0000BE0B0000}"/>
    <cellStyle name="常规 4 12" xfId="1063" xr:uid="{00000000-0005-0000-0000-000057040000}"/>
    <cellStyle name="常规 4 12 2" xfId="1065" xr:uid="{00000000-0005-0000-0000-000059040000}"/>
    <cellStyle name="常规 4 12 3" xfId="1067" xr:uid="{00000000-0005-0000-0000-00005B040000}"/>
    <cellStyle name="常规 4 13" xfId="1069" xr:uid="{00000000-0005-0000-0000-00005D040000}"/>
    <cellStyle name="常规 4 13 2" xfId="1072" xr:uid="{00000000-0005-0000-0000-000060040000}"/>
    <cellStyle name="常规 4 13 3" xfId="2959" xr:uid="{00000000-0005-0000-0000-0000BF0B0000}"/>
    <cellStyle name="常规 4 14" xfId="1074" xr:uid="{00000000-0005-0000-0000-000062040000}"/>
    <cellStyle name="常规 4 14 2" xfId="2961" xr:uid="{00000000-0005-0000-0000-0000C10B0000}"/>
    <cellStyle name="常规 4 14 3" xfId="2963" xr:uid="{00000000-0005-0000-0000-0000C30B0000}"/>
    <cellStyle name="常规 4 15" xfId="2964" xr:uid="{00000000-0005-0000-0000-0000C40B0000}"/>
    <cellStyle name="常规 4 15 2" xfId="2965" xr:uid="{00000000-0005-0000-0000-0000C50B0000}"/>
    <cellStyle name="常规 4 15 3" xfId="2966" xr:uid="{00000000-0005-0000-0000-0000C60B0000}"/>
    <cellStyle name="常规 4 16" xfId="2967" xr:uid="{00000000-0005-0000-0000-0000C70B0000}"/>
    <cellStyle name="常规 4 16 2" xfId="458" xr:uid="{00000000-0005-0000-0000-0000FA010000}"/>
    <cellStyle name="常规 4 16 3" xfId="2968" xr:uid="{00000000-0005-0000-0000-0000C80B0000}"/>
    <cellStyle name="常规 4 17" xfId="2969" xr:uid="{00000000-0005-0000-0000-0000C90B0000}"/>
    <cellStyle name="常规 4 18" xfId="2970" xr:uid="{00000000-0005-0000-0000-0000CA0B0000}"/>
    <cellStyle name="常规 4 19" xfId="2972" xr:uid="{00000000-0005-0000-0000-0000CC0B0000}"/>
    <cellStyle name="常规 4 2" xfId="2973" xr:uid="{00000000-0005-0000-0000-0000CD0B0000}"/>
    <cellStyle name="常规 4 2 10" xfId="2974" xr:uid="{00000000-0005-0000-0000-0000CE0B0000}"/>
    <cellStyle name="常规 4 2 10 2" xfId="2975" xr:uid="{00000000-0005-0000-0000-0000CF0B0000}"/>
    <cellStyle name="常规 4 2 10 2 2" xfId="2977" xr:uid="{00000000-0005-0000-0000-0000D10B0000}"/>
    <cellStyle name="常规 4 2 10 3" xfId="560" xr:uid="{00000000-0005-0000-0000-000060020000}"/>
    <cellStyle name="常规 4 2 2" xfId="2979" xr:uid="{00000000-0005-0000-0000-0000D30B0000}"/>
    <cellStyle name="常规 4 2 2 2" xfId="1752" xr:uid="{00000000-0005-0000-0000-000008070000}"/>
    <cellStyle name="常规 4 2 2 2 2" xfId="1758" xr:uid="{00000000-0005-0000-0000-00000E070000}"/>
    <cellStyle name="常规 4 2 2 2 3" xfId="1762" xr:uid="{00000000-0005-0000-0000-000012070000}"/>
    <cellStyle name="常规 4 2 2 2 4" xfId="2980" xr:uid="{00000000-0005-0000-0000-0000D40B0000}"/>
    <cellStyle name="常规 4 2 2 2 5" xfId="2981" xr:uid="{00000000-0005-0000-0000-0000D50B0000}"/>
    <cellStyle name="常规 4 2 2 3" xfId="25" xr:uid="{00000000-0005-0000-0000-000029000000}"/>
    <cellStyle name="常规 4 2 2 4" xfId="576" xr:uid="{00000000-0005-0000-0000-000070020000}"/>
    <cellStyle name="常规 4 2 2 5" xfId="585" xr:uid="{00000000-0005-0000-0000-000079020000}"/>
    <cellStyle name="常规 4 2 2 6" xfId="1825" xr:uid="{00000000-0005-0000-0000-000051070000}"/>
    <cellStyle name="常规 4 2 2 7" xfId="1832" xr:uid="{00000000-0005-0000-0000-000058070000}"/>
    <cellStyle name="常规 4 2 2 8" xfId="2580" xr:uid="{00000000-0005-0000-0000-0000440A0000}"/>
    <cellStyle name="常规 4 2 2 8 2" xfId="2982" xr:uid="{00000000-0005-0000-0000-0000D60B0000}"/>
    <cellStyle name="常规 4 2 2 9" xfId="2582" xr:uid="{00000000-0005-0000-0000-0000460A0000}"/>
    <cellStyle name="常规 4 2 3" xfId="860" xr:uid="{00000000-0005-0000-0000-00008C030000}"/>
    <cellStyle name="常规 4 2 3 2" xfId="864" xr:uid="{00000000-0005-0000-0000-000090030000}"/>
    <cellStyle name="常规 4 2 3 3" xfId="870" xr:uid="{00000000-0005-0000-0000-000096030000}"/>
    <cellStyle name="常规 4 2 4" xfId="873" xr:uid="{00000000-0005-0000-0000-000099030000}"/>
    <cellStyle name="常规 4 2 5" xfId="850" xr:uid="{00000000-0005-0000-0000-000082030000}"/>
    <cellStyle name="常规 4 2 6" xfId="854" xr:uid="{00000000-0005-0000-0000-000086030000}"/>
    <cellStyle name="常规 4 2 7" xfId="530" xr:uid="{00000000-0005-0000-0000-000042020000}"/>
    <cellStyle name="常规 4 2 8" xfId="882" xr:uid="{00000000-0005-0000-0000-0000A2030000}"/>
    <cellStyle name="常规 4 2 9" xfId="885" xr:uid="{00000000-0005-0000-0000-0000A5030000}"/>
    <cellStyle name="常规 4 3" xfId="2983" xr:uid="{00000000-0005-0000-0000-0000D70B0000}"/>
    <cellStyle name="常规 4 3 2" xfId="1177" xr:uid="{00000000-0005-0000-0000-0000C9040000}"/>
    <cellStyle name="常规 4 3 3" xfId="1208" xr:uid="{00000000-0005-0000-0000-0000E8040000}"/>
    <cellStyle name="常规 4 3 4" xfId="1222" xr:uid="{00000000-0005-0000-0000-0000F6040000}"/>
    <cellStyle name="常规 4 3 5" xfId="1239" xr:uid="{00000000-0005-0000-0000-000007050000}"/>
    <cellStyle name="常规 4 3 5 2" xfId="1243" xr:uid="{00000000-0005-0000-0000-00000B050000}"/>
    <cellStyle name="常规 4 3 5 2 2" xfId="1247" xr:uid="{00000000-0005-0000-0000-00000F050000}"/>
    <cellStyle name="常规 4 3 5 3" xfId="1251" xr:uid="{00000000-0005-0000-0000-000013050000}"/>
    <cellStyle name="常规 4 4" xfId="2978" xr:uid="{00000000-0005-0000-0000-0000D20B0000}"/>
    <cellStyle name="常规 4 4 2" xfId="1751" xr:uid="{00000000-0005-0000-0000-000007070000}"/>
    <cellStyle name="常规 4 4 2 2" xfId="1757" xr:uid="{00000000-0005-0000-0000-00000D070000}"/>
    <cellStyle name="常规 4 4 2 3" xfId="1761" xr:uid="{00000000-0005-0000-0000-000011070000}"/>
    <cellStyle name="常规 4 4 3" xfId="24" xr:uid="{00000000-0005-0000-0000-000028000000}"/>
    <cellStyle name="常规 4 4 4" xfId="575" xr:uid="{00000000-0005-0000-0000-00006F020000}"/>
    <cellStyle name="常规 4 4 5" xfId="584" xr:uid="{00000000-0005-0000-0000-000078020000}"/>
    <cellStyle name="常规 4 5" xfId="859" xr:uid="{00000000-0005-0000-0000-00008B030000}"/>
    <cellStyle name="常规 4 5 2" xfId="863" xr:uid="{00000000-0005-0000-0000-00008F030000}"/>
    <cellStyle name="常规 4 5 3" xfId="869" xr:uid="{00000000-0005-0000-0000-000095030000}"/>
    <cellStyle name="常规 4 6" xfId="872" xr:uid="{00000000-0005-0000-0000-000098030000}"/>
    <cellStyle name="常规 4 6 2" xfId="802" xr:uid="{00000000-0005-0000-0000-000052030000}"/>
    <cellStyle name="常规 4 6 3" xfId="877" xr:uid="{00000000-0005-0000-0000-00009D030000}"/>
    <cellStyle name="常规 4 7" xfId="849" xr:uid="{00000000-0005-0000-0000-000081030000}"/>
    <cellStyle name="常规 4 7 2" xfId="436" xr:uid="{00000000-0005-0000-0000-0000E4010000}"/>
    <cellStyle name="常规 4 7 3" xfId="441" xr:uid="{00000000-0005-0000-0000-0000E9010000}"/>
    <cellStyle name="常规 4 8" xfId="853" xr:uid="{00000000-0005-0000-0000-000085030000}"/>
    <cellStyle name="常规 4 8 2" xfId="127" xr:uid="{00000000-0005-0000-0000-0000AF000000}"/>
    <cellStyle name="常规 4 8 3" xfId="466" xr:uid="{00000000-0005-0000-0000-000002020000}"/>
    <cellStyle name="常规 4 9" xfId="529" xr:uid="{00000000-0005-0000-0000-000041020000}"/>
    <cellStyle name="常规 4 9 2" xfId="494" xr:uid="{00000000-0005-0000-0000-00001E020000}"/>
    <cellStyle name="常规 4 9 3" xfId="497" xr:uid="{00000000-0005-0000-0000-000021020000}"/>
    <cellStyle name="常规 40" xfId="2788" xr:uid="{00000000-0005-0000-0000-0000140B0000}"/>
    <cellStyle name="常规 40 10" xfId="2077" xr:uid="{00000000-0005-0000-0000-00004D080000}"/>
    <cellStyle name="常规 40 11" xfId="2083" xr:uid="{00000000-0005-0000-0000-000053080000}"/>
    <cellStyle name="常规 40 12" xfId="2087" xr:uid="{00000000-0005-0000-0000-000057080000}"/>
    <cellStyle name="常规 40 13" xfId="2094" xr:uid="{00000000-0005-0000-0000-00005E080000}"/>
    <cellStyle name="常规 40 14" xfId="2098" xr:uid="{00000000-0005-0000-0000-000062080000}"/>
    <cellStyle name="常规 40 15" xfId="2102" xr:uid="{00000000-0005-0000-0000-000066080000}"/>
    <cellStyle name="常规 40 16" xfId="2106" xr:uid="{00000000-0005-0000-0000-00006A080000}"/>
    <cellStyle name="常规 40 16 2" xfId="2790" xr:uid="{00000000-0005-0000-0000-0000160B0000}"/>
    <cellStyle name="常规 40 16 2 2" xfId="2225" xr:uid="{00000000-0005-0000-0000-0000E1080000}"/>
    <cellStyle name="常规 40 16 3" xfId="2792" xr:uid="{00000000-0005-0000-0000-0000180B0000}"/>
    <cellStyle name="常规 40 17" xfId="2110" xr:uid="{00000000-0005-0000-0000-00006E080000}"/>
    <cellStyle name="常规 40 2" xfId="2794" xr:uid="{00000000-0005-0000-0000-00001A0B0000}"/>
    <cellStyle name="常规 40 2 2" xfId="2796" xr:uid="{00000000-0005-0000-0000-00001C0B0000}"/>
    <cellStyle name="常规 40 3" xfId="2798" xr:uid="{00000000-0005-0000-0000-00001E0B0000}"/>
    <cellStyle name="常规 40 4" xfId="2800" xr:uid="{00000000-0005-0000-0000-0000200B0000}"/>
    <cellStyle name="常规 40 5" xfId="2802" xr:uid="{00000000-0005-0000-0000-0000220B0000}"/>
    <cellStyle name="常规 40 6" xfId="2805" xr:uid="{00000000-0005-0000-0000-0000250B0000}"/>
    <cellStyle name="常规 40 7" xfId="2808" xr:uid="{00000000-0005-0000-0000-0000280B0000}"/>
    <cellStyle name="常规 40 8" xfId="2810" xr:uid="{00000000-0005-0000-0000-00002A0B0000}"/>
    <cellStyle name="常规 40 9" xfId="2813" xr:uid="{00000000-0005-0000-0000-00002D0B0000}"/>
    <cellStyle name="常规 41" xfId="2815" xr:uid="{00000000-0005-0000-0000-00002F0B0000}"/>
    <cellStyle name="常规 41 10" xfId="2817" xr:uid="{00000000-0005-0000-0000-0000310B0000}"/>
    <cellStyle name="常规 41 11" xfId="2819" xr:uid="{00000000-0005-0000-0000-0000330B0000}"/>
    <cellStyle name="常规 41 12" xfId="2821" xr:uid="{00000000-0005-0000-0000-0000350B0000}"/>
    <cellStyle name="常规 41 13" xfId="2823" xr:uid="{00000000-0005-0000-0000-0000370B0000}"/>
    <cellStyle name="常规 41 14" xfId="2825" xr:uid="{00000000-0005-0000-0000-0000390B0000}"/>
    <cellStyle name="常规 41 15" xfId="2827" xr:uid="{00000000-0005-0000-0000-00003B0B0000}"/>
    <cellStyle name="常规 41 16" xfId="2829" xr:uid="{00000000-0005-0000-0000-00003D0B0000}"/>
    <cellStyle name="常规 41 17" xfId="2833" xr:uid="{00000000-0005-0000-0000-0000410B0000}"/>
    <cellStyle name="常规 41 18" xfId="2028" xr:uid="{00000000-0005-0000-0000-00001C080000}"/>
    <cellStyle name="常规 41 2" xfId="2835" xr:uid="{00000000-0005-0000-0000-0000430B0000}"/>
    <cellStyle name="常规 41 2 2" xfId="545" xr:uid="{00000000-0005-0000-0000-000051020000}"/>
    <cellStyle name="常规 41 2 3" xfId="551" xr:uid="{00000000-0005-0000-0000-000057020000}"/>
    <cellStyle name="常规 41 2 3 2" xfId="673" xr:uid="{00000000-0005-0000-0000-0000D1020000}"/>
    <cellStyle name="常规 41 2 4" xfId="52" xr:uid="{00000000-0005-0000-0000-000050000000}"/>
    <cellStyle name="常规 41 3" xfId="2839" xr:uid="{00000000-0005-0000-0000-0000470B0000}"/>
    <cellStyle name="常规 41 4" xfId="2841" xr:uid="{00000000-0005-0000-0000-0000490B0000}"/>
    <cellStyle name="常规 41 5" xfId="2843" xr:uid="{00000000-0005-0000-0000-00004B0B0000}"/>
    <cellStyle name="常规 41 6" xfId="2846" xr:uid="{00000000-0005-0000-0000-00004E0B0000}"/>
    <cellStyle name="常规 41 7" xfId="2849" xr:uid="{00000000-0005-0000-0000-0000510B0000}"/>
    <cellStyle name="常规 41 8" xfId="2851" xr:uid="{00000000-0005-0000-0000-0000530B0000}"/>
    <cellStyle name="常规 41 9" xfId="2853" xr:uid="{00000000-0005-0000-0000-0000550B0000}"/>
    <cellStyle name="常规 42" xfId="2855" xr:uid="{00000000-0005-0000-0000-0000570B0000}"/>
    <cellStyle name="常规 42 10" xfId="2857" xr:uid="{00000000-0005-0000-0000-0000590B0000}"/>
    <cellStyle name="常规 42 11" xfId="361" xr:uid="{00000000-0005-0000-0000-000099010000}"/>
    <cellStyle name="常规 42 12" xfId="2860" xr:uid="{00000000-0005-0000-0000-00005C0B0000}"/>
    <cellStyle name="常规 42 13" xfId="2862" xr:uid="{00000000-0005-0000-0000-00005E0B0000}"/>
    <cellStyle name="常规 42 14" xfId="2864" xr:uid="{00000000-0005-0000-0000-0000600B0000}"/>
    <cellStyle name="常规 42 15" xfId="2866" xr:uid="{00000000-0005-0000-0000-0000620B0000}"/>
    <cellStyle name="常规 42 16" xfId="2868" xr:uid="{00000000-0005-0000-0000-0000640B0000}"/>
    <cellStyle name="常规 42 17" xfId="2872" xr:uid="{00000000-0005-0000-0000-0000680B0000}"/>
    <cellStyle name="常规 42 17 2" xfId="2365" xr:uid="{00000000-0005-0000-0000-00006D090000}"/>
    <cellStyle name="常规 42 17 3" xfId="2984" xr:uid="{00000000-0005-0000-0000-0000D80B0000}"/>
    <cellStyle name="常规 42 17 4" xfId="2985" xr:uid="{00000000-0005-0000-0000-0000D90B0000}"/>
    <cellStyle name="常规 42 18" xfId="2986" xr:uid="{00000000-0005-0000-0000-0000DA0B0000}"/>
    <cellStyle name="常规 42 19" xfId="2987" xr:uid="{00000000-0005-0000-0000-0000DB0B0000}"/>
    <cellStyle name="常规 42 2" xfId="429" xr:uid="{00000000-0005-0000-0000-0000DD010000}"/>
    <cellStyle name="常规 42 2 2" xfId="2874" xr:uid="{00000000-0005-0000-0000-00006A0B0000}"/>
    <cellStyle name="常规 42 2 3" xfId="973" xr:uid="{00000000-0005-0000-0000-0000FD030000}"/>
    <cellStyle name="常规 42 2 3 2" xfId="2988" xr:uid="{00000000-0005-0000-0000-0000DC0B0000}"/>
    <cellStyle name="常规 42 2 4" xfId="752" xr:uid="{00000000-0005-0000-0000-000020030000}"/>
    <cellStyle name="常规 42 2 4 2" xfId="132" xr:uid="{00000000-0005-0000-0000-0000B4000000}"/>
    <cellStyle name="常规 42 2 5" xfId="756" xr:uid="{00000000-0005-0000-0000-000024030000}"/>
    <cellStyle name="常规 42 3" xfId="2876" xr:uid="{00000000-0005-0000-0000-00006C0B0000}"/>
    <cellStyle name="常规 42 4" xfId="2878" xr:uid="{00000000-0005-0000-0000-00006E0B0000}"/>
    <cellStyle name="常规 42 5" xfId="2880" xr:uid="{00000000-0005-0000-0000-0000700B0000}"/>
    <cellStyle name="常规 42 6" xfId="1088" xr:uid="{00000000-0005-0000-0000-000070040000}"/>
    <cellStyle name="常规 42 7" xfId="2883" xr:uid="{00000000-0005-0000-0000-0000730B0000}"/>
    <cellStyle name="常规 42 8" xfId="2885" xr:uid="{00000000-0005-0000-0000-0000750B0000}"/>
    <cellStyle name="常规 42 9" xfId="2887" xr:uid="{00000000-0005-0000-0000-0000770B0000}"/>
    <cellStyle name="常规 43" xfId="2890" xr:uid="{00000000-0005-0000-0000-00007A0B0000}"/>
    <cellStyle name="常规 43 10" xfId="2759" xr:uid="{00000000-0005-0000-0000-0000F70A0000}"/>
    <cellStyle name="常规 43 11" xfId="2893" xr:uid="{00000000-0005-0000-0000-00007D0B0000}"/>
    <cellStyle name="常规 43 12" xfId="2897" xr:uid="{00000000-0005-0000-0000-0000810B0000}"/>
    <cellStyle name="常规 43 13" xfId="2901" xr:uid="{00000000-0005-0000-0000-0000850B0000}"/>
    <cellStyle name="常规 43 14" xfId="2906" xr:uid="{00000000-0005-0000-0000-00008A0B0000}"/>
    <cellStyle name="常规 43 15" xfId="2910" xr:uid="{00000000-0005-0000-0000-00008E0B0000}"/>
    <cellStyle name="常规 43 16" xfId="2914" xr:uid="{00000000-0005-0000-0000-0000920B0000}"/>
    <cellStyle name="常规 43 17" xfId="2921" xr:uid="{00000000-0005-0000-0000-0000990B0000}"/>
    <cellStyle name="常规 43 18" xfId="2991" xr:uid="{00000000-0005-0000-0000-0000DF0B0000}"/>
    <cellStyle name="常规 43 2" xfId="2923" xr:uid="{00000000-0005-0000-0000-00009B0B0000}"/>
    <cellStyle name="常规 43 2 2" xfId="1092" xr:uid="{00000000-0005-0000-0000-000074040000}"/>
    <cellStyle name="常规 43 2 3" xfId="2993" xr:uid="{00000000-0005-0000-0000-0000E10B0000}"/>
    <cellStyle name="常规 43 2 3 2" xfId="2947" xr:uid="{00000000-0005-0000-0000-0000B30B0000}"/>
    <cellStyle name="常规 43 2 4" xfId="2995" xr:uid="{00000000-0005-0000-0000-0000E30B0000}"/>
    <cellStyle name="常规 43 3" xfId="2925" xr:uid="{00000000-0005-0000-0000-00009D0B0000}"/>
    <cellStyle name="常规 43 4" xfId="2927" xr:uid="{00000000-0005-0000-0000-00009F0B0000}"/>
    <cellStyle name="常规 43 5" xfId="2669" xr:uid="{00000000-0005-0000-0000-00009D0A0000}"/>
    <cellStyle name="常规 43 6" xfId="2673" xr:uid="{00000000-0005-0000-0000-0000A10A0000}"/>
    <cellStyle name="常规 43 7" xfId="2930" xr:uid="{00000000-0005-0000-0000-0000A20B0000}"/>
    <cellStyle name="常规 43 8" xfId="2932" xr:uid="{00000000-0005-0000-0000-0000A40B0000}"/>
    <cellStyle name="常规 43 9" xfId="2934" xr:uid="{00000000-0005-0000-0000-0000A60B0000}"/>
    <cellStyle name="常规 44" xfId="5" xr:uid="{00000000-0005-0000-0000-000007000000}"/>
    <cellStyle name="常规 44 2" xfId="2937" xr:uid="{00000000-0005-0000-0000-0000A90B0000}"/>
    <cellStyle name="常规 44 2 2" xfId="1657" xr:uid="{00000000-0005-0000-0000-0000A9060000}"/>
    <cellStyle name="常规 44 2 3" xfId="2997" xr:uid="{00000000-0005-0000-0000-0000E50B0000}"/>
    <cellStyle name="常规 44 2 3 2" xfId="2998" xr:uid="{00000000-0005-0000-0000-0000E60B0000}"/>
    <cellStyle name="常规 44 2 4" xfId="3000" xr:uid="{00000000-0005-0000-0000-0000E80B0000}"/>
    <cellStyle name="常规 44 3" xfId="2939" xr:uid="{00000000-0005-0000-0000-0000AB0B0000}"/>
    <cellStyle name="常规 44 3 2" xfId="1669" xr:uid="{00000000-0005-0000-0000-0000B5060000}"/>
    <cellStyle name="常规 44 3 2 2" xfId="2515" xr:uid="{00000000-0005-0000-0000-0000030A0000}"/>
    <cellStyle name="常规 44 3 2 2 2" xfId="939" xr:uid="{00000000-0005-0000-0000-0000DB030000}"/>
    <cellStyle name="常规 44 3 2 3" xfId="2518" xr:uid="{00000000-0005-0000-0000-0000060A0000}"/>
    <cellStyle name="常规 44 3 3" xfId="3001" xr:uid="{00000000-0005-0000-0000-0000E90B0000}"/>
    <cellStyle name="常规 44 3 4" xfId="3002" xr:uid="{00000000-0005-0000-0000-0000EA0B0000}"/>
    <cellStyle name="常规 44 3 4 2" xfId="3003" xr:uid="{00000000-0005-0000-0000-0000EB0B0000}"/>
    <cellStyle name="常规 44 3 5" xfId="3004" xr:uid="{00000000-0005-0000-0000-0000EC0B0000}"/>
    <cellStyle name="常规 44 4" xfId="2941" xr:uid="{00000000-0005-0000-0000-0000AD0B0000}"/>
    <cellStyle name="常规 44 5" xfId="2943" xr:uid="{00000000-0005-0000-0000-0000AF0B0000}"/>
    <cellStyle name="常规 44 5 2" xfId="1684" xr:uid="{00000000-0005-0000-0000-0000C4060000}"/>
    <cellStyle name="常规 44 5 3" xfId="3005" xr:uid="{00000000-0005-0000-0000-0000ED0B0000}"/>
    <cellStyle name="常规 44 5 4" xfId="3006" xr:uid="{00000000-0005-0000-0000-0000EE0B0000}"/>
    <cellStyle name="常规 44 6" xfId="2946" xr:uid="{00000000-0005-0000-0000-0000B20B0000}"/>
    <cellStyle name="常规 44 7" xfId="2950" xr:uid="{00000000-0005-0000-0000-0000B60B0000}"/>
    <cellStyle name="常规 45" xfId="3009" xr:uid="{00000000-0005-0000-0000-0000F10B0000}"/>
    <cellStyle name="常规 45 10" xfId="3010" xr:uid="{00000000-0005-0000-0000-0000F20B0000}"/>
    <cellStyle name="常规 45 11" xfId="3013" xr:uid="{00000000-0005-0000-0000-0000F50B0000}"/>
    <cellStyle name="常规 45 12" xfId="3014" xr:uid="{00000000-0005-0000-0000-0000F60B0000}"/>
    <cellStyle name="常规 45 13" xfId="3015" xr:uid="{00000000-0005-0000-0000-0000F70B0000}"/>
    <cellStyle name="常规 45 14" xfId="676" xr:uid="{00000000-0005-0000-0000-0000D4020000}"/>
    <cellStyle name="常规 45 15" xfId="3016" xr:uid="{00000000-0005-0000-0000-0000F80B0000}"/>
    <cellStyle name="常规 45 16" xfId="997" xr:uid="{00000000-0005-0000-0000-000015040000}"/>
    <cellStyle name="常规 45 16 2" xfId="3017" xr:uid="{00000000-0005-0000-0000-0000F90B0000}"/>
    <cellStyle name="常规 45 16 2 2" xfId="3020" xr:uid="{00000000-0005-0000-0000-0000FC0B0000}"/>
    <cellStyle name="常规 45 16 3" xfId="3021" xr:uid="{00000000-0005-0000-0000-0000FD0B0000}"/>
    <cellStyle name="常规 45 17" xfId="999" xr:uid="{00000000-0005-0000-0000-000017040000}"/>
    <cellStyle name="常规 45 2" xfId="3024" xr:uid="{00000000-0005-0000-0000-0000000C0000}"/>
    <cellStyle name="常规 45 2 2" xfId="3026" xr:uid="{00000000-0005-0000-0000-0000020C0000}"/>
    <cellStyle name="常规 45 3" xfId="3019" xr:uid="{00000000-0005-0000-0000-0000FB0B0000}"/>
    <cellStyle name="常规 45 4" xfId="3027" xr:uid="{00000000-0005-0000-0000-0000030C0000}"/>
    <cellStyle name="常规 45 5" xfId="3028" xr:uid="{00000000-0005-0000-0000-0000040C0000}"/>
    <cellStyle name="常规 45 6" xfId="3030" xr:uid="{00000000-0005-0000-0000-0000060C0000}"/>
    <cellStyle name="常规 45 7" xfId="3032" xr:uid="{00000000-0005-0000-0000-0000080C0000}"/>
    <cellStyle name="常规 45 8" xfId="3033" xr:uid="{00000000-0005-0000-0000-0000090C0000}"/>
    <cellStyle name="常规 45 9" xfId="3034" xr:uid="{00000000-0005-0000-0000-00000A0C0000}"/>
    <cellStyle name="常规 46" xfId="3037" xr:uid="{00000000-0005-0000-0000-00000D0C0000}"/>
    <cellStyle name="常规 46 2" xfId="3040" xr:uid="{00000000-0005-0000-0000-0000100C0000}"/>
    <cellStyle name="常规 46 2 2" xfId="3043" xr:uid="{00000000-0005-0000-0000-0000130C0000}"/>
    <cellStyle name="常规 46 3" xfId="3046" xr:uid="{00000000-0005-0000-0000-0000160C0000}"/>
    <cellStyle name="常规 47" xfId="3049" xr:uid="{00000000-0005-0000-0000-0000190C0000}"/>
    <cellStyle name="常规 47 2" xfId="3052" xr:uid="{00000000-0005-0000-0000-00001C0C0000}"/>
    <cellStyle name="常规 47 2 2" xfId="2040" xr:uid="{00000000-0005-0000-0000-000028080000}"/>
    <cellStyle name="常规 47 3" xfId="3057" xr:uid="{00000000-0005-0000-0000-0000210C0000}"/>
    <cellStyle name="常规 48" xfId="3060" xr:uid="{00000000-0005-0000-0000-0000240C0000}"/>
    <cellStyle name="常规 48 2" xfId="3062" xr:uid="{00000000-0005-0000-0000-0000260C0000}"/>
    <cellStyle name="常规 48 2 2" xfId="3064" xr:uid="{00000000-0005-0000-0000-0000280C0000}"/>
    <cellStyle name="常规 48 3" xfId="3066" xr:uid="{00000000-0005-0000-0000-00002A0C0000}"/>
    <cellStyle name="常规 49" xfId="3069" xr:uid="{00000000-0005-0000-0000-00002D0C0000}"/>
    <cellStyle name="常规 49 2" xfId="3072" xr:uid="{00000000-0005-0000-0000-0000300C0000}"/>
    <cellStyle name="常规 49 2 2" xfId="3076" xr:uid="{00000000-0005-0000-0000-0000340C0000}"/>
    <cellStyle name="常规 49 3" xfId="3079" xr:uid="{00000000-0005-0000-0000-0000370C0000}"/>
    <cellStyle name="常规 5" xfId="3080" xr:uid="{00000000-0005-0000-0000-0000380C0000}"/>
    <cellStyle name="常规 5 10" xfId="3081" xr:uid="{00000000-0005-0000-0000-0000390C0000}"/>
    <cellStyle name="常规 5 11" xfId="3082" xr:uid="{00000000-0005-0000-0000-00003A0C0000}"/>
    <cellStyle name="常规 5 12" xfId="3083" xr:uid="{00000000-0005-0000-0000-00003B0C0000}"/>
    <cellStyle name="常规 5 13" xfId="3084" xr:uid="{00000000-0005-0000-0000-00003C0C0000}"/>
    <cellStyle name="常规 5 2" xfId="1162" xr:uid="{00000000-0005-0000-0000-0000BA040000}"/>
    <cellStyle name="常规 5 2 2" xfId="2293" xr:uid="{00000000-0005-0000-0000-000025090000}"/>
    <cellStyle name="常规 5 2 2 2" xfId="3085" xr:uid="{00000000-0005-0000-0000-00003D0C0000}"/>
    <cellStyle name="常规 5 2 2 3" xfId="3086" xr:uid="{00000000-0005-0000-0000-00003E0C0000}"/>
    <cellStyle name="常规 5 2 3" xfId="2296" xr:uid="{00000000-0005-0000-0000-000028090000}"/>
    <cellStyle name="常规 5 3" xfId="1165" xr:uid="{00000000-0005-0000-0000-0000BD040000}"/>
    <cellStyle name="常规 5 3 2" xfId="1168" xr:uid="{00000000-0005-0000-0000-0000C0040000}"/>
    <cellStyle name="常规 5 3 3" xfId="1173" xr:uid="{00000000-0005-0000-0000-0000C5040000}"/>
    <cellStyle name="常规 5 4" xfId="1176" xr:uid="{00000000-0005-0000-0000-0000C8040000}"/>
    <cellStyle name="常规 5 4 2" xfId="1180" xr:uid="{00000000-0005-0000-0000-0000CC040000}"/>
    <cellStyle name="常规 5 4 3" xfId="1184" xr:uid="{00000000-0005-0000-0000-0000D0040000}"/>
    <cellStyle name="常规 5 5" xfId="1207" xr:uid="{00000000-0005-0000-0000-0000E7040000}"/>
    <cellStyle name="常规 5 6" xfId="1221" xr:uid="{00000000-0005-0000-0000-0000F5040000}"/>
    <cellStyle name="常规 5 7" xfId="1238" xr:uid="{00000000-0005-0000-0000-000006050000}"/>
    <cellStyle name="常规 5 8" xfId="1255" xr:uid="{00000000-0005-0000-0000-000017050000}"/>
    <cellStyle name="常规 5 9" xfId="1268" xr:uid="{00000000-0005-0000-0000-000024050000}"/>
    <cellStyle name="常规 50" xfId="3008" xr:uid="{00000000-0005-0000-0000-0000F00B0000}"/>
    <cellStyle name="常规 50 2" xfId="3023" xr:uid="{00000000-0005-0000-0000-0000FF0B0000}"/>
    <cellStyle name="常规 50 2 2" xfId="3025" xr:uid="{00000000-0005-0000-0000-0000010C0000}"/>
    <cellStyle name="常规 50 3" xfId="3018" xr:uid="{00000000-0005-0000-0000-0000FA0B0000}"/>
    <cellStyle name="常规 51" xfId="3036" xr:uid="{00000000-0005-0000-0000-00000C0C0000}"/>
    <cellStyle name="常规 51 2" xfId="3039" xr:uid="{00000000-0005-0000-0000-00000F0C0000}"/>
    <cellStyle name="常规 51 2 2" xfId="3042" xr:uid="{00000000-0005-0000-0000-0000120C0000}"/>
    <cellStyle name="常规 51 2 3" xfId="3087" xr:uid="{00000000-0005-0000-0000-00003F0C0000}"/>
    <cellStyle name="常规 51 2 3 2" xfId="513" xr:uid="{00000000-0005-0000-0000-000031020000}"/>
    <cellStyle name="常规 51 3" xfId="3045" xr:uid="{00000000-0005-0000-0000-0000150C0000}"/>
    <cellStyle name="常规 51 4" xfId="3089" xr:uid="{00000000-0005-0000-0000-0000410C0000}"/>
    <cellStyle name="常规 52" xfId="3048" xr:uid="{00000000-0005-0000-0000-0000180C0000}"/>
    <cellStyle name="常规 52 2" xfId="3051" xr:uid="{00000000-0005-0000-0000-00001B0C0000}"/>
    <cellStyle name="常规 52 2 2" xfId="2039" xr:uid="{00000000-0005-0000-0000-000027080000}"/>
    <cellStyle name="常规 52 3" xfId="3056" xr:uid="{00000000-0005-0000-0000-0000200C0000}"/>
    <cellStyle name="常规 53" xfId="3059" xr:uid="{00000000-0005-0000-0000-0000230C0000}"/>
    <cellStyle name="常规 53 2" xfId="3061" xr:uid="{00000000-0005-0000-0000-0000250C0000}"/>
    <cellStyle name="常规 53 2 2" xfId="3063" xr:uid="{00000000-0005-0000-0000-0000270C0000}"/>
    <cellStyle name="常规 53 3" xfId="3065" xr:uid="{00000000-0005-0000-0000-0000290C0000}"/>
    <cellStyle name="常规 54" xfId="3068" xr:uid="{00000000-0005-0000-0000-00002C0C0000}"/>
    <cellStyle name="常规 54 2" xfId="3071" xr:uid="{00000000-0005-0000-0000-00002F0C0000}"/>
    <cellStyle name="常规 54 2 2" xfId="3075" xr:uid="{00000000-0005-0000-0000-0000330C0000}"/>
    <cellStyle name="常规 54 3" xfId="3078" xr:uid="{00000000-0005-0000-0000-0000360C0000}"/>
    <cellStyle name="常规 55" xfId="3092" xr:uid="{00000000-0005-0000-0000-0000440C0000}"/>
    <cellStyle name="常规 55 2" xfId="3094" xr:uid="{00000000-0005-0000-0000-0000460C0000}"/>
    <cellStyle name="常规 55 2 2" xfId="3096" xr:uid="{00000000-0005-0000-0000-0000480C0000}"/>
    <cellStyle name="常规 55 3" xfId="3098" xr:uid="{00000000-0005-0000-0000-00004A0C0000}"/>
    <cellStyle name="常规 56" xfId="3100" xr:uid="{00000000-0005-0000-0000-00004C0C0000}"/>
    <cellStyle name="常规 56 2" xfId="3103" xr:uid="{00000000-0005-0000-0000-00004F0C0000}"/>
    <cellStyle name="常规 56 2 2" xfId="3106" xr:uid="{00000000-0005-0000-0000-0000520C0000}"/>
    <cellStyle name="常规 56 3" xfId="3108" xr:uid="{00000000-0005-0000-0000-0000540C0000}"/>
    <cellStyle name="常规 57" xfId="3110" xr:uid="{00000000-0005-0000-0000-0000560C0000}"/>
    <cellStyle name="常规 57 2" xfId="3112" xr:uid="{00000000-0005-0000-0000-0000580C0000}"/>
    <cellStyle name="常规 57 2 2" xfId="3114" xr:uid="{00000000-0005-0000-0000-00005A0C0000}"/>
    <cellStyle name="常规 57 3" xfId="3116" xr:uid="{00000000-0005-0000-0000-00005C0C0000}"/>
    <cellStyle name="常规 58" xfId="3118" xr:uid="{00000000-0005-0000-0000-00005E0C0000}"/>
    <cellStyle name="常规 58 2" xfId="3120" xr:uid="{00000000-0005-0000-0000-0000600C0000}"/>
    <cellStyle name="常规 58 2 2" xfId="3122" xr:uid="{00000000-0005-0000-0000-0000620C0000}"/>
    <cellStyle name="常规 58 3" xfId="3124" xr:uid="{00000000-0005-0000-0000-0000640C0000}"/>
    <cellStyle name="常规 59" xfId="3126" xr:uid="{00000000-0005-0000-0000-0000660C0000}"/>
    <cellStyle name="常规 59 2" xfId="3128" xr:uid="{00000000-0005-0000-0000-0000680C0000}"/>
    <cellStyle name="常规 59 2 2" xfId="3055" xr:uid="{00000000-0005-0000-0000-00001F0C0000}"/>
    <cellStyle name="常规 59 3" xfId="3130" xr:uid="{00000000-0005-0000-0000-00006A0C0000}"/>
    <cellStyle name="常规 6" xfId="3131" xr:uid="{00000000-0005-0000-0000-00006B0C0000}"/>
    <cellStyle name="常规 6 2" xfId="1725" xr:uid="{00000000-0005-0000-0000-0000ED060000}"/>
    <cellStyle name="常规 6 2 2" xfId="1730" xr:uid="{00000000-0005-0000-0000-0000F2060000}"/>
    <cellStyle name="常规 6 3" xfId="1737" xr:uid="{00000000-0005-0000-0000-0000F9060000}"/>
    <cellStyle name="常规 6 4" xfId="1750" xr:uid="{00000000-0005-0000-0000-000006070000}"/>
    <cellStyle name="常规 6 5" xfId="23" xr:uid="{00000000-0005-0000-0000-000027000000}"/>
    <cellStyle name="常规 60" xfId="3091" xr:uid="{00000000-0005-0000-0000-0000430C0000}"/>
    <cellStyle name="常规 60 2" xfId="3093" xr:uid="{00000000-0005-0000-0000-0000450C0000}"/>
    <cellStyle name="常规 60 2 2" xfId="3095" xr:uid="{00000000-0005-0000-0000-0000470C0000}"/>
    <cellStyle name="常规 60 3" xfId="3097" xr:uid="{00000000-0005-0000-0000-0000490C0000}"/>
    <cellStyle name="常规 61" xfId="3099" xr:uid="{00000000-0005-0000-0000-00004B0C0000}"/>
    <cellStyle name="常规 61 2" xfId="3102" xr:uid="{00000000-0005-0000-0000-00004E0C0000}"/>
    <cellStyle name="常规 61 2 2" xfId="3105" xr:uid="{00000000-0005-0000-0000-0000510C0000}"/>
    <cellStyle name="常规 61 3" xfId="3107" xr:uid="{00000000-0005-0000-0000-0000530C0000}"/>
    <cellStyle name="常规 62" xfId="3109" xr:uid="{00000000-0005-0000-0000-0000550C0000}"/>
    <cellStyle name="常规 62 2" xfId="3111" xr:uid="{00000000-0005-0000-0000-0000570C0000}"/>
    <cellStyle name="常规 62 2 2" xfId="3113" xr:uid="{00000000-0005-0000-0000-0000590C0000}"/>
    <cellStyle name="常规 62 3" xfId="3115" xr:uid="{00000000-0005-0000-0000-00005B0C0000}"/>
    <cellStyle name="常规 63" xfId="3117" xr:uid="{00000000-0005-0000-0000-00005D0C0000}"/>
    <cellStyle name="常规 63 2" xfId="3119" xr:uid="{00000000-0005-0000-0000-00005F0C0000}"/>
    <cellStyle name="常规 63 2 2" xfId="3121" xr:uid="{00000000-0005-0000-0000-0000610C0000}"/>
    <cellStyle name="常规 63 3" xfId="3123" xr:uid="{00000000-0005-0000-0000-0000630C0000}"/>
    <cellStyle name="常规 64" xfId="3125" xr:uid="{00000000-0005-0000-0000-0000650C0000}"/>
    <cellStyle name="常规 64 2" xfId="3127" xr:uid="{00000000-0005-0000-0000-0000670C0000}"/>
    <cellStyle name="常规 64 2 2" xfId="3054" xr:uid="{00000000-0005-0000-0000-00001E0C0000}"/>
    <cellStyle name="常规 64 3" xfId="3129" xr:uid="{00000000-0005-0000-0000-0000690C0000}"/>
    <cellStyle name="常规 65" xfId="3133" xr:uid="{00000000-0005-0000-0000-00006D0C0000}"/>
    <cellStyle name="常规 65 2" xfId="99" xr:uid="{00000000-0005-0000-0000-000093000000}"/>
    <cellStyle name="常规 65 2 2" xfId="823" xr:uid="{00000000-0005-0000-0000-000067030000}"/>
    <cellStyle name="常规 65 3" xfId="135" xr:uid="{00000000-0005-0000-0000-0000B7000000}"/>
    <cellStyle name="常规 66" xfId="917" xr:uid="{00000000-0005-0000-0000-0000C5030000}"/>
    <cellStyle name="常规 66 2" xfId="189" xr:uid="{00000000-0005-0000-0000-0000ED000000}"/>
    <cellStyle name="常规 66 2 2" xfId="1283" xr:uid="{00000000-0005-0000-0000-000033050000}"/>
    <cellStyle name="常规 66 3" xfId="194" xr:uid="{00000000-0005-0000-0000-0000F2000000}"/>
    <cellStyle name="常规 67" xfId="920" xr:uid="{00000000-0005-0000-0000-0000C8030000}"/>
    <cellStyle name="常规 67 10" xfId="3136" xr:uid="{00000000-0005-0000-0000-0000700C0000}"/>
    <cellStyle name="常规 67 11" xfId="3139" xr:uid="{00000000-0005-0000-0000-0000730C0000}"/>
    <cellStyle name="常规 67 12" xfId="3142" xr:uid="{00000000-0005-0000-0000-0000760C0000}"/>
    <cellStyle name="常规 67 13" xfId="3145" xr:uid="{00000000-0005-0000-0000-0000790C0000}"/>
    <cellStyle name="常规 67 14" xfId="1531" xr:uid="{00000000-0005-0000-0000-00002B060000}"/>
    <cellStyle name="常规 67 15" xfId="1534" xr:uid="{00000000-0005-0000-0000-00002E060000}"/>
    <cellStyle name="常规 67 16" xfId="1537" xr:uid="{00000000-0005-0000-0000-000031060000}"/>
    <cellStyle name="常规 67 16 2" xfId="3146" xr:uid="{00000000-0005-0000-0000-00007A0C0000}"/>
    <cellStyle name="常规 67 16 2 2" xfId="3147" xr:uid="{00000000-0005-0000-0000-00007B0C0000}"/>
    <cellStyle name="常规 67 16 3" xfId="3148" xr:uid="{00000000-0005-0000-0000-00007C0C0000}"/>
    <cellStyle name="常规 67 17" xfId="3149" xr:uid="{00000000-0005-0000-0000-00007D0C0000}"/>
    <cellStyle name="常规 67 2" xfId="164" xr:uid="{00000000-0005-0000-0000-0000D4000000}"/>
    <cellStyle name="常规 67 2 2" xfId="2564" xr:uid="{00000000-0005-0000-0000-0000340A0000}"/>
    <cellStyle name="常规 67 3" xfId="245" xr:uid="{00000000-0005-0000-0000-000025010000}"/>
    <cellStyle name="常规 67 4" xfId="197" xr:uid="{00000000-0005-0000-0000-0000F5000000}"/>
    <cellStyle name="常规 67 5" xfId="3150" xr:uid="{00000000-0005-0000-0000-00007E0C0000}"/>
    <cellStyle name="常规 67 6" xfId="3151" xr:uid="{00000000-0005-0000-0000-00007F0C0000}"/>
    <cellStyle name="常规 67 7" xfId="3152" xr:uid="{00000000-0005-0000-0000-0000800C0000}"/>
    <cellStyle name="常规 67 8" xfId="3153" xr:uid="{00000000-0005-0000-0000-0000810C0000}"/>
    <cellStyle name="常规 67 9" xfId="3154" xr:uid="{00000000-0005-0000-0000-0000820C0000}"/>
    <cellStyle name="常规 68" xfId="3156" xr:uid="{00000000-0005-0000-0000-0000840C0000}"/>
    <cellStyle name="常规 68 2" xfId="284" xr:uid="{00000000-0005-0000-0000-00004C010000}"/>
    <cellStyle name="常规 68 2 2" xfId="2082" xr:uid="{00000000-0005-0000-0000-000052080000}"/>
    <cellStyle name="常规 68 3" xfId="288" xr:uid="{00000000-0005-0000-0000-000050010000}"/>
    <cellStyle name="常规 69" xfId="3158" xr:uid="{00000000-0005-0000-0000-0000860C0000}"/>
    <cellStyle name="常规 69 2" xfId="330" xr:uid="{00000000-0005-0000-0000-00007A010000}"/>
    <cellStyle name="常规 69 2 2" xfId="3012" xr:uid="{00000000-0005-0000-0000-0000F40B0000}"/>
    <cellStyle name="常规 69 3" xfId="338" xr:uid="{00000000-0005-0000-0000-000082010000}"/>
    <cellStyle name="常规 7" xfId="3159" xr:uid="{00000000-0005-0000-0000-0000870C0000}"/>
    <cellStyle name="常规 7 10" xfId="3160" xr:uid="{00000000-0005-0000-0000-0000880C0000}"/>
    <cellStyle name="常规 7 11" xfId="3161" xr:uid="{00000000-0005-0000-0000-0000890C0000}"/>
    <cellStyle name="常规 7 12" xfId="3162" xr:uid="{00000000-0005-0000-0000-00008A0C0000}"/>
    <cellStyle name="常规 7 13" xfId="3163" xr:uid="{00000000-0005-0000-0000-00008B0C0000}"/>
    <cellStyle name="常规 7 14" xfId="3164" xr:uid="{00000000-0005-0000-0000-00008C0C0000}"/>
    <cellStyle name="常规 7 15" xfId="3165" xr:uid="{00000000-0005-0000-0000-00008D0C0000}"/>
    <cellStyle name="常规 7 16" xfId="3166" xr:uid="{00000000-0005-0000-0000-00008E0C0000}"/>
    <cellStyle name="常规 7 17" xfId="3167" xr:uid="{00000000-0005-0000-0000-00008F0C0000}"/>
    <cellStyle name="常规 7 17 2" xfId="366" xr:uid="{00000000-0005-0000-0000-00009E010000}"/>
    <cellStyle name="常规 7 17 2 2" xfId="3168" xr:uid="{00000000-0005-0000-0000-0000900C0000}"/>
    <cellStyle name="常规 7 17 3" xfId="374" xr:uid="{00000000-0005-0000-0000-0000A6010000}"/>
    <cellStyle name="常规 7 18" xfId="3170" xr:uid="{00000000-0005-0000-0000-0000920C0000}"/>
    <cellStyle name="常规 7 19" xfId="3172" xr:uid="{00000000-0005-0000-0000-0000940C0000}"/>
    <cellStyle name="常规 7 2" xfId="3173" xr:uid="{00000000-0005-0000-0000-0000950C0000}"/>
    <cellStyle name="常规 7 2 2" xfId="3174" xr:uid="{00000000-0005-0000-0000-0000960C0000}"/>
    <cellStyle name="常规 7 2 3" xfId="3175" xr:uid="{00000000-0005-0000-0000-0000970C0000}"/>
    <cellStyle name="常规 7 2 4" xfId="3176" xr:uid="{00000000-0005-0000-0000-0000980C0000}"/>
    <cellStyle name="常规 7 2 4 2" xfId="3177" xr:uid="{00000000-0005-0000-0000-0000990C0000}"/>
    <cellStyle name="常规 7 3" xfId="3178" xr:uid="{00000000-0005-0000-0000-00009A0C0000}"/>
    <cellStyle name="常规 7 3 2" xfId="3179" xr:uid="{00000000-0005-0000-0000-00009B0C0000}"/>
    <cellStyle name="常规 7 3 3" xfId="3180" xr:uid="{00000000-0005-0000-0000-00009C0C0000}"/>
    <cellStyle name="常规 7 4" xfId="862" xr:uid="{00000000-0005-0000-0000-00008E030000}"/>
    <cellStyle name="常规 7 4 2" xfId="866" xr:uid="{00000000-0005-0000-0000-000092030000}"/>
    <cellStyle name="常规 7 4 3" xfId="3181" xr:uid="{00000000-0005-0000-0000-00009D0C0000}"/>
    <cellStyle name="常规 7 5" xfId="868" xr:uid="{00000000-0005-0000-0000-000094030000}"/>
    <cellStyle name="常规 7 6" xfId="3182" xr:uid="{00000000-0005-0000-0000-00009E0C0000}"/>
    <cellStyle name="常规 7 7" xfId="3183" xr:uid="{00000000-0005-0000-0000-00009F0C0000}"/>
    <cellStyle name="常规 7 8" xfId="3184" xr:uid="{00000000-0005-0000-0000-0000A00C0000}"/>
    <cellStyle name="常规 7 9" xfId="3185" xr:uid="{00000000-0005-0000-0000-0000A10C0000}"/>
    <cellStyle name="常规 70" xfId="3132" xr:uid="{00000000-0005-0000-0000-00006C0C0000}"/>
    <cellStyle name="常规 70 10" xfId="622" xr:uid="{00000000-0005-0000-0000-00009E020000}"/>
    <cellStyle name="常规 70 11" xfId="3188" xr:uid="{00000000-0005-0000-0000-0000A40C0000}"/>
    <cellStyle name="常规 70 12" xfId="3189" xr:uid="{00000000-0005-0000-0000-0000A50C0000}"/>
    <cellStyle name="常规 70 13" xfId="3190" xr:uid="{00000000-0005-0000-0000-0000A60C0000}"/>
    <cellStyle name="常规 70 14" xfId="3191" xr:uid="{00000000-0005-0000-0000-0000A70C0000}"/>
    <cellStyle name="常规 70 15" xfId="3192" xr:uid="{00000000-0005-0000-0000-0000A80C0000}"/>
    <cellStyle name="常规 70 16" xfId="358" xr:uid="{00000000-0005-0000-0000-000096010000}"/>
    <cellStyle name="常规 70 16 2" xfId="360" xr:uid="{00000000-0005-0000-0000-000098010000}"/>
    <cellStyle name="常规 70 16 2 2" xfId="3193" xr:uid="{00000000-0005-0000-0000-0000A90C0000}"/>
    <cellStyle name="常规 70 16 3" xfId="2859" xr:uid="{00000000-0005-0000-0000-00005B0B0000}"/>
    <cellStyle name="常规 70 17" xfId="364" xr:uid="{00000000-0005-0000-0000-00009C010000}"/>
    <cellStyle name="常规 70 2" xfId="98" xr:uid="{00000000-0005-0000-0000-000092000000}"/>
    <cellStyle name="常规 70 2 2" xfId="822" xr:uid="{00000000-0005-0000-0000-000066030000}"/>
    <cellStyle name="常规 70 3" xfId="134" xr:uid="{00000000-0005-0000-0000-0000B6000000}"/>
    <cellStyle name="常规 70 4" xfId="144" xr:uid="{00000000-0005-0000-0000-0000C0000000}"/>
    <cellStyle name="常规 70 5" xfId="3194" xr:uid="{00000000-0005-0000-0000-0000AA0C0000}"/>
    <cellStyle name="常规 70 6" xfId="3195" xr:uid="{00000000-0005-0000-0000-0000AB0C0000}"/>
    <cellStyle name="常规 70 7" xfId="3196" xr:uid="{00000000-0005-0000-0000-0000AC0C0000}"/>
    <cellStyle name="常规 70 8" xfId="3197" xr:uid="{00000000-0005-0000-0000-0000AD0C0000}"/>
    <cellStyle name="常规 70 9" xfId="3198" xr:uid="{00000000-0005-0000-0000-0000AE0C0000}"/>
    <cellStyle name="常规 71" xfId="916" xr:uid="{00000000-0005-0000-0000-0000C4030000}"/>
    <cellStyle name="常规 71 2" xfId="188" xr:uid="{00000000-0005-0000-0000-0000EC000000}"/>
    <cellStyle name="常规 71 2 2" xfId="1282" xr:uid="{00000000-0005-0000-0000-000032050000}"/>
    <cellStyle name="常规 71 3" xfId="193" xr:uid="{00000000-0005-0000-0000-0000F1000000}"/>
    <cellStyle name="常规 72" xfId="919" xr:uid="{00000000-0005-0000-0000-0000C7030000}"/>
    <cellStyle name="常规 72 2" xfId="163" xr:uid="{00000000-0005-0000-0000-0000D3000000}"/>
    <cellStyle name="常规 72 2 2" xfId="2563" xr:uid="{00000000-0005-0000-0000-0000330A0000}"/>
    <cellStyle name="常规 72 3" xfId="244" xr:uid="{00000000-0005-0000-0000-000024010000}"/>
    <cellStyle name="常规 73" xfId="3155" xr:uid="{00000000-0005-0000-0000-0000830C0000}"/>
    <cellStyle name="常规 73 2" xfId="283" xr:uid="{00000000-0005-0000-0000-00004B010000}"/>
    <cellStyle name="常规 73 2 2" xfId="2081" xr:uid="{00000000-0005-0000-0000-000051080000}"/>
    <cellStyle name="常规 73 3" xfId="287" xr:uid="{00000000-0005-0000-0000-00004F010000}"/>
    <cellStyle name="常规 74" xfId="3157" xr:uid="{00000000-0005-0000-0000-0000850C0000}"/>
    <cellStyle name="常规 74 2" xfId="329" xr:uid="{00000000-0005-0000-0000-000079010000}"/>
    <cellStyle name="常规 74 2 2" xfId="3011" xr:uid="{00000000-0005-0000-0000-0000F30B0000}"/>
    <cellStyle name="常规 74 3" xfId="337" xr:uid="{00000000-0005-0000-0000-000081010000}"/>
    <cellStyle name="常规 75" xfId="810" xr:uid="{00000000-0005-0000-0000-00005A030000}"/>
    <cellStyle name="常规 75 2" xfId="401" xr:uid="{00000000-0005-0000-0000-0000C1010000}"/>
    <cellStyle name="常规 75 2 2" xfId="1642" xr:uid="{00000000-0005-0000-0000-00009A060000}"/>
    <cellStyle name="常规 75 3" xfId="406" xr:uid="{00000000-0005-0000-0000-0000C6010000}"/>
    <cellStyle name="常规 76" xfId="3200" xr:uid="{00000000-0005-0000-0000-0000B00C0000}"/>
    <cellStyle name="常规 76 2" xfId="3202" xr:uid="{00000000-0005-0000-0000-0000B20C0000}"/>
    <cellStyle name="常规 76 2 2" xfId="3187" xr:uid="{00000000-0005-0000-0000-0000A30C0000}"/>
    <cellStyle name="常规 76 3" xfId="3204" xr:uid="{00000000-0005-0000-0000-0000B40C0000}"/>
    <cellStyle name="常规 77" xfId="3206" xr:uid="{00000000-0005-0000-0000-0000B60C0000}"/>
    <cellStyle name="常规 77 2" xfId="3208" xr:uid="{00000000-0005-0000-0000-0000B80C0000}"/>
    <cellStyle name="常规 77 2 2" xfId="1471" xr:uid="{00000000-0005-0000-0000-0000EF050000}"/>
    <cellStyle name="常规 77 3" xfId="3210" xr:uid="{00000000-0005-0000-0000-0000BA0C0000}"/>
    <cellStyle name="常规 78" xfId="3212" xr:uid="{00000000-0005-0000-0000-0000BC0C0000}"/>
    <cellStyle name="常规 78 2" xfId="3214" xr:uid="{00000000-0005-0000-0000-0000BE0C0000}"/>
    <cellStyle name="常规 78 2 2" xfId="3217" xr:uid="{00000000-0005-0000-0000-0000C10C0000}"/>
    <cellStyle name="常规 78 3" xfId="3219" xr:uid="{00000000-0005-0000-0000-0000C30C0000}"/>
    <cellStyle name="常规 79" xfId="3221" xr:uid="{00000000-0005-0000-0000-0000C50C0000}"/>
    <cellStyle name="常规 79 2" xfId="3223" xr:uid="{00000000-0005-0000-0000-0000C70C0000}"/>
    <cellStyle name="常规 79 2 2" xfId="3226" xr:uid="{00000000-0005-0000-0000-0000CA0C0000}"/>
    <cellStyle name="常规 79 3" xfId="3228" xr:uid="{00000000-0005-0000-0000-0000CC0C0000}"/>
    <cellStyle name="常规 8" xfId="3229" xr:uid="{00000000-0005-0000-0000-0000CD0C0000}"/>
    <cellStyle name="常规 8 10" xfId="3230" xr:uid="{00000000-0005-0000-0000-0000CE0C0000}"/>
    <cellStyle name="常规 8 11" xfId="3231" xr:uid="{00000000-0005-0000-0000-0000CF0C0000}"/>
    <cellStyle name="常规 8 12" xfId="3232" xr:uid="{00000000-0005-0000-0000-0000D00C0000}"/>
    <cellStyle name="常规 8 13" xfId="3233" xr:uid="{00000000-0005-0000-0000-0000D10C0000}"/>
    <cellStyle name="常规 8 14" xfId="3234" xr:uid="{00000000-0005-0000-0000-0000D20C0000}"/>
    <cellStyle name="常规 8 15" xfId="3235" xr:uid="{00000000-0005-0000-0000-0000D30C0000}"/>
    <cellStyle name="常规 8 16" xfId="3236" xr:uid="{00000000-0005-0000-0000-0000D40C0000}"/>
    <cellStyle name="常规 8 17" xfId="3237" xr:uid="{00000000-0005-0000-0000-0000D50C0000}"/>
    <cellStyle name="常规 8 17 2" xfId="3238" xr:uid="{00000000-0005-0000-0000-0000D60C0000}"/>
    <cellStyle name="常规 8 17 2 2" xfId="3239" xr:uid="{00000000-0005-0000-0000-0000D70C0000}"/>
    <cellStyle name="常规 8 17 3" xfId="3240" xr:uid="{00000000-0005-0000-0000-0000D80C0000}"/>
    <cellStyle name="常规 8 18" xfId="3241" xr:uid="{00000000-0005-0000-0000-0000D90C0000}"/>
    <cellStyle name="常规 8 18 2" xfId="3242" xr:uid="{00000000-0005-0000-0000-0000DA0C0000}"/>
    <cellStyle name="常规 8 18 3" xfId="3243" xr:uid="{00000000-0005-0000-0000-0000DB0C0000}"/>
    <cellStyle name="常规 8 18 4" xfId="3244" xr:uid="{00000000-0005-0000-0000-0000DC0C0000}"/>
    <cellStyle name="常规 8 19" xfId="3245" xr:uid="{00000000-0005-0000-0000-0000DD0C0000}"/>
    <cellStyle name="常规 8 2" xfId="3247" xr:uid="{00000000-0005-0000-0000-0000DF0C0000}"/>
    <cellStyle name="常规 8 2 2" xfId="2338" xr:uid="{00000000-0005-0000-0000-000052090000}"/>
    <cellStyle name="常规 8 2 3" xfId="2341" xr:uid="{00000000-0005-0000-0000-000055090000}"/>
    <cellStyle name="常规 8 2 4" xfId="2372" xr:uid="{00000000-0005-0000-0000-000074090000}"/>
    <cellStyle name="常规 8 2 4 2" xfId="3248" xr:uid="{00000000-0005-0000-0000-0000E00C0000}"/>
    <cellStyle name="常规 8 2 5" xfId="2375" xr:uid="{00000000-0005-0000-0000-000077090000}"/>
    <cellStyle name="常规 8 3" xfId="3250" xr:uid="{00000000-0005-0000-0000-0000E20C0000}"/>
    <cellStyle name="常规 8 3 2" xfId="2499" xr:uid="{00000000-0005-0000-0000-0000F3090000}"/>
    <cellStyle name="常规 8 3 3" xfId="2502" xr:uid="{00000000-0005-0000-0000-0000F6090000}"/>
    <cellStyle name="常规 8 4" xfId="801" xr:uid="{00000000-0005-0000-0000-000051030000}"/>
    <cellStyle name="常规 8 5" xfId="876" xr:uid="{00000000-0005-0000-0000-00009C030000}"/>
    <cellStyle name="常规 8 6" xfId="591" xr:uid="{00000000-0005-0000-0000-00007F020000}"/>
    <cellStyle name="常规 8 7" xfId="3251" xr:uid="{00000000-0005-0000-0000-0000E30C0000}"/>
    <cellStyle name="常规 8 8" xfId="3252" xr:uid="{00000000-0005-0000-0000-0000E40C0000}"/>
    <cellStyle name="常规 8 9" xfId="3074" xr:uid="{00000000-0005-0000-0000-0000320C0000}"/>
    <cellStyle name="常规 80" xfId="809" xr:uid="{00000000-0005-0000-0000-000059030000}"/>
    <cellStyle name="常规 80 10" xfId="1452" xr:uid="{00000000-0005-0000-0000-0000DC050000}"/>
    <cellStyle name="常规 80 11" xfId="1470" xr:uid="{00000000-0005-0000-0000-0000EE050000}"/>
    <cellStyle name="常规 80 12" xfId="1483" xr:uid="{00000000-0005-0000-0000-0000FB050000}"/>
    <cellStyle name="常规 80 13" xfId="1494" xr:uid="{00000000-0005-0000-0000-000006060000}"/>
    <cellStyle name="常规 80 14" xfId="1565" xr:uid="{00000000-0005-0000-0000-00004D060000}"/>
    <cellStyle name="常规 80 15" xfId="1571" xr:uid="{00000000-0005-0000-0000-000053060000}"/>
    <cellStyle name="常规 80 16" xfId="1576" xr:uid="{00000000-0005-0000-0000-000058060000}"/>
    <cellStyle name="常规 80 16 2" xfId="1673" xr:uid="{00000000-0005-0000-0000-0000B9060000}"/>
    <cellStyle name="常规 80 16 2 2" xfId="794" xr:uid="{00000000-0005-0000-0000-00004A030000}"/>
    <cellStyle name="常规 80 16 3" xfId="1677" xr:uid="{00000000-0005-0000-0000-0000BD060000}"/>
    <cellStyle name="常规 80 17" xfId="1581" xr:uid="{00000000-0005-0000-0000-00005D060000}"/>
    <cellStyle name="常规 80 2" xfId="400" xr:uid="{00000000-0005-0000-0000-0000C0010000}"/>
    <cellStyle name="常规 80 2 2" xfId="1641" xr:uid="{00000000-0005-0000-0000-000099060000}"/>
    <cellStyle name="常规 80 3" xfId="405" xr:uid="{00000000-0005-0000-0000-0000C5010000}"/>
    <cellStyle name="常规 80 4" xfId="418" xr:uid="{00000000-0005-0000-0000-0000D2010000}"/>
    <cellStyle name="常规 80 5" xfId="3253" xr:uid="{00000000-0005-0000-0000-0000E50C0000}"/>
    <cellStyle name="常规 80 6" xfId="3254" xr:uid="{00000000-0005-0000-0000-0000E60C0000}"/>
    <cellStyle name="常规 80 7" xfId="3255" xr:uid="{00000000-0005-0000-0000-0000E70C0000}"/>
    <cellStyle name="常规 80 8" xfId="3256" xr:uid="{00000000-0005-0000-0000-0000E80C0000}"/>
    <cellStyle name="常规 80 9" xfId="3257" xr:uid="{00000000-0005-0000-0000-0000E90C0000}"/>
    <cellStyle name="常规 81" xfId="3199" xr:uid="{00000000-0005-0000-0000-0000AF0C0000}"/>
    <cellStyle name="常规 81 10" xfId="3258" xr:uid="{00000000-0005-0000-0000-0000EA0C0000}"/>
    <cellStyle name="常规 81 11" xfId="3259" xr:uid="{00000000-0005-0000-0000-0000EB0C0000}"/>
    <cellStyle name="常规 81 12" xfId="3260" xr:uid="{00000000-0005-0000-0000-0000EC0C0000}"/>
    <cellStyle name="常规 81 13" xfId="3261" xr:uid="{00000000-0005-0000-0000-0000ED0C0000}"/>
    <cellStyle name="常规 81 14" xfId="3262" xr:uid="{00000000-0005-0000-0000-0000EE0C0000}"/>
    <cellStyle name="常规 81 15" xfId="3263" xr:uid="{00000000-0005-0000-0000-0000EF0C0000}"/>
    <cellStyle name="常规 81 16" xfId="3264" xr:uid="{00000000-0005-0000-0000-0000F00C0000}"/>
    <cellStyle name="常规 81 16 2" xfId="472" xr:uid="{00000000-0005-0000-0000-000008020000}"/>
    <cellStyle name="常规 81 16 2 2" xfId="742" xr:uid="{00000000-0005-0000-0000-000016030000}"/>
    <cellStyle name="常规 81 16 3" xfId="3265" xr:uid="{00000000-0005-0000-0000-0000F10C0000}"/>
    <cellStyle name="常规 81 17" xfId="3266" xr:uid="{00000000-0005-0000-0000-0000F20C0000}"/>
    <cellStyle name="常规 81 2" xfId="3201" xr:uid="{00000000-0005-0000-0000-0000B10C0000}"/>
    <cellStyle name="常规 81 2 2" xfId="3186" xr:uid="{00000000-0005-0000-0000-0000A20C0000}"/>
    <cellStyle name="常规 81 3" xfId="3203" xr:uid="{00000000-0005-0000-0000-0000B30C0000}"/>
    <cellStyle name="常规 81 4" xfId="3267" xr:uid="{00000000-0005-0000-0000-0000F30C0000}"/>
    <cellStyle name="常规 81 5" xfId="3268" xr:uid="{00000000-0005-0000-0000-0000F40C0000}"/>
    <cellStyle name="常规 81 6" xfId="3269" xr:uid="{00000000-0005-0000-0000-0000F50C0000}"/>
    <cellStyle name="常规 81 7" xfId="3270" xr:uid="{00000000-0005-0000-0000-0000F60C0000}"/>
    <cellStyle name="常规 81 8" xfId="3271" xr:uid="{00000000-0005-0000-0000-0000F70C0000}"/>
    <cellStyle name="常规 81 9" xfId="3272" xr:uid="{00000000-0005-0000-0000-0000F80C0000}"/>
    <cellStyle name="常规 82" xfId="3205" xr:uid="{00000000-0005-0000-0000-0000B50C0000}"/>
    <cellStyle name="常规 82 10" xfId="2889" xr:uid="{00000000-0005-0000-0000-0000790B0000}"/>
    <cellStyle name="常规 82 11" xfId="4" xr:uid="{00000000-0005-0000-0000-000006000000}"/>
    <cellStyle name="常规 82 12" xfId="3007" xr:uid="{00000000-0005-0000-0000-0000EF0B0000}"/>
    <cellStyle name="常规 82 13" xfId="3035" xr:uid="{00000000-0005-0000-0000-00000B0C0000}"/>
    <cellStyle name="常规 82 14" xfId="3047" xr:uid="{00000000-0005-0000-0000-0000170C0000}"/>
    <cellStyle name="常规 82 15" xfId="3058" xr:uid="{00000000-0005-0000-0000-0000220C0000}"/>
    <cellStyle name="常规 82 16" xfId="3067" xr:uid="{00000000-0005-0000-0000-00002B0C0000}"/>
    <cellStyle name="常规 82 16 2" xfId="3070" xr:uid="{00000000-0005-0000-0000-00002E0C0000}"/>
    <cellStyle name="常规 82 16 2 2" xfId="3073" xr:uid="{00000000-0005-0000-0000-0000310C0000}"/>
    <cellStyle name="常规 82 16 3" xfId="3077" xr:uid="{00000000-0005-0000-0000-0000350C0000}"/>
    <cellStyle name="常规 82 17" xfId="3090" xr:uid="{00000000-0005-0000-0000-0000420C0000}"/>
    <cellStyle name="常规 82 2" xfId="3207" xr:uid="{00000000-0005-0000-0000-0000B70C0000}"/>
    <cellStyle name="常规 82 2 2" xfId="1469" xr:uid="{00000000-0005-0000-0000-0000ED050000}"/>
    <cellStyle name="常规 82 3" xfId="3209" xr:uid="{00000000-0005-0000-0000-0000B90C0000}"/>
    <cellStyle name="常规 82 4" xfId="3274" xr:uid="{00000000-0005-0000-0000-0000FA0C0000}"/>
    <cellStyle name="常规 82 5" xfId="3276" xr:uid="{00000000-0005-0000-0000-0000FC0C0000}"/>
    <cellStyle name="常规 82 6" xfId="3278" xr:uid="{00000000-0005-0000-0000-0000FE0C0000}"/>
    <cellStyle name="常规 82 7" xfId="3279" xr:uid="{00000000-0005-0000-0000-0000FF0C0000}"/>
    <cellStyle name="常规 82 8" xfId="3280" xr:uid="{00000000-0005-0000-0000-0000000D0000}"/>
    <cellStyle name="常规 82 9" xfId="3281" xr:uid="{00000000-0005-0000-0000-0000010D0000}"/>
    <cellStyle name="常规 83" xfId="3211" xr:uid="{00000000-0005-0000-0000-0000BB0C0000}"/>
    <cellStyle name="常规 83 10" xfId="13" xr:uid="{00000000-0005-0000-0000-000018000000}"/>
    <cellStyle name="常规 83 11" xfId="834" xr:uid="{00000000-0005-0000-0000-000072030000}"/>
    <cellStyle name="常规 83 12" xfId="3282" xr:uid="{00000000-0005-0000-0000-0000020D0000}"/>
    <cellStyle name="常规 83 13" xfId="3283" xr:uid="{00000000-0005-0000-0000-0000030D0000}"/>
    <cellStyle name="常规 83 14" xfId="3284" xr:uid="{00000000-0005-0000-0000-0000040D0000}"/>
    <cellStyle name="常规 83 15" xfId="3285" xr:uid="{00000000-0005-0000-0000-0000050D0000}"/>
    <cellStyle name="常规 83 16" xfId="685" xr:uid="{00000000-0005-0000-0000-0000DD020000}"/>
    <cellStyle name="常规 83 16 2" xfId="3286" xr:uid="{00000000-0005-0000-0000-0000060D0000}"/>
    <cellStyle name="常规 83 16 2 2" xfId="3287" xr:uid="{00000000-0005-0000-0000-0000070D0000}"/>
    <cellStyle name="常规 83 16 3" xfId="3288" xr:uid="{00000000-0005-0000-0000-0000080D0000}"/>
    <cellStyle name="常规 83 17" xfId="3289" xr:uid="{00000000-0005-0000-0000-0000090D0000}"/>
    <cellStyle name="常规 83 2" xfId="3213" xr:uid="{00000000-0005-0000-0000-0000BD0C0000}"/>
    <cellStyle name="常规 83 2 2" xfId="3216" xr:uid="{00000000-0005-0000-0000-0000C00C0000}"/>
    <cellStyle name="常规 83 3" xfId="3218" xr:uid="{00000000-0005-0000-0000-0000C20C0000}"/>
    <cellStyle name="常规 83 3 2" xfId="3290" xr:uid="{00000000-0005-0000-0000-00000A0D0000}"/>
    <cellStyle name="常规 83 3 3" xfId="306" xr:uid="{00000000-0005-0000-0000-000062010000}"/>
    <cellStyle name="常规 83 4" xfId="3291" xr:uid="{00000000-0005-0000-0000-00000B0D0000}"/>
    <cellStyle name="常规 83 5" xfId="3292" xr:uid="{00000000-0005-0000-0000-00000C0D0000}"/>
    <cellStyle name="常规 83 6" xfId="3294" xr:uid="{00000000-0005-0000-0000-00000E0D0000}"/>
    <cellStyle name="常规 83 7" xfId="3296" xr:uid="{00000000-0005-0000-0000-0000100D0000}"/>
    <cellStyle name="常规 83 8" xfId="3298" xr:uid="{00000000-0005-0000-0000-0000120D0000}"/>
    <cellStyle name="常规 83 9" xfId="3299" xr:uid="{00000000-0005-0000-0000-0000130D0000}"/>
    <cellStyle name="常规 84" xfId="3220" xr:uid="{00000000-0005-0000-0000-0000C40C0000}"/>
    <cellStyle name="常规 84 10" xfId="3300" xr:uid="{00000000-0005-0000-0000-0000140D0000}"/>
    <cellStyle name="常规 84 11" xfId="3301" xr:uid="{00000000-0005-0000-0000-0000150D0000}"/>
    <cellStyle name="常规 84 12" xfId="3302" xr:uid="{00000000-0005-0000-0000-0000160D0000}"/>
    <cellStyle name="常规 84 13" xfId="3304" xr:uid="{00000000-0005-0000-0000-0000180D0000}"/>
    <cellStyle name="常规 84 14" xfId="1182" xr:uid="{00000000-0005-0000-0000-0000CE040000}"/>
    <cellStyle name="常规 84 15" xfId="3305" xr:uid="{00000000-0005-0000-0000-0000190D0000}"/>
    <cellStyle name="常规 84 16" xfId="3306" xr:uid="{00000000-0005-0000-0000-00001A0D0000}"/>
    <cellStyle name="常规 84 16 2" xfId="3307" xr:uid="{00000000-0005-0000-0000-00001B0D0000}"/>
    <cellStyle name="常规 84 16 2 2" xfId="3308" xr:uid="{00000000-0005-0000-0000-00001C0D0000}"/>
    <cellStyle name="常规 84 16 3" xfId="3309" xr:uid="{00000000-0005-0000-0000-00001D0D0000}"/>
    <cellStyle name="常规 84 17" xfId="3310" xr:uid="{00000000-0005-0000-0000-00001E0D0000}"/>
    <cellStyle name="常规 84 2" xfId="3222" xr:uid="{00000000-0005-0000-0000-0000C60C0000}"/>
    <cellStyle name="常规 84 2 2" xfId="3225" xr:uid="{00000000-0005-0000-0000-0000C90C0000}"/>
    <cellStyle name="常规 84 3" xfId="3227" xr:uid="{00000000-0005-0000-0000-0000CB0C0000}"/>
    <cellStyle name="常规 84 4" xfId="3311" xr:uid="{00000000-0005-0000-0000-00001F0D0000}"/>
    <cellStyle name="常规 84 5" xfId="3312" xr:uid="{00000000-0005-0000-0000-0000200D0000}"/>
    <cellStyle name="常规 84 6" xfId="3313" xr:uid="{00000000-0005-0000-0000-0000210D0000}"/>
    <cellStyle name="常规 84 7" xfId="3314" xr:uid="{00000000-0005-0000-0000-0000220D0000}"/>
    <cellStyle name="常规 84 8" xfId="3315" xr:uid="{00000000-0005-0000-0000-0000230D0000}"/>
    <cellStyle name="常规 84 9" xfId="3316" xr:uid="{00000000-0005-0000-0000-0000240D0000}"/>
    <cellStyle name="常规 85" xfId="47" xr:uid="{00000000-0005-0000-0000-000047000000}"/>
    <cellStyle name="常规 85 10" xfId="3317" xr:uid="{00000000-0005-0000-0000-0000250D0000}"/>
    <cellStyle name="常规 85 11" xfId="3215" xr:uid="{00000000-0005-0000-0000-0000BF0C0000}"/>
    <cellStyle name="常规 85 12" xfId="3318" xr:uid="{00000000-0005-0000-0000-0000260D0000}"/>
    <cellStyle name="常规 85 13" xfId="3319" xr:uid="{00000000-0005-0000-0000-0000270D0000}"/>
    <cellStyle name="常规 85 14" xfId="3320" xr:uid="{00000000-0005-0000-0000-0000280D0000}"/>
    <cellStyle name="常规 85 15" xfId="812" xr:uid="{00000000-0005-0000-0000-00005C030000}"/>
    <cellStyle name="常规 85 16" xfId="3321" xr:uid="{00000000-0005-0000-0000-0000290D0000}"/>
    <cellStyle name="常规 85 16 2" xfId="3322" xr:uid="{00000000-0005-0000-0000-00002A0D0000}"/>
    <cellStyle name="常规 85 16 2 2" xfId="2561" xr:uid="{00000000-0005-0000-0000-0000310A0000}"/>
    <cellStyle name="常规 85 16 3" xfId="3323" xr:uid="{00000000-0005-0000-0000-00002B0D0000}"/>
    <cellStyle name="常规 85 17" xfId="3324" xr:uid="{00000000-0005-0000-0000-00002C0D0000}"/>
    <cellStyle name="常规 85 2" xfId="3327" xr:uid="{00000000-0005-0000-0000-00002F0D0000}"/>
    <cellStyle name="常规 85 2 2" xfId="3330" xr:uid="{00000000-0005-0000-0000-0000320D0000}"/>
    <cellStyle name="常规 85 3" xfId="3333" xr:uid="{00000000-0005-0000-0000-0000350D0000}"/>
    <cellStyle name="常规 85 4" xfId="3335" xr:uid="{00000000-0005-0000-0000-0000370D0000}"/>
    <cellStyle name="常规 85 5" xfId="3337" xr:uid="{00000000-0005-0000-0000-0000390D0000}"/>
    <cellStyle name="常规 85 6" xfId="3339" xr:uid="{00000000-0005-0000-0000-00003B0D0000}"/>
    <cellStyle name="常规 85 7" xfId="3341" xr:uid="{00000000-0005-0000-0000-00003D0D0000}"/>
    <cellStyle name="常规 85 8" xfId="3343" xr:uid="{00000000-0005-0000-0000-00003F0D0000}"/>
    <cellStyle name="常规 85 9" xfId="3345" xr:uid="{00000000-0005-0000-0000-0000410D0000}"/>
    <cellStyle name="常规 86" xfId="3347" xr:uid="{00000000-0005-0000-0000-0000430D0000}"/>
    <cellStyle name="常规 86 10" xfId="3349" xr:uid="{00000000-0005-0000-0000-0000450D0000}"/>
    <cellStyle name="常规 86 11" xfId="3352" xr:uid="{00000000-0005-0000-0000-0000480D0000}"/>
    <cellStyle name="常规 86 12" xfId="3354" xr:uid="{00000000-0005-0000-0000-00004A0D0000}"/>
    <cellStyle name="常规 86 13" xfId="3356" xr:uid="{00000000-0005-0000-0000-00004C0D0000}"/>
    <cellStyle name="常规 86 14" xfId="3358" xr:uid="{00000000-0005-0000-0000-00004E0D0000}"/>
    <cellStyle name="常规 86 15" xfId="3360" xr:uid="{00000000-0005-0000-0000-0000500D0000}"/>
    <cellStyle name="常规 86 16" xfId="3362" xr:uid="{00000000-0005-0000-0000-0000520D0000}"/>
    <cellStyle name="常规 86 16 2" xfId="3364" xr:uid="{00000000-0005-0000-0000-0000540D0000}"/>
    <cellStyle name="常规 86 16 2 2" xfId="3366" xr:uid="{00000000-0005-0000-0000-0000560D0000}"/>
    <cellStyle name="常规 86 16 3" xfId="3368" xr:uid="{00000000-0005-0000-0000-0000580D0000}"/>
    <cellStyle name="常规 86 17" xfId="3370" xr:uid="{00000000-0005-0000-0000-00005A0D0000}"/>
    <cellStyle name="常规 86 2" xfId="3373" xr:uid="{00000000-0005-0000-0000-00005D0D0000}"/>
    <cellStyle name="常规 86 2 2" xfId="3376" xr:uid="{00000000-0005-0000-0000-0000600D0000}"/>
    <cellStyle name="常规 86 3" xfId="3378" xr:uid="{00000000-0005-0000-0000-0000620D0000}"/>
    <cellStyle name="常规 86 4" xfId="3380" xr:uid="{00000000-0005-0000-0000-0000640D0000}"/>
    <cellStyle name="常规 86 5" xfId="3382" xr:uid="{00000000-0005-0000-0000-0000660D0000}"/>
    <cellStyle name="常规 86 6" xfId="3384" xr:uid="{00000000-0005-0000-0000-0000680D0000}"/>
    <cellStyle name="常规 86 7" xfId="3386" xr:uid="{00000000-0005-0000-0000-00006A0D0000}"/>
    <cellStyle name="常规 86 8" xfId="3388" xr:uid="{00000000-0005-0000-0000-00006C0D0000}"/>
    <cellStyle name="常规 86 9" xfId="3390" xr:uid="{00000000-0005-0000-0000-00006E0D0000}"/>
    <cellStyle name="常规 87" xfId="3392" xr:uid="{00000000-0005-0000-0000-0000700D0000}"/>
    <cellStyle name="常规 87 2" xfId="463" xr:uid="{00000000-0005-0000-0000-0000FF010000}"/>
    <cellStyle name="常规 87 2 2" xfId="3393" xr:uid="{00000000-0005-0000-0000-0000710D0000}"/>
    <cellStyle name="常规 87 3" xfId="109" xr:uid="{00000000-0005-0000-0000-00009D000000}"/>
    <cellStyle name="常规 87 4" xfId="92" xr:uid="{00000000-0005-0000-0000-00008C000000}"/>
    <cellStyle name="常规 87 4 2" xfId="104" xr:uid="{00000000-0005-0000-0000-000098000000}"/>
    <cellStyle name="常规 87 4 2 2" xfId="106" xr:uid="{00000000-0005-0000-0000-00009A000000}"/>
    <cellStyle name="常规 87 4 3" xfId="112" xr:uid="{00000000-0005-0000-0000-0000A0000000}"/>
    <cellStyle name="常规 87 5" xfId="116" xr:uid="{00000000-0005-0000-0000-0000A4000000}"/>
    <cellStyle name="常规 87 6" xfId="120" xr:uid="{00000000-0005-0000-0000-0000A8000000}"/>
    <cellStyle name="常规 87 6 2" xfId="125" xr:uid="{00000000-0005-0000-0000-0000AD000000}"/>
    <cellStyle name="常规 87 7" xfId="129" xr:uid="{00000000-0005-0000-0000-0000B1000000}"/>
    <cellStyle name="常规 88" xfId="3395" xr:uid="{00000000-0005-0000-0000-0000730D0000}"/>
    <cellStyle name="常规 88 10" xfId="2777" xr:uid="{00000000-0005-0000-0000-0000090B0000}"/>
    <cellStyle name="常规 88 11" xfId="2577" xr:uid="{00000000-0005-0000-0000-0000410A0000}"/>
    <cellStyle name="常规 88 12" xfId="3397" xr:uid="{00000000-0005-0000-0000-0000750D0000}"/>
    <cellStyle name="常规 88 13" xfId="3399" xr:uid="{00000000-0005-0000-0000-0000770D0000}"/>
    <cellStyle name="常规 88 14" xfId="456" xr:uid="{00000000-0005-0000-0000-0000F8010000}"/>
    <cellStyle name="常规 88 15" xfId="659" xr:uid="{00000000-0005-0000-0000-0000C3020000}"/>
    <cellStyle name="常规 88 16" xfId="662" xr:uid="{00000000-0005-0000-0000-0000C6020000}"/>
    <cellStyle name="常规 88 16 2" xfId="3401" xr:uid="{00000000-0005-0000-0000-0000790D0000}"/>
    <cellStyle name="常规 88 16 2 2" xfId="3403" xr:uid="{00000000-0005-0000-0000-00007B0D0000}"/>
    <cellStyle name="常规 88 16 3" xfId="3405" xr:uid="{00000000-0005-0000-0000-00007D0D0000}"/>
    <cellStyle name="常规 88 17" xfId="666" xr:uid="{00000000-0005-0000-0000-0000CA020000}"/>
    <cellStyle name="常规 88 2" xfId="3407" xr:uid="{00000000-0005-0000-0000-00007F0D0000}"/>
    <cellStyle name="常规 88 2 2" xfId="3409" xr:uid="{00000000-0005-0000-0000-0000810D0000}"/>
    <cellStyle name="常规 88 3" xfId="3411" xr:uid="{00000000-0005-0000-0000-0000830D0000}"/>
    <cellStyle name="常规 88 4" xfId="3413" xr:uid="{00000000-0005-0000-0000-0000850D0000}"/>
    <cellStyle name="常规 88 5" xfId="3415" xr:uid="{00000000-0005-0000-0000-0000870D0000}"/>
    <cellStyle name="常规 88 6" xfId="3135" xr:uid="{00000000-0005-0000-0000-00006F0C0000}"/>
    <cellStyle name="常规 88 7" xfId="3138" xr:uid="{00000000-0005-0000-0000-0000720C0000}"/>
    <cellStyle name="常规 88 8" xfId="3141" xr:uid="{00000000-0005-0000-0000-0000750C0000}"/>
    <cellStyle name="常规 88 9" xfId="3144" xr:uid="{00000000-0005-0000-0000-0000780C0000}"/>
    <cellStyle name="常规 89" xfId="3417" xr:uid="{00000000-0005-0000-0000-0000890D0000}"/>
    <cellStyle name="常规 9" xfId="3418" xr:uid="{00000000-0005-0000-0000-00008A0D0000}"/>
    <cellStyle name="常规 9 10" xfId="3419" xr:uid="{00000000-0005-0000-0000-00008B0D0000}"/>
    <cellStyle name="常规 9 10 2" xfId="3420" xr:uid="{00000000-0005-0000-0000-00008C0D0000}"/>
    <cellStyle name="常规 9 10 3" xfId="3421" xr:uid="{00000000-0005-0000-0000-00008D0D0000}"/>
    <cellStyle name="常规 9 11" xfId="1523" xr:uid="{00000000-0005-0000-0000-000023060000}"/>
    <cellStyle name="常规 9 12" xfId="1134" xr:uid="{00000000-0005-0000-0000-00009E040000}"/>
    <cellStyle name="常规 9 13" xfId="1139" xr:uid="{00000000-0005-0000-0000-0000A3040000}"/>
    <cellStyle name="常规 9 14" xfId="1142" xr:uid="{00000000-0005-0000-0000-0000A6040000}"/>
    <cellStyle name="常规 9 15" xfId="3422" xr:uid="{00000000-0005-0000-0000-00008E0D0000}"/>
    <cellStyle name="常规 9 16" xfId="3423" xr:uid="{00000000-0005-0000-0000-00008F0D0000}"/>
    <cellStyle name="常规 9 17" xfId="3424" xr:uid="{00000000-0005-0000-0000-0000900D0000}"/>
    <cellStyle name="常规 9 17 2" xfId="3425" xr:uid="{00000000-0005-0000-0000-0000910D0000}"/>
    <cellStyle name="常规 9 17 2 2" xfId="3426" xr:uid="{00000000-0005-0000-0000-0000920D0000}"/>
    <cellStyle name="常规 9 17 3" xfId="3427" xr:uid="{00000000-0005-0000-0000-0000930D0000}"/>
    <cellStyle name="常规 9 18" xfId="3428" xr:uid="{00000000-0005-0000-0000-0000940D0000}"/>
    <cellStyle name="常规 9 2" xfId="291" xr:uid="{00000000-0005-0000-0000-000053010000}"/>
    <cellStyle name="常规 9 2 2" xfId="3430" xr:uid="{00000000-0005-0000-0000-0000960D0000}"/>
    <cellStyle name="常规 9 2 2 2" xfId="1017" xr:uid="{00000000-0005-0000-0000-000029040000}"/>
    <cellStyle name="常规 9 2 2 3" xfId="3431" xr:uid="{00000000-0005-0000-0000-0000970D0000}"/>
    <cellStyle name="常规 9 2 3" xfId="3433" xr:uid="{00000000-0005-0000-0000-0000990D0000}"/>
    <cellStyle name="常规 9 2 4" xfId="3435" xr:uid="{00000000-0005-0000-0000-00009B0D0000}"/>
    <cellStyle name="常规 9 2 4 2" xfId="1042" xr:uid="{00000000-0005-0000-0000-000042040000}"/>
    <cellStyle name="常规 9 3" xfId="433" xr:uid="{00000000-0005-0000-0000-0000E1010000}"/>
    <cellStyle name="常规 9 3 2" xfId="3436" xr:uid="{00000000-0005-0000-0000-00009C0D0000}"/>
    <cellStyle name="常规 9 3 3" xfId="3437" xr:uid="{00000000-0005-0000-0000-00009D0D0000}"/>
    <cellStyle name="常规 9 4" xfId="435" xr:uid="{00000000-0005-0000-0000-0000E3010000}"/>
    <cellStyle name="常规 9 4 2" xfId="879" xr:uid="{00000000-0005-0000-0000-00009F030000}"/>
    <cellStyle name="常规 9 4 3" xfId="3438" xr:uid="{00000000-0005-0000-0000-00009E0D0000}"/>
    <cellStyle name="常规 9 5" xfId="440" xr:uid="{00000000-0005-0000-0000-0000E8010000}"/>
    <cellStyle name="常规 9 5 2" xfId="3439" xr:uid="{00000000-0005-0000-0000-00009F0D0000}"/>
    <cellStyle name="常规 9 5 3" xfId="3440" xr:uid="{00000000-0005-0000-0000-0000A00D0000}"/>
    <cellStyle name="常规 9 6" xfId="445" xr:uid="{00000000-0005-0000-0000-0000ED010000}"/>
    <cellStyle name="常规 9 6 2" xfId="3441" xr:uid="{00000000-0005-0000-0000-0000A10D0000}"/>
    <cellStyle name="常规 9 6 3" xfId="3442" xr:uid="{00000000-0005-0000-0000-0000A20D0000}"/>
    <cellStyle name="常规 9 7" xfId="447" xr:uid="{00000000-0005-0000-0000-0000EF010000}"/>
    <cellStyle name="常规 9 7 2" xfId="41" xr:uid="{00000000-0005-0000-0000-00003D000000}"/>
    <cellStyle name="常规 9 7 3" xfId="3443" xr:uid="{00000000-0005-0000-0000-0000A30D0000}"/>
    <cellStyle name="常规 9 8" xfId="452" xr:uid="{00000000-0005-0000-0000-0000F4010000}"/>
    <cellStyle name="常规 9 8 2" xfId="3444" xr:uid="{00000000-0005-0000-0000-0000A40D0000}"/>
    <cellStyle name="常规 9 8 3" xfId="3445" xr:uid="{00000000-0005-0000-0000-0000A50D0000}"/>
    <cellStyle name="常规 9 9" xfId="3446" xr:uid="{00000000-0005-0000-0000-0000A60D0000}"/>
    <cellStyle name="常规 9 9 2" xfId="2837" xr:uid="{00000000-0005-0000-0000-0000450B0000}"/>
    <cellStyle name="常规 9 9 3" xfId="3447" xr:uid="{00000000-0005-0000-0000-0000A70D0000}"/>
    <cellStyle name="常规 90" xfId="46" xr:uid="{00000000-0005-0000-0000-000046000000}"/>
    <cellStyle name="常规 90 2" xfId="3326" xr:uid="{00000000-0005-0000-0000-00002E0D0000}"/>
    <cellStyle name="常规 90 2 2" xfId="3329" xr:uid="{00000000-0005-0000-0000-0000310D0000}"/>
    <cellStyle name="常规 90 2 2 2" xfId="2386" xr:uid="{00000000-0005-0000-0000-000082090000}"/>
    <cellStyle name="常规 90 2 2 2 2" xfId="2388" xr:uid="{00000000-0005-0000-0000-000084090000}"/>
    <cellStyle name="常规 90 2 2 3" xfId="2391" xr:uid="{00000000-0005-0000-0000-000087090000}"/>
    <cellStyle name="常规 90 2 3" xfId="3449" xr:uid="{00000000-0005-0000-0000-0000A90D0000}"/>
    <cellStyle name="常规 90 2 4" xfId="3451" xr:uid="{00000000-0005-0000-0000-0000AB0D0000}"/>
    <cellStyle name="常规 90 2 4 2" xfId="2402" xr:uid="{00000000-0005-0000-0000-000092090000}"/>
    <cellStyle name="常规 90 2 5" xfId="3452" xr:uid="{00000000-0005-0000-0000-0000AC0D0000}"/>
    <cellStyle name="常规 90 3" xfId="3332" xr:uid="{00000000-0005-0000-0000-0000340D0000}"/>
    <cellStyle name="常规 91" xfId="3346" xr:uid="{00000000-0005-0000-0000-0000420D0000}"/>
    <cellStyle name="常规 91 10" xfId="3348" xr:uid="{00000000-0005-0000-0000-0000440D0000}"/>
    <cellStyle name="常规 91 11" xfId="3351" xr:uid="{00000000-0005-0000-0000-0000470D0000}"/>
    <cellStyle name="常规 91 12" xfId="3353" xr:uid="{00000000-0005-0000-0000-0000490D0000}"/>
    <cellStyle name="常规 91 13" xfId="3355" xr:uid="{00000000-0005-0000-0000-00004B0D0000}"/>
    <cellStyle name="常规 91 14" xfId="3357" xr:uid="{00000000-0005-0000-0000-00004D0D0000}"/>
    <cellStyle name="常规 91 15" xfId="3359" xr:uid="{00000000-0005-0000-0000-00004F0D0000}"/>
    <cellStyle name="常规 91 16" xfId="3361" xr:uid="{00000000-0005-0000-0000-0000510D0000}"/>
    <cellStyle name="常规 91 16 2" xfId="3363" xr:uid="{00000000-0005-0000-0000-0000530D0000}"/>
    <cellStyle name="常规 91 16 2 2" xfId="3365" xr:uid="{00000000-0005-0000-0000-0000550D0000}"/>
    <cellStyle name="常规 91 16 3" xfId="3367" xr:uid="{00000000-0005-0000-0000-0000570D0000}"/>
    <cellStyle name="常规 91 17" xfId="3369" xr:uid="{00000000-0005-0000-0000-0000590D0000}"/>
    <cellStyle name="常规 91 2" xfId="3372" xr:uid="{00000000-0005-0000-0000-00005C0D0000}"/>
    <cellStyle name="常规 91 2 2" xfId="3375" xr:uid="{00000000-0005-0000-0000-00005F0D0000}"/>
    <cellStyle name="常规 91 3" xfId="3377" xr:uid="{00000000-0005-0000-0000-0000610D0000}"/>
    <cellStyle name="常规 91 4" xfId="3379" xr:uid="{00000000-0005-0000-0000-0000630D0000}"/>
    <cellStyle name="常规 91 5" xfId="3381" xr:uid="{00000000-0005-0000-0000-0000650D0000}"/>
    <cellStyle name="常规 91 6" xfId="3383" xr:uid="{00000000-0005-0000-0000-0000670D0000}"/>
    <cellStyle name="常规 91 7" xfId="3385" xr:uid="{00000000-0005-0000-0000-0000690D0000}"/>
    <cellStyle name="常规 91 8" xfId="3387" xr:uid="{00000000-0005-0000-0000-00006B0D0000}"/>
    <cellStyle name="常规 91 9" xfId="3389" xr:uid="{00000000-0005-0000-0000-00006D0D0000}"/>
    <cellStyle name="常规 92" xfId="3391" xr:uid="{00000000-0005-0000-0000-00006F0D0000}"/>
    <cellStyle name="常规 92 2" xfId="465" xr:uid="{00000000-0005-0000-0000-000001020000}"/>
    <cellStyle name="常规 92 3" xfId="108" xr:uid="{00000000-0005-0000-0000-00009C000000}"/>
    <cellStyle name="常规 92 4" xfId="91" xr:uid="{00000000-0005-0000-0000-00008B000000}"/>
    <cellStyle name="常规 92 5" xfId="115" xr:uid="{00000000-0005-0000-0000-0000A3000000}"/>
    <cellStyle name="常规 92 6" xfId="119" xr:uid="{00000000-0005-0000-0000-0000A7000000}"/>
    <cellStyle name="常规 93" xfId="3394" xr:uid="{00000000-0005-0000-0000-0000720D0000}"/>
    <cellStyle name="常规 93 10" xfId="2776" xr:uid="{00000000-0005-0000-0000-0000080B0000}"/>
    <cellStyle name="常规 93 11" xfId="2576" xr:uid="{00000000-0005-0000-0000-0000400A0000}"/>
    <cellStyle name="常规 93 12" xfId="3396" xr:uid="{00000000-0005-0000-0000-0000740D0000}"/>
    <cellStyle name="常规 93 13" xfId="3398" xr:uid="{00000000-0005-0000-0000-0000760D0000}"/>
    <cellStyle name="常规 93 14" xfId="455" xr:uid="{00000000-0005-0000-0000-0000F7010000}"/>
    <cellStyle name="常规 93 15" xfId="658" xr:uid="{00000000-0005-0000-0000-0000C2020000}"/>
    <cellStyle name="常规 93 16" xfId="661" xr:uid="{00000000-0005-0000-0000-0000C5020000}"/>
    <cellStyle name="常规 93 16 2" xfId="3400" xr:uid="{00000000-0005-0000-0000-0000780D0000}"/>
    <cellStyle name="常规 93 16 2 2" xfId="3402" xr:uid="{00000000-0005-0000-0000-00007A0D0000}"/>
    <cellStyle name="常规 93 16 3" xfId="3404" xr:uid="{00000000-0005-0000-0000-00007C0D0000}"/>
    <cellStyle name="常规 93 17" xfId="665" xr:uid="{00000000-0005-0000-0000-0000C9020000}"/>
    <cellStyle name="常规 93 2" xfId="3406" xr:uid="{00000000-0005-0000-0000-00007E0D0000}"/>
    <cellStyle name="常规 93 2 2" xfId="3408" xr:uid="{00000000-0005-0000-0000-0000800D0000}"/>
    <cellStyle name="常规 93 3" xfId="3410" xr:uid="{00000000-0005-0000-0000-0000820D0000}"/>
    <cellStyle name="常规 93 4" xfId="3412" xr:uid="{00000000-0005-0000-0000-0000840D0000}"/>
    <cellStyle name="常规 93 5" xfId="3414" xr:uid="{00000000-0005-0000-0000-0000860D0000}"/>
    <cellStyle name="常规 93 6" xfId="3134" xr:uid="{00000000-0005-0000-0000-00006E0C0000}"/>
    <cellStyle name="常规 93 7" xfId="3137" xr:uid="{00000000-0005-0000-0000-0000710C0000}"/>
    <cellStyle name="常规 93 8" xfId="3140" xr:uid="{00000000-0005-0000-0000-0000740C0000}"/>
    <cellStyle name="常规 93 9" xfId="3143" xr:uid="{00000000-0005-0000-0000-0000770C0000}"/>
    <cellStyle name="常规 94" xfId="3416" xr:uid="{00000000-0005-0000-0000-0000880D0000}"/>
    <cellStyle name="常规 95" xfId="3453" xr:uid="{00000000-0005-0000-0000-0000AD0D0000}"/>
    <cellStyle name="常规 95 10" xfId="3454" xr:uid="{00000000-0005-0000-0000-0000AE0D0000}"/>
    <cellStyle name="常规 95 11" xfId="3224" xr:uid="{00000000-0005-0000-0000-0000C80C0000}"/>
    <cellStyle name="常规 95 12" xfId="3455" xr:uid="{00000000-0005-0000-0000-0000AF0D0000}"/>
    <cellStyle name="常规 95 13" xfId="3456" xr:uid="{00000000-0005-0000-0000-0000B00D0000}"/>
    <cellStyle name="常规 95 14" xfId="709" xr:uid="{00000000-0005-0000-0000-0000F5020000}"/>
    <cellStyle name="常规 95 15" xfId="3457" xr:uid="{00000000-0005-0000-0000-0000B10D0000}"/>
    <cellStyle name="常规 95 16" xfId="3458" xr:uid="{00000000-0005-0000-0000-0000B20D0000}"/>
    <cellStyle name="常规 95 16 2" xfId="3459" xr:uid="{00000000-0005-0000-0000-0000B30D0000}"/>
    <cellStyle name="常规 95 16 2 2" xfId="2439" xr:uid="{00000000-0005-0000-0000-0000B7090000}"/>
    <cellStyle name="常规 95 16 3" xfId="3371" xr:uid="{00000000-0005-0000-0000-00005B0D0000}"/>
    <cellStyle name="常规 95 17" xfId="3460" xr:uid="{00000000-0005-0000-0000-0000B40D0000}"/>
    <cellStyle name="常规 95 2" xfId="3461" xr:uid="{00000000-0005-0000-0000-0000B50D0000}"/>
    <cellStyle name="常规 95 2 2" xfId="16" xr:uid="{00000000-0005-0000-0000-00001D000000}"/>
    <cellStyle name="常规 95 3" xfId="3462" xr:uid="{00000000-0005-0000-0000-0000B60D0000}"/>
    <cellStyle name="常规 95 4" xfId="3463" xr:uid="{00000000-0005-0000-0000-0000B70D0000}"/>
    <cellStyle name="常规 95 5" xfId="3464" xr:uid="{00000000-0005-0000-0000-0000B80D0000}"/>
    <cellStyle name="常规 95 6" xfId="3465" xr:uid="{00000000-0005-0000-0000-0000B90D0000}"/>
    <cellStyle name="常规 95 7" xfId="3466" xr:uid="{00000000-0005-0000-0000-0000BA0D0000}"/>
    <cellStyle name="常规 95 8" xfId="3467" xr:uid="{00000000-0005-0000-0000-0000BB0D0000}"/>
    <cellStyle name="常规 95 9" xfId="3468" xr:uid="{00000000-0005-0000-0000-0000BC0D0000}"/>
    <cellStyle name="常规 96" xfId="3469" xr:uid="{00000000-0005-0000-0000-0000BD0D0000}"/>
    <cellStyle name="常规 97" xfId="3470" xr:uid="{00000000-0005-0000-0000-0000BE0D0000}"/>
    <cellStyle name="常规 97 2" xfId="819" xr:uid="{00000000-0005-0000-0000-000063030000}"/>
    <cellStyle name="常规 97 2 2" xfId="3471" xr:uid="{00000000-0005-0000-0000-0000BF0D0000}"/>
    <cellStyle name="常规 97 3" xfId="821" xr:uid="{00000000-0005-0000-0000-000065030000}"/>
    <cellStyle name="常规 98" xfId="3472" xr:uid="{00000000-0005-0000-0000-0000C00D0000}"/>
    <cellStyle name="常规 98 2" xfId="738" xr:uid="{00000000-0005-0000-0000-000012030000}"/>
    <cellStyle name="常规 98 2 2" xfId="3473" xr:uid="{00000000-0005-0000-0000-0000C10D0000}"/>
    <cellStyle name="常规 98 2 2 2" xfId="3474" xr:uid="{00000000-0005-0000-0000-0000C20D0000}"/>
    <cellStyle name="常规 98 2 3" xfId="2382" xr:uid="{00000000-0005-0000-0000-00007E090000}"/>
    <cellStyle name="常规 99" xfId="3475" xr:uid="{00000000-0005-0000-0000-0000C30D0000}"/>
    <cellStyle name="常规 99 2" xfId="747" xr:uid="{00000000-0005-0000-0000-00001B030000}"/>
    <cellStyle name="常规 99 2 2" xfId="3477" xr:uid="{00000000-0005-0000-0000-0000C50D0000}"/>
    <cellStyle name="常规 99 3" xfId="749" xr:uid="{00000000-0005-0000-0000-00001D030000}"/>
    <cellStyle name="超链接 2" xfId="2662" xr:uid="{00000000-0005-0000-0000-0000960A0000}"/>
    <cellStyle name="超链接 2 2" xfId="3478" xr:uid="{00000000-0005-0000-0000-0000C60D0000}"/>
    <cellStyle name="超链接 2 2 2" xfId="3479" xr:uid="{00000000-0005-0000-0000-0000C70D0000}"/>
    <cellStyle name="超链接 2 3" xfId="3480" xr:uid="{00000000-0005-0000-0000-0000C80D0000}"/>
    <cellStyle name="好 2" xfId="3481" xr:uid="{00000000-0005-0000-0000-0000C90D0000}"/>
    <cellStyle name="好 2 2" xfId="3482" xr:uid="{00000000-0005-0000-0000-0000CA0D0000}"/>
    <cellStyle name="好 2 3" xfId="535" xr:uid="{00000000-0005-0000-0000-000047020000}"/>
    <cellStyle name="好 2 4" xfId="542" xr:uid="{00000000-0005-0000-0000-00004E020000}"/>
    <cellStyle name="好 3" xfId="3483" xr:uid="{00000000-0005-0000-0000-0000CB0D0000}"/>
    <cellStyle name="好 4" xfId="96" xr:uid="{00000000-0005-0000-0000-000090000000}"/>
    <cellStyle name="好 5" xfId="131" xr:uid="{00000000-0005-0000-0000-0000B3000000}"/>
    <cellStyle name="好 6" xfId="142" xr:uid="{00000000-0005-0000-0000-0000BE000000}"/>
    <cellStyle name="好 7" xfId="754" xr:uid="{00000000-0005-0000-0000-000022030000}"/>
    <cellStyle name="好 8" xfId="1461" xr:uid="{00000000-0005-0000-0000-0000E5050000}"/>
    <cellStyle name="好 9" xfId="3484" xr:uid="{00000000-0005-0000-0000-0000CC0D0000}"/>
    <cellStyle name="好_1109工厂回款汇总" xfId="3486" xr:uid="{00000000-0005-0000-0000-0000CE0D0000}"/>
    <cellStyle name="好_1109工厂回款汇总_2012年品种毛利情况" xfId="907" xr:uid="{00000000-0005-0000-0000-0000BB030000}"/>
    <cellStyle name="好_1109工厂回款汇总_2012年主要品种收入毛利表" xfId="730" xr:uid="{00000000-0005-0000-0000-00000A030000}"/>
    <cellStyle name="好_1201工厂收入汇总(1)" xfId="3487" xr:uid="{00000000-0005-0000-0000-0000CF0D0000}"/>
    <cellStyle name="好_2011年预计报废(1)" xfId="3489" xr:uid="{00000000-0005-0000-0000-0000D10D0000}"/>
    <cellStyle name="好_2012年1季度利润预计" xfId="2976" xr:uid="{00000000-0005-0000-0000-0000D00B0000}"/>
    <cellStyle name="好_2012年各公司收入计划（计划版1.21）(终稿)" xfId="510" xr:uid="{00000000-0005-0000-0000-00002E020000}"/>
    <cellStyle name="好_2012年各公司收入计划（计划版1.30）(终稿)" xfId="3490" xr:uid="{00000000-0005-0000-0000-0000D20D0000}"/>
    <cellStyle name="好_2012年各公司收入计划（力争版1.20）(终稿)" xfId="3491" xr:uid="{00000000-0005-0000-0000-0000D30D0000}"/>
    <cellStyle name="好_2012年利润预计(2012.1.21)" xfId="941" xr:uid="{00000000-0005-0000-0000-0000DD030000}"/>
    <cellStyle name="好_2012年营业费用预算（终稿1.16）" xfId="2748" xr:uid="{00000000-0005-0000-0000-0000EC0A0000}"/>
    <cellStyle name="好_2012年主要品种收入毛利表" xfId="1570" xr:uid="{00000000-0005-0000-0000-000052060000}"/>
    <cellStyle name="好_Book1" xfId="3492" xr:uid="{00000000-0005-0000-0000-0000D40D0000}"/>
    <cellStyle name="好_Book3" xfId="3494" xr:uid="{00000000-0005-0000-0000-0000D60D0000}"/>
    <cellStyle name="好_Book4" xfId="3496" xr:uid="{00000000-0005-0000-0000-0000D80D0000}"/>
    <cellStyle name="好_Xl0000027" xfId="3101" xr:uid="{00000000-0005-0000-0000-00004D0C0000}"/>
    <cellStyle name="好_超亿元品种情况表" xfId="616" xr:uid="{00000000-0005-0000-0000-000098020000}"/>
    <cellStyle name="好_分析表" xfId="2971" xr:uid="{00000000-0005-0000-0000-0000CB0B0000}"/>
    <cellStyle name="好_各公司1-3月收入(1)(1)" xfId="3303" xr:uid="{00000000-0005-0000-0000-0000170D0000}"/>
    <cellStyle name="好_预计管理费用（3.3亿元）" xfId="3497" xr:uid="{00000000-0005-0000-0000-0000D90D0000}"/>
    <cellStyle name="汇总 2" xfId="3498" xr:uid="{00000000-0005-0000-0000-0000DA0D0000}"/>
    <cellStyle name="汇总 2 2" xfId="2762" xr:uid="{00000000-0005-0000-0000-0000FA0A0000}"/>
    <cellStyle name="汇总 2 3" xfId="3499" xr:uid="{00000000-0005-0000-0000-0000DB0D0000}"/>
    <cellStyle name="汇总 2 4" xfId="3500" xr:uid="{00000000-0005-0000-0000-0000DC0D0000}"/>
    <cellStyle name="汇总 3" xfId="2302" xr:uid="{00000000-0005-0000-0000-00002E090000}"/>
    <cellStyle name="汇总 4" xfId="2304" xr:uid="{00000000-0005-0000-0000-000030090000}"/>
    <cellStyle name="汇总 5" xfId="216" xr:uid="{00000000-0005-0000-0000-000008010000}"/>
    <cellStyle name="汇总 6" xfId="2" xr:uid="{00000000-0005-0000-0000-000004000000}"/>
    <cellStyle name="汇总 7" xfId="3501" xr:uid="{00000000-0005-0000-0000-0000DD0D0000}"/>
    <cellStyle name="汇总 8" xfId="3502" xr:uid="{00000000-0005-0000-0000-0000DE0D0000}"/>
    <cellStyle name="汇总 9" xfId="3503" xr:uid="{00000000-0005-0000-0000-0000DF0D0000}"/>
    <cellStyle name="货币 2" xfId="2936" xr:uid="{00000000-0005-0000-0000-0000A80B0000}"/>
    <cellStyle name="计算 2" xfId="3504" xr:uid="{00000000-0005-0000-0000-0000E00D0000}"/>
    <cellStyle name="计算 2 2" xfId="3505" xr:uid="{00000000-0005-0000-0000-0000E10D0000}"/>
    <cellStyle name="计算 2 3" xfId="3506" xr:uid="{00000000-0005-0000-0000-0000E20D0000}"/>
    <cellStyle name="计算 2 4" xfId="3507" xr:uid="{00000000-0005-0000-0000-0000E30D0000}"/>
    <cellStyle name="计算 3" xfId="3508" xr:uid="{00000000-0005-0000-0000-0000E40D0000}"/>
    <cellStyle name="计算 4" xfId="3509" xr:uid="{00000000-0005-0000-0000-0000E50D0000}"/>
    <cellStyle name="计算 5" xfId="3510" xr:uid="{00000000-0005-0000-0000-0000E60D0000}"/>
    <cellStyle name="计算 6" xfId="3511" xr:uid="{00000000-0005-0000-0000-0000E70D0000}"/>
    <cellStyle name="计算 7" xfId="3512" xr:uid="{00000000-0005-0000-0000-0000E80D0000}"/>
    <cellStyle name="计算 8" xfId="1033" xr:uid="{00000000-0005-0000-0000-000039040000}"/>
    <cellStyle name="计算 9" xfId="1041" xr:uid="{00000000-0005-0000-0000-000041040000}"/>
    <cellStyle name="检查单元格 2" xfId="3513" xr:uid="{00000000-0005-0000-0000-0000E90D0000}"/>
    <cellStyle name="检查单元格 2 2" xfId="895" xr:uid="{00000000-0005-0000-0000-0000AF030000}"/>
    <cellStyle name="检查单元格 2 3" xfId="912" xr:uid="{00000000-0005-0000-0000-0000C0030000}"/>
    <cellStyle name="检查单元格 2 4" xfId="1004" xr:uid="{00000000-0005-0000-0000-00001C040000}"/>
    <cellStyle name="检查单元格 3" xfId="3514" xr:uid="{00000000-0005-0000-0000-0000EA0D0000}"/>
    <cellStyle name="检查单元格 4" xfId="3515" xr:uid="{00000000-0005-0000-0000-0000EB0D0000}"/>
    <cellStyle name="检查单元格 5" xfId="3476" xr:uid="{00000000-0005-0000-0000-0000C40D0000}"/>
    <cellStyle name="检查单元格 6" xfId="2417" xr:uid="{00000000-0005-0000-0000-0000A1090000}"/>
    <cellStyle name="检查单元格 7" xfId="2420" xr:uid="{00000000-0005-0000-0000-0000A4090000}"/>
    <cellStyle name="检查单元格 8" xfId="2422" xr:uid="{00000000-0005-0000-0000-0000A6090000}"/>
    <cellStyle name="检查单元格 9" xfId="2424" xr:uid="{00000000-0005-0000-0000-0000A8090000}"/>
    <cellStyle name="解释性文本 2" xfId="3516" xr:uid="{00000000-0005-0000-0000-0000EC0D0000}"/>
    <cellStyle name="解释性文本 2 2" xfId="3517" xr:uid="{00000000-0005-0000-0000-0000ED0D0000}"/>
    <cellStyle name="解释性文本 2 3" xfId="3518" xr:uid="{00000000-0005-0000-0000-0000EE0D0000}"/>
    <cellStyle name="解释性文本 2 4" xfId="3519" xr:uid="{00000000-0005-0000-0000-0000EF0D0000}"/>
    <cellStyle name="解释性文本 3" xfId="3520" xr:uid="{00000000-0005-0000-0000-0000F00D0000}"/>
    <cellStyle name="解释性文本 4" xfId="3521" xr:uid="{00000000-0005-0000-0000-0000F10D0000}"/>
    <cellStyle name="解释性文本 5" xfId="785" xr:uid="{00000000-0005-0000-0000-000041030000}"/>
    <cellStyle name="解释性文本 6" xfId="789" xr:uid="{00000000-0005-0000-0000-000045030000}"/>
    <cellStyle name="解释性文本 7" xfId="679" xr:uid="{00000000-0005-0000-0000-0000D7020000}"/>
    <cellStyle name="解释性文本 8" xfId="703" xr:uid="{00000000-0005-0000-0000-0000EF020000}"/>
    <cellStyle name="解释性文本 9" xfId="32" xr:uid="{00000000-0005-0000-0000-000032000000}"/>
    <cellStyle name="警告文本 2" xfId="1810" xr:uid="{00000000-0005-0000-0000-000042070000}"/>
    <cellStyle name="警告文本 2 2" xfId="1812" xr:uid="{00000000-0005-0000-0000-000044070000}"/>
    <cellStyle name="警告文本 2 3" xfId="3522" xr:uid="{00000000-0005-0000-0000-0000F20D0000}"/>
    <cellStyle name="警告文本 2 4" xfId="199" xr:uid="{00000000-0005-0000-0000-0000F7000000}"/>
    <cellStyle name="警告文本 3" xfId="1814" xr:uid="{00000000-0005-0000-0000-000046070000}"/>
    <cellStyle name="警告文本 4" xfId="3523" xr:uid="{00000000-0005-0000-0000-0000F30D0000}"/>
    <cellStyle name="警告文本 5" xfId="3524" xr:uid="{00000000-0005-0000-0000-0000F40D0000}"/>
    <cellStyle name="警告文本 6" xfId="3525" xr:uid="{00000000-0005-0000-0000-0000F50D0000}"/>
    <cellStyle name="警告文本 7" xfId="3526" xr:uid="{00000000-0005-0000-0000-0000F60D0000}"/>
    <cellStyle name="警告文本 8" xfId="3527" xr:uid="{00000000-0005-0000-0000-0000F70D0000}"/>
    <cellStyle name="警告文本 9" xfId="3528" xr:uid="{00000000-0005-0000-0000-0000F80D0000}"/>
    <cellStyle name="链接单元格 2" xfId="3529" xr:uid="{00000000-0005-0000-0000-0000F90D0000}"/>
    <cellStyle name="链接单元格 2 2" xfId="3488" xr:uid="{00000000-0005-0000-0000-0000D00D0000}"/>
    <cellStyle name="链接单元格 2 3" xfId="3530" xr:uid="{00000000-0005-0000-0000-0000FA0D0000}"/>
    <cellStyle name="链接单元格 2 4" xfId="3531" xr:uid="{00000000-0005-0000-0000-0000FB0D0000}"/>
    <cellStyle name="链接单元格 3" xfId="3532" xr:uid="{00000000-0005-0000-0000-0000FC0D0000}"/>
    <cellStyle name="链接单元格 4" xfId="3533" xr:uid="{00000000-0005-0000-0000-0000FD0D0000}"/>
    <cellStyle name="链接单元格 5" xfId="3485" xr:uid="{00000000-0005-0000-0000-0000CD0D0000}"/>
    <cellStyle name="链接单元格 6" xfId="2463" xr:uid="{00000000-0005-0000-0000-0000CF090000}"/>
    <cellStyle name="链接单元格 7" xfId="3246" xr:uid="{00000000-0005-0000-0000-0000DE0C0000}"/>
    <cellStyle name="链接单元格 8" xfId="3249" xr:uid="{00000000-0005-0000-0000-0000E10C0000}"/>
    <cellStyle name="链接单元格 9" xfId="800" xr:uid="{00000000-0005-0000-0000-000050030000}"/>
    <cellStyle name="普通" xfId="12" xr:uid="{00000000-0005-0000-0000-000017000000}"/>
    <cellStyle name="普通 2" xfId="3534" xr:uid="{00000000-0005-0000-0000-0000FE0D0000}"/>
    <cellStyle name="千位分隔 10" xfId="2754" xr:uid="{00000000-0005-0000-0000-0000F20A0000}"/>
    <cellStyle name="千位分隔 10 10" xfId="3535" xr:uid="{00000000-0005-0000-0000-0000FF0D0000}"/>
    <cellStyle name="千位分隔 10 2" xfId="2756" xr:uid="{00000000-0005-0000-0000-0000F40A0000}"/>
    <cellStyle name="千位分隔 10 3" xfId="3536" xr:uid="{00000000-0005-0000-0000-0000000E0000}"/>
    <cellStyle name="千位分隔 10 4" xfId="1649" xr:uid="{00000000-0005-0000-0000-0000A1060000}"/>
    <cellStyle name="千位分隔 10 5" xfId="1656" xr:uid="{00000000-0005-0000-0000-0000A8060000}"/>
    <cellStyle name="千位分隔 10 5 2" xfId="2695" xr:uid="{00000000-0005-0000-0000-0000B70A0000}"/>
    <cellStyle name="千位分隔 10 6" xfId="2996" xr:uid="{00000000-0005-0000-0000-0000E40B0000}"/>
    <cellStyle name="千位分隔 10 7" xfId="2999" xr:uid="{00000000-0005-0000-0000-0000E70B0000}"/>
    <cellStyle name="千位分隔 10 8" xfId="3537" xr:uid="{00000000-0005-0000-0000-0000010E0000}"/>
    <cellStyle name="千位分隔 10 9" xfId="3538" xr:uid="{00000000-0005-0000-0000-0000020E0000}"/>
    <cellStyle name="千位分隔 11" xfId="2758" xr:uid="{00000000-0005-0000-0000-0000F60A0000}"/>
    <cellStyle name="千位分隔 12" xfId="2892" xr:uid="{00000000-0005-0000-0000-00007C0B0000}"/>
    <cellStyle name="千位分隔 13" xfId="2896" xr:uid="{00000000-0005-0000-0000-0000800B0000}"/>
    <cellStyle name="千位分隔 14" xfId="2900" xr:uid="{00000000-0005-0000-0000-0000840B0000}"/>
    <cellStyle name="千位分隔 15" xfId="2905" xr:uid="{00000000-0005-0000-0000-0000890B0000}"/>
    <cellStyle name="千位分隔 16" xfId="2909" xr:uid="{00000000-0005-0000-0000-00008D0B0000}"/>
    <cellStyle name="千位分隔 17" xfId="2913" xr:uid="{00000000-0005-0000-0000-0000910B0000}"/>
    <cellStyle name="千位分隔 18" xfId="2920" xr:uid="{00000000-0005-0000-0000-0000980B0000}"/>
    <cellStyle name="千位分隔 19" xfId="2990" xr:uid="{00000000-0005-0000-0000-0000DE0B0000}"/>
    <cellStyle name="千位分隔 2" xfId="3539" xr:uid="{00000000-0005-0000-0000-0000030E0000}"/>
    <cellStyle name="千位分隔 2 10" xfId="512" xr:uid="{00000000-0005-0000-0000-000030020000}"/>
    <cellStyle name="千位分隔 2 10 2" xfId="2256" xr:uid="{00000000-0005-0000-0000-000000090000}"/>
    <cellStyle name="千位分隔 2 10 2 2" xfId="2812" xr:uid="{00000000-0005-0000-0000-00002C0B0000}"/>
    <cellStyle name="千位分隔 2 10 2 3" xfId="1394" xr:uid="{00000000-0005-0000-0000-0000A2050000}"/>
    <cellStyle name="千位分隔 2 11" xfId="517" xr:uid="{00000000-0005-0000-0000-000035020000}"/>
    <cellStyle name="千位分隔 2 12" xfId="524" xr:uid="{00000000-0005-0000-0000-00003C020000}"/>
    <cellStyle name="千位分隔 2 13" xfId="205" xr:uid="{00000000-0005-0000-0000-0000FD000000}"/>
    <cellStyle name="千位分隔 2 14" xfId="210" xr:uid="{00000000-0005-0000-0000-000002010000}"/>
    <cellStyle name="千位分隔 2 15" xfId="219" xr:uid="{00000000-0005-0000-0000-00000B010000}"/>
    <cellStyle name="千位分隔 2 16" xfId="224" xr:uid="{00000000-0005-0000-0000-000010010000}"/>
    <cellStyle name="千位分隔 2 17" xfId="231" xr:uid="{00000000-0005-0000-0000-000017010000}"/>
    <cellStyle name="千位分隔 2 18" xfId="1765" xr:uid="{00000000-0005-0000-0000-000015070000}"/>
    <cellStyle name="千位分隔 2 19" xfId="1768" xr:uid="{00000000-0005-0000-0000-000018070000}"/>
    <cellStyle name="千位分隔 2 2" xfId="3540" xr:uid="{00000000-0005-0000-0000-0000040E0000}"/>
    <cellStyle name="千位分隔 2 2 2" xfId="2766" xr:uid="{00000000-0005-0000-0000-0000FE0A0000}"/>
    <cellStyle name="千位分隔 2 2 2 2" xfId="3541" xr:uid="{00000000-0005-0000-0000-0000050E0000}"/>
    <cellStyle name="千位分隔 2 2 2 2 2" xfId="3542" xr:uid="{00000000-0005-0000-0000-0000060E0000}"/>
    <cellStyle name="千位分隔 2 2 2 2 2 2" xfId="3543" xr:uid="{00000000-0005-0000-0000-0000070E0000}"/>
    <cellStyle name="千位分隔 2 2 2 2 2 3" xfId="611" xr:uid="{00000000-0005-0000-0000-000093020000}"/>
    <cellStyle name="千位分隔 2 2 2 2 2 3 2" xfId="3544" xr:uid="{00000000-0005-0000-0000-0000080E0000}"/>
    <cellStyle name="千位分隔 2 2 2 2 2 4" xfId="3545" xr:uid="{00000000-0005-0000-0000-0000090E0000}"/>
    <cellStyle name="千位分隔 2 2 2 2 2 4 2" xfId="3546" xr:uid="{00000000-0005-0000-0000-00000A0E0000}"/>
    <cellStyle name="千位分隔 2 2 2 2 3" xfId="3547" xr:uid="{00000000-0005-0000-0000-00000B0E0000}"/>
    <cellStyle name="千位分隔 2 2 2 2 4" xfId="3548" xr:uid="{00000000-0005-0000-0000-00000C0E0000}"/>
    <cellStyle name="千位分隔 2 2 2 3" xfId="3549" xr:uid="{00000000-0005-0000-0000-00000D0E0000}"/>
    <cellStyle name="千位分隔 2 2 2 4" xfId="3550" xr:uid="{00000000-0005-0000-0000-00000E0E0000}"/>
    <cellStyle name="千位分隔 2 2 2 5" xfId="3551" xr:uid="{00000000-0005-0000-0000-00000F0E0000}"/>
    <cellStyle name="千位分隔 2 2 3" xfId="2768" xr:uid="{00000000-0005-0000-0000-0000000B0000}"/>
    <cellStyle name="千位分隔 2 2 4" xfId="2770" xr:uid="{00000000-0005-0000-0000-0000020B0000}"/>
    <cellStyle name="千位分隔 2 2 5" xfId="2772" xr:uid="{00000000-0005-0000-0000-0000040B0000}"/>
    <cellStyle name="千位分隔 2 2 5 2" xfId="3552" xr:uid="{00000000-0005-0000-0000-0000100E0000}"/>
    <cellStyle name="千位分隔 2 2 6" xfId="3553" xr:uid="{00000000-0005-0000-0000-0000110E0000}"/>
    <cellStyle name="千位分隔 2 2 7" xfId="3554" xr:uid="{00000000-0005-0000-0000-0000120E0000}"/>
    <cellStyle name="千位分隔 2 2 7 2" xfId="2137" xr:uid="{00000000-0005-0000-0000-000089080000}"/>
    <cellStyle name="千位分隔 2 2 8" xfId="1071" xr:uid="{00000000-0005-0000-0000-00005F040000}"/>
    <cellStyle name="千位分隔 2 3" xfId="3555" xr:uid="{00000000-0005-0000-0000-0000130E0000}"/>
    <cellStyle name="千位分隔 2 3 10" xfId="3556" xr:uid="{00000000-0005-0000-0000-0000140E0000}"/>
    <cellStyle name="千位分隔 2 3 2" xfId="2780" xr:uid="{00000000-0005-0000-0000-00000C0B0000}"/>
    <cellStyle name="千位分隔 2 3 2 2" xfId="3557" xr:uid="{00000000-0005-0000-0000-0000150E0000}"/>
    <cellStyle name="千位分隔 2 3 2 2 2" xfId="3559" xr:uid="{00000000-0005-0000-0000-0000170E0000}"/>
    <cellStyle name="千位分隔 2 3 2 2 3" xfId="3561" xr:uid="{00000000-0005-0000-0000-0000190E0000}"/>
    <cellStyle name="千位分隔 2 3 2 2 4" xfId="3562" xr:uid="{00000000-0005-0000-0000-00001A0E0000}"/>
    <cellStyle name="千位分隔 2 3 2 3" xfId="3563" xr:uid="{00000000-0005-0000-0000-00001B0E0000}"/>
    <cellStyle name="千位分隔 2 3 2 3 2" xfId="3564" xr:uid="{00000000-0005-0000-0000-00001C0E0000}"/>
    <cellStyle name="千位分隔 2 3 2 4" xfId="3565" xr:uid="{00000000-0005-0000-0000-00001D0E0000}"/>
    <cellStyle name="千位分隔 2 3 2 5" xfId="3566" xr:uid="{00000000-0005-0000-0000-00001E0E0000}"/>
    <cellStyle name="千位分隔 2 3 2 5 2" xfId="3567" xr:uid="{00000000-0005-0000-0000-00001F0E0000}"/>
    <cellStyle name="千位分隔 2 3 2 6" xfId="3568" xr:uid="{00000000-0005-0000-0000-0000200E0000}"/>
    <cellStyle name="千位分隔 2 3 3" xfId="2782" xr:uid="{00000000-0005-0000-0000-00000E0B0000}"/>
    <cellStyle name="千位分隔 2 3 4" xfId="2784" xr:uid="{00000000-0005-0000-0000-0000100B0000}"/>
    <cellStyle name="千位分隔 2 3 5" xfId="2786" xr:uid="{00000000-0005-0000-0000-0000120B0000}"/>
    <cellStyle name="千位分隔 2 3 6" xfId="3569" xr:uid="{00000000-0005-0000-0000-0000210E0000}"/>
    <cellStyle name="千位分隔 2 3 7" xfId="3570" xr:uid="{00000000-0005-0000-0000-0000220E0000}"/>
    <cellStyle name="千位分隔 2 3 7 2" xfId="3571" xr:uid="{00000000-0005-0000-0000-0000230E0000}"/>
    <cellStyle name="千位分隔 2 3 8" xfId="2960" xr:uid="{00000000-0005-0000-0000-0000C00B0000}"/>
    <cellStyle name="千位分隔 2 3 9" xfId="2962" xr:uid="{00000000-0005-0000-0000-0000C20B0000}"/>
    <cellStyle name="千位分隔 2 4" xfId="3572" xr:uid="{00000000-0005-0000-0000-0000240E0000}"/>
    <cellStyle name="千位分隔 2 4 2" xfId="2804" xr:uid="{00000000-0005-0000-0000-0000240B0000}"/>
    <cellStyle name="千位分隔 2 4 3" xfId="2807" xr:uid="{00000000-0005-0000-0000-0000270B0000}"/>
    <cellStyle name="千位分隔 2 5" xfId="3573" xr:uid="{00000000-0005-0000-0000-0000250E0000}"/>
    <cellStyle name="千位分隔 2 5 2" xfId="2845" xr:uid="{00000000-0005-0000-0000-00004D0B0000}"/>
    <cellStyle name="千位分隔 2 5 3" xfId="2848" xr:uid="{00000000-0005-0000-0000-0000500B0000}"/>
    <cellStyle name="千位分隔 2 6" xfId="1085" xr:uid="{00000000-0005-0000-0000-00006D040000}"/>
    <cellStyle name="千位分隔 2 6 2" xfId="1087" xr:uid="{00000000-0005-0000-0000-00006F040000}"/>
    <cellStyle name="千位分隔 2 6 3" xfId="2882" xr:uid="{00000000-0005-0000-0000-0000720B0000}"/>
    <cellStyle name="千位分隔 2 7" xfId="1091" xr:uid="{00000000-0005-0000-0000-000073040000}"/>
    <cellStyle name="千位分隔 2 7 2" xfId="2672" xr:uid="{00000000-0005-0000-0000-0000A00A0000}"/>
    <cellStyle name="千位分隔 2 7 3" xfId="2929" xr:uid="{00000000-0005-0000-0000-0000A10B0000}"/>
    <cellStyle name="千位分隔 2 8" xfId="2992" xr:uid="{00000000-0005-0000-0000-0000E00B0000}"/>
    <cellStyle name="千位分隔 2 8 2" xfId="2945" xr:uid="{00000000-0005-0000-0000-0000B10B0000}"/>
    <cellStyle name="千位分隔 2 8 3" xfId="2949" xr:uid="{00000000-0005-0000-0000-0000B50B0000}"/>
    <cellStyle name="千位分隔 2 9" xfId="2994" xr:uid="{00000000-0005-0000-0000-0000E20B0000}"/>
    <cellStyle name="千位分隔 2 9 2" xfId="3029" xr:uid="{00000000-0005-0000-0000-0000050C0000}"/>
    <cellStyle name="千位分隔 2 9 3" xfId="3031" xr:uid="{00000000-0005-0000-0000-0000070C0000}"/>
    <cellStyle name="千位分隔 20" xfId="2904" xr:uid="{00000000-0005-0000-0000-0000880B0000}"/>
    <cellStyle name="千位分隔 21" xfId="2908" xr:uid="{00000000-0005-0000-0000-00008C0B0000}"/>
    <cellStyle name="千位分隔 22" xfId="2912" xr:uid="{00000000-0005-0000-0000-0000900B0000}"/>
    <cellStyle name="千位分隔 23" xfId="2919" xr:uid="{00000000-0005-0000-0000-0000970B0000}"/>
    <cellStyle name="千位分隔 23 2" xfId="3575" xr:uid="{00000000-0005-0000-0000-0000270E0000}"/>
    <cellStyle name="千位分隔 23 2 2" xfId="3577" xr:uid="{00000000-0005-0000-0000-0000290E0000}"/>
    <cellStyle name="千位分隔 23 2 3" xfId="3038" xr:uid="{00000000-0005-0000-0000-00000E0C0000}"/>
    <cellStyle name="千位分隔 23 2 3 2" xfId="3041" xr:uid="{00000000-0005-0000-0000-0000110C0000}"/>
    <cellStyle name="千位分隔 23 2 4" xfId="3044" xr:uid="{00000000-0005-0000-0000-0000140C0000}"/>
    <cellStyle name="千位分隔 23 2 4 2" xfId="3578" xr:uid="{00000000-0005-0000-0000-00002A0E0000}"/>
    <cellStyle name="千位分隔 23 2 5" xfId="3088" xr:uid="{00000000-0005-0000-0000-0000400C0000}"/>
    <cellStyle name="千位分隔 23 3" xfId="3580" xr:uid="{00000000-0005-0000-0000-00002C0E0000}"/>
    <cellStyle name="千位分隔 23 3 2" xfId="3581" xr:uid="{00000000-0005-0000-0000-00002D0E0000}"/>
    <cellStyle name="千位分隔 23 3 3" xfId="3050" xr:uid="{00000000-0005-0000-0000-00001A0C0000}"/>
    <cellStyle name="千位分隔 23 3 4" xfId="3053" xr:uid="{00000000-0005-0000-0000-00001D0C0000}"/>
    <cellStyle name="千位分隔 23 4" xfId="1742" xr:uid="{00000000-0005-0000-0000-0000FE060000}"/>
    <cellStyle name="千位分隔 23 5" xfId="1747" xr:uid="{00000000-0005-0000-0000-000003070000}"/>
    <cellStyle name="千位分隔 24" xfId="2989" xr:uid="{00000000-0005-0000-0000-0000DD0B0000}"/>
    <cellStyle name="千位分隔 25" xfId="395" xr:uid="{00000000-0005-0000-0000-0000BB010000}"/>
    <cellStyle name="千位分隔 3" xfId="715" xr:uid="{00000000-0005-0000-0000-0000FB020000}"/>
    <cellStyle name="千位分隔 3 2" xfId="84" xr:uid="{00000000-0005-0000-0000-000084000000}"/>
    <cellStyle name="千位分隔 3 2 2" xfId="3293" xr:uid="{00000000-0005-0000-0000-00000D0D0000}"/>
    <cellStyle name="千位分隔 3 2 2 2" xfId="1603" xr:uid="{00000000-0005-0000-0000-000073060000}"/>
    <cellStyle name="千位分隔 3 2 2 3" xfId="1606" xr:uid="{00000000-0005-0000-0000-000076060000}"/>
    <cellStyle name="千位分隔 3 2 3" xfId="3295" xr:uid="{00000000-0005-0000-0000-00000F0D0000}"/>
    <cellStyle name="千位分隔 3 2 3 2" xfId="3350" xr:uid="{00000000-0005-0000-0000-0000460D0000}"/>
    <cellStyle name="千位分隔 3 2 4" xfId="3297" xr:uid="{00000000-0005-0000-0000-0000110D0000}"/>
    <cellStyle name="千位分隔 3 3" xfId="158" xr:uid="{00000000-0005-0000-0000-0000CE000000}"/>
    <cellStyle name="千位分隔 3 4" xfId="768" xr:uid="{00000000-0005-0000-0000-000030030000}"/>
    <cellStyle name="千位分隔 3 5" xfId="1478" xr:uid="{00000000-0005-0000-0000-0000F6050000}"/>
    <cellStyle name="千位分隔 3 6" xfId="1097" xr:uid="{00000000-0005-0000-0000-000079040000}"/>
    <cellStyle name="千位分隔 3 7" xfId="1100" xr:uid="{00000000-0005-0000-0000-00007C040000}"/>
    <cellStyle name="千位分隔 3 8" xfId="3558" xr:uid="{00000000-0005-0000-0000-0000160E0000}"/>
    <cellStyle name="千位分隔 3 9" xfId="3560" xr:uid="{00000000-0005-0000-0000-0000180E0000}"/>
    <cellStyle name="千位分隔 4" xfId="770" xr:uid="{00000000-0005-0000-0000-000032030000}"/>
    <cellStyle name="千位分隔 4 2" xfId="3582" xr:uid="{00000000-0005-0000-0000-00002E0E0000}"/>
    <cellStyle name="千位分隔 4 3" xfId="3583" xr:uid="{00000000-0005-0000-0000-00002F0E0000}"/>
    <cellStyle name="千位分隔 5" xfId="500" xr:uid="{00000000-0005-0000-0000-000024020000}"/>
    <cellStyle name="千位分隔 6" xfId="503" xr:uid="{00000000-0005-0000-0000-000027020000}"/>
    <cellStyle name="千位分隔 6 2" xfId="3584" xr:uid="{00000000-0005-0000-0000-0000300E0000}"/>
    <cellStyle name="千位分隔 7" xfId="509" xr:uid="{00000000-0005-0000-0000-00002D020000}"/>
    <cellStyle name="千位分隔 8" xfId="515" xr:uid="{00000000-0005-0000-0000-000033020000}"/>
    <cellStyle name="千位分隔 9" xfId="522" xr:uid="{00000000-0005-0000-0000-00003A020000}"/>
    <cellStyle name="千位分隔[0] 2" xfId="2701" xr:uid="{00000000-0005-0000-0000-0000BD0A0000}"/>
    <cellStyle name="千位分隔[0] 2 10" xfId="3585" xr:uid="{00000000-0005-0000-0000-0000310E0000}"/>
    <cellStyle name="千位分隔[0] 2 11" xfId="3586" xr:uid="{00000000-0005-0000-0000-0000320E0000}"/>
    <cellStyle name="千位分隔[0] 2 11 2" xfId="3587" xr:uid="{00000000-0005-0000-0000-0000330E0000}"/>
    <cellStyle name="千位分隔[0] 2 12" xfId="3104" xr:uid="{00000000-0005-0000-0000-0000500C0000}"/>
    <cellStyle name="千位分隔[0] 2 2" xfId="2512" xr:uid="{00000000-0005-0000-0000-0000000A0000}"/>
    <cellStyle name="千位分隔[0] 2 2 2" xfId="933" xr:uid="{00000000-0005-0000-0000-0000D5030000}"/>
    <cellStyle name="千位分隔[0] 2 2 2 2" xfId="3588" xr:uid="{00000000-0005-0000-0000-0000340E0000}"/>
    <cellStyle name="千位分隔[0] 2 2 2 3" xfId="3022" xr:uid="{00000000-0005-0000-0000-0000FE0B0000}"/>
    <cellStyle name="千位分隔[0] 2 2 3" xfId="3574" xr:uid="{00000000-0005-0000-0000-0000260E0000}"/>
    <cellStyle name="千位分隔[0] 2 2 3 2" xfId="3576" xr:uid="{00000000-0005-0000-0000-0000280E0000}"/>
    <cellStyle name="千位分隔[0] 2 2 4" xfId="3579" xr:uid="{00000000-0005-0000-0000-00002B0E0000}"/>
    <cellStyle name="千位分隔[0] 2 3" xfId="2514" xr:uid="{00000000-0005-0000-0000-0000020A0000}"/>
    <cellStyle name="千位分隔[0] 2 3 2" xfId="938" xr:uid="{00000000-0005-0000-0000-0000DA030000}"/>
    <cellStyle name="千位分隔[0] 2 3 3" xfId="3589" xr:uid="{00000000-0005-0000-0000-0000350E0000}"/>
    <cellStyle name="千位分隔[0] 2 4" xfId="2517" xr:uid="{00000000-0005-0000-0000-0000050A0000}"/>
    <cellStyle name="千位分隔[0] 2 5" xfId="3590" xr:uid="{00000000-0005-0000-0000-0000360E0000}"/>
    <cellStyle name="千位分隔[0] 2 6" xfId="3591" xr:uid="{00000000-0005-0000-0000-0000370E0000}"/>
    <cellStyle name="千位分隔[0] 2 7" xfId="3592" xr:uid="{00000000-0005-0000-0000-0000380E0000}"/>
    <cellStyle name="千位分隔[0] 2 8" xfId="2603" xr:uid="{00000000-0005-0000-0000-00005B0A0000}"/>
    <cellStyle name="千位分隔[0] 2 9" xfId="2606" xr:uid="{00000000-0005-0000-0000-00005E0A0000}"/>
    <cellStyle name="千位分隔[0] 2 9 2" xfId="3593" xr:uid="{00000000-0005-0000-0000-0000390E0000}"/>
    <cellStyle name="千位分隔[0] 2 9 2 2" xfId="3594" xr:uid="{00000000-0005-0000-0000-00003A0E0000}"/>
    <cellStyle name="千位分隔[0] 2 9 3" xfId="3595" xr:uid="{00000000-0005-0000-0000-00003B0E0000}"/>
    <cellStyle name="千位分隔[0] 3" xfId="2703" xr:uid="{00000000-0005-0000-0000-0000BF0A0000}"/>
    <cellStyle name="千位分隔[0] 3 2" xfId="3596" xr:uid="{00000000-0005-0000-0000-00003C0E0000}"/>
    <cellStyle name="千位分隔[0] 3 3" xfId="3597" xr:uid="{00000000-0005-0000-0000-00003D0E0000}"/>
    <cellStyle name="强调文字颜色 1 2" xfId="506" xr:uid="{00000000-0005-0000-0000-00002A020000}"/>
    <cellStyle name="强调文字颜色 1 2 2" xfId="3273" xr:uid="{00000000-0005-0000-0000-0000F90C0000}"/>
    <cellStyle name="强调文字颜色 1 2 3" xfId="3275" xr:uid="{00000000-0005-0000-0000-0000FB0C0000}"/>
    <cellStyle name="强调文字颜色 1 2 4" xfId="3277" xr:uid="{00000000-0005-0000-0000-0000FD0C0000}"/>
    <cellStyle name="强调文字颜色 1 3" xfId="2238" xr:uid="{00000000-0005-0000-0000-0000EE080000}"/>
    <cellStyle name="强调文字颜色 1 4" xfId="3598" xr:uid="{00000000-0005-0000-0000-00003E0E0000}"/>
    <cellStyle name="强调文字颜色 1 5" xfId="3599" xr:uid="{00000000-0005-0000-0000-00003F0E0000}"/>
    <cellStyle name="强调文字颜色 1 6" xfId="3600" xr:uid="{00000000-0005-0000-0000-0000400E0000}"/>
    <cellStyle name="强调文字颜色 1 7" xfId="3601" xr:uid="{00000000-0005-0000-0000-0000410E0000}"/>
    <cellStyle name="强调文字颜色 1 8" xfId="3602" xr:uid="{00000000-0005-0000-0000-0000420E0000}"/>
    <cellStyle name="强调文字颜色 1 9" xfId="2544" xr:uid="{00000000-0005-0000-0000-0000200A0000}"/>
    <cellStyle name="强调文字颜色 2 2" xfId="3603" xr:uid="{00000000-0005-0000-0000-0000430E0000}"/>
    <cellStyle name="强调文字颜色 2 2 2" xfId="1122" xr:uid="{00000000-0005-0000-0000-000092040000}"/>
    <cellStyle name="强调文字颜色 2 2 3" xfId="1124" xr:uid="{00000000-0005-0000-0000-000094040000}"/>
    <cellStyle name="强调文字颜色 2 2 4" xfId="1126" xr:uid="{00000000-0005-0000-0000-000096040000}"/>
    <cellStyle name="强调文字颜色 2 3" xfId="3604" xr:uid="{00000000-0005-0000-0000-0000440E0000}"/>
    <cellStyle name="强调文字颜色 2 4" xfId="3605" xr:uid="{00000000-0005-0000-0000-0000450E0000}"/>
    <cellStyle name="强调文字颜色 2 5" xfId="3606" xr:uid="{00000000-0005-0000-0000-0000460E0000}"/>
    <cellStyle name="强调文字颜色 2 6" xfId="3607" xr:uid="{00000000-0005-0000-0000-0000470E0000}"/>
    <cellStyle name="强调文字颜色 2 7" xfId="3608" xr:uid="{00000000-0005-0000-0000-0000480E0000}"/>
    <cellStyle name="强调文字颜色 2 8" xfId="3609" xr:uid="{00000000-0005-0000-0000-0000490E0000}"/>
    <cellStyle name="强调文字颜色 2 9" xfId="2547" xr:uid="{00000000-0005-0000-0000-0000230A0000}"/>
    <cellStyle name="强调文字颜色 3 2" xfId="3610" xr:uid="{00000000-0005-0000-0000-00004A0E0000}"/>
    <cellStyle name="强调文字颜色 3 2 2" xfId="1594" xr:uid="{00000000-0005-0000-0000-00006A060000}"/>
    <cellStyle name="强调文字颜色 3 2 3" xfId="1597" xr:uid="{00000000-0005-0000-0000-00006D060000}"/>
    <cellStyle name="强调文字颜色 3 2 4" xfId="1600" xr:uid="{00000000-0005-0000-0000-000070060000}"/>
    <cellStyle name="强调文字颜色 3 3" xfId="1841" xr:uid="{00000000-0005-0000-0000-000061070000}"/>
    <cellStyle name="强调文字颜色 3 4" xfId="1854" xr:uid="{00000000-0005-0000-0000-00006E070000}"/>
    <cellStyle name="强调文字颜色 3 5" xfId="1862" xr:uid="{00000000-0005-0000-0000-000076070000}"/>
    <cellStyle name="强调文字颜色 3 6" xfId="1877" xr:uid="{00000000-0005-0000-0000-000085070000}"/>
    <cellStyle name="强调文字颜色 3 7" xfId="1892" xr:uid="{00000000-0005-0000-0000-000094070000}"/>
    <cellStyle name="强调文字颜色 3 8" xfId="1910" xr:uid="{00000000-0005-0000-0000-0000A6070000}"/>
    <cellStyle name="强调文字颜色 3 9" xfId="1946" xr:uid="{00000000-0005-0000-0000-0000CA070000}"/>
    <cellStyle name="强调文字颜色 4 2" xfId="2412" xr:uid="{00000000-0005-0000-0000-00009C090000}"/>
    <cellStyle name="强调文字颜色 4 2 2" xfId="2745" xr:uid="{00000000-0005-0000-0000-0000E90A0000}"/>
    <cellStyle name="强调文字颜色 4 2 3" xfId="2747" xr:uid="{00000000-0005-0000-0000-0000EB0A0000}"/>
    <cellStyle name="强调文字颜色 4 2 4" xfId="2750" xr:uid="{00000000-0005-0000-0000-0000EE0A0000}"/>
    <cellStyle name="强调文字颜色 4 3" xfId="2435" xr:uid="{00000000-0005-0000-0000-0000B3090000}"/>
    <cellStyle name="强调文字颜色 4 4" xfId="2438" xr:uid="{00000000-0005-0000-0000-0000B6090000}"/>
    <cellStyle name="强调文字颜色 4 5" xfId="2442" xr:uid="{00000000-0005-0000-0000-0000BA090000}"/>
    <cellStyle name="强调文字颜色 4 6" xfId="2445" xr:uid="{00000000-0005-0000-0000-0000BD090000}"/>
    <cellStyle name="强调文字颜色 4 7" xfId="2448" xr:uid="{00000000-0005-0000-0000-0000C0090000}"/>
    <cellStyle name="强调文字颜色 4 8" xfId="2465" xr:uid="{00000000-0005-0000-0000-0000D1090000}"/>
    <cellStyle name="强调文字颜色 4 9" xfId="2468" xr:uid="{00000000-0005-0000-0000-0000D4090000}"/>
    <cellStyle name="强调文字颜色 5 2" xfId="2240" xr:uid="{00000000-0005-0000-0000-0000F0080000}"/>
    <cellStyle name="强调文字颜色 5 2 2" xfId="2895" xr:uid="{00000000-0005-0000-0000-00007F0B0000}"/>
    <cellStyle name="强调文字颜色 5 2 3" xfId="2899" xr:uid="{00000000-0005-0000-0000-0000830B0000}"/>
    <cellStyle name="强调文字颜色 5 2 4" xfId="2903" xr:uid="{00000000-0005-0000-0000-0000870B0000}"/>
    <cellStyle name="强调文字颜色 5 3" xfId="3611" xr:uid="{00000000-0005-0000-0000-00004B0E0000}"/>
    <cellStyle name="强调文字颜色 5 4" xfId="3374" xr:uid="{00000000-0005-0000-0000-00005E0D0000}"/>
    <cellStyle name="强调文字颜色 5 5" xfId="3612" xr:uid="{00000000-0005-0000-0000-00004C0E0000}"/>
    <cellStyle name="强调文字颜色 5 6" xfId="3613" xr:uid="{00000000-0005-0000-0000-00004D0E0000}"/>
    <cellStyle name="强调文字颜色 5 7" xfId="3614" xr:uid="{00000000-0005-0000-0000-00004E0E0000}"/>
    <cellStyle name="强调文字颜色 5 8" xfId="806" xr:uid="{00000000-0005-0000-0000-000056030000}"/>
    <cellStyle name="强调文字颜色 5 9" xfId="3615" xr:uid="{00000000-0005-0000-0000-00004F0E0000}"/>
    <cellStyle name="强调文字颜色 6 2" xfId="3616" xr:uid="{00000000-0005-0000-0000-0000500E0000}"/>
    <cellStyle name="强调文字颜色 6 2 2" xfId="3617" xr:uid="{00000000-0005-0000-0000-0000510E0000}"/>
    <cellStyle name="强调文字颜色 6 2 3" xfId="3618" xr:uid="{00000000-0005-0000-0000-0000520E0000}"/>
    <cellStyle name="强调文字颜色 6 2 4" xfId="814" xr:uid="{00000000-0005-0000-0000-00005E030000}"/>
    <cellStyle name="强调文字颜色 6 3" xfId="3493" xr:uid="{00000000-0005-0000-0000-0000D50D0000}"/>
    <cellStyle name="强调文字颜色 6 4" xfId="3495" xr:uid="{00000000-0005-0000-0000-0000D70D0000}"/>
    <cellStyle name="强调文字颜色 6 5" xfId="3619" xr:uid="{00000000-0005-0000-0000-0000530E0000}"/>
    <cellStyle name="强调文字颜色 6 6" xfId="3620" xr:uid="{00000000-0005-0000-0000-0000540E0000}"/>
    <cellStyle name="强调文字颜色 6 7" xfId="3621" xr:uid="{00000000-0005-0000-0000-0000550E0000}"/>
    <cellStyle name="强调文字颜色 6 8" xfId="3622" xr:uid="{00000000-0005-0000-0000-0000560E0000}"/>
    <cellStyle name="强调文字颜色 6 9" xfId="3623" xr:uid="{00000000-0005-0000-0000-0000570E0000}"/>
    <cellStyle name="适中 2" xfId="949" xr:uid="{00000000-0005-0000-0000-0000E5030000}"/>
    <cellStyle name="适中 2 2" xfId="951" xr:uid="{00000000-0005-0000-0000-0000E7030000}"/>
    <cellStyle name="适中 2 3" xfId="1310" xr:uid="{00000000-0005-0000-0000-00004E050000}"/>
    <cellStyle name="适中 2 4" xfId="1313" xr:uid="{00000000-0005-0000-0000-000051050000}"/>
    <cellStyle name="适中 3" xfId="955" xr:uid="{00000000-0005-0000-0000-0000EB030000}"/>
    <cellStyle name="适中 4" xfId="3624" xr:uid="{00000000-0005-0000-0000-0000580E0000}"/>
    <cellStyle name="适中 5" xfId="3625" xr:uid="{00000000-0005-0000-0000-0000590E0000}"/>
    <cellStyle name="适中 6" xfId="1836" xr:uid="{00000000-0005-0000-0000-00005C070000}"/>
    <cellStyle name="适中 7" xfId="1838" xr:uid="{00000000-0005-0000-0000-00005E070000}"/>
    <cellStyle name="适中 8" xfId="3626" xr:uid="{00000000-0005-0000-0000-00005A0E0000}"/>
    <cellStyle name="适中 9" xfId="3627" xr:uid="{00000000-0005-0000-0000-00005B0E0000}"/>
    <cellStyle name="输出 2" xfId="3325" xr:uid="{00000000-0005-0000-0000-00002D0D0000}"/>
    <cellStyle name="输出 2 2" xfId="3328" xr:uid="{00000000-0005-0000-0000-0000300D0000}"/>
    <cellStyle name="输出 2 3" xfId="3448" xr:uid="{00000000-0005-0000-0000-0000A80D0000}"/>
    <cellStyle name="输出 2 4" xfId="3450" xr:uid="{00000000-0005-0000-0000-0000AA0D0000}"/>
    <cellStyle name="输出 3" xfId="3331" xr:uid="{00000000-0005-0000-0000-0000330D0000}"/>
    <cellStyle name="输出 4" xfId="3334" xr:uid="{00000000-0005-0000-0000-0000360D0000}"/>
    <cellStyle name="输出 5" xfId="3336" xr:uid="{00000000-0005-0000-0000-0000380D0000}"/>
    <cellStyle name="输出 6" xfId="3338" xr:uid="{00000000-0005-0000-0000-00003A0D0000}"/>
    <cellStyle name="输出 7" xfId="3340" xr:uid="{00000000-0005-0000-0000-00003C0D0000}"/>
    <cellStyle name="输出 8" xfId="3342" xr:uid="{00000000-0005-0000-0000-00003E0D0000}"/>
    <cellStyle name="输出 9" xfId="3344" xr:uid="{00000000-0005-0000-0000-0000400D0000}"/>
    <cellStyle name="输入 2" xfId="2505" xr:uid="{00000000-0005-0000-0000-0000F9090000}"/>
    <cellStyle name="输入 2 2" xfId="2507" xr:uid="{00000000-0005-0000-0000-0000FB090000}"/>
    <cellStyle name="输入 2 3" xfId="2509" xr:uid="{00000000-0005-0000-0000-0000FD090000}"/>
    <cellStyle name="输入 2 4" xfId="2511" xr:uid="{00000000-0005-0000-0000-0000FF090000}"/>
    <cellStyle name="输入 3" xfId="2531" xr:uid="{00000000-0005-0000-0000-0000130A0000}"/>
    <cellStyle name="输入 4" xfId="3628" xr:uid="{00000000-0005-0000-0000-00005C0E0000}"/>
    <cellStyle name="输入 5" xfId="3629" xr:uid="{00000000-0005-0000-0000-00005D0E0000}"/>
    <cellStyle name="输入 6" xfId="3630" xr:uid="{00000000-0005-0000-0000-00005E0E0000}"/>
    <cellStyle name="输入 7" xfId="3631" xr:uid="{00000000-0005-0000-0000-00005F0E0000}"/>
    <cellStyle name="输入 8" xfId="160" xr:uid="{00000000-0005-0000-0000-0000D0000000}"/>
    <cellStyle name="输入 9" xfId="3632" xr:uid="{00000000-0005-0000-0000-0000600E0000}"/>
    <cellStyle name="样式 1" xfId="192" xr:uid="{00000000-0005-0000-0000-0000F0000000}"/>
    <cellStyle name="注释 10" xfId="2617" xr:uid="{00000000-0005-0000-0000-0000690A0000}"/>
    <cellStyle name="注释 2" xfId="3169" xr:uid="{00000000-0005-0000-0000-0000910C0000}"/>
    <cellStyle name="注释 2 2" xfId="554" xr:uid="{00000000-0005-0000-0000-00005A020000}"/>
    <cellStyle name="注释 2 3" xfId="55" xr:uid="{00000000-0005-0000-0000-000053000000}"/>
    <cellStyle name="注释 2 3 2" xfId="2062" xr:uid="{00000000-0005-0000-0000-00003E080000}"/>
    <cellStyle name="注释 2 3 2 2" xfId="2620" xr:uid="{00000000-0005-0000-0000-00006C0A0000}"/>
    <cellStyle name="注释 2 3 3" xfId="2065" xr:uid="{00000000-0005-0000-0000-000041080000}"/>
    <cellStyle name="注释 2 4" xfId="558" xr:uid="{00000000-0005-0000-0000-00005E020000}"/>
    <cellStyle name="注释 2 5" xfId="569" xr:uid="{00000000-0005-0000-0000-000069020000}"/>
    <cellStyle name="注释 2 5 2" xfId="3633" xr:uid="{00000000-0005-0000-0000-0000610E0000}"/>
    <cellStyle name="注释 2 6" xfId="3634" xr:uid="{00000000-0005-0000-0000-0000620E0000}"/>
    <cellStyle name="注释 3" xfId="3171" xr:uid="{00000000-0005-0000-0000-0000930C0000}"/>
    <cellStyle name="注释 3 2" xfId="600" xr:uid="{00000000-0005-0000-0000-000088020000}"/>
    <cellStyle name="注释 3 2 2" xfId="3635" xr:uid="{00000000-0005-0000-0000-0000630E0000}"/>
    <cellStyle name="注释 3 2 2 2" xfId="2520" xr:uid="{00000000-0005-0000-0000-0000080A0000}"/>
    <cellStyle name="注释 3 2 3" xfId="1136" xr:uid="{00000000-0005-0000-0000-0000A0040000}"/>
    <cellStyle name="注释 3 3" xfId="606" xr:uid="{00000000-0005-0000-0000-00008E020000}"/>
    <cellStyle name="注释 3 4" xfId="608" xr:uid="{00000000-0005-0000-0000-000090020000}"/>
    <cellStyle name="注释 3 4 2" xfId="610" xr:uid="{00000000-0005-0000-0000-000092020000}"/>
    <cellStyle name="注释 3 5" xfId="477" xr:uid="{00000000-0005-0000-0000-00000D020000}"/>
    <cellStyle name="注释 4" xfId="3636" xr:uid="{00000000-0005-0000-0000-0000640E0000}"/>
    <cellStyle name="注释 5" xfId="3637" xr:uid="{00000000-0005-0000-0000-0000650E0000}"/>
    <cellStyle name="注释 6" xfId="3638" xr:uid="{00000000-0005-0000-0000-0000660E0000}"/>
    <cellStyle name="注释 7" xfId="3429" xr:uid="{00000000-0005-0000-0000-0000950D0000}"/>
    <cellStyle name="注释 8" xfId="3432" xr:uid="{00000000-0005-0000-0000-0000980D0000}"/>
    <cellStyle name="注释 8 2" xfId="1027" xr:uid="{00000000-0005-0000-0000-000033040000}"/>
    <cellStyle name="注释 8 2 2" xfId="2728" xr:uid="{00000000-0005-0000-0000-0000D80A0000}"/>
    <cellStyle name="注释 8 3" xfId="3639" xr:uid="{00000000-0005-0000-0000-0000670E0000}"/>
    <cellStyle name="注释 9" xfId="3434" xr:uid="{00000000-0005-0000-0000-00009A0D0000}"/>
    <cellStyle name="注释 9 2" xfId="1040" xr:uid="{00000000-0005-0000-0000-00004004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628650</xdr:colOff>
          <xdr:row>2</xdr:row>
          <xdr:rowOff>85725</xdr:rowOff>
        </xdr:from>
        <xdr:to>
          <xdr:col>7</xdr:col>
          <xdr:colOff>1704975</xdr:colOff>
          <xdr:row>5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生成流向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609600</xdr:colOff>
          <xdr:row>7</xdr:row>
          <xdr:rowOff>76200</xdr:rowOff>
        </xdr:from>
        <xdr:to>
          <xdr:col>7</xdr:col>
          <xdr:colOff>1676400</xdr:colOff>
          <xdr:row>10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12"/>
  <sheetViews>
    <sheetView tabSelected="1" workbookViewId="0">
      <selection activeCell="H19" sqref="H19"/>
    </sheetView>
  </sheetViews>
  <sheetFormatPr defaultColWidth="9" defaultRowHeight="13.5" x14ac:dyDescent="0.15"/>
  <cols>
    <col min="1" max="1" width="10.75" style="6" customWidth="1"/>
    <col min="2" max="2" width="7.375" style="6" customWidth="1"/>
    <col min="3" max="4" width="10.75" style="6" customWidth="1"/>
    <col min="5" max="5" width="25.5" style="6" bestFit="1" customWidth="1"/>
    <col min="6" max="6" width="15.125" style="6" customWidth="1"/>
    <col min="7" max="7" width="14.5" style="6" customWidth="1"/>
    <col min="8" max="8" width="30.75" style="6" bestFit="1" customWidth="1"/>
    <col min="9" max="9" width="22.375" style="6" bestFit="1" customWidth="1"/>
    <col min="10" max="10" width="52.625" style="6" bestFit="1" customWidth="1"/>
    <col min="11" max="11" width="13.75" style="6" bestFit="1" customWidth="1"/>
    <col min="12" max="12" width="50.5" style="6" bestFit="1" customWidth="1"/>
    <col min="13" max="13" width="25.375" style="6" customWidth="1"/>
    <col min="14" max="14" width="7.375" style="6" customWidth="1"/>
    <col min="15" max="15" width="14.5" style="6" customWidth="1"/>
    <col min="16" max="16" width="10.75" style="6" customWidth="1"/>
    <col min="17" max="17" width="7.375" style="6" customWidth="1"/>
    <col min="18" max="18" width="10.75" style="6" customWidth="1"/>
    <col min="19" max="19" width="11.625" style="6" bestFit="1" customWidth="1"/>
    <col min="20" max="20" width="10.75" style="6" customWidth="1"/>
    <col min="21" max="21" width="9" style="6" customWidth="1"/>
    <col min="22" max="22" width="9" style="6"/>
    <col min="23" max="23" width="47.875" style="6" bestFit="1" customWidth="1"/>
    <col min="24" max="16384" width="9" style="6"/>
  </cols>
  <sheetData>
    <row r="1" spans="1:24" s="8" customFormat="1" ht="39.6" customHeight="1" x14ac:dyDescent="0.15">
      <c r="A1" s="15" t="s">
        <v>0</v>
      </c>
      <c r="B1" s="9" t="s">
        <v>1</v>
      </c>
      <c r="C1" s="15" t="s">
        <v>17</v>
      </c>
      <c r="D1" s="9" t="s">
        <v>18</v>
      </c>
      <c r="E1" s="15" t="s">
        <v>19</v>
      </c>
      <c r="F1" s="15" t="s">
        <v>20</v>
      </c>
      <c r="G1" s="15" t="s">
        <v>2</v>
      </c>
      <c r="H1" s="11" t="s">
        <v>3</v>
      </c>
      <c r="I1" s="11" t="s">
        <v>4</v>
      </c>
      <c r="J1" s="11" t="s">
        <v>5</v>
      </c>
      <c r="K1" s="9" t="s">
        <v>6</v>
      </c>
      <c r="L1" s="11" t="s">
        <v>13</v>
      </c>
      <c r="M1" s="15" t="s">
        <v>12</v>
      </c>
      <c r="N1" s="15" t="s">
        <v>14</v>
      </c>
      <c r="O1" s="9" t="s">
        <v>7</v>
      </c>
      <c r="P1" s="11" t="s">
        <v>8</v>
      </c>
      <c r="Q1" s="11" t="s">
        <v>9</v>
      </c>
      <c r="R1" s="11" t="s">
        <v>10</v>
      </c>
      <c r="S1" s="11" t="s">
        <v>11</v>
      </c>
      <c r="T1" s="15" t="s">
        <v>15</v>
      </c>
      <c r="U1" s="9" t="s">
        <v>16</v>
      </c>
      <c r="V1" s="10"/>
      <c r="W1" s="12" t="s">
        <v>1818</v>
      </c>
      <c r="X1" s="11" t="s">
        <v>1817</v>
      </c>
    </row>
    <row r="2" spans="1:24" x14ac:dyDescent="0.15">
      <c r="A2" s="7" t="str">
        <f>IF(MONTH(P2)&lt;10,YEAR(P2)&amp;"0"&amp;MONTH(P2),YEAR(P2)&amp;MONTH(P2))</f>
        <v>190001</v>
      </c>
      <c r="C2" s="6" t="e">
        <f>INDEX(工厂基础数据!$A$2:$A$1024,MATCH(X2,工厂基础数据!$D$2:$D$1024,0))</f>
        <v>#N/A</v>
      </c>
      <c r="E2" s="6" t="e">
        <f>INDEX(工厂基础数据!$B$2:$B$1024,MATCH(X2,工厂基础数据!$D$2:$D$1024,0))</f>
        <v>#N/A</v>
      </c>
      <c r="F2" s="6" t="e">
        <f>INDEX(商业2转码!$B$2:$B$10000,MATCH(E2,商业2转码!$A$2:$A$10000,0))</f>
        <v>#N/A</v>
      </c>
      <c r="G2" s="6" t="e">
        <f>INDEX(品种2编码!$A$2:$A$1048576,MATCH(W2,品种2编码!$D$2:$D$1048576,0))</f>
        <v>#N/A</v>
      </c>
      <c r="M2" s="6" t="e">
        <f>INDEX(医院2县区2人!$B$2:$B$1048576,MATCH(L2,医院2县区2人!$A$2:$A$1048576,0))</f>
        <v>#N/A</v>
      </c>
      <c r="N2" s="6" t="e">
        <f>INDEX(医院2县区2人!$C$2:$C$1048576,MATCH(L2,医院2县区2人!$A$2:$A$1048576,0))</f>
        <v>#N/A</v>
      </c>
      <c r="P2" s="7"/>
      <c r="T2" s="6" t="e">
        <f>INDEX(医院2县区2人!$D$2:$D$1048576,MATCH(L2,医院2县区2人!$A$2:$A$1048576,0))</f>
        <v>#N/A</v>
      </c>
      <c r="W2" s="6" t="str">
        <f>H2&amp;I2</f>
        <v/>
      </c>
    </row>
    <row r="3" spans="1:24" x14ac:dyDescent="0.15">
      <c r="A3" s="7" t="str">
        <f t="shared" ref="A3:A5" si="0">IF(MONTH(P3)&lt;10,YEAR(P3)&amp;"0"&amp;MONTH(P3),YEAR(P3)&amp;MONTH(P3))</f>
        <v>190001</v>
      </c>
      <c r="C3" s="6" t="e">
        <f>INDEX(工厂基础数据!$A$2:$A$1024,MATCH(X3,工厂基础数据!$D$2:$D$1024,0))</f>
        <v>#N/A</v>
      </c>
      <c r="E3" s="6" t="e">
        <f>INDEX(工厂基础数据!$B$2:$B$1024,MATCH(X3,工厂基础数据!$D$2:$D$1024,0))</f>
        <v>#N/A</v>
      </c>
      <c r="F3" s="6" t="e">
        <f>INDEX(商业2转码!$B$2:$B$10000,MATCH(E3,商业2转码!$A$2:$A$10000,0))</f>
        <v>#N/A</v>
      </c>
      <c r="G3" s="6" t="e">
        <f>INDEX(品种2编码!$A$2:$A$1048576,MATCH(W3,品种2编码!$D$2:$D$1048576,0))</f>
        <v>#N/A</v>
      </c>
      <c r="M3" s="6" t="e">
        <f>INDEX(医院2县区2人!$B$2:$B$1048576,MATCH(L3,医院2县区2人!$A$2:$A$1048576,0))</f>
        <v>#N/A</v>
      </c>
      <c r="N3" s="6" t="e">
        <f>INDEX(医院2县区2人!$C$2:$C$1048576,MATCH(L3,医院2县区2人!$A$2:$A$1048576,0))</f>
        <v>#N/A</v>
      </c>
      <c r="P3" s="7"/>
      <c r="T3" s="6" t="e">
        <f>INDEX(医院2县区2人!$D$2:$D$1048576,MATCH(L3,医院2县区2人!$A$2:$A$1048576,0))</f>
        <v>#N/A</v>
      </c>
      <c r="W3" s="6" t="str">
        <f t="shared" ref="W3:W5" si="1">H3&amp;I3</f>
        <v/>
      </c>
    </row>
    <row r="4" spans="1:24" x14ac:dyDescent="0.15">
      <c r="A4" s="7" t="str">
        <f t="shared" si="0"/>
        <v>190001</v>
      </c>
      <c r="C4" s="6" t="e">
        <f>INDEX(工厂基础数据!$A$2:$A$1024,MATCH(X4,工厂基础数据!$D$2:$D$1024,0))</f>
        <v>#N/A</v>
      </c>
      <c r="E4" s="6" t="e">
        <f>INDEX(工厂基础数据!$B$2:$B$1024,MATCH(X4,工厂基础数据!$D$2:$D$1024,0))</f>
        <v>#N/A</v>
      </c>
      <c r="F4" s="6" t="e">
        <f>INDEX(商业2转码!$B$2:$B$10000,MATCH(E4,商业2转码!$A$2:$A$10000,0))</f>
        <v>#N/A</v>
      </c>
      <c r="G4" s="6" t="e">
        <f>INDEX(品种2编码!$A$2:$A$1048576,MATCH(W4,品种2编码!$D$2:$D$1048576,0))</f>
        <v>#N/A</v>
      </c>
      <c r="M4" s="6" t="e">
        <f>INDEX(医院2县区2人!$B$2:$B$1048576,MATCH(L4,医院2县区2人!$A$2:$A$1048576,0))</f>
        <v>#N/A</v>
      </c>
      <c r="N4" s="6" t="e">
        <f>INDEX(医院2县区2人!$C$2:$C$1048576,MATCH(L4,医院2县区2人!$A$2:$A$1048576,0))</f>
        <v>#N/A</v>
      </c>
      <c r="P4" s="7"/>
      <c r="T4" s="6" t="e">
        <f>INDEX(医院2县区2人!$D$2:$D$1048576,MATCH(L4,医院2县区2人!$A$2:$A$1048576,0))</f>
        <v>#N/A</v>
      </c>
      <c r="W4" s="6" t="str">
        <f t="shared" si="1"/>
        <v/>
      </c>
    </row>
    <row r="5" spans="1:24" x14ac:dyDescent="0.15">
      <c r="A5" s="7" t="str">
        <f t="shared" si="0"/>
        <v>190001</v>
      </c>
      <c r="C5" s="6" t="e">
        <f>INDEX(工厂基础数据!$A$2:$A$1024,MATCH(X5,工厂基础数据!$D$2:$D$1024,0))</f>
        <v>#N/A</v>
      </c>
      <c r="E5" s="6" t="e">
        <f>INDEX(工厂基础数据!$B$2:$B$1024,MATCH(X5,工厂基础数据!$D$2:$D$1024,0))</f>
        <v>#N/A</v>
      </c>
      <c r="F5" s="6" t="e">
        <f>INDEX(商业2转码!$B$2:$B$10000,MATCH(E5,商业2转码!$A$2:$A$10000,0))</f>
        <v>#N/A</v>
      </c>
      <c r="G5" s="6" t="e">
        <f>INDEX(品种2编码!$A$2:$A$1048576,MATCH(W5,品种2编码!$D$2:$D$1048576,0))</f>
        <v>#N/A</v>
      </c>
      <c r="M5" s="6" t="e">
        <f>INDEX(医院2县区2人!$B$2:$B$1048576,MATCH(L5,医院2县区2人!$A$2:$A$1048576,0))</f>
        <v>#N/A</v>
      </c>
      <c r="N5" s="6" t="e">
        <f>INDEX(医院2县区2人!$C$2:$C$1048576,MATCH(L5,医院2县区2人!$A$2:$A$1048576,0))</f>
        <v>#N/A</v>
      </c>
      <c r="P5" s="7"/>
      <c r="T5" s="6" t="e">
        <f>INDEX(医院2县区2人!$D$2:$D$1048576,MATCH(L5,医院2县区2人!$A$2:$A$1048576,0))</f>
        <v>#N/A</v>
      </c>
      <c r="W5" s="6" t="str">
        <f t="shared" si="1"/>
        <v/>
      </c>
    </row>
    <row r="6" spans="1:24" x14ac:dyDescent="0.15">
      <c r="A6" s="7" t="str">
        <f t="shared" ref="A6" si="2">IF(MONTH(P6)&lt;10,YEAR(P6)&amp;"0"&amp;MONTH(P6),YEAR(P6)&amp;MONTH(P6))</f>
        <v>190001</v>
      </c>
      <c r="C6" s="6" t="e">
        <f>INDEX(工厂基础数据!$A$2:$A$1024,MATCH(X6,工厂基础数据!$D$2:$D$1024,0))</f>
        <v>#N/A</v>
      </c>
      <c r="E6" s="6" t="e">
        <f>INDEX(工厂基础数据!$B$2:$B$1024,MATCH(X6,工厂基础数据!$D$2:$D$1024,0))</f>
        <v>#N/A</v>
      </c>
      <c r="F6" s="6" t="e">
        <f>INDEX(商业2转码!$B$2:$B$10000,MATCH(E6,商业2转码!$A$2:$A$10000,0))</f>
        <v>#N/A</v>
      </c>
      <c r="G6" s="6" t="e">
        <f>INDEX(品种2编码!$A$2:$A$1048576,MATCH(W6,品种2编码!$D$2:$D$1048576,0))</f>
        <v>#N/A</v>
      </c>
      <c r="M6" s="6" t="e">
        <f>INDEX(医院2县区2人!$B$2:$B$1048576,MATCH(L6,医院2县区2人!$A$2:$A$1048576,0))</f>
        <v>#N/A</v>
      </c>
      <c r="N6" s="6" t="e">
        <f>INDEX(医院2县区2人!$C$2:$C$1048576,MATCH(L6,医院2县区2人!$A$2:$A$1048576,0))</f>
        <v>#N/A</v>
      </c>
      <c r="P6" s="7"/>
      <c r="T6" s="6" t="e">
        <f>INDEX(医院2县区2人!$D$2:$D$1048576,MATCH(L6,医院2县区2人!$A$2:$A$1048576,0))</f>
        <v>#N/A</v>
      </c>
      <c r="W6" s="6" t="str">
        <f t="shared" ref="W6:W12" si="3">H6&amp;I6</f>
        <v/>
      </c>
    </row>
    <row r="7" spans="1:24" x14ac:dyDescent="0.15">
      <c r="A7" s="7" t="str">
        <f t="shared" ref="A7:A12" si="4">IF(MONTH(P7)&lt;10,YEAR(P7)&amp;"0"&amp;MONTH(P7),YEAR(P7)&amp;MONTH(P7))</f>
        <v>190001</v>
      </c>
      <c r="C7" s="6" t="e">
        <f>INDEX(工厂基础数据!$A$2:$A$1024,MATCH(X7,工厂基础数据!$D$2:$D$1024,0))</f>
        <v>#N/A</v>
      </c>
      <c r="E7" s="6" t="e">
        <f>INDEX(工厂基础数据!$B$2:$B$1024,MATCH(X7,工厂基础数据!$D$2:$D$1024,0))</f>
        <v>#N/A</v>
      </c>
      <c r="F7" s="6" t="e">
        <f>INDEX(商业2转码!$B$2:$B$10000,MATCH(E7,商业2转码!$A$2:$A$10000,0))</f>
        <v>#N/A</v>
      </c>
      <c r="G7" s="6" t="e">
        <f>INDEX(品种2编码!$A$2:$A$1048576,MATCH(W7,品种2编码!$D$2:$D$1048576,0))</f>
        <v>#N/A</v>
      </c>
      <c r="M7" s="6" t="e">
        <f>INDEX(医院2县区2人!$B$2:$B$1048576,MATCH(L7,医院2县区2人!$A$2:$A$1048576,0))</f>
        <v>#N/A</v>
      </c>
      <c r="N7" s="6" t="e">
        <f>INDEX(医院2县区2人!$C$2:$C$1048576,MATCH(L7,医院2县区2人!$A$2:$A$1048576,0))</f>
        <v>#N/A</v>
      </c>
      <c r="P7" s="7"/>
      <c r="T7" s="6" t="e">
        <f>INDEX(医院2县区2人!$D$2:$D$1048576,MATCH(L7,医院2县区2人!$A$2:$A$1048576,0))</f>
        <v>#N/A</v>
      </c>
      <c r="W7" s="6" t="str">
        <f t="shared" si="3"/>
        <v/>
      </c>
    </row>
    <row r="8" spans="1:24" x14ac:dyDescent="0.15">
      <c r="A8" s="7" t="str">
        <f t="shared" si="4"/>
        <v>190001</v>
      </c>
      <c r="C8" s="6" t="e">
        <f>INDEX(工厂基础数据!$A$2:$A$1024,MATCH(X8,工厂基础数据!$D$2:$D$1024,0))</f>
        <v>#N/A</v>
      </c>
      <c r="E8" s="6" t="e">
        <f>INDEX(工厂基础数据!$B$2:$B$1024,MATCH(X8,工厂基础数据!$D$2:$D$1024,0))</f>
        <v>#N/A</v>
      </c>
      <c r="F8" s="6" t="e">
        <f>INDEX(商业2转码!$B$2:$B$10000,MATCH(E8,商业2转码!$A$2:$A$10000,0))</f>
        <v>#N/A</v>
      </c>
      <c r="G8" s="6" t="e">
        <f>INDEX(品种2编码!$A$2:$A$1048576,MATCH(W8,品种2编码!$D$2:$D$1048576,0))</f>
        <v>#N/A</v>
      </c>
      <c r="M8" s="6" t="e">
        <f>INDEX(医院2县区2人!$B$2:$B$1048576,MATCH(L8,医院2县区2人!$A$2:$A$1048576,0))</f>
        <v>#N/A</v>
      </c>
      <c r="N8" s="6" t="e">
        <f>INDEX(医院2县区2人!$C$2:$C$1048576,MATCH(L8,医院2县区2人!$A$2:$A$1048576,0))</f>
        <v>#N/A</v>
      </c>
      <c r="P8" s="7"/>
      <c r="T8" s="6" t="e">
        <f>INDEX(医院2县区2人!$D$2:$D$1048576,MATCH(L8,医院2县区2人!$A$2:$A$1048576,0))</f>
        <v>#N/A</v>
      </c>
      <c r="W8" s="6" t="str">
        <f t="shared" si="3"/>
        <v/>
      </c>
    </row>
    <row r="9" spans="1:24" x14ac:dyDescent="0.15">
      <c r="A9" s="7" t="str">
        <f t="shared" si="4"/>
        <v>190001</v>
      </c>
      <c r="C9" s="6" t="e">
        <f>INDEX(工厂基础数据!$A$2:$A$1024,MATCH(X9,工厂基础数据!$D$2:$D$1024,0))</f>
        <v>#N/A</v>
      </c>
      <c r="E9" s="6" t="e">
        <f>INDEX(工厂基础数据!$B$2:$B$1024,MATCH(X9,工厂基础数据!$D$2:$D$1024,0))</f>
        <v>#N/A</v>
      </c>
      <c r="F9" s="6" t="e">
        <f>INDEX(商业2转码!$B$2:$B$10000,MATCH(E9,商业2转码!$A$2:$A$10000,0))</f>
        <v>#N/A</v>
      </c>
      <c r="G9" s="6" t="e">
        <f>INDEX(品种2编码!$A$2:$A$1048576,MATCH(W9,品种2编码!$D$2:$D$1048576,0))</f>
        <v>#N/A</v>
      </c>
      <c r="M9" s="6" t="e">
        <f>INDEX(医院2县区2人!$B$2:$B$1048576,MATCH(L9,医院2县区2人!$A$2:$A$1048576,0))</f>
        <v>#N/A</v>
      </c>
      <c r="N9" s="6" t="e">
        <f>INDEX(医院2县区2人!$C$2:$C$1048576,MATCH(L9,医院2县区2人!$A$2:$A$1048576,0))</f>
        <v>#N/A</v>
      </c>
      <c r="P9" s="7"/>
      <c r="T9" s="6" t="e">
        <f>INDEX(医院2县区2人!$D$2:$D$1048576,MATCH(L9,医院2县区2人!$A$2:$A$1048576,0))</f>
        <v>#N/A</v>
      </c>
      <c r="W9" s="6" t="str">
        <f t="shared" si="3"/>
        <v/>
      </c>
    </row>
    <row r="10" spans="1:24" x14ac:dyDescent="0.15">
      <c r="A10" s="7" t="str">
        <f t="shared" si="4"/>
        <v>190001</v>
      </c>
      <c r="C10" s="6" t="e">
        <f>INDEX(工厂基础数据!$A$2:$A$1024,MATCH(X10,工厂基础数据!$D$2:$D$1024,0))</f>
        <v>#N/A</v>
      </c>
      <c r="E10" s="6" t="e">
        <f>INDEX(工厂基础数据!$B$2:$B$1024,MATCH(X10,工厂基础数据!$D$2:$D$1024,0))</f>
        <v>#N/A</v>
      </c>
      <c r="F10" s="6" t="e">
        <f>INDEX(商业2转码!$B$2:$B$10000,MATCH(E10,商业2转码!$A$2:$A$10000,0))</f>
        <v>#N/A</v>
      </c>
      <c r="G10" s="6" t="e">
        <f>INDEX(品种2编码!$A$2:$A$1048576,MATCH(W10,品种2编码!$D$2:$D$1048576,0))</f>
        <v>#N/A</v>
      </c>
      <c r="M10" s="6" t="e">
        <f>INDEX(医院2县区2人!$B$2:$B$1048576,MATCH(L10,医院2县区2人!$A$2:$A$1048576,0))</f>
        <v>#N/A</v>
      </c>
      <c r="N10" s="6" t="e">
        <f>INDEX(医院2县区2人!$C$2:$C$1048576,MATCH(L10,医院2县区2人!$A$2:$A$1048576,0))</f>
        <v>#N/A</v>
      </c>
      <c r="P10" s="7"/>
      <c r="T10" s="6" t="e">
        <f>INDEX(医院2县区2人!$D$2:$D$1048576,MATCH(L10,医院2县区2人!$A$2:$A$1048576,0))</f>
        <v>#N/A</v>
      </c>
      <c r="W10" s="6" t="str">
        <f t="shared" si="3"/>
        <v/>
      </c>
    </row>
    <row r="11" spans="1:24" x14ac:dyDescent="0.15">
      <c r="A11" s="7" t="str">
        <f t="shared" si="4"/>
        <v>190001</v>
      </c>
      <c r="C11" s="6" t="e">
        <f>INDEX(工厂基础数据!$A$2:$A$1024,MATCH(X11,工厂基础数据!$D$2:$D$1024,0))</f>
        <v>#N/A</v>
      </c>
      <c r="E11" s="6" t="e">
        <f>INDEX(工厂基础数据!$B$2:$B$1024,MATCH(X11,工厂基础数据!$D$2:$D$1024,0))</f>
        <v>#N/A</v>
      </c>
      <c r="F11" s="6" t="e">
        <f>INDEX(商业2转码!$B$2:$B$10000,MATCH(E11,商业2转码!$A$2:$A$10000,0))</f>
        <v>#N/A</v>
      </c>
      <c r="G11" s="6" t="e">
        <f>INDEX(品种2编码!$A$2:$A$1048576,MATCH(W11,品种2编码!$D$2:$D$1048576,0))</f>
        <v>#N/A</v>
      </c>
      <c r="M11" s="6" t="e">
        <f>INDEX(医院2县区2人!$B$2:$B$1048576,MATCH(L11,医院2县区2人!$A$2:$A$1048576,0))</f>
        <v>#N/A</v>
      </c>
      <c r="N11" s="6" t="e">
        <f>INDEX(医院2县区2人!$C$2:$C$1048576,MATCH(L11,医院2县区2人!$A$2:$A$1048576,0))</f>
        <v>#N/A</v>
      </c>
      <c r="P11" s="7"/>
      <c r="T11" s="6" t="e">
        <f>INDEX(医院2县区2人!$D$2:$D$1048576,MATCH(L11,医院2县区2人!$A$2:$A$1048576,0))</f>
        <v>#N/A</v>
      </c>
      <c r="W11" s="6" t="str">
        <f t="shared" si="3"/>
        <v/>
      </c>
    </row>
    <row r="12" spans="1:24" x14ac:dyDescent="0.15">
      <c r="A12" s="7" t="str">
        <f t="shared" si="4"/>
        <v>190001</v>
      </c>
      <c r="C12" s="6" t="e">
        <f>INDEX(工厂基础数据!$A$2:$A$1024,MATCH(X12,工厂基础数据!$D$2:$D$1024,0))</f>
        <v>#N/A</v>
      </c>
      <c r="E12" s="6" t="e">
        <f>INDEX(工厂基础数据!$B$2:$B$1024,MATCH(X12,工厂基础数据!$D$2:$D$1024,0))</f>
        <v>#N/A</v>
      </c>
      <c r="F12" s="6" t="e">
        <f>INDEX(商业2转码!$B$2:$B$10000,MATCH(E12,商业2转码!$A$2:$A$10000,0))</f>
        <v>#N/A</v>
      </c>
      <c r="G12" s="6" t="e">
        <f>INDEX(品种2编码!$A$2:$A$1048576,MATCH(W12,品种2编码!$D$2:$D$1048576,0))</f>
        <v>#N/A</v>
      </c>
      <c r="M12" s="6" t="e">
        <f>INDEX(医院2县区2人!$B$2:$B$1048576,MATCH(L12,医院2县区2人!$A$2:$A$1048576,0))</f>
        <v>#N/A</v>
      </c>
      <c r="N12" s="6" t="e">
        <f>INDEX(医院2县区2人!$C$2:$C$1048576,MATCH(L12,医院2县区2人!$A$2:$A$1048576,0))</f>
        <v>#N/A</v>
      </c>
      <c r="P12" s="7"/>
      <c r="T12" s="6" t="e">
        <f>INDEX(医院2县区2人!$D$2:$D$1048576,MATCH(L12,医院2县区2人!$A$2:$A$1048576,0))</f>
        <v>#N/A</v>
      </c>
      <c r="W12" s="6" t="str">
        <f t="shared" si="3"/>
        <v/>
      </c>
    </row>
  </sheetData>
  <phoneticPr fontId="57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宏2">
                <anchor>
                  <from>
                    <xdr:col>7</xdr:col>
                    <xdr:colOff>628650</xdr:colOff>
                    <xdr:row>2</xdr:row>
                    <xdr:rowOff>85725</xdr:rowOff>
                  </from>
                  <to>
                    <xdr:col>7</xdr:col>
                    <xdr:colOff>1704975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宏1">
                <anchor moveWithCells="1" sizeWithCells="1">
                  <from>
                    <xdr:col>7</xdr:col>
                    <xdr:colOff>609600</xdr:colOff>
                    <xdr:row>7</xdr:row>
                    <xdr:rowOff>76200</xdr:rowOff>
                  </from>
                  <to>
                    <xdr:col>7</xdr:col>
                    <xdr:colOff>1676400</xdr:colOff>
                    <xdr:row>10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A58FB-CE1F-4678-80B9-A474487B42D1}">
  <sheetPr codeName="Sheet4"/>
  <dimension ref="A1:C20"/>
  <sheetViews>
    <sheetView workbookViewId="0">
      <selection activeCell="B13" sqref="B13"/>
    </sheetView>
  </sheetViews>
  <sheetFormatPr defaultRowHeight="13.5" x14ac:dyDescent="0.15"/>
  <cols>
    <col min="1" max="1" width="29.625" bestFit="1" customWidth="1"/>
    <col min="2" max="2" width="30.875" bestFit="1" customWidth="1"/>
  </cols>
  <sheetData>
    <row r="1" spans="1:3" x14ac:dyDescent="0.15">
      <c r="A1" t="s">
        <v>19</v>
      </c>
      <c r="B1" t="s">
        <v>20</v>
      </c>
      <c r="C1" s="13" t="s">
        <v>1817</v>
      </c>
    </row>
    <row r="2" spans="1:3" x14ac:dyDescent="0.15">
      <c r="A2" t="s">
        <v>2867</v>
      </c>
      <c r="B2">
        <v>0</v>
      </c>
    </row>
    <row r="3" spans="1:3" x14ac:dyDescent="0.15">
      <c r="A3" t="s">
        <v>204</v>
      </c>
      <c r="B3">
        <v>0</v>
      </c>
    </row>
    <row r="4" spans="1:3" x14ac:dyDescent="0.15">
      <c r="A4" t="s">
        <v>2868</v>
      </c>
      <c r="B4">
        <v>0</v>
      </c>
    </row>
    <row r="5" spans="1:3" x14ac:dyDescent="0.15">
      <c r="A5" t="s">
        <v>2422</v>
      </c>
      <c r="B5">
        <v>1</v>
      </c>
    </row>
    <row r="6" spans="1:3" x14ac:dyDescent="0.15">
      <c r="A6" t="s">
        <v>100</v>
      </c>
      <c r="B6">
        <v>0</v>
      </c>
    </row>
    <row r="7" spans="1:3" x14ac:dyDescent="0.15">
      <c r="A7" t="s">
        <v>2212</v>
      </c>
      <c r="B7">
        <v>1</v>
      </c>
    </row>
    <row r="8" spans="1:3" x14ac:dyDescent="0.15">
      <c r="A8" t="s">
        <v>54</v>
      </c>
      <c r="B8">
        <v>0</v>
      </c>
    </row>
    <row r="9" spans="1:3" x14ac:dyDescent="0.15">
      <c r="A9" s="1"/>
      <c r="B9" s="1"/>
      <c r="C9" t="s">
        <v>2920</v>
      </c>
    </row>
    <row r="10" spans="1:3" x14ac:dyDescent="0.15">
      <c r="A10" s="1"/>
      <c r="B10" s="1"/>
      <c r="C10" t="s">
        <v>2892</v>
      </c>
    </row>
    <row r="11" spans="1:3" x14ac:dyDescent="0.15">
      <c r="A11" s="1"/>
      <c r="B11" s="1"/>
      <c r="C11" t="s">
        <v>2899</v>
      </c>
    </row>
    <row r="12" spans="1:3" x14ac:dyDescent="0.15">
      <c r="A12" s="1"/>
      <c r="B12" s="1"/>
      <c r="C12" t="s">
        <v>2918</v>
      </c>
    </row>
    <row r="13" spans="1:3" x14ac:dyDescent="0.15">
      <c r="A13" s="1"/>
      <c r="B13" s="1"/>
      <c r="C13" t="s">
        <v>2919</v>
      </c>
    </row>
    <row r="14" spans="1:3" x14ac:dyDescent="0.15">
      <c r="A14" s="1"/>
      <c r="B14" s="1"/>
      <c r="C14" t="s">
        <v>2906</v>
      </c>
    </row>
    <row r="15" spans="1:3" x14ac:dyDescent="0.15">
      <c r="A15" s="1"/>
      <c r="B15" s="1"/>
      <c r="C15" t="s">
        <v>2921</v>
      </c>
    </row>
    <row r="16" spans="1:3" x14ac:dyDescent="0.15">
      <c r="A16" s="1"/>
      <c r="B16" s="1"/>
      <c r="C16" t="s">
        <v>2903</v>
      </c>
    </row>
    <row r="17" spans="1:3" x14ac:dyDescent="0.15">
      <c r="A17" s="1"/>
      <c r="B17" s="1"/>
      <c r="C17" t="s">
        <v>2900</v>
      </c>
    </row>
    <row r="18" spans="1:3" x14ac:dyDescent="0.15">
      <c r="A18" s="1"/>
      <c r="B18" s="1"/>
      <c r="C18" t="s">
        <v>2911</v>
      </c>
    </row>
    <row r="19" spans="1:3" x14ac:dyDescent="0.15">
      <c r="A19" s="1"/>
      <c r="B19" s="1"/>
      <c r="C19" t="s">
        <v>2908</v>
      </c>
    </row>
    <row r="20" spans="1:3" x14ac:dyDescent="0.15">
      <c r="A20" s="1"/>
      <c r="B20" s="1"/>
      <c r="C20" t="s">
        <v>2897</v>
      </c>
    </row>
  </sheetData>
  <phoneticPr fontId="5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4FEB3-EE50-44BD-97E8-CEDF60EB33DF}">
  <sheetPr codeName="Sheet5"/>
  <dimension ref="A1:E1246"/>
  <sheetViews>
    <sheetView workbookViewId="0">
      <selection activeCell="B1230" sqref="B1230"/>
    </sheetView>
  </sheetViews>
  <sheetFormatPr defaultRowHeight="13.5" x14ac:dyDescent="0.15"/>
  <cols>
    <col min="1" max="1" width="50.5" bestFit="1" customWidth="1"/>
    <col min="2" max="2" width="28.875" bestFit="1" customWidth="1"/>
    <col min="3" max="3" width="8.25" bestFit="1" customWidth="1"/>
    <col min="4" max="4" width="17.25" bestFit="1" customWidth="1"/>
    <col min="5" max="5" width="10.125" bestFit="1" customWidth="1"/>
  </cols>
  <sheetData>
    <row r="1" spans="1:5" x14ac:dyDescent="0.15">
      <c r="A1" t="s">
        <v>13</v>
      </c>
      <c r="B1" t="s">
        <v>12</v>
      </c>
      <c r="C1" t="s">
        <v>14</v>
      </c>
      <c r="D1" t="s">
        <v>15</v>
      </c>
      <c r="E1" t="s">
        <v>16</v>
      </c>
    </row>
    <row r="2" spans="1:5" x14ac:dyDescent="0.15">
      <c r="A2" t="s">
        <v>2051</v>
      </c>
      <c r="B2">
        <v>1</v>
      </c>
      <c r="C2" t="s">
        <v>1538</v>
      </c>
      <c r="D2" t="s">
        <v>1473</v>
      </c>
      <c r="E2">
        <v>0</v>
      </c>
    </row>
    <row r="3" spans="1:5" x14ac:dyDescent="0.15">
      <c r="A3" t="s">
        <v>2052</v>
      </c>
      <c r="B3">
        <v>1</v>
      </c>
      <c r="C3" t="s">
        <v>1538</v>
      </c>
      <c r="D3" t="s">
        <v>1473</v>
      </c>
      <c r="E3">
        <v>0</v>
      </c>
    </row>
    <row r="4" spans="1:5" x14ac:dyDescent="0.15">
      <c r="A4" t="s">
        <v>2052</v>
      </c>
      <c r="B4">
        <v>1</v>
      </c>
      <c r="C4" t="s">
        <v>1538</v>
      </c>
      <c r="D4" t="s">
        <v>1473</v>
      </c>
      <c r="E4">
        <v>2</v>
      </c>
    </row>
    <row r="5" spans="1:5" x14ac:dyDescent="0.15">
      <c r="A5" t="s">
        <v>2053</v>
      </c>
      <c r="B5">
        <v>2</v>
      </c>
      <c r="C5" t="s">
        <v>1538</v>
      </c>
      <c r="D5" t="s">
        <v>1473</v>
      </c>
      <c r="E5">
        <v>0</v>
      </c>
    </row>
    <row r="6" spans="1:5" x14ac:dyDescent="0.15">
      <c r="A6" t="s">
        <v>2054</v>
      </c>
      <c r="B6">
        <v>2</v>
      </c>
      <c r="C6" t="s">
        <v>1538</v>
      </c>
      <c r="D6" t="s">
        <v>1473</v>
      </c>
      <c r="E6">
        <v>0</v>
      </c>
    </row>
    <row r="7" spans="1:5" x14ac:dyDescent="0.15">
      <c r="A7" t="s">
        <v>2055</v>
      </c>
      <c r="B7">
        <v>1</v>
      </c>
      <c r="C7" t="s">
        <v>1538</v>
      </c>
      <c r="D7" t="s">
        <v>1473</v>
      </c>
      <c r="E7">
        <v>0</v>
      </c>
    </row>
    <row r="8" spans="1:5" x14ac:dyDescent="0.15">
      <c r="A8" t="s">
        <v>2056</v>
      </c>
      <c r="B8">
        <v>1</v>
      </c>
      <c r="C8" t="s">
        <v>1538</v>
      </c>
      <c r="D8" t="s">
        <v>1473</v>
      </c>
      <c r="E8">
        <v>2</v>
      </c>
    </row>
    <row r="9" spans="1:5" x14ac:dyDescent="0.15">
      <c r="A9" t="s">
        <v>2057</v>
      </c>
      <c r="B9">
        <v>1</v>
      </c>
      <c r="C9" t="s">
        <v>1538</v>
      </c>
      <c r="D9" t="s">
        <v>1473</v>
      </c>
      <c r="E9">
        <v>0</v>
      </c>
    </row>
    <row r="10" spans="1:5" x14ac:dyDescent="0.15">
      <c r="A10" t="s">
        <v>2058</v>
      </c>
      <c r="B10">
        <v>1</v>
      </c>
      <c r="C10" t="s">
        <v>1538</v>
      </c>
      <c r="D10" t="s">
        <v>1473</v>
      </c>
      <c r="E10">
        <v>0</v>
      </c>
    </row>
    <row r="11" spans="1:5" x14ac:dyDescent="0.15">
      <c r="A11" t="s">
        <v>2056</v>
      </c>
      <c r="B11">
        <v>1</v>
      </c>
      <c r="C11" t="s">
        <v>1538</v>
      </c>
      <c r="D11" t="s">
        <v>1473</v>
      </c>
      <c r="E11">
        <v>0</v>
      </c>
    </row>
    <row r="12" spans="1:5" x14ac:dyDescent="0.15">
      <c r="A12" t="s">
        <v>2059</v>
      </c>
      <c r="B12">
        <v>1</v>
      </c>
      <c r="C12" t="s">
        <v>1538</v>
      </c>
      <c r="D12" t="s">
        <v>1473</v>
      </c>
      <c r="E12">
        <v>2</v>
      </c>
    </row>
    <row r="13" spans="1:5" x14ac:dyDescent="0.15">
      <c r="A13" t="s">
        <v>2060</v>
      </c>
      <c r="B13">
        <v>1</v>
      </c>
      <c r="C13" t="s">
        <v>1538</v>
      </c>
      <c r="D13" t="s">
        <v>1473</v>
      </c>
      <c r="E13">
        <v>0</v>
      </c>
    </row>
    <row r="14" spans="1:5" x14ac:dyDescent="0.15">
      <c r="A14" t="s">
        <v>2061</v>
      </c>
      <c r="B14">
        <v>1</v>
      </c>
      <c r="C14" t="s">
        <v>1538</v>
      </c>
      <c r="D14" t="s">
        <v>1473</v>
      </c>
      <c r="E14">
        <v>0</v>
      </c>
    </row>
    <row r="15" spans="1:5" x14ac:dyDescent="0.15">
      <c r="A15" t="s">
        <v>2062</v>
      </c>
      <c r="B15">
        <v>1</v>
      </c>
      <c r="C15" t="s">
        <v>1538</v>
      </c>
      <c r="D15" t="s">
        <v>1473</v>
      </c>
      <c r="E15">
        <v>0</v>
      </c>
    </row>
    <row r="16" spans="1:5" x14ac:dyDescent="0.15">
      <c r="A16" t="s">
        <v>2063</v>
      </c>
      <c r="B16">
        <v>1</v>
      </c>
      <c r="C16" t="s">
        <v>1538</v>
      </c>
      <c r="D16" t="s">
        <v>1473</v>
      </c>
      <c r="E16">
        <v>0</v>
      </c>
    </row>
    <row r="17" spans="1:5" x14ac:dyDescent="0.15">
      <c r="A17" t="s">
        <v>2064</v>
      </c>
      <c r="B17">
        <v>1</v>
      </c>
      <c r="C17" t="s">
        <v>1538</v>
      </c>
      <c r="D17" t="s">
        <v>1473</v>
      </c>
      <c r="E17">
        <v>2</v>
      </c>
    </row>
    <row r="18" spans="1:5" x14ac:dyDescent="0.15">
      <c r="A18" t="s">
        <v>2064</v>
      </c>
      <c r="B18">
        <v>1</v>
      </c>
      <c r="C18" t="s">
        <v>1538</v>
      </c>
      <c r="D18" t="s">
        <v>1473</v>
      </c>
      <c r="E18">
        <v>0</v>
      </c>
    </row>
    <row r="19" spans="1:5" x14ac:dyDescent="0.15">
      <c r="A19" t="s">
        <v>2065</v>
      </c>
      <c r="B19">
        <v>1</v>
      </c>
      <c r="C19" t="s">
        <v>1538</v>
      </c>
      <c r="D19" t="s">
        <v>1473</v>
      </c>
      <c r="E19">
        <v>0</v>
      </c>
    </row>
    <row r="20" spans="1:5" x14ac:dyDescent="0.15">
      <c r="A20" t="s">
        <v>2066</v>
      </c>
      <c r="B20">
        <v>1</v>
      </c>
      <c r="C20" t="s">
        <v>1538</v>
      </c>
      <c r="D20" t="s">
        <v>1473</v>
      </c>
      <c r="E20">
        <v>0</v>
      </c>
    </row>
    <row r="21" spans="1:5" x14ac:dyDescent="0.15">
      <c r="A21" t="s">
        <v>2067</v>
      </c>
      <c r="B21">
        <v>1</v>
      </c>
      <c r="C21" t="s">
        <v>1538</v>
      </c>
      <c r="D21" t="s">
        <v>1473</v>
      </c>
      <c r="E21">
        <v>0</v>
      </c>
    </row>
    <row r="22" spans="1:5" x14ac:dyDescent="0.15">
      <c r="A22" t="s">
        <v>2068</v>
      </c>
      <c r="B22">
        <v>1</v>
      </c>
      <c r="C22" t="s">
        <v>1538</v>
      </c>
      <c r="D22" t="s">
        <v>1473</v>
      </c>
      <c r="E22">
        <v>2</v>
      </c>
    </row>
    <row r="23" spans="1:5" x14ac:dyDescent="0.15">
      <c r="A23" t="s">
        <v>2068</v>
      </c>
      <c r="B23">
        <v>1</v>
      </c>
      <c r="C23" t="s">
        <v>1538</v>
      </c>
      <c r="D23" t="s">
        <v>1473</v>
      </c>
      <c r="E23">
        <v>0</v>
      </c>
    </row>
    <row r="24" spans="1:5" x14ac:dyDescent="0.15">
      <c r="A24" t="s">
        <v>2069</v>
      </c>
      <c r="B24">
        <v>1</v>
      </c>
      <c r="C24" t="s">
        <v>1538</v>
      </c>
      <c r="D24" t="s">
        <v>1473</v>
      </c>
      <c r="E24">
        <v>0</v>
      </c>
    </row>
    <row r="25" spans="1:5" x14ac:dyDescent="0.15">
      <c r="A25" t="s">
        <v>2070</v>
      </c>
      <c r="B25">
        <v>2</v>
      </c>
      <c r="C25" t="s">
        <v>1538</v>
      </c>
      <c r="D25" t="s">
        <v>1473</v>
      </c>
      <c r="E25">
        <v>2</v>
      </c>
    </row>
    <row r="26" spans="1:5" x14ac:dyDescent="0.15">
      <c r="A26" t="s">
        <v>2071</v>
      </c>
      <c r="B26">
        <v>2</v>
      </c>
      <c r="C26" t="s">
        <v>1538</v>
      </c>
      <c r="D26" t="s">
        <v>1473</v>
      </c>
      <c r="E26">
        <v>0</v>
      </c>
    </row>
    <row r="27" spans="1:5" x14ac:dyDescent="0.15">
      <c r="A27" t="s">
        <v>2072</v>
      </c>
      <c r="B27">
        <v>2</v>
      </c>
      <c r="C27" t="s">
        <v>1538</v>
      </c>
      <c r="D27" t="s">
        <v>1473</v>
      </c>
      <c r="E27">
        <v>0</v>
      </c>
    </row>
    <row r="28" spans="1:5" x14ac:dyDescent="0.15">
      <c r="A28" t="s">
        <v>2073</v>
      </c>
      <c r="B28">
        <v>1</v>
      </c>
      <c r="C28" t="s">
        <v>1538</v>
      </c>
      <c r="D28" t="s">
        <v>1473</v>
      </c>
      <c r="E28">
        <v>0</v>
      </c>
    </row>
    <row r="29" spans="1:5" x14ac:dyDescent="0.15">
      <c r="A29" t="s">
        <v>2074</v>
      </c>
      <c r="B29">
        <v>2</v>
      </c>
      <c r="C29" t="s">
        <v>1538</v>
      </c>
      <c r="D29" t="s">
        <v>1473</v>
      </c>
      <c r="E29">
        <v>0</v>
      </c>
    </row>
    <row r="30" spans="1:5" x14ac:dyDescent="0.15">
      <c r="A30" t="s">
        <v>2075</v>
      </c>
      <c r="B30">
        <v>2</v>
      </c>
      <c r="C30" t="s">
        <v>1538</v>
      </c>
      <c r="D30" t="s">
        <v>1473</v>
      </c>
      <c r="E30">
        <v>0</v>
      </c>
    </row>
    <row r="31" spans="1:5" x14ac:dyDescent="0.15">
      <c r="A31" t="s">
        <v>2076</v>
      </c>
      <c r="B31">
        <v>1</v>
      </c>
      <c r="C31" t="s">
        <v>1538</v>
      </c>
      <c r="D31" t="s">
        <v>1473</v>
      </c>
      <c r="E31">
        <v>2</v>
      </c>
    </row>
    <row r="32" spans="1:5" x14ac:dyDescent="0.15">
      <c r="A32" t="s">
        <v>2076</v>
      </c>
      <c r="B32">
        <v>1</v>
      </c>
      <c r="C32" t="s">
        <v>1538</v>
      </c>
      <c r="D32" t="s">
        <v>1473</v>
      </c>
      <c r="E32">
        <v>0</v>
      </c>
    </row>
    <row r="33" spans="1:5" x14ac:dyDescent="0.15">
      <c r="A33" t="s">
        <v>2077</v>
      </c>
      <c r="B33">
        <v>4</v>
      </c>
      <c r="C33" t="s">
        <v>1538</v>
      </c>
      <c r="D33" t="s">
        <v>1473</v>
      </c>
      <c r="E33">
        <v>0</v>
      </c>
    </row>
    <row r="34" spans="1:5" x14ac:dyDescent="0.15">
      <c r="A34" t="s">
        <v>2078</v>
      </c>
      <c r="B34">
        <v>1</v>
      </c>
      <c r="C34" t="s">
        <v>1538</v>
      </c>
      <c r="D34" t="s">
        <v>1473</v>
      </c>
      <c r="E34">
        <v>0</v>
      </c>
    </row>
    <row r="35" spans="1:5" x14ac:dyDescent="0.15">
      <c r="A35" t="s">
        <v>2079</v>
      </c>
      <c r="B35">
        <v>2</v>
      </c>
      <c r="C35" t="s">
        <v>1538</v>
      </c>
      <c r="D35" t="s">
        <v>1473</v>
      </c>
      <c r="E35">
        <v>0</v>
      </c>
    </row>
    <row r="36" spans="1:5" x14ac:dyDescent="0.15">
      <c r="A36" t="s">
        <v>2080</v>
      </c>
      <c r="B36">
        <v>2</v>
      </c>
      <c r="C36" t="s">
        <v>1538</v>
      </c>
      <c r="D36" t="s">
        <v>1473</v>
      </c>
      <c r="E36">
        <v>0</v>
      </c>
    </row>
    <row r="37" spans="1:5" x14ac:dyDescent="0.15">
      <c r="A37" t="s">
        <v>2081</v>
      </c>
      <c r="B37">
        <v>2</v>
      </c>
      <c r="C37" t="s">
        <v>1538</v>
      </c>
      <c r="D37" t="s">
        <v>1473</v>
      </c>
      <c r="E37">
        <v>0</v>
      </c>
    </row>
    <row r="38" spans="1:5" x14ac:dyDescent="0.15">
      <c r="A38" t="s">
        <v>2082</v>
      </c>
      <c r="B38">
        <v>1</v>
      </c>
      <c r="C38" t="s">
        <v>1538</v>
      </c>
      <c r="D38" t="s">
        <v>1473</v>
      </c>
      <c r="E38">
        <v>2</v>
      </c>
    </row>
    <row r="39" spans="1:5" x14ac:dyDescent="0.15">
      <c r="A39" t="s">
        <v>2082</v>
      </c>
      <c r="B39">
        <v>1</v>
      </c>
      <c r="C39" t="s">
        <v>1538</v>
      </c>
      <c r="D39" t="s">
        <v>1473</v>
      </c>
      <c r="E39">
        <v>0</v>
      </c>
    </row>
    <row r="40" spans="1:5" x14ac:dyDescent="0.15">
      <c r="A40" t="s">
        <v>2083</v>
      </c>
      <c r="B40">
        <v>1</v>
      </c>
      <c r="C40" t="s">
        <v>1538</v>
      </c>
      <c r="D40" t="s">
        <v>1473</v>
      </c>
      <c r="E40">
        <v>2</v>
      </c>
    </row>
    <row r="41" spans="1:5" x14ac:dyDescent="0.15">
      <c r="A41" t="s">
        <v>2083</v>
      </c>
      <c r="B41">
        <v>1</v>
      </c>
      <c r="C41" t="s">
        <v>1538</v>
      </c>
      <c r="D41" t="s">
        <v>1473</v>
      </c>
      <c r="E41">
        <v>0</v>
      </c>
    </row>
    <row r="42" spans="1:5" x14ac:dyDescent="0.15">
      <c r="A42" t="s">
        <v>2084</v>
      </c>
      <c r="B42">
        <v>1</v>
      </c>
      <c r="C42" t="s">
        <v>1538</v>
      </c>
      <c r="D42" t="s">
        <v>1473</v>
      </c>
      <c r="E42">
        <v>0</v>
      </c>
    </row>
    <row r="43" spans="1:5" x14ac:dyDescent="0.15">
      <c r="A43" t="s">
        <v>2085</v>
      </c>
      <c r="B43">
        <v>1</v>
      </c>
      <c r="C43" t="s">
        <v>1538</v>
      </c>
      <c r="D43" t="s">
        <v>1473</v>
      </c>
      <c r="E43">
        <v>0</v>
      </c>
    </row>
    <row r="44" spans="1:5" x14ac:dyDescent="0.15">
      <c r="A44" t="s">
        <v>2077</v>
      </c>
      <c r="B44">
        <v>4</v>
      </c>
      <c r="C44" t="s">
        <v>1538</v>
      </c>
      <c r="D44" t="s">
        <v>1473</v>
      </c>
      <c r="E44">
        <v>4</v>
      </c>
    </row>
    <row r="45" spans="1:5" x14ac:dyDescent="0.15">
      <c r="A45" t="s">
        <v>2086</v>
      </c>
      <c r="B45">
        <v>1</v>
      </c>
      <c r="C45" t="s">
        <v>1538</v>
      </c>
      <c r="D45" t="s">
        <v>1473</v>
      </c>
      <c r="E45">
        <v>0</v>
      </c>
    </row>
    <row r="46" spans="1:5" x14ac:dyDescent="0.15">
      <c r="A46" t="s">
        <v>2087</v>
      </c>
      <c r="B46">
        <v>1</v>
      </c>
      <c r="C46" t="s">
        <v>1538</v>
      </c>
      <c r="D46" t="s">
        <v>1473</v>
      </c>
      <c r="E46">
        <v>0</v>
      </c>
    </row>
    <row r="47" spans="1:5" x14ac:dyDescent="0.15">
      <c r="A47" t="s">
        <v>2088</v>
      </c>
      <c r="B47">
        <v>1</v>
      </c>
      <c r="C47" t="s">
        <v>1538</v>
      </c>
      <c r="D47" t="s">
        <v>1473</v>
      </c>
      <c r="E47">
        <v>0</v>
      </c>
    </row>
    <row r="48" spans="1:5" x14ac:dyDescent="0.15">
      <c r="A48" t="s">
        <v>2089</v>
      </c>
      <c r="B48">
        <v>2</v>
      </c>
      <c r="C48" t="s">
        <v>1801</v>
      </c>
      <c r="E48">
        <v>0</v>
      </c>
    </row>
    <row r="49" spans="1:5" x14ac:dyDescent="0.15">
      <c r="A49" t="s">
        <v>2085</v>
      </c>
      <c r="B49">
        <v>1</v>
      </c>
      <c r="C49" t="s">
        <v>1538</v>
      </c>
      <c r="D49" t="s">
        <v>1473</v>
      </c>
      <c r="E49">
        <v>2</v>
      </c>
    </row>
    <row r="50" spans="1:5" x14ac:dyDescent="0.15">
      <c r="A50" t="s">
        <v>2090</v>
      </c>
      <c r="B50">
        <v>1</v>
      </c>
      <c r="C50" t="s">
        <v>1538</v>
      </c>
      <c r="D50" t="s">
        <v>1473</v>
      </c>
      <c r="E50">
        <v>0</v>
      </c>
    </row>
    <row r="51" spans="1:5" x14ac:dyDescent="0.15">
      <c r="A51" t="s">
        <v>2091</v>
      </c>
      <c r="B51">
        <v>1</v>
      </c>
      <c r="C51" t="s">
        <v>1538</v>
      </c>
      <c r="D51" t="s">
        <v>1473</v>
      </c>
      <c r="E51">
        <v>0</v>
      </c>
    </row>
    <row r="52" spans="1:5" x14ac:dyDescent="0.15">
      <c r="A52" t="s">
        <v>2092</v>
      </c>
      <c r="B52">
        <v>1</v>
      </c>
      <c r="C52" t="s">
        <v>1538</v>
      </c>
      <c r="D52" t="s">
        <v>1473</v>
      </c>
      <c r="E52">
        <v>0</v>
      </c>
    </row>
    <row r="53" spans="1:5" x14ac:dyDescent="0.15">
      <c r="A53" t="s">
        <v>2093</v>
      </c>
      <c r="B53">
        <v>1</v>
      </c>
      <c r="C53" t="s">
        <v>1538</v>
      </c>
      <c r="D53" t="s">
        <v>1473</v>
      </c>
      <c r="E53">
        <v>0</v>
      </c>
    </row>
    <row r="54" spans="1:5" x14ac:dyDescent="0.15">
      <c r="A54" t="s">
        <v>2051</v>
      </c>
      <c r="B54">
        <v>1</v>
      </c>
      <c r="C54" t="s">
        <v>1538</v>
      </c>
      <c r="D54" t="s">
        <v>1473</v>
      </c>
      <c r="E54">
        <v>2</v>
      </c>
    </row>
    <row r="55" spans="1:5" x14ac:dyDescent="0.15">
      <c r="A55" t="s">
        <v>2094</v>
      </c>
      <c r="B55">
        <v>2</v>
      </c>
      <c r="C55" t="s">
        <v>1538</v>
      </c>
      <c r="D55" t="s">
        <v>1473</v>
      </c>
      <c r="E55">
        <v>0</v>
      </c>
    </row>
    <row r="56" spans="1:5" x14ac:dyDescent="0.15">
      <c r="A56" t="s">
        <v>2095</v>
      </c>
      <c r="B56">
        <v>1</v>
      </c>
      <c r="C56" t="s">
        <v>1538</v>
      </c>
      <c r="D56" t="s">
        <v>1473</v>
      </c>
      <c r="E56">
        <v>0</v>
      </c>
    </row>
    <row r="57" spans="1:5" x14ac:dyDescent="0.15">
      <c r="A57" t="s">
        <v>2096</v>
      </c>
      <c r="B57">
        <v>1</v>
      </c>
      <c r="C57" t="s">
        <v>1538</v>
      </c>
      <c r="D57" t="s">
        <v>1473</v>
      </c>
      <c r="E57">
        <v>0</v>
      </c>
    </row>
    <row r="58" spans="1:5" x14ac:dyDescent="0.15">
      <c r="A58" t="s">
        <v>2097</v>
      </c>
      <c r="B58">
        <v>2</v>
      </c>
      <c r="C58" t="s">
        <v>1538</v>
      </c>
      <c r="D58" t="s">
        <v>1473</v>
      </c>
      <c r="E58">
        <v>0</v>
      </c>
    </row>
    <row r="59" spans="1:5" x14ac:dyDescent="0.15">
      <c r="A59" t="s">
        <v>2098</v>
      </c>
      <c r="B59">
        <v>1</v>
      </c>
      <c r="C59" t="s">
        <v>1538</v>
      </c>
      <c r="D59" t="s">
        <v>1473</v>
      </c>
      <c r="E59">
        <v>0</v>
      </c>
    </row>
    <row r="60" spans="1:5" x14ac:dyDescent="0.15">
      <c r="A60" t="s">
        <v>2059</v>
      </c>
      <c r="B60">
        <v>1</v>
      </c>
      <c r="C60" t="s">
        <v>1538</v>
      </c>
      <c r="D60" t="s">
        <v>1473</v>
      </c>
      <c r="E60">
        <v>0</v>
      </c>
    </row>
    <row r="61" spans="1:5" x14ac:dyDescent="0.15">
      <c r="A61" t="s">
        <v>2099</v>
      </c>
      <c r="B61">
        <v>2</v>
      </c>
      <c r="C61" t="s">
        <v>1538</v>
      </c>
      <c r="D61" t="s">
        <v>1473</v>
      </c>
      <c r="E61">
        <v>0</v>
      </c>
    </row>
    <row r="62" spans="1:5" x14ac:dyDescent="0.15">
      <c r="A62" t="s">
        <v>2100</v>
      </c>
      <c r="B62">
        <v>2</v>
      </c>
      <c r="C62" t="s">
        <v>1538</v>
      </c>
      <c r="D62" t="s">
        <v>1473</v>
      </c>
      <c r="E62">
        <v>0</v>
      </c>
    </row>
    <row r="63" spans="1:5" x14ac:dyDescent="0.15">
      <c r="A63" t="s">
        <v>2101</v>
      </c>
      <c r="B63">
        <v>1</v>
      </c>
      <c r="C63" t="s">
        <v>1538</v>
      </c>
      <c r="D63" t="s">
        <v>1473</v>
      </c>
      <c r="E63">
        <v>2</v>
      </c>
    </row>
    <row r="64" spans="1:5" x14ac:dyDescent="0.15">
      <c r="A64" t="s">
        <v>2101</v>
      </c>
      <c r="B64">
        <v>1</v>
      </c>
      <c r="C64" t="s">
        <v>1538</v>
      </c>
      <c r="D64" t="s">
        <v>1473</v>
      </c>
      <c r="E64">
        <v>0</v>
      </c>
    </row>
    <row r="65" spans="1:5" x14ac:dyDescent="0.15">
      <c r="A65" t="s">
        <v>2102</v>
      </c>
      <c r="B65">
        <v>1</v>
      </c>
      <c r="C65" t="s">
        <v>1538</v>
      </c>
      <c r="D65" t="s">
        <v>1473</v>
      </c>
      <c r="E65">
        <v>0</v>
      </c>
    </row>
    <row r="66" spans="1:5" x14ac:dyDescent="0.15">
      <c r="A66" t="s">
        <v>2061</v>
      </c>
      <c r="B66">
        <v>1</v>
      </c>
      <c r="C66" t="s">
        <v>1538</v>
      </c>
      <c r="D66" t="s">
        <v>1473</v>
      </c>
      <c r="E66">
        <v>2</v>
      </c>
    </row>
    <row r="67" spans="1:5" x14ac:dyDescent="0.15">
      <c r="A67" t="s">
        <v>2103</v>
      </c>
      <c r="B67">
        <v>2</v>
      </c>
      <c r="C67" t="s">
        <v>1538</v>
      </c>
      <c r="D67" t="s">
        <v>1473</v>
      </c>
      <c r="E67">
        <v>0</v>
      </c>
    </row>
    <row r="68" spans="1:5" x14ac:dyDescent="0.15">
      <c r="A68" t="s">
        <v>2104</v>
      </c>
      <c r="B68">
        <v>1</v>
      </c>
      <c r="C68" t="s">
        <v>1538</v>
      </c>
      <c r="D68" t="s">
        <v>1473</v>
      </c>
      <c r="E68">
        <v>0</v>
      </c>
    </row>
    <row r="69" spans="1:5" x14ac:dyDescent="0.15">
      <c r="A69" t="s">
        <v>2105</v>
      </c>
      <c r="B69">
        <v>2</v>
      </c>
      <c r="C69" t="s">
        <v>1538</v>
      </c>
      <c r="D69" t="s">
        <v>1473</v>
      </c>
      <c r="E69">
        <v>0</v>
      </c>
    </row>
    <row r="70" spans="1:5" x14ac:dyDescent="0.15">
      <c r="A70" t="s">
        <v>2093</v>
      </c>
      <c r="B70">
        <v>1</v>
      </c>
      <c r="C70" t="s">
        <v>1538</v>
      </c>
      <c r="D70" t="s">
        <v>1473</v>
      </c>
      <c r="E70">
        <v>2</v>
      </c>
    </row>
    <row r="71" spans="1:5" x14ac:dyDescent="0.15">
      <c r="A71" t="s">
        <v>2065</v>
      </c>
      <c r="B71">
        <v>1</v>
      </c>
      <c r="C71" t="s">
        <v>1538</v>
      </c>
      <c r="D71" t="s">
        <v>1473</v>
      </c>
      <c r="E71">
        <v>2</v>
      </c>
    </row>
    <row r="72" spans="1:5" x14ac:dyDescent="0.15">
      <c r="A72" t="s">
        <v>2106</v>
      </c>
      <c r="B72">
        <v>2</v>
      </c>
      <c r="C72" t="s">
        <v>1538</v>
      </c>
      <c r="D72" t="s">
        <v>1473</v>
      </c>
      <c r="E72">
        <v>0</v>
      </c>
    </row>
    <row r="73" spans="1:5" x14ac:dyDescent="0.15">
      <c r="A73" t="s">
        <v>2107</v>
      </c>
      <c r="B73">
        <v>2</v>
      </c>
      <c r="C73" t="s">
        <v>1538</v>
      </c>
      <c r="D73" t="s">
        <v>1473</v>
      </c>
      <c r="E73">
        <v>0</v>
      </c>
    </row>
    <row r="74" spans="1:5" x14ac:dyDescent="0.15">
      <c r="A74" t="s">
        <v>2102</v>
      </c>
      <c r="B74">
        <v>1</v>
      </c>
      <c r="C74" t="s">
        <v>1538</v>
      </c>
      <c r="D74" t="s">
        <v>1473</v>
      </c>
      <c r="E74">
        <v>2</v>
      </c>
    </row>
    <row r="75" spans="1:5" x14ac:dyDescent="0.15">
      <c r="A75" t="s">
        <v>2108</v>
      </c>
      <c r="B75">
        <v>1</v>
      </c>
      <c r="C75" t="s">
        <v>1538</v>
      </c>
      <c r="D75" t="s">
        <v>1473</v>
      </c>
      <c r="E75">
        <v>2</v>
      </c>
    </row>
    <row r="76" spans="1:5" x14ac:dyDescent="0.15">
      <c r="A76" t="s">
        <v>2109</v>
      </c>
      <c r="B76">
        <v>2</v>
      </c>
      <c r="C76" t="s">
        <v>1538</v>
      </c>
      <c r="D76" t="s">
        <v>1473</v>
      </c>
      <c r="E76">
        <v>0</v>
      </c>
    </row>
    <row r="77" spans="1:5" x14ac:dyDescent="0.15">
      <c r="A77" t="s">
        <v>2110</v>
      </c>
      <c r="B77">
        <v>2</v>
      </c>
      <c r="C77" t="s">
        <v>1538</v>
      </c>
      <c r="D77" t="s">
        <v>1473</v>
      </c>
      <c r="E77">
        <v>2</v>
      </c>
    </row>
    <row r="78" spans="1:5" x14ac:dyDescent="0.15">
      <c r="A78" t="s">
        <v>2111</v>
      </c>
      <c r="B78">
        <v>2</v>
      </c>
      <c r="C78" t="s">
        <v>1538</v>
      </c>
      <c r="D78" t="s">
        <v>1473</v>
      </c>
      <c r="E78">
        <v>0</v>
      </c>
    </row>
    <row r="79" spans="1:5" x14ac:dyDescent="0.15">
      <c r="A79" t="s">
        <v>2112</v>
      </c>
      <c r="B79">
        <v>1</v>
      </c>
      <c r="C79" t="s">
        <v>1530</v>
      </c>
      <c r="D79" t="s">
        <v>1473</v>
      </c>
      <c r="E79">
        <v>0</v>
      </c>
    </row>
    <row r="80" spans="1:5" x14ac:dyDescent="0.15">
      <c r="A80" t="s">
        <v>2060</v>
      </c>
      <c r="B80">
        <v>1</v>
      </c>
      <c r="C80" t="s">
        <v>1538</v>
      </c>
      <c r="D80" t="s">
        <v>1473</v>
      </c>
      <c r="E80">
        <v>4</v>
      </c>
    </row>
    <row r="81" spans="1:5" x14ac:dyDescent="0.15">
      <c r="A81" t="s">
        <v>2064</v>
      </c>
      <c r="B81">
        <v>1</v>
      </c>
      <c r="C81" t="s">
        <v>1538</v>
      </c>
      <c r="D81" t="s">
        <v>1473</v>
      </c>
      <c r="E81">
        <v>4</v>
      </c>
    </row>
    <row r="82" spans="1:5" x14ac:dyDescent="0.15">
      <c r="A82" t="s">
        <v>2081</v>
      </c>
      <c r="B82">
        <v>1</v>
      </c>
      <c r="C82" t="s">
        <v>1538</v>
      </c>
      <c r="D82" t="s">
        <v>1473</v>
      </c>
      <c r="E82">
        <v>0</v>
      </c>
    </row>
    <row r="83" spans="1:5" x14ac:dyDescent="0.15">
      <c r="A83" t="s">
        <v>2069</v>
      </c>
      <c r="B83">
        <v>1</v>
      </c>
      <c r="C83" t="s">
        <v>1538</v>
      </c>
      <c r="D83" t="s">
        <v>1473</v>
      </c>
      <c r="E83">
        <v>2</v>
      </c>
    </row>
    <row r="84" spans="1:5" x14ac:dyDescent="0.15">
      <c r="A84" t="s">
        <v>2066</v>
      </c>
      <c r="B84">
        <v>1</v>
      </c>
      <c r="C84" t="s">
        <v>1538</v>
      </c>
      <c r="D84" t="s">
        <v>1473</v>
      </c>
      <c r="E84">
        <v>2</v>
      </c>
    </row>
    <row r="85" spans="1:5" x14ac:dyDescent="0.15">
      <c r="A85" t="s">
        <v>2113</v>
      </c>
      <c r="B85">
        <v>2</v>
      </c>
      <c r="C85" t="s">
        <v>1538</v>
      </c>
      <c r="D85" t="s">
        <v>1473</v>
      </c>
      <c r="E85">
        <v>0</v>
      </c>
    </row>
    <row r="86" spans="1:5" x14ac:dyDescent="0.15">
      <c r="A86" t="s">
        <v>2114</v>
      </c>
      <c r="B86">
        <v>2</v>
      </c>
      <c r="C86" t="s">
        <v>1538</v>
      </c>
      <c r="D86" t="s">
        <v>1473</v>
      </c>
      <c r="E86">
        <v>0</v>
      </c>
    </row>
    <row r="87" spans="1:5" x14ac:dyDescent="0.15">
      <c r="A87" t="s">
        <v>2115</v>
      </c>
      <c r="B87">
        <v>2</v>
      </c>
      <c r="C87" t="s">
        <v>1538</v>
      </c>
      <c r="D87" t="s">
        <v>1473</v>
      </c>
      <c r="E87">
        <v>0</v>
      </c>
    </row>
    <row r="88" spans="1:5" x14ac:dyDescent="0.15">
      <c r="A88" t="s">
        <v>2116</v>
      </c>
      <c r="B88">
        <v>2</v>
      </c>
      <c r="C88" t="s">
        <v>1538</v>
      </c>
      <c r="D88" t="s">
        <v>1473</v>
      </c>
      <c r="E88">
        <v>0</v>
      </c>
    </row>
    <row r="89" spans="1:5" x14ac:dyDescent="0.15">
      <c r="A89" t="s">
        <v>2117</v>
      </c>
      <c r="B89">
        <v>2</v>
      </c>
      <c r="C89" t="s">
        <v>1538</v>
      </c>
      <c r="D89" t="s">
        <v>1473</v>
      </c>
      <c r="E89">
        <v>0</v>
      </c>
    </row>
    <row r="90" spans="1:5" x14ac:dyDescent="0.15">
      <c r="A90" t="s">
        <v>2118</v>
      </c>
      <c r="B90">
        <v>2</v>
      </c>
      <c r="C90" t="s">
        <v>1538</v>
      </c>
      <c r="D90" t="s">
        <v>1473</v>
      </c>
      <c r="E90">
        <v>0</v>
      </c>
    </row>
    <row r="91" spans="1:5" x14ac:dyDescent="0.15">
      <c r="A91" t="s">
        <v>2119</v>
      </c>
      <c r="B91">
        <v>2</v>
      </c>
      <c r="C91" t="s">
        <v>1538</v>
      </c>
      <c r="D91" t="s">
        <v>1473</v>
      </c>
      <c r="E91">
        <v>0</v>
      </c>
    </row>
    <row r="92" spans="1:5" x14ac:dyDescent="0.15">
      <c r="A92" t="s">
        <v>2120</v>
      </c>
      <c r="B92">
        <v>2</v>
      </c>
      <c r="C92" t="s">
        <v>1538</v>
      </c>
      <c r="D92" t="s">
        <v>1473</v>
      </c>
      <c r="E92">
        <v>0</v>
      </c>
    </row>
    <row r="93" spans="1:5" x14ac:dyDescent="0.15">
      <c r="A93" t="s">
        <v>2121</v>
      </c>
      <c r="B93">
        <v>2</v>
      </c>
      <c r="C93" t="s">
        <v>1538</v>
      </c>
      <c r="D93" t="s">
        <v>1473</v>
      </c>
      <c r="E93">
        <v>0</v>
      </c>
    </row>
    <row r="94" spans="1:5" x14ac:dyDescent="0.15">
      <c r="A94" t="s">
        <v>2122</v>
      </c>
      <c r="B94">
        <v>2</v>
      </c>
      <c r="C94" t="s">
        <v>1538</v>
      </c>
      <c r="D94" t="s">
        <v>1473</v>
      </c>
      <c r="E94">
        <v>0</v>
      </c>
    </row>
    <row r="95" spans="1:5" x14ac:dyDescent="0.15">
      <c r="A95" t="s">
        <v>2083</v>
      </c>
      <c r="B95">
        <v>1</v>
      </c>
      <c r="C95" t="s">
        <v>1538</v>
      </c>
      <c r="D95" t="s">
        <v>1473</v>
      </c>
      <c r="E95">
        <v>4</v>
      </c>
    </row>
    <row r="96" spans="1:5" x14ac:dyDescent="0.15">
      <c r="A96" t="s">
        <v>2123</v>
      </c>
      <c r="B96">
        <v>2</v>
      </c>
      <c r="C96" t="s">
        <v>1538</v>
      </c>
      <c r="D96" t="s">
        <v>1473</v>
      </c>
      <c r="E96">
        <v>0</v>
      </c>
    </row>
    <row r="97" spans="1:5" x14ac:dyDescent="0.15">
      <c r="A97" t="s">
        <v>2124</v>
      </c>
      <c r="B97">
        <v>2</v>
      </c>
      <c r="C97" t="s">
        <v>1538</v>
      </c>
      <c r="D97" t="s">
        <v>1473</v>
      </c>
      <c r="E97">
        <v>0</v>
      </c>
    </row>
    <row r="98" spans="1:5" x14ac:dyDescent="0.15">
      <c r="A98" t="s">
        <v>2125</v>
      </c>
      <c r="B98">
        <v>2</v>
      </c>
      <c r="C98" t="s">
        <v>1538</v>
      </c>
      <c r="D98" t="s">
        <v>1473</v>
      </c>
      <c r="E98">
        <v>0</v>
      </c>
    </row>
    <row r="99" spans="1:5" x14ac:dyDescent="0.15">
      <c r="A99" t="s">
        <v>2126</v>
      </c>
      <c r="B99">
        <v>2</v>
      </c>
      <c r="C99" t="s">
        <v>1538</v>
      </c>
      <c r="D99" t="s">
        <v>1473</v>
      </c>
      <c r="E99">
        <v>0</v>
      </c>
    </row>
    <row r="100" spans="1:5" x14ac:dyDescent="0.15">
      <c r="A100" t="s">
        <v>2127</v>
      </c>
      <c r="B100">
        <v>2</v>
      </c>
      <c r="C100" t="s">
        <v>1538</v>
      </c>
      <c r="D100" t="s">
        <v>1473</v>
      </c>
      <c r="E100">
        <v>0</v>
      </c>
    </row>
    <row r="101" spans="1:5" x14ac:dyDescent="0.15">
      <c r="A101" t="s">
        <v>2128</v>
      </c>
      <c r="B101">
        <v>2</v>
      </c>
      <c r="C101" t="s">
        <v>1538</v>
      </c>
      <c r="D101" t="s">
        <v>1473</v>
      </c>
      <c r="E101">
        <v>0</v>
      </c>
    </row>
    <row r="102" spans="1:5" x14ac:dyDescent="0.15">
      <c r="A102" t="s">
        <v>2129</v>
      </c>
      <c r="B102">
        <v>2</v>
      </c>
      <c r="C102" t="s">
        <v>1538</v>
      </c>
      <c r="D102" t="s">
        <v>1473</v>
      </c>
      <c r="E102">
        <v>0</v>
      </c>
    </row>
    <row r="103" spans="1:5" x14ac:dyDescent="0.15">
      <c r="A103" t="s">
        <v>2110</v>
      </c>
      <c r="B103">
        <v>2</v>
      </c>
      <c r="C103" t="s">
        <v>1538</v>
      </c>
      <c r="D103" t="s">
        <v>1473</v>
      </c>
      <c r="E103">
        <v>0</v>
      </c>
    </row>
    <row r="104" spans="1:5" x14ac:dyDescent="0.15">
      <c r="A104" t="s">
        <v>2130</v>
      </c>
      <c r="B104">
        <v>2</v>
      </c>
      <c r="C104" t="s">
        <v>1528</v>
      </c>
      <c r="D104" t="s">
        <v>1473</v>
      </c>
      <c r="E104">
        <v>0</v>
      </c>
    </row>
    <row r="105" spans="1:5" x14ac:dyDescent="0.15">
      <c r="A105" t="s">
        <v>2131</v>
      </c>
      <c r="B105">
        <v>2</v>
      </c>
      <c r="C105" t="s">
        <v>1538</v>
      </c>
      <c r="D105" t="s">
        <v>1473</v>
      </c>
      <c r="E105">
        <v>0</v>
      </c>
    </row>
    <row r="106" spans="1:5" x14ac:dyDescent="0.15">
      <c r="A106" t="s">
        <v>2132</v>
      </c>
      <c r="B106">
        <v>2</v>
      </c>
      <c r="C106" t="s">
        <v>1538</v>
      </c>
      <c r="D106" t="s">
        <v>1473</v>
      </c>
      <c r="E106">
        <v>0</v>
      </c>
    </row>
    <row r="107" spans="1:5" x14ac:dyDescent="0.15">
      <c r="A107" t="s">
        <v>2133</v>
      </c>
      <c r="B107">
        <v>2</v>
      </c>
      <c r="C107" t="s">
        <v>1538</v>
      </c>
      <c r="D107" t="s">
        <v>1473</v>
      </c>
      <c r="E107">
        <v>0</v>
      </c>
    </row>
    <row r="108" spans="1:5" x14ac:dyDescent="0.15">
      <c r="A108" t="s">
        <v>2134</v>
      </c>
      <c r="B108">
        <v>2</v>
      </c>
      <c r="C108" t="s">
        <v>1538</v>
      </c>
      <c r="D108" t="s">
        <v>1473</v>
      </c>
      <c r="E108">
        <v>2</v>
      </c>
    </row>
    <row r="109" spans="1:5" x14ac:dyDescent="0.15">
      <c r="A109" t="s">
        <v>2134</v>
      </c>
      <c r="B109">
        <v>2</v>
      </c>
      <c r="C109" t="s">
        <v>1538</v>
      </c>
      <c r="D109" t="s">
        <v>1473</v>
      </c>
      <c r="E109">
        <v>0</v>
      </c>
    </row>
    <row r="110" spans="1:5" x14ac:dyDescent="0.15">
      <c r="A110" t="s">
        <v>2135</v>
      </c>
      <c r="B110">
        <v>2</v>
      </c>
      <c r="C110" t="s">
        <v>1538</v>
      </c>
      <c r="D110" t="s">
        <v>1473</v>
      </c>
      <c r="E110">
        <v>0</v>
      </c>
    </row>
    <row r="111" spans="1:5" x14ac:dyDescent="0.15">
      <c r="A111" t="s">
        <v>2136</v>
      </c>
      <c r="B111">
        <v>2</v>
      </c>
      <c r="C111" t="s">
        <v>1538</v>
      </c>
      <c r="D111" t="s">
        <v>1473</v>
      </c>
      <c r="E111">
        <v>0</v>
      </c>
    </row>
    <row r="112" spans="1:5" x14ac:dyDescent="0.15">
      <c r="A112" t="s">
        <v>2137</v>
      </c>
      <c r="B112">
        <v>2</v>
      </c>
      <c r="C112" t="s">
        <v>1538</v>
      </c>
      <c r="D112" t="s">
        <v>1473</v>
      </c>
      <c r="E112">
        <v>0</v>
      </c>
    </row>
    <row r="113" spans="1:5" x14ac:dyDescent="0.15">
      <c r="A113" t="s">
        <v>2138</v>
      </c>
      <c r="B113">
        <v>2</v>
      </c>
      <c r="C113" t="s">
        <v>1528</v>
      </c>
      <c r="D113" t="s">
        <v>1473</v>
      </c>
      <c r="E113">
        <v>0</v>
      </c>
    </row>
    <row r="114" spans="1:5" x14ac:dyDescent="0.15">
      <c r="A114" t="s">
        <v>2139</v>
      </c>
      <c r="B114">
        <v>2</v>
      </c>
      <c r="C114" t="s">
        <v>1538</v>
      </c>
      <c r="D114" t="s">
        <v>1473</v>
      </c>
      <c r="E114">
        <v>0</v>
      </c>
    </row>
    <row r="115" spans="1:5" x14ac:dyDescent="0.15">
      <c r="A115" t="s">
        <v>2140</v>
      </c>
      <c r="B115">
        <v>2</v>
      </c>
      <c r="C115" t="s">
        <v>1530</v>
      </c>
      <c r="D115" t="s">
        <v>1473</v>
      </c>
      <c r="E115">
        <v>2</v>
      </c>
    </row>
    <row r="116" spans="1:5" x14ac:dyDescent="0.15">
      <c r="A116" t="s">
        <v>2092</v>
      </c>
      <c r="B116">
        <v>1</v>
      </c>
      <c r="C116" t="s">
        <v>1538</v>
      </c>
      <c r="D116" t="s">
        <v>1473</v>
      </c>
      <c r="E116">
        <v>2</v>
      </c>
    </row>
    <row r="117" spans="1:5" x14ac:dyDescent="0.15">
      <c r="A117" t="s">
        <v>2141</v>
      </c>
      <c r="B117">
        <v>2</v>
      </c>
      <c r="C117" t="s">
        <v>1530</v>
      </c>
      <c r="D117" t="s">
        <v>1473</v>
      </c>
      <c r="E117">
        <v>0</v>
      </c>
    </row>
    <row r="118" spans="1:5" x14ac:dyDescent="0.15">
      <c r="A118" t="s">
        <v>2142</v>
      </c>
      <c r="B118">
        <v>2</v>
      </c>
      <c r="C118" t="s">
        <v>1530</v>
      </c>
      <c r="D118" t="s">
        <v>1473</v>
      </c>
      <c r="E118">
        <v>0</v>
      </c>
    </row>
    <row r="119" spans="1:5" x14ac:dyDescent="0.15">
      <c r="A119" t="s">
        <v>2143</v>
      </c>
      <c r="B119">
        <v>2</v>
      </c>
      <c r="C119" t="s">
        <v>1538</v>
      </c>
      <c r="D119" t="s">
        <v>1473</v>
      </c>
      <c r="E119">
        <v>0</v>
      </c>
    </row>
    <row r="120" spans="1:5" x14ac:dyDescent="0.15">
      <c r="A120" t="s">
        <v>2144</v>
      </c>
      <c r="B120">
        <v>2</v>
      </c>
      <c r="C120" t="s">
        <v>1538</v>
      </c>
      <c r="D120" t="s">
        <v>1473</v>
      </c>
      <c r="E120">
        <v>0</v>
      </c>
    </row>
    <row r="121" spans="1:5" x14ac:dyDescent="0.15">
      <c r="A121" t="s">
        <v>2145</v>
      </c>
      <c r="B121">
        <v>2</v>
      </c>
      <c r="C121" t="s">
        <v>1528</v>
      </c>
      <c r="D121" t="s">
        <v>1473</v>
      </c>
      <c r="E121">
        <v>0</v>
      </c>
    </row>
    <row r="122" spans="1:5" x14ac:dyDescent="0.15">
      <c r="A122" t="s">
        <v>2146</v>
      </c>
      <c r="B122">
        <v>2</v>
      </c>
      <c r="C122" t="s">
        <v>1538</v>
      </c>
      <c r="D122" t="s">
        <v>1473</v>
      </c>
      <c r="E122">
        <v>0</v>
      </c>
    </row>
    <row r="123" spans="1:5" x14ac:dyDescent="0.15">
      <c r="A123" t="s">
        <v>2070</v>
      </c>
      <c r="B123">
        <v>2</v>
      </c>
      <c r="C123" t="s">
        <v>1538</v>
      </c>
      <c r="D123" t="s">
        <v>1473</v>
      </c>
      <c r="E123">
        <v>0</v>
      </c>
    </row>
    <row r="124" spans="1:5" x14ac:dyDescent="0.15">
      <c r="A124" t="s">
        <v>2147</v>
      </c>
      <c r="B124">
        <v>2</v>
      </c>
      <c r="C124" t="s">
        <v>1538</v>
      </c>
      <c r="D124" t="s">
        <v>1473</v>
      </c>
      <c r="E124">
        <v>0</v>
      </c>
    </row>
    <row r="125" spans="1:5" x14ac:dyDescent="0.15">
      <c r="A125" t="s">
        <v>2148</v>
      </c>
      <c r="B125">
        <v>2</v>
      </c>
      <c r="C125" t="s">
        <v>1530</v>
      </c>
      <c r="D125" t="s">
        <v>1473</v>
      </c>
      <c r="E125">
        <v>0</v>
      </c>
    </row>
    <row r="126" spans="1:5" x14ac:dyDescent="0.15">
      <c r="A126" t="s">
        <v>2149</v>
      </c>
      <c r="B126">
        <v>2</v>
      </c>
      <c r="C126" t="s">
        <v>1538</v>
      </c>
      <c r="D126" t="s">
        <v>1473</v>
      </c>
      <c r="E126">
        <v>0</v>
      </c>
    </row>
    <row r="127" spans="1:5" x14ac:dyDescent="0.15">
      <c r="A127" t="s">
        <v>2150</v>
      </c>
      <c r="B127">
        <v>2</v>
      </c>
      <c r="C127" t="s">
        <v>1530</v>
      </c>
      <c r="D127" t="s">
        <v>1473</v>
      </c>
      <c r="E127">
        <v>0</v>
      </c>
    </row>
    <row r="128" spans="1:5" x14ac:dyDescent="0.15">
      <c r="A128" t="s">
        <v>2151</v>
      </c>
      <c r="B128">
        <v>2</v>
      </c>
      <c r="C128" t="s">
        <v>1538</v>
      </c>
      <c r="D128" t="s">
        <v>1473</v>
      </c>
      <c r="E128">
        <v>0</v>
      </c>
    </row>
    <row r="129" spans="1:5" x14ac:dyDescent="0.15">
      <c r="A129" t="s">
        <v>2152</v>
      </c>
      <c r="B129">
        <v>2</v>
      </c>
      <c r="C129" t="s">
        <v>1538</v>
      </c>
      <c r="D129" t="s">
        <v>1473</v>
      </c>
      <c r="E129">
        <v>0</v>
      </c>
    </row>
    <row r="130" spans="1:5" x14ac:dyDescent="0.15">
      <c r="A130" t="s">
        <v>2153</v>
      </c>
      <c r="B130">
        <v>2</v>
      </c>
      <c r="C130" t="s">
        <v>1538</v>
      </c>
      <c r="D130" t="s">
        <v>1473</v>
      </c>
      <c r="E130">
        <v>0</v>
      </c>
    </row>
    <row r="131" spans="1:5" x14ac:dyDescent="0.15">
      <c r="A131" t="s">
        <v>2154</v>
      </c>
      <c r="B131">
        <v>2</v>
      </c>
      <c r="C131" t="s">
        <v>1538</v>
      </c>
      <c r="D131" t="s">
        <v>1473</v>
      </c>
      <c r="E131">
        <v>0</v>
      </c>
    </row>
    <row r="132" spans="1:5" x14ac:dyDescent="0.15">
      <c r="A132" t="s">
        <v>2155</v>
      </c>
      <c r="B132">
        <v>1</v>
      </c>
      <c r="C132" t="s">
        <v>1538</v>
      </c>
      <c r="D132" t="s">
        <v>1473</v>
      </c>
      <c r="E132">
        <v>0</v>
      </c>
    </row>
    <row r="133" spans="1:5" x14ac:dyDescent="0.15">
      <c r="A133" t="s">
        <v>2156</v>
      </c>
      <c r="B133">
        <v>2</v>
      </c>
      <c r="C133" t="s">
        <v>1538</v>
      </c>
      <c r="D133" t="s">
        <v>1473</v>
      </c>
      <c r="E133">
        <v>0</v>
      </c>
    </row>
    <row r="134" spans="1:5" x14ac:dyDescent="0.15">
      <c r="A134" t="s">
        <v>2157</v>
      </c>
      <c r="B134">
        <v>2</v>
      </c>
      <c r="C134" t="s">
        <v>1538</v>
      </c>
      <c r="D134" t="s">
        <v>1473</v>
      </c>
      <c r="E134">
        <v>0</v>
      </c>
    </row>
    <row r="135" spans="1:5" x14ac:dyDescent="0.15">
      <c r="A135" t="s">
        <v>2158</v>
      </c>
      <c r="B135">
        <v>2</v>
      </c>
      <c r="C135" t="s">
        <v>1538</v>
      </c>
      <c r="D135" t="s">
        <v>1473</v>
      </c>
      <c r="E135">
        <v>0</v>
      </c>
    </row>
    <row r="136" spans="1:5" x14ac:dyDescent="0.15">
      <c r="A136" t="s">
        <v>2159</v>
      </c>
      <c r="B136">
        <v>2</v>
      </c>
      <c r="C136" t="s">
        <v>1538</v>
      </c>
      <c r="D136" t="s">
        <v>1473</v>
      </c>
      <c r="E136">
        <v>0</v>
      </c>
    </row>
    <row r="137" spans="1:5" x14ac:dyDescent="0.15">
      <c r="A137" t="s">
        <v>2160</v>
      </c>
      <c r="B137">
        <v>2</v>
      </c>
      <c r="C137" t="s">
        <v>1538</v>
      </c>
      <c r="D137" t="s">
        <v>1473</v>
      </c>
      <c r="E137">
        <v>0</v>
      </c>
    </row>
    <row r="138" spans="1:5" x14ac:dyDescent="0.15">
      <c r="A138" t="s">
        <v>2161</v>
      </c>
      <c r="B138">
        <v>2</v>
      </c>
      <c r="C138" t="s">
        <v>1530</v>
      </c>
      <c r="D138" t="s">
        <v>1473</v>
      </c>
      <c r="E138">
        <v>0</v>
      </c>
    </row>
    <row r="139" spans="1:5" x14ac:dyDescent="0.15">
      <c r="A139" t="s">
        <v>2162</v>
      </c>
      <c r="B139">
        <v>2</v>
      </c>
      <c r="C139" t="s">
        <v>1538</v>
      </c>
      <c r="D139" t="s">
        <v>1473</v>
      </c>
      <c r="E139">
        <v>0</v>
      </c>
    </row>
    <row r="140" spans="1:5" x14ac:dyDescent="0.15">
      <c r="A140" t="s">
        <v>2163</v>
      </c>
      <c r="B140">
        <v>2</v>
      </c>
      <c r="C140" t="s">
        <v>1538</v>
      </c>
      <c r="D140" t="s">
        <v>1473</v>
      </c>
      <c r="E140">
        <v>0</v>
      </c>
    </row>
    <row r="141" spans="1:5" x14ac:dyDescent="0.15">
      <c r="A141" t="s">
        <v>2164</v>
      </c>
      <c r="B141">
        <v>2</v>
      </c>
      <c r="C141" t="s">
        <v>1538</v>
      </c>
      <c r="D141" t="s">
        <v>1473</v>
      </c>
      <c r="E141">
        <v>0</v>
      </c>
    </row>
    <row r="142" spans="1:5" x14ac:dyDescent="0.15">
      <c r="A142" t="s">
        <v>2165</v>
      </c>
      <c r="B142">
        <v>2</v>
      </c>
      <c r="C142" t="s">
        <v>1538</v>
      </c>
      <c r="D142" t="s">
        <v>1473</v>
      </c>
      <c r="E142">
        <v>0</v>
      </c>
    </row>
    <row r="143" spans="1:5" x14ac:dyDescent="0.15">
      <c r="A143" t="s">
        <v>2166</v>
      </c>
      <c r="B143">
        <v>2</v>
      </c>
      <c r="C143" t="s">
        <v>1538</v>
      </c>
      <c r="D143" t="s">
        <v>1473</v>
      </c>
      <c r="E143">
        <v>0</v>
      </c>
    </row>
    <row r="144" spans="1:5" x14ac:dyDescent="0.15">
      <c r="A144" t="s">
        <v>2167</v>
      </c>
      <c r="B144">
        <v>2</v>
      </c>
      <c r="C144" t="s">
        <v>1538</v>
      </c>
      <c r="D144" t="s">
        <v>1473</v>
      </c>
      <c r="E144">
        <v>0</v>
      </c>
    </row>
    <row r="145" spans="1:5" x14ac:dyDescent="0.15">
      <c r="A145" t="s">
        <v>2055</v>
      </c>
      <c r="B145">
        <v>1</v>
      </c>
      <c r="C145" t="s">
        <v>1538</v>
      </c>
      <c r="D145" t="s">
        <v>1473</v>
      </c>
      <c r="E145">
        <v>2</v>
      </c>
    </row>
    <row r="146" spans="1:5" x14ac:dyDescent="0.15">
      <c r="A146" t="s">
        <v>2168</v>
      </c>
      <c r="B146">
        <v>2</v>
      </c>
      <c r="C146" t="s">
        <v>1538</v>
      </c>
      <c r="D146" t="s">
        <v>1473</v>
      </c>
      <c r="E146">
        <v>0</v>
      </c>
    </row>
    <row r="147" spans="1:5" x14ac:dyDescent="0.15">
      <c r="A147" t="s">
        <v>2169</v>
      </c>
      <c r="B147">
        <v>2</v>
      </c>
      <c r="C147" t="s">
        <v>1538</v>
      </c>
      <c r="D147" t="s">
        <v>1473</v>
      </c>
      <c r="E147">
        <v>0</v>
      </c>
    </row>
    <row r="148" spans="1:5" x14ac:dyDescent="0.15">
      <c r="A148" t="s">
        <v>2170</v>
      </c>
      <c r="B148">
        <v>2</v>
      </c>
      <c r="C148" t="s">
        <v>1538</v>
      </c>
      <c r="D148" t="s">
        <v>1473</v>
      </c>
      <c r="E148">
        <v>0</v>
      </c>
    </row>
    <row r="149" spans="1:5" x14ac:dyDescent="0.15">
      <c r="A149" t="s">
        <v>2171</v>
      </c>
      <c r="B149">
        <v>2</v>
      </c>
      <c r="C149" t="s">
        <v>1538</v>
      </c>
      <c r="D149" t="s">
        <v>1473</v>
      </c>
      <c r="E149">
        <v>0</v>
      </c>
    </row>
    <row r="150" spans="1:5" x14ac:dyDescent="0.15">
      <c r="A150" t="s">
        <v>2060</v>
      </c>
      <c r="B150">
        <v>1</v>
      </c>
      <c r="C150" t="s">
        <v>1538</v>
      </c>
      <c r="D150" t="s">
        <v>1473</v>
      </c>
      <c r="E150">
        <v>2</v>
      </c>
    </row>
    <row r="151" spans="1:5" x14ac:dyDescent="0.15">
      <c r="A151" t="s">
        <v>2172</v>
      </c>
      <c r="B151">
        <v>2</v>
      </c>
      <c r="C151" t="s">
        <v>1532</v>
      </c>
      <c r="D151" t="s">
        <v>1473</v>
      </c>
      <c r="E151">
        <v>0</v>
      </c>
    </row>
    <row r="152" spans="1:5" x14ac:dyDescent="0.15">
      <c r="A152" t="s">
        <v>2101</v>
      </c>
      <c r="B152">
        <v>1</v>
      </c>
      <c r="C152" t="s">
        <v>1538</v>
      </c>
      <c r="D152" t="s">
        <v>1473</v>
      </c>
      <c r="E152">
        <v>4</v>
      </c>
    </row>
    <row r="153" spans="1:5" x14ac:dyDescent="0.15">
      <c r="A153" t="s">
        <v>2173</v>
      </c>
      <c r="B153">
        <v>2</v>
      </c>
      <c r="C153" t="s">
        <v>1538</v>
      </c>
      <c r="D153" t="s">
        <v>1473</v>
      </c>
      <c r="E153">
        <v>0</v>
      </c>
    </row>
    <row r="154" spans="1:5" x14ac:dyDescent="0.15">
      <c r="A154" t="s">
        <v>2096</v>
      </c>
      <c r="B154">
        <v>1</v>
      </c>
      <c r="C154" t="s">
        <v>1538</v>
      </c>
      <c r="D154" t="s">
        <v>1473</v>
      </c>
      <c r="E154">
        <v>2</v>
      </c>
    </row>
    <row r="155" spans="1:5" x14ac:dyDescent="0.15">
      <c r="A155" t="s">
        <v>2084</v>
      </c>
      <c r="B155">
        <v>1</v>
      </c>
      <c r="C155" t="s">
        <v>1538</v>
      </c>
      <c r="D155" t="s">
        <v>1473</v>
      </c>
      <c r="E155">
        <v>4</v>
      </c>
    </row>
    <row r="156" spans="1:5" x14ac:dyDescent="0.15">
      <c r="A156" t="s">
        <v>2174</v>
      </c>
      <c r="B156">
        <v>2</v>
      </c>
      <c r="C156" t="s">
        <v>1538</v>
      </c>
      <c r="D156" t="s">
        <v>1473</v>
      </c>
      <c r="E156">
        <v>0</v>
      </c>
    </row>
    <row r="157" spans="1:5" x14ac:dyDescent="0.15">
      <c r="A157" t="s">
        <v>2175</v>
      </c>
      <c r="B157">
        <v>2</v>
      </c>
      <c r="C157" t="s">
        <v>1538</v>
      </c>
      <c r="D157" t="s">
        <v>1473</v>
      </c>
      <c r="E157">
        <v>0</v>
      </c>
    </row>
    <row r="158" spans="1:5" x14ac:dyDescent="0.15">
      <c r="A158" t="s">
        <v>2176</v>
      </c>
      <c r="B158">
        <v>2</v>
      </c>
      <c r="C158" t="s">
        <v>1538</v>
      </c>
      <c r="D158" t="s">
        <v>1473</v>
      </c>
      <c r="E158">
        <v>0</v>
      </c>
    </row>
    <row r="159" spans="1:5" x14ac:dyDescent="0.15">
      <c r="A159" t="s">
        <v>2177</v>
      </c>
      <c r="B159">
        <v>2</v>
      </c>
      <c r="C159" t="s">
        <v>1538</v>
      </c>
      <c r="D159" t="s">
        <v>1473</v>
      </c>
      <c r="E159">
        <v>0</v>
      </c>
    </row>
    <row r="160" spans="1:5" x14ac:dyDescent="0.15">
      <c r="A160" t="s">
        <v>2178</v>
      </c>
      <c r="B160">
        <v>1</v>
      </c>
      <c r="C160" t="s">
        <v>1530</v>
      </c>
      <c r="D160" t="s">
        <v>1473</v>
      </c>
      <c r="E160">
        <v>0</v>
      </c>
    </row>
    <row r="161" spans="1:5" x14ac:dyDescent="0.15">
      <c r="A161" t="s">
        <v>2179</v>
      </c>
      <c r="B161">
        <v>1</v>
      </c>
      <c r="C161" t="s">
        <v>1538</v>
      </c>
      <c r="D161" t="s">
        <v>1473</v>
      </c>
      <c r="E161">
        <v>0</v>
      </c>
    </row>
    <row r="162" spans="1:5" x14ac:dyDescent="0.15">
      <c r="A162" t="s">
        <v>2180</v>
      </c>
      <c r="B162">
        <v>1</v>
      </c>
      <c r="C162" t="s">
        <v>1528</v>
      </c>
      <c r="D162" t="s">
        <v>1473</v>
      </c>
      <c r="E162">
        <v>0</v>
      </c>
    </row>
    <row r="163" spans="1:5" x14ac:dyDescent="0.15">
      <c r="A163" t="s">
        <v>2181</v>
      </c>
      <c r="B163">
        <v>1</v>
      </c>
      <c r="C163" t="s">
        <v>1526</v>
      </c>
      <c r="D163" t="s">
        <v>1473</v>
      </c>
      <c r="E163">
        <v>0</v>
      </c>
    </row>
    <row r="164" spans="1:5" x14ac:dyDescent="0.15">
      <c r="A164" t="s">
        <v>2182</v>
      </c>
      <c r="B164">
        <v>4</v>
      </c>
      <c r="C164" t="s">
        <v>1538</v>
      </c>
      <c r="D164" t="s">
        <v>1473</v>
      </c>
      <c r="E164">
        <v>0</v>
      </c>
    </row>
    <row r="165" spans="1:5" x14ac:dyDescent="0.15">
      <c r="A165" t="s">
        <v>2182</v>
      </c>
      <c r="B165">
        <v>4</v>
      </c>
      <c r="C165" t="s">
        <v>1538</v>
      </c>
      <c r="D165" t="s">
        <v>1473</v>
      </c>
      <c r="E165">
        <v>2</v>
      </c>
    </row>
    <row r="166" spans="1:5" x14ac:dyDescent="0.15">
      <c r="A166" t="s">
        <v>2183</v>
      </c>
      <c r="B166">
        <v>2</v>
      </c>
      <c r="C166" t="s">
        <v>1526</v>
      </c>
      <c r="D166" t="s">
        <v>1473</v>
      </c>
      <c r="E166">
        <v>4</v>
      </c>
    </row>
    <row r="167" spans="1:5" x14ac:dyDescent="0.15">
      <c r="A167" t="s">
        <v>2183</v>
      </c>
      <c r="B167">
        <v>2</v>
      </c>
      <c r="C167" t="s">
        <v>1526</v>
      </c>
      <c r="D167" t="s">
        <v>1473</v>
      </c>
      <c r="E167">
        <v>0</v>
      </c>
    </row>
    <row r="168" spans="1:5" x14ac:dyDescent="0.15">
      <c r="A168" t="s">
        <v>2184</v>
      </c>
      <c r="B168">
        <v>2</v>
      </c>
      <c r="C168" t="s">
        <v>1534</v>
      </c>
      <c r="D168" t="s">
        <v>1473</v>
      </c>
      <c r="E168">
        <v>0</v>
      </c>
    </row>
    <row r="169" spans="1:5" x14ac:dyDescent="0.15">
      <c r="A169" t="s">
        <v>2185</v>
      </c>
      <c r="B169">
        <v>1</v>
      </c>
      <c r="C169" t="s">
        <v>1538</v>
      </c>
      <c r="D169" t="s">
        <v>1473</v>
      </c>
      <c r="E169">
        <v>2</v>
      </c>
    </row>
    <row r="170" spans="1:5" x14ac:dyDescent="0.15">
      <c r="A170" t="s">
        <v>2186</v>
      </c>
      <c r="B170">
        <v>4</v>
      </c>
      <c r="C170" t="s">
        <v>1528</v>
      </c>
      <c r="D170" t="s">
        <v>1473</v>
      </c>
      <c r="E170">
        <v>0</v>
      </c>
    </row>
    <row r="171" spans="1:5" x14ac:dyDescent="0.15">
      <c r="A171" t="s">
        <v>2187</v>
      </c>
      <c r="B171">
        <v>2</v>
      </c>
      <c r="C171" t="s">
        <v>1534</v>
      </c>
      <c r="D171" t="s">
        <v>1473</v>
      </c>
      <c r="E171">
        <v>0</v>
      </c>
    </row>
    <row r="172" spans="1:5" x14ac:dyDescent="0.15">
      <c r="A172" t="s">
        <v>2188</v>
      </c>
      <c r="B172">
        <v>1</v>
      </c>
      <c r="C172" t="s">
        <v>1530</v>
      </c>
      <c r="D172" t="s">
        <v>1473</v>
      </c>
      <c r="E172">
        <v>0</v>
      </c>
    </row>
    <row r="173" spans="1:5" x14ac:dyDescent="0.15">
      <c r="A173" t="s">
        <v>2189</v>
      </c>
      <c r="B173">
        <v>2</v>
      </c>
      <c r="C173" t="s">
        <v>1534</v>
      </c>
      <c r="D173" t="s">
        <v>1473</v>
      </c>
      <c r="E173">
        <v>0</v>
      </c>
    </row>
    <row r="174" spans="1:5" x14ac:dyDescent="0.15">
      <c r="A174" t="s">
        <v>2190</v>
      </c>
      <c r="B174">
        <v>2</v>
      </c>
      <c r="C174" t="s">
        <v>1534</v>
      </c>
      <c r="D174" t="s">
        <v>1473</v>
      </c>
      <c r="E174">
        <v>0</v>
      </c>
    </row>
    <row r="175" spans="1:5" x14ac:dyDescent="0.15">
      <c r="A175" t="s">
        <v>2191</v>
      </c>
      <c r="B175">
        <v>2</v>
      </c>
      <c r="C175" t="s">
        <v>1532</v>
      </c>
      <c r="D175" t="s">
        <v>1473</v>
      </c>
      <c r="E175">
        <v>0</v>
      </c>
    </row>
    <row r="176" spans="1:5" x14ac:dyDescent="0.15">
      <c r="A176" t="s">
        <v>2191</v>
      </c>
      <c r="B176">
        <v>2</v>
      </c>
      <c r="C176" t="s">
        <v>1532</v>
      </c>
      <c r="D176" t="s">
        <v>1473</v>
      </c>
      <c r="E176">
        <v>2</v>
      </c>
    </row>
    <row r="177" spans="1:5" x14ac:dyDescent="0.15">
      <c r="A177" t="s">
        <v>2191</v>
      </c>
      <c r="B177">
        <v>2</v>
      </c>
      <c r="C177" t="s">
        <v>1532</v>
      </c>
      <c r="D177" t="s">
        <v>1473</v>
      </c>
      <c r="E177">
        <v>4</v>
      </c>
    </row>
    <row r="178" spans="1:5" x14ac:dyDescent="0.15">
      <c r="A178" t="s">
        <v>2192</v>
      </c>
      <c r="B178">
        <v>4</v>
      </c>
      <c r="C178" t="s">
        <v>1526</v>
      </c>
      <c r="D178" t="s">
        <v>1473</v>
      </c>
      <c r="E178">
        <v>0</v>
      </c>
    </row>
    <row r="179" spans="1:5" x14ac:dyDescent="0.15">
      <c r="A179" t="s">
        <v>2193</v>
      </c>
      <c r="B179">
        <v>1</v>
      </c>
      <c r="C179" t="s">
        <v>1532</v>
      </c>
      <c r="D179" t="s">
        <v>1473</v>
      </c>
      <c r="E179">
        <v>0</v>
      </c>
    </row>
    <row r="180" spans="1:5" x14ac:dyDescent="0.15">
      <c r="A180" t="s">
        <v>2194</v>
      </c>
      <c r="B180">
        <v>2</v>
      </c>
      <c r="C180" t="s">
        <v>1526</v>
      </c>
      <c r="D180" t="s">
        <v>1473</v>
      </c>
      <c r="E180">
        <v>2</v>
      </c>
    </row>
    <row r="181" spans="1:5" x14ac:dyDescent="0.15">
      <c r="A181" t="s">
        <v>2195</v>
      </c>
      <c r="B181">
        <v>2</v>
      </c>
      <c r="C181" t="s">
        <v>1534</v>
      </c>
      <c r="D181" t="s">
        <v>1473</v>
      </c>
      <c r="E181">
        <v>0</v>
      </c>
    </row>
    <row r="182" spans="1:5" x14ac:dyDescent="0.15">
      <c r="A182" t="s">
        <v>2196</v>
      </c>
      <c r="B182">
        <v>2</v>
      </c>
      <c r="C182" t="s">
        <v>1534</v>
      </c>
      <c r="D182" t="s">
        <v>1473</v>
      </c>
      <c r="E182">
        <v>2</v>
      </c>
    </row>
    <row r="183" spans="1:5" x14ac:dyDescent="0.15">
      <c r="A183" t="s">
        <v>2197</v>
      </c>
      <c r="B183">
        <v>2</v>
      </c>
      <c r="C183" t="s">
        <v>1526</v>
      </c>
      <c r="D183" t="s">
        <v>1473</v>
      </c>
      <c r="E183">
        <v>0</v>
      </c>
    </row>
    <row r="184" spans="1:5" x14ac:dyDescent="0.15">
      <c r="A184" t="s">
        <v>2198</v>
      </c>
      <c r="B184">
        <v>2</v>
      </c>
      <c r="C184" t="s">
        <v>1534</v>
      </c>
      <c r="D184" t="s">
        <v>1473</v>
      </c>
      <c r="E184">
        <v>2</v>
      </c>
    </row>
    <row r="185" spans="1:5" x14ac:dyDescent="0.15">
      <c r="A185" t="s">
        <v>2198</v>
      </c>
      <c r="B185">
        <v>2</v>
      </c>
      <c r="C185" t="s">
        <v>1534</v>
      </c>
      <c r="D185" t="s">
        <v>1473</v>
      </c>
      <c r="E185">
        <v>0</v>
      </c>
    </row>
    <row r="186" spans="1:5" x14ac:dyDescent="0.15">
      <c r="A186" t="s">
        <v>2199</v>
      </c>
      <c r="B186">
        <v>2</v>
      </c>
      <c r="C186" t="s">
        <v>1534</v>
      </c>
      <c r="D186" t="s">
        <v>1473</v>
      </c>
      <c r="E186">
        <v>0</v>
      </c>
    </row>
    <row r="187" spans="1:5" x14ac:dyDescent="0.15">
      <c r="A187" t="s">
        <v>2200</v>
      </c>
      <c r="B187">
        <v>2</v>
      </c>
      <c r="C187" t="s">
        <v>1526</v>
      </c>
      <c r="D187" t="s">
        <v>1473</v>
      </c>
      <c r="E187">
        <v>0</v>
      </c>
    </row>
    <row r="188" spans="1:5" x14ac:dyDescent="0.15">
      <c r="A188" t="s">
        <v>2201</v>
      </c>
      <c r="B188">
        <v>1</v>
      </c>
      <c r="C188" t="s">
        <v>1530</v>
      </c>
      <c r="D188" t="s">
        <v>1473</v>
      </c>
      <c r="E188">
        <v>0</v>
      </c>
    </row>
    <row r="189" spans="1:5" x14ac:dyDescent="0.15">
      <c r="A189" t="s">
        <v>2202</v>
      </c>
      <c r="B189">
        <v>2</v>
      </c>
      <c r="C189" t="s">
        <v>1534</v>
      </c>
      <c r="D189" t="s">
        <v>1473</v>
      </c>
      <c r="E189">
        <v>0</v>
      </c>
    </row>
    <row r="190" spans="1:5" x14ac:dyDescent="0.15">
      <c r="A190" t="s">
        <v>2203</v>
      </c>
      <c r="B190">
        <v>2</v>
      </c>
      <c r="C190" t="s">
        <v>1534</v>
      </c>
      <c r="D190" t="s">
        <v>1473</v>
      </c>
      <c r="E190">
        <v>0</v>
      </c>
    </row>
    <row r="191" spans="1:5" x14ac:dyDescent="0.15">
      <c r="A191" t="s">
        <v>2201</v>
      </c>
      <c r="B191">
        <v>1</v>
      </c>
      <c r="C191" t="s">
        <v>1530</v>
      </c>
      <c r="D191" t="s">
        <v>1473</v>
      </c>
      <c r="E191">
        <v>4</v>
      </c>
    </row>
    <row r="192" spans="1:5" x14ac:dyDescent="0.15">
      <c r="A192" t="s">
        <v>2204</v>
      </c>
      <c r="B192">
        <v>2</v>
      </c>
      <c r="C192" t="s">
        <v>1534</v>
      </c>
      <c r="D192" t="s">
        <v>1473</v>
      </c>
      <c r="E192">
        <v>0</v>
      </c>
    </row>
    <row r="193" spans="1:5" x14ac:dyDescent="0.15">
      <c r="A193" t="s">
        <v>2205</v>
      </c>
      <c r="B193">
        <v>1</v>
      </c>
      <c r="C193" t="s">
        <v>1530</v>
      </c>
      <c r="D193" t="s">
        <v>1473</v>
      </c>
      <c r="E193">
        <v>0</v>
      </c>
    </row>
    <row r="194" spans="1:5" x14ac:dyDescent="0.15">
      <c r="A194" t="s">
        <v>2206</v>
      </c>
      <c r="B194">
        <v>2</v>
      </c>
      <c r="C194" t="s">
        <v>1534</v>
      </c>
      <c r="D194" t="s">
        <v>1473</v>
      </c>
      <c r="E194">
        <v>0</v>
      </c>
    </row>
    <row r="195" spans="1:5" x14ac:dyDescent="0.15">
      <c r="A195" t="s">
        <v>2207</v>
      </c>
      <c r="B195">
        <v>2</v>
      </c>
      <c r="C195" t="s">
        <v>1534</v>
      </c>
      <c r="D195" t="s">
        <v>1473</v>
      </c>
      <c r="E195">
        <v>0</v>
      </c>
    </row>
    <row r="196" spans="1:5" x14ac:dyDescent="0.15">
      <c r="A196" t="s">
        <v>2208</v>
      </c>
      <c r="B196">
        <v>2</v>
      </c>
      <c r="C196" t="s">
        <v>1536</v>
      </c>
      <c r="D196" t="s">
        <v>1473</v>
      </c>
      <c r="E196">
        <v>0</v>
      </c>
    </row>
    <row r="197" spans="1:5" x14ac:dyDescent="0.15">
      <c r="A197" t="s">
        <v>2209</v>
      </c>
      <c r="B197">
        <v>2</v>
      </c>
      <c r="C197" t="s">
        <v>1534</v>
      </c>
      <c r="D197" t="s">
        <v>1473</v>
      </c>
      <c r="E197">
        <v>0</v>
      </c>
    </row>
    <row r="198" spans="1:5" x14ac:dyDescent="0.15">
      <c r="A198" t="s">
        <v>2210</v>
      </c>
      <c r="B198">
        <v>2</v>
      </c>
      <c r="C198" t="s">
        <v>1534</v>
      </c>
      <c r="D198" t="s">
        <v>1473</v>
      </c>
      <c r="E198">
        <v>0</v>
      </c>
    </row>
    <row r="199" spans="1:5" x14ac:dyDescent="0.15">
      <c r="A199" t="s">
        <v>2211</v>
      </c>
      <c r="B199">
        <v>2</v>
      </c>
      <c r="C199" t="s">
        <v>1534</v>
      </c>
      <c r="D199" t="s">
        <v>1473</v>
      </c>
      <c r="E199">
        <v>0</v>
      </c>
    </row>
    <row r="200" spans="1:5" x14ac:dyDescent="0.15">
      <c r="A200" t="s">
        <v>2212</v>
      </c>
      <c r="B200">
        <v>4</v>
      </c>
      <c r="C200" t="s">
        <v>1536</v>
      </c>
      <c r="D200" t="s">
        <v>1473</v>
      </c>
      <c r="E200">
        <v>0</v>
      </c>
    </row>
    <row r="201" spans="1:5" x14ac:dyDescent="0.15">
      <c r="A201" t="s">
        <v>2213</v>
      </c>
      <c r="B201">
        <v>4</v>
      </c>
      <c r="C201" t="s">
        <v>1528</v>
      </c>
      <c r="D201" t="s">
        <v>1473</v>
      </c>
      <c r="E201">
        <v>4</v>
      </c>
    </row>
    <row r="202" spans="1:5" x14ac:dyDescent="0.15">
      <c r="A202" t="s">
        <v>2213</v>
      </c>
      <c r="B202">
        <v>4</v>
      </c>
      <c r="C202" t="s">
        <v>1528</v>
      </c>
      <c r="D202" t="s">
        <v>1473</v>
      </c>
      <c r="E202">
        <v>2</v>
      </c>
    </row>
    <row r="203" spans="1:5" x14ac:dyDescent="0.15">
      <c r="A203" t="s">
        <v>2214</v>
      </c>
      <c r="B203">
        <v>2</v>
      </c>
      <c r="C203" t="s">
        <v>1526</v>
      </c>
      <c r="D203" t="s">
        <v>1473</v>
      </c>
      <c r="E203">
        <v>0</v>
      </c>
    </row>
    <row r="204" spans="1:5" x14ac:dyDescent="0.15">
      <c r="A204" t="s">
        <v>2215</v>
      </c>
      <c r="B204">
        <v>2</v>
      </c>
      <c r="C204" t="s">
        <v>1532</v>
      </c>
      <c r="D204" t="s">
        <v>1473</v>
      </c>
      <c r="E204">
        <v>0</v>
      </c>
    </row>
    <row r="205" spans="1:5" x14ac:dyDescent="0.15">
      <c r="A205" t="s">
        <v>2216</v>
      </c>
      <c r="B205">
        <v>2</v>
      </c>
      <c r="C205" t="s">
        <v>1534</v>
      </c>
      <c r="D205" t="s">
        <v>1473</v>
      </c>
      <c r="E205">
        <v>0</v>
      </c>
    </row>
    <row r="206" spans="1:5" x14ac:dyDescent="0.15">
      <c r="A206" t="s">
        <v>2217</v>
      </c>
      <c r="B206">
        <v>2</v>
      </c>
      <c r="C206" t="s">
        <v>1534</v>
      </c>
      <c r="D206" t="s">
        <v>1473</v>
      </c>
      <c r="E206">
        <v>0</v>
      </c>
    </row>
    <row r="207" spans="1:5" x14ac:dyDescent="0.15">
      <c r="A207" t="s">
        <v>2218</v>
      </c>
      <c r="B207">
        <v>1</v>
      </c>
      <c r="C207" t="s">
        <v>1536</v>
      </c>
      <c r="D207" t="s">
        <v>1473</v>
      </c>
      <c r="E207">
        <v>0</v>
      </c>
    </row>
    <row r="208" spans="1:5" x14ac:dyDescent="0.15">
      <c r="A208" t="s">
        <v>2219</v>
      </c>
      <c r="B208">
        <v>2</v>
      </c>
      <c r="C208" t="s">
        <v>1536</v>
      </c>
      <c r="D208" t="s">
        <v>1473</v>
      </c>
      <c r="E208">
        <v>0</v>
      </c>
    </row>
    <row r="209" spans="1:5" x14ac:dyDescent="0.15">
      <c r="A209" t="s">
        <v>2220</v>
      </c>
      <c r="B209">
        <v>2</v>
      </c>
      <c r="C209" t="s">
        <v>1534</v>
      </c>
      <c r="D209" t="s">
        <v>1473</v>
      </c>
      <c r="E209">
        <v>0</v>
      </c>
    </row>
    <row r="210" spans="1:5" x14ac:dyDescent="0.15">
      <c r="A210" t="s">
        <v>2221</v>
      </c>
      <c r="B210">
        <v>2</v>
      </c>
      <c r="C210" t="s">
        <v>1534</v>
      </c>
      <c r="D210" t="s">
        <v>1473</v>
      </c>
      <c r="E210">
        <v>0</v>
      </c>
    </row>
    <row r="211" spans="1:5" x14ac:dyDescent="0.15">
      <c r="A211" t="s">
        <v>2221</v>
      </c>
      <c r="B211">
        <v>2</v>
      </c>
      <c r="C211" t="s">
        <v>1534</v>
      </c>
      <c r="D211" t="s">
        <v>1473</v>
      </c>
      <c r="E211">
        <v>2</v>
      </c>
    </row>
    <row r="212" spans="1:5" x14ac:dyDescent="0.15">
      <c r="A212" t="s">
        <v>2222</v>
      </c>
      <c r="B212">
        <v>2</v>
      </c>
      <c r="C212" t="s">
        <v>1536</v>
      </c>
      <c r="D212" t="s">
        <v>1473</v>
      </c>
      <c r="E212">
        <v>0</v>
      </c>
    </row>
    <row r="213" spans="1:5" x14ac:dyDescent="0.15">
      <c r="A213" t="s">
        <v>2185</v>
      </c>
      <c r="B213">
        <v>1</v>
      </c>
      <c r="C213" t="s">
        <v>1538</v>
      </c>
      <c r="D213" t="s">
        <v>1473</v>
      </c>
      <c r="E213">
        <v>4</v>
      </c>
    </row>
    <row r="214" spans="1:5" x14ac:dyDescent="0.15">
      <c r="A214" t="s">
        <v>2185</v>
      </c>
      <c r="B214">
        <v>1</v>
      </c>
      <c r="C214" t="s">
        <v>1538</v>
      </c>
      <c r="D214" t="s">
        <v>1473</v>
      </c>
      <c r="E214">
        <v>0</v>
      </c>
    </row>
    <row r="215" spans="1:5" x14ac:dyDescent="0.15">
      <c r="A215" t="s">
        <v>2223</v>
      </c>
      <c r="B215">
        <v>2</v>
      </c>
      <c r="C215" t="s">
        <v>1526</v>
      </c>
      <c r="D215" t="s">
        <v>1473</v>
      </c>
      <c r="E215">
        <v>0</v>
      </c>
    </row>
    <row r="216" spans="1:5" x14ac:dyDescent="0.15">
      <c r="A216" t="s">
        <v>2224</v>
      </c>
      <c r="B216">
        <v>1</v>
      </c>
      <c r="C216" t="s">
        <v>1526</v>
      </c>
      <c r="D216" t="s">
        <v>1473</v>
      </c>
      <c r="E216">
        <v>0</v>
      </c>
    </row>
    <row r="217" spans="1:5" x14ac:dyDescent="0.15">
      <c r="A217" t="s">
        <v>2225</v>
      </c>
      <c r="B217">
        <v>1</v>
      </c>
      <c r="C217" t="s">
        <v>1530</v>
      </c>
      <c r="D217" t="s">
        <v>1473</v>
      </c>
      <c r="E217">
        <v>2</v>
      </c>
    </row>
    <row r="218" spans="1:5" x14ac:dyDescent="0.15">
      <c r="A218" t="s">
        <v>2226</v>
      </c>
      <c r="B218">
        <v>2</v>
      </c>
      <c r="C218" t="s">
        <v>1530</v>
      </c>
      <c r="D218" t="s">
        <v>1473</v>
      </c>
      <c r="E218">
        <v>0</v>
      </c>
    </row>
    <row r="219" spans="1:5" x14ac:dyDescent="0.15">
      <c r="A219" t="s">
        <v>2227</v>
      </c>
      <c r="B219">
        <v>2</v>
      </c>
      <c r="C219" t="s">
        <v>1530</v>
      </c>
      <c r="D219" t="s">
        <v>1473</v>
      </c>
      <c r="E219">
        <v>0</v>
      </c>
    </row>
    <row r="220" spans="1:5" x14ac:dyDescent="0.15">
      <c r="A220" t="s">
        <v>2227</v>
      </c>
      <c r="B220">
        <v>2</v>
      </c>
      <c r="C220" t="s">
        <v>1530</v>
      </c>
      <c r="D220" t="s">
        <v>1473</v>
      </c>
      <c r="E220">
        <v>2</v>
      </c>
    </row>
    <row r="221" spans="1:5" x14ac:dyDescent="0.15">
      <c r="A221" t="s">
        <v>2228</v>
      </c>
      <c r="B221">
        <v>4</v>
      </c>
      <c r="C221" t="s">
        <v>1526</v>
      </c>
      <c r="D221" t="s">
        <v>1473</v>
      </c>
      <c r="E221">
        <v>0</v>
      </c>
    </row>
    <row r="222" spans="1:5" x14ac:dyDescent="0.15">
      <c r="A222" t="s">
        <v>2229</v>
      </c>
      <c r="B222">
        <v>1</v>
      </c>
      <c r="C222" t="s">
        <v>1534</v>
      </c>
      <c r="D222" t="s">
        <v>1473</v>
      </c>
      <c r="E222">
        <v>0</v>
      </c>
    </row>
    <row r="223" spans="1:5" x14ac:dyDescent="0.15">
      <c r="A223" t="s">
        <v>2230</v>
      </c>
      <c r="B223">
        <v>4</v>
      </c>
      <c r="C223" t="s">
        <v>1526</v>
      </c>
      <c r="D223" t="s">
        <v>1473</v>
      </c>
      <c r="E223">
        <v>0</v>
      </c>
    </row>
    <row r="224" spans="1:5" x14ac:dyDescent="0.15">
      <c r="A224" t="s">
        <v>2231</v>
      </c>
      <c r="B224">
        <v>2</v>
      </c>
      <c r="C224" t="s">
        <v>1530</v>
      </c>
      <c r="D224" t="s">
        <v>1473</v>
      </c>
      <c r="E224">
        <v>4</v>
      </c>
    </row>
    <row r="225" spans="1:5" x14ac:dyDescent="0.15">
      <c r="A225" t="s">
        <v>2232</v>
      </c>
      <c r="B225">
        <v>4</v>
      </c>
      <c r="C225" t="s">
        <v>1528</v>
      </c>
      <c r="D225" t="s">
        <v>1473</v>
      </c>
      <c r="E225">
        <v>0</v>
      </c>
    </row>
    <row r="226" spans="1:5" x14ac:dyDescent="0.15">
      <c r="A226" t="s">
        <v>2233</v>
      </c>
      <c r="B226">
        <v>2</v>
      </c>
      <c r="C226" t="s">
        <v>1534</v>
      </c>
      <c r="D226" t="s">
        <v>1473</v>
      </c>
      <c r="E226">
        <v>0</v>
      </c>
    </row>
    <row r="227" spans="1:5" x14ac:dyDescent="0.15">
      <c r="A227" t="s">
        <v>2234</v>
      </c>
      <c r="B227">
        <v>4</v>
      </c>
      <c r="C227" t="s">
        <v>1528</v>
      </c>
      <c r="D227" t="s">
        <v>1473</v>
      </c>
      <c r="E227">
        <v>0</v>
      </c>
    </row>
    <row r="228" spans="1:5" x14ac:dyDescent="0.15">
      <c r="A228" t="s">
        <v>2235</v>
      </c>
      <c r="B228">
        <v>2</v>
      </c>
      <c r="C228" t="s">
        <v>1526</v>
      </c>
      <c r="D228" t="s">
        <v>1473</v>
      </c>
      <c r="E228">
        <v>0</v>
      </c>
    </row>
    <row r="229" spans="1:5" x14ac:dyDescent="0.15">
      <c r="A229" t="s">
        <v>2236</v>
      </c>
      <c r="B229">
        <v>2</v>
      </c>
      <c r="C229" t="s">
        <v>1526</v>
      </c>
      <c r="D229" t="s">
        <v>1473</v>
      </c>
      <c r="E229">
        <v>0</v>
      </c>
    </row>
    <row r="230" spans="1:5" x14ac:dyDescent="0.15">
      <c r="A230" t="s">
        <v>2237</v>
      </c>
      <c r="B230">
        <v>2</v>
      </c>
      <c r="C230" t="s">
        <v>1530</v>
      </c>
      <c r="D230" t="s">
        <v>1473</v>
      </c>
      <c r="E230">
        <v>0</v>
      </c>
    </row>
    <row r="231" spans="1:5" x14ac:dyDescent="0.15">
      <c r="A231" t="s">
        <v>2238</v>
      </c>
      <c r="B231">
        <v>1</v>
      </c>
      <c r="C231" t="s">
        <v>1534</v>
      </c>
      <c r="D231" t="s">
        <v>1473</v>
      </c>
      <c r="E231">
        <v>0</v>
      </c>
    </row>
    <row r="232" spans="1:5" x14ac:dyDescent="0.15">
      <c r="A232" t="s">
        <v>2238</v>
      </c>
      <c r="B232">
        <v>1</v>
      </c>
      <c r="C232" t="s">
        <v>1534</v>
      </c>
      <c r="D232" t="s">
        <v>1473</v>
      </c>
      <c r="E232">
        <v>2</v>
      </c>
    </row>
    <row r="233" spans="1:5" x14ac:dyDescent="0.15">
      <c r="A233" t="s">
        <v>2239</v>
      </c>
      <c r="B233">
        <v>2</v>
      </c>
      <c r="C233" t="s">
        <v>1534</v>
      </c>
      <c r="D233" t="s">
        <v>1473</v>
      </c>
      <c r="E233">
        <v>0</v>
      </c>
    </row>
    <row r="234" spans="1:5" x14ac:dyDescent="0.15">
      <c r="A234" t="s">
        <v>2229</v>
      </c>
      <c r="B234">
        <v>1</v>
      </c>
      <c r="C234" t="s">
        <v>1534</v>
      </c>
      <c r="D234" t="s">
        <v>1473</v>
      </c>
      <c r="E234">
        <v>2</v>
      </c>
    </row>
    <row r="235" spans="1:5" x14ac:dyDescent="0.15">
      <c r="A235" t="s">
        <v>2238</v>
      </c>
      <c r="B235">
        <v>1</v>
      </c>
      <c r="C235" t="s">
        <v>1534</v>
      </c>
      <c r="D235" t="s">
        <v>1473</v>
      </c>
      <c r="E235">
        <v>4</v>
      </c>
    </row>
    <row r="236" spans="1:5" x14ac:dyDescent="0.15">
      <c r="A236" t="s">
        <v>2240</v>
      </c>
      <c r="B236">
        <v>1</v>
      </c>
      <c r="C236" t="s">
        <v>1528</v>
      </c>
      <c r="D236" t="s">
        <v>1473</v>
      </c>
      <c r="E236">
        <v>0</v>
      </c>
    </row>
    <row r="237" spans="1:5" x14ac:dyDescent="0.15">
      <c r="A237" t="s">
        <v>2241</v>
      </c>
      <c r="B237">
        <v>2</v>
      </c>
      <c r="C237" t="s">
        <v>1534</v>
      </c>
      <c r="D237" t="s">
        <v>1473</v>
      </c>
      <c r="E237">
        <v>0</v>
      </c>
    </row>
    <row r="238" spans="1:5" x14ac:dyDescent="0.15">
      <c r="A238" t="s">
        <v>2242</v>
      </c>
      <c r="B238">
        <v>2</v>
      </c>
      <c r="C238" t="s">
        <v>1534</v>
      </c>
      <c r="D238" t="s">
        <v>1473</v>
      </c>
      <c r="E238">
        <v>0</v>
      </c>
    </row>
    <row r="239" spans="1:5" x14ac:dyDescent="0.15">
      <c r="A239" t="s">
        <v>2243</v>
      </c>
      <c r="B239">
        <v>1</v>
      </c>
      <c r="C239" t="s">
        <v>1528</v>
      </c>
      <c r="D239" t="s">
        <v>1473</v>
      </c>
      <c r="E239">
        <v>0</v>
      </c>
    </row>
    <row r="240" spans="1:5" x14ac:dyDescent="0.15">
      <c r="A240" t="s">
        <v>2244</v>
      </c>
      <c r="B240">
        <v>4</v>
      </c>
      <c r="C240" t="s">
        <v>1530</v>
      </c>
      <c r="D240" t="s">
        <v>1473</v>
      </c>
      <c r="E240">
        <v>4</v>
      </c>
    </row>
    <row r="241" spans="1:5" x14ac:dyDescent="0.15">
      <c r="A241" t="s">
        <v>2245</v>
      </c>
      <c r="B241">
        <v>2</v>
      </c>
      <c r="C241" t="s">
        <v>1534</v>
      </c>
      <c r="D241" t="s">
        <v>1473</v>
      </c>
      <c r="E241">
        <v>0</v>
      </c>
    </row>
    <row r="242" spans="1:5" x14ac:dyDescent="0.15">
      <c r="A242" t="s">
        <v>2246</v>
      </c>
      <c r="B242">
        <v>4</v>
      </c>
      <c r="C242" t="s">
        <v>1534</v>
      </c>
      <c r="D242" t="s">
        <v>1473</v>
      </c>
      <c r="E242">
        <v>0</v>
      </c>
    </row>
    <row r="243" spans="1:5" x14ac:dyDescent="0.15">
      <c r="A243" t="s">
        <v>2247</v>
      </c>
      <c r="B243">
        <v>1</v>
      </c>
      <c r="C243" t="s">
        <v>1528</v>
      </c>
      <c r="D243" t="s">
        <v>1473</v>
      </c>
      <c r="E243">
        <v>0</v>
      </c>
    </row>
    <row r="244" spans="1:5" x14ac:dyDescent="0.15">
      <c r="A244" t="s">
        <v>2246</v>
      </c>
      <c r="B244">
        <v>4</v>
      </c>
      <c r="C244" t="s">
        <v>1534</v>
      </c>
      <c r="D244" t="s">
        <v>1473</v>
      </c>
      <c r="E244">
        <v>2</v>
      </c>
    </row>
    <row r="245" spans="1:5" x14ac:dyDescent="0.15">
      <c r="A245" t="s">
        <v>2248</v>
      </c>
      <c r="B245">
        <v>2</v>
      </c>
      <c r="C245" t="s">
        <v>1534</v>
      </c>
      <c r="D245" t="s">
        <v>1473</v>
      </c>
      <c r="E245">
        <v>0</v>
      </c>
    </row>
    <row r="246" spans="1:5" x14ac:dyDescent="0.15">
      <c r="A246" t="s">
        <v>2249</v>
      </c>
      <c r="B246">
        <v>2</v>
      </c>
      <c r="C246" t="s">
        <v>1530</v>
      </c>
      <c r="D246" t="s">
        <v>1473</v>
      </c>
      <c r="E246">
        <v>0</v>
      </c>
    </row>
    <row r="247" spans="1:5" x14ac:dyDescent="0.15">
      <c r="A247" t="s">
        <v>2231</v>
      </c>
      <c r="B247">
        <v>2</v>
      </c>
      <c r="C247" t="s">
        <v>1530</v>
      </c>
      <c r="D247" t="s">
        <v>1473</v>
      </c>
      <c r="E247">
        <v>0</v>
      </c>
    </row>
    <row r="248" spans="1:5" x14ac:dyDescent="0.15">
      <c r="A248" t="s">
        <v>2250</v>
      </c>
      <c r="B248">
        <v>1</v>
      </c>
      <c r="C248" t="s">
        <v>1530</v>
      </c>
      <c r="D248" t="s">
        <v>1473</v>
      </c>
      <c r="E248">
        <v>0</v>
      </c>
    </row>
    <row r="249" spans="1:5" x14ac:dyDescent="0.15">
      <c r="A249" t="s">
        <v>2251</v>
      </c>
      <c r="B249">
        <v>2</v>
      </c>
      <c r="C249" t="s">
        <v>1534</v>
      </c>
      <c r="D249" t="s">
        <v>1473</v>
      </c>
      <c r="E249">
        <v>0</v>
      </c>
    </row>
    <row r="250" spans="1:5" x14ac:dyDescent="0.15">
      <c r="A250" t="s">
        <v>2252</v>
      </c>
      <c r="B250">
        <v>4</v>
      </c>
      <c r="C250" t="s">
        <v>1536</v>
      </c>
      <c r="D250" t="s">
        <v>1473</v>
      </c>
      <c r="E250">
        <v>0</v>
      </c>
    </row>
    <row r="251" spans="1:5" x14ac:dyDescent="0.15">
      <c r="A251" t="s">
        <v>2253</v>
      </c>
      <c r="B251">
        <v>2</v>
      </c>
      <c r="C251" t="s">
        <v>1536</v>
      </c>
      <c r="D251" t="s">
        <v>1473</v>
      </c>
      <c r="E251">
        <v>0</v>
      </c>
    </row>
    <row r="252" spans="1:5" x14ac:dyDescent="0.15">
      <c r="A252" t="s">
        <v>2254</v>
      </c>
      <c r="B252">
        <v>2</v>
      </c>
      <c r="C252" t="s">
        <v>1534</v>
      </c>
      <c r="D252" t="s">
        <v>1473</v>
      </c>
      <c r="E252">
        <v>0</v>
      </c>
    </row>
    <row r="253" spans="1:5" x14ac:dyDescent="0.15">
      <c r="A253" t="s">
        <v>2255</v>
      </c>
      <c r="B253">
        <v>2</v>
      </c>
      <c r="C253" t="s">
        <v>1534</v>
      </c>
      <c r="D253" t="s">
        <v>1473</v>
      </c>
      <c r="E253">
        <v>0</v>
      </c>
    </row>
    <row r="254" spans="1:5" x14ac:dyDescent="0.15">
      <c r="A254" t="s">
        <v>2256</v>
      </c>
      <c r="B254">
        <v>2</v>
      </c>
      <c r="C254" t="s">
        <v>1534</v>
      </c>
      <c r="D254" t="s">
        <v>1473</v>
      </c>
      <c r="E254">
        <v>0</v>
      </c>
    </row>
    <row r="255" spans="1:5" x14ac:dyDescent="0.15">
      <c r="A255" t="s">
        <v>2257</v>
      </c>
      <c r="B255">
        <v>2</v>
      </c>
      <c r="C255" t="s">
        <v>1536</v>
      </c>
      <c r="D255" t="s">
        <v>1473</v>
      </c>
      <c r="E255">
        <v>0</v>
      </c>
    </row>
    <row r="256" spans="1:5" x14ac:dyDescent="0.15">
      <c r="A256" t="s">
        <v>2219</v>
      </c>
      <c r="B256">
        <v>2</v>
      </c>
      <c r="C256" t="s">
        <v>1536</v>
      </c>
      <c r="D256" t="s">
        <v>1473</v>
      </c>
      <c r="E256">
        <v>2</v>
      </c>
    </row>
    <row r="257" spans="1:5" x14ac:dyDescent="0.15">
      <c r="A257" t="s">
        <v>2258</v>
      </c>
      <c r="B257">
        <v>2</v>
      </c>
      <c r="C257" t="s">
        <v>1534</v>
      </c>
      <c r="D257" t="s">
        <v>1473</v>
      </c>
      <c r="E257">
        <v>0</v>
      </c>
    </row>
    <row r="258" spans="1:5" x14ac:dyDescent="0.15">
      <c r="A258" t="s">
        <v>2259</v>
      </c>
      <c r="B258">
        <v>2</v>
      </c>
      <c r="C258" t="s">
        <v>1526</v>
      </c>
      <c r="D258" t="s">
        <v>1473</v>
      </c>
      <c r="E258">
        <v>0</v>
      </c>
    </row>
    <row r="259" spans="1:5" x14ac:dyDescent="0.15">
      <c r="A259" t="s">
        <v>2260</v>
      </c>
      <c r="B259">
        <v>2</v>
      </c>
      <c r="C259" t="s">
        <v>1526</v>
      </c>
      <c r="D259" t="s">
        <v>1473</v>
      </c>
      <c r="E259">
        <v>2</v>
      </c>
    </row>
    <row r="260" spans="1:5" x14ac:dyDescent="0.15">
      <c r="A260" t="s">
        <v>2261</v>
      </c>
      <c r="B260">
        <v>2</v>
      </c>
      <c r="C260" t="s">
        <v>1526</v>
      </c>
      <c r="D260" t="s">
        <v>1473</v>
      </c>
      <c r="E260">
        <v>0</v>
      </c>
    </row>
    <row r="261" spans="1:5" x14ac:dyDescent="0.15">
      <c r="A261" t="s">
        <v>2262</v>
      </c>
      <c r="B261">
        <v>1</v>
      </c>
      <c r="C261" t="s">
        <v>1528</v>
      </c>
      <c r="D261" t="s">
        <v>1473</v>
      </c>
      <c r="E261">
        <v>0</v>
      </c>
    </row>
    <row r="262" spans="1:5" x14ac:dyDescent="0.15">
      <c r="A262" t="s">
        <v>2263</v>
      </c>
      <c r="B262">
        <v>2</v>
      </c>
      <c r="C262" t="s">
        <v>1530</v>
      </c>
      <c r="D262" t="s">
        <v>1473</v>
      </c>
      <c r="E262">
        <v>2</v>
      </c>
    </row>
    <row r="263" spans="1:5" x14ac:dyDescent="0.15">
      <c r="A263" t="s">
        <v>2264</v>
      </c>
      <c r="B263">
        <v>2</v>
      </c>
      <c r="C263" t="s">
        <v>1534</v>
      </c>
      <c r="D263" t="s">
        <v>1473</v>
      </c>
      <c r="E263">
        <v>0</v>
      </c>
    </row>
    <row r="264" spans="1:5" x14ac:dyDescent="0.15">
      <c r="A264" t="s">
        <v>2265</v>
      </c>
      <c r="B264">
        <v>4</v>
      </c>
      <c r="C264" t="s">
        <v>1532</v>
      </c>
      <c r="D264" t="s">
        <v>1473</v>
      </c>
      <c r="E264">
        <v>0</v>
      </c>
    </row>
    <row r="265" spans="1:5" x14ac:dyDescent="0.15">
      <c r="A265" t="s">
        <v>2266</v>
      </c>
      <c r="B265">
        <v>1</v>
      </c>
      <c r="C265" t="s">
        <v>1528</v>
      </c>
      <c r="D265" t="s">
        <v>1473</v>
      </c>
      <c r="E265">
        <v>0</v>
      </c>
    </row>
    <row r="266" spans="1:5" x14ac:dyDescent="0.15">
      <c r="A266" t="s">
        <v>2267</v>
      </c>
      <c r="B266">
        <v>2</v>
      </c>
      <c r="C266" t="s">
        <v>1526</v>
      </c>
      <c r="D266" t="s">
        <v>1473</v>
      </c>
      <c r="E266">
        <v>0</v>
      </c>
    </row>
    <row r="267" spans="1:5" x14ac:dyDescent="0.15">
      <c r="A267" t="s">
        <v>2268</v>
      </c>
      <c r="B267">
        <v>2</v>
      </c>
      <c r="C267" t="s">
        <v>1526</v>
      </c>
      <c r="D267" t="s">
        <v>1473</v>
      </c>
      <c r="E267">
        <v>0</v>
      </c>
    </row>
    <row r="268" spans="1:5" x14ac:dyDescent="0.15">
      <c r="A268" t="s">
        <v>2269</v>
      </c>
      <c r="B268">
        <v>1</v>
      </c>
      <c r="C268" t="s">
        <v>1530</v>
      </c>
      <c r="D268" t="s">
        <v>1473</v>
      </c>
      <c r="E268">
        <v>0</v>
      </c>
    </row>
    <row r="269" spans="1:5" x14ac:dyDescent="0.15">
      <c r="A269" t="s">
        <v>2270</v>
      </c>
      <c r="B269">
        <v>2</v>
      </c>
      <c r="C269" t="s">
        <v>1534</v>
      </c>
      <c r="D269" t="s">
        <v>1473</v>
      </c>
      <c r="E269">
        <v>0</v>
      </c>
    </row>
    <row r="270" spans="1:5" x14ac:dyDescent="0.15">
      <c r="A270" t="s">
        <v>2221</v>
      </c>
      <c r="B270">
        <v>2</v>
      </c>
      <c r="C270" t="s">
        <v>1534</v>
      </c>
      <c r="D270" t="s">
        <v>1473</v>
      </c>
      <c r="E270">
        <v>4</v>
      </c>
    </row>
    <row r="271" spans="1:5" x14ac:dyDescent="0.15">
      <c r="A271" t="s">
        <v>2271</v>
      </c>
      <c r="B271">
        <v>1</v>
      </c>
      <c r="C271" t="s">
        <v>1530</v>
      </c>
      <c r="D271" t="s">
        <v>1473</v>
      </c>
      <c r="E271">
        <v>4</v>
      </c>
    </row>
    <row r="272" spans="1:5" x14ac:dyDescent="0.15">
      <c r="A272" t="s">
        <v>2272</v>
      </c>
      <c r="B272">
        <v>1</v>
      </c>
      <c r="C272" t="s">
        <v>1538</v>
      </c>
      <c r="D272" t="s">
        <v>1473</v>
      </c>
      <c r="E272">
        <v>0</v>
      </c>
    </row>
    <row r="273" spans="1:5" x14ac:dyDescent="0.15">
      <c r="A273" t="s">
        <v>2273</v>
      </c>
      <c r="B273">
        <v>1</v>
      </c>
      <c r="C273" t="s">
        <v>1538</v>
      </c>
      <c r="D273" t="s">
        <v>1473</v>
      </c>
      <c r="E273">
        <v>0</v>
      </c>
    </row>
    <row r="274" spans="1:5" x14ac:dyDescent="0.15">
      <c r="A274" t="s">
        <v>2274</v>
      </c>
      <c r="B274">
        <v>2</v>
      </c>
      <c r="C274" t="s">
        <v>1526</v>
      </c>
      <c r="D274" t="s">
        <v>1473</v>
      </c>
      <c r="E274">
        <v>4</v>
      </c>
    </row>
    <row r="275" spans="1:5" x14ac:dyDescent="0.15">
      <c r="A275" t="s">
        <v>2274</v>
      </c>
      <c r="B275">
        <v>2</v>
      </c>
      <c r="C275" t="s">
        <v>1526</v>
      </c>
      <c r="D275" t="s">
        <v>1473</v>
      </c>
      <c r="E275">
        <v>0</v>
      </c>
    </row>
    <row r="276" spans="1:5" x14ac:dyDescent="0.15">
      <c r="A276" t="s">
        <v>2275</v>
      </c>
      <c r="B276">
        <v>4</v>
      </c>
      <c r="C276" t="s">
        <v>1538</v>
      </c>
      <c r="D276" t="s">
        <v>1473</v>
      </c>
      <c r="E276">
        <v>2</v>
      </c>
    </row>
    <row r="277" spans="1:5" x14ac:dyDescent="0.15">
      <c r="A277" t="s">
        <v>2275</v>
      </c>
      <c r="B277">
        <v>4</v>
      </c>
      <c r="C277" t="s">
        <v>1538</v>
      </c>
      <c r="D277" t="s">
        <v>1473</v>
      </c>
      <c r="E277">
        <v>0</v>
      </c>
    </row>
    <row r="278" spans="1:5" x14ac:dyDescent="0.15">
      <c r="A278" t="s">
        <v>2276</v>
      </c>
      <c r="B278">
        <v>2</v>
      </c>
      <c r="C278" t="s">
        <v>1534</v>
      </c>
      <c r="D278" t="s">
        <v>1473</v>
      </c>
      <c r="E278">
        <v>0</v>
      </c>
    </row>
    <row r="279" spans="1:5" x14ac:dyDescent="0.15">
      <c r="A279" t="s">
        <v>2277</v>
      </c>
      <c r="B279">
        <v>2</v>
      </c>
      <c r="C279" t="s">
        <v>1534</v>
      </c>
      <c r="D279" t="s">
        <v>1473</v>
      </c>
      <c r="E279">
        <v>0</v>
      </c>
    </row>
    <row r="280" spans="1:5" x14ac:dyDescent="0.15">
      <c r="A280" t="s">
        <v>2278</v>
      </c>
      <c r="B280">
        <v>4</v>
      </c>
      <c r="C280" t="s">
        <v>1534</v>
      </c>
      <c r="D280" t="s">
        <v>1473</v>
      </c>
      <c r="E280">
        <v>0</v>
      </c>
    </row>
    <row r="281" spans="1:5" x14ac:dyDescent="0.15">
      <c r="A281" t="s">
        <v>2279</v>
      </c>
      <c r="B281">
        <v>2</v>
      </c>
      <c r="C281" t="s">
        <v>1530</v>
      </c>
      <c r="D281" t="s">
        <v>1473</v>
      </c>
      <c r="E281">
        <v>0</v>
      </c>
    </row>
    <row r="282" spans="1:5" x14ac:dyDescent="0.15">
      <c r="A282" t="s">
        <v>2280</v>
      </c>
      <c r="B282">
        <v>2</v>
      </c>
      <c r="C282" t="s">
        <v>1526</v>
      </c>
      <c r="D282" t="s">
        <v>1473</v>
      </c>
      <c r="E282">
        <v>2</v>
      </c>
    </row>
    <row r="283" spans="1:5" x14ac:dyDescent="0.15">
      <c r="A283" t="s">
        <v>2281</v>
      </c>
      <c r="B283">
        <v>4</v>
      </c>
      <c r="C283" t="s">
        <v>1532</v>
      </c>
      <c r="D283" t="s">
        <v>1473</v>
      </c>
      <c r="E283">
        <v>0</v>
      </c>
    </row>
    <row r="284" spans="1:5" x14ac:dyDescent="0.15">
      <c r="A284" t="s">
        <v>2282</v>
      </c>
      <c r="B284">
        <v>4</v>
      </c>
      <c r="C284" t="s">
        <v>1532</v>
      </c>
      <c r="D284" t="s">
        <v>1473</v>
      </c>
      <c r="E284">
        <v>0</v>
      </c>
    </row>
    <row r="285" spans="1:5" x14ac:dyDescent="0.15">
      <c r="A285" t="s">
        <v>2283</v>
      </c>
      <c r="B285">
        <v>2</v>
      </c>
      <c r="C285" t="s">
        <v>1532</v>
      </c>
      <c r="D285" t="s">
        <v>1473</v>
      </c>
      <c r="E285">
        <v>0</v>
      </c>
    </row>
    <row r="286" spans="1:5" x14ac:dyDescent="0.15">
      <c r="A286" t="s">
        <v>2284</v>
      </c>
      <c r="B286">
        <v>2</v>
      </c>
      <c r="C286" t="s">
        <v>1526</v>
      </c>
      <c r="D286" t="s">
        <v>1473</v>
      </c>
      <c r="E286">
        <v>0</v>
      </c>
    </row>
    <row r="287" spans="1:5" x14ac:dyDescent="0.15">
      <c r="A287" t="s">
        <v>2285</v>
      </c>
      <c r="B287">
        <v>2</v>
      </c>
      <c r="C287" t="s">
        <v>1536</v>
      </c>
      <c r="D287" t="s">
        <v>1473</v>
      </c>
      <c r="E287">
        <v>0</v>
      </c>
    </row>
    <row r="288" spans="1:5" x14ac:dyDescent="0.15">
      <c r="A288" t="s">
        <v>2286</v>
      </c>
      <c r="B288">
        <v>2</v>
      </c>
      <c r="C288" t="s">
        <v>1536</v>
      </c>
      <c r="D288" t="s">
        <v>1473</v>
      </c>
      <c r="E288">
        <v>0</v>
      </c>
    </row>
    <row r="289" spans="1:5" x14ac:dyDescent="0.15">
      <c r="A289" t="s">
        <v>2287</v>
      </c>
      <c r="B289">
        <v>2</v>
      </c>
      <c r="C289" t="s">
        <v>1534</v>
      </c>
      <c r="D289" t="s">
        <v>1473</v>
      </c>
      <c r="E289">
        <v>0</v>
      </c>
    </row>
    <row r="290" spans="1:5" x14ac:dyDescent="0.15">
      <c r="A290" t="s">
        <v>2288</v>
      </c>
      <c r="B290">
        <v>2</v>
      </c>
      <c r="C290" t="s">
        <v>1534</v>
      </c>
      <c r="D290" t="s">
        <v>1473</v>
      </c>
      <c r="E290">
        <v>0</v>
      </c>
    </row>
    <row r="291" spans="1:5" x14ac:dyDescent="0.15">
      <c r="A291" t="s">
        <v>2289</v>
      </c>
      <c r="B291">
        <v>2</v>
      </c>
      <c r="C291" t="s">
        <v>1536</v>
      </c>
      <c r="D291" t="s">
        <v>1473</v>
      </c>
      <c r="E291">
        <v>0</v>
      </c>
    </row>
    <row r="292" spans="1:5" x14ac:dyDescent="0.15">
      <c r="A292" t="s">
        <v>2225</v>
      </c>
      <c r="B292">
        <v>1</v>
      </c>
      <c r="C292" t="s">
        <v>1530</v>
      </c>
      <c r="D292" t="s">
        <v>1473</v>
      </c>
      <c r="E292">
        <v>0</v>
      </c>
    </row>
    <row r="293" spans="1:5" x14ac:dyDescent="0.15">
      <c r="A293" t="s">
        <v>2290</v>
      </c>
      <c r="B293">
        <v>1</v>
      </c>
      <c r="C293" t="s">
        <v>1530</v>
      </c>
      <c r="D293" t="s">
        <v>1473</v>
      </c>
      <c r="E293">
        <v>4</v>
      </c>
    </row>
    <row r="294" spans="1:5" x14ac:dyDescent="0.15">
      <c r="A294" t="s">
        <v>2291</v>
      </c>
      <c r="B294">
        <v>1</v>
      </c>
      <c r="C294" t="s">
        <v>1528</v>
      </c>
      <c r="D294" t="s">
        <v>1473</v>
      </c>
      <c r="E294">
        <v>0</v>
      </c>
    </row>
    <row r="295" spans="1:5" x14ac:dyDescent="0.15">
      <c r="A295" t="s">
        <v>2291</v>
      </c>
      <c r="B295">
        <v>1</v>
      </c>
      <c r="C295" t="s">
        <v>1528</v>
      </c>
      <c r="D295" t="s">
        <v>1473</v>
      </c>
      <c r="E295">
        <v>2</v>
      </c>
    </row>
    <row r="296" spans="1:5" x14ac:dyDescent="0.15">
      <c r="A296" t="s">
        <v>2292</v>
      </c>
      <c r="B296">
        <v>1</v>
      </c>
      <c r="C296" t="s">
        <v>1528</v>
      </c>
      <c r="D296" t="s">
        <v>1473</v>
      </c>
      <c r="E296">
        <v>0</v>
      </c>
    </row>
    <row r="297" spans="1:5" x14ac:dyDescent="0.15">
      <c r="A297" t="s">
        <v>2292</v>
      </c>
      <c r="B297">
        <v>1</v>
      </c>
      <c r="C297" t="s">
        <v>1528</v>
      </c>
      <c r="D297" t="s">
        <v>1473</v>
      </c>
      <c r="E297">
        <v>2</v>
      </c>
    </row>
    <row r="298" spans="1:5" x14ac:dyDescent="0.15">
      <c r="A298" t="s">
        <v>2293</v>
      </c>
      <c r="B298">
        <v>2</v>
      </c>
      <c r="C298" t="s">
        <v>1534</v>
      </c>
      <c r="D298" t="s">
        <v>1473</v>
      </c>
      <c r="E298">
        <v>0</v>
      </c>
    </row>
    <row r="299" spans="1:5" x14ac:dyDescent="0.15">
      <c r="A299" t="s">
        <v>2294</v>
      </c>
      <c r="B299">
        <v>4</v>
      </c>
      <c r="C299" t="s">
        <v>1530</v>
      </c>
      <c r="D299" t="s">
        <v>1473</v>
      </c>
      <c r="E299">
        <v>0</v>
      </c>
    </row>
    <row r="300" spans="1:5" x14ac:dyDescent="0.15">
      <c r="A300" t="s">
        <v>2295</v>
      </c>
      <c r="B300">
        <v>1</v>
      </c>
      <c r="C300" t="s">
        <v>1526</v>
      </c>
      <c r="D300" t="s">
        <v>1473</v>
      </c>
      <c r="E300">
        <v>0</v>
      </c>
    </row>
    <row r="301" spans="1:5" x14ac:dyDescent="0.15">
      <c r="A301" t="s">
        <v>2296</v>
      </c>
      <c r="B301">
        <v>2</v>
      </c>
      <c r="C301" t="s">
        <v>1526</v>
      </c>
      <c r="D301" t="s">
        <v>1473</v>
      </c>
      <c r="E301">
        <v>0</v>
      </c>
    </row>
    <row r="302" spans="1:5" x14ac:dyDescent="0.15">
      <c r="A302" t="s">
        <v>2296</v>
      </c>
      <c r="B302">
        <v>2</v>
      </c>
      <c r="C302" t="s">
        <v>1526</v>
      </c>
      <c r="D302" t="s">
        <v>1473</v>
      </c>
      <c r="E302">
        <v>2</v>
      </c>
    </row>
    <row r="303" spans="1:5" x14ac:dyDescent="0.15">
      <c r="A303" t="s">
        <v>2297</v>
      </c>
      <c r="B303">
        <v>1</v>
      </c>
      <c r="C303" t="s">
        <v>1534</v>
      </c>
      <c r="D303" t="s">
        <v>1473</v>
      </c>
      <c r="E303">
        <v>0</v>
      </c>
    </row>
    <row r="304" spans="1:5" x14ac:dyDescent="0.15">
      <c r="A304" t="s">
        <v>2298</v>
      </c>
      <c r="B304">
        <v>2</v>
      </c>
      <c r="C304" t="s">
        <v>1534</v>
      </c>
      <c r="D304" t="s">
        <v>1473</v>
      </c>
      <c r="E304">
        <v>0</v>
      </c>
    </row>
    <row r="305" spans="1:5" x14ac:dyDescent="0.15">
      <c r="A305" t="s">
        <v>2299</v>
      </c>
      <c r="B305">
        <v>4</v>
      </c>
      <c r="C305" t="s">
        <v>1536</v>
      </c>
      <c r="D305" t="s">
        <v>1473</v>
      </c>
      <c r="E305">
        <v>0</v>
      </c>
    </row>
    <row r="306" spans="1:5" x14ac:dyDescent="0.15">
      <c r="A306" t="s">
        <v>2300</v>
      </c>
      <c r="B306">
        <v>1</v>
      </c>
      <c r="C306" t="s">
        <v>1526</v>
      </c>
      <c r="D306" t="s">
        <v>1473</v>
      </c>
      <c r="E306">
        <v>0</v>
      </c>
    </row>
    <row r="307" spans="1:5" x14ac:dyDescent="0.15">
      <c r="A307" t="s">
        <v>2301</v>
      </c>
      <c r="B307">
        <v>1</v>
      </c>
      <c r="C307" t="s">
        <v>1532</v>
      </c>
      <c r="D307" t="s">
        <v>1473</v>
      </c>
      <c r="E307">
        <v>0</v>
      </c>
    </row>
    <row r="308" spans="1:5" x14ac:dyDescent="0.15">
      <c r="A308" t="s">
        <v>2302</v>
      </c>
      <c r="B308">
        <v>2</v>
      </c>
      <c r="C308" t="s">
        <v>1526</v>
      </c>
      <c r="D308" t="s">
        <v>1473</v>
      </c>
      <c r="E308">
        <v>0</v>
      </c>
    </row>
    <row r="309" spans="1:5" x14ac:dyDescent="0.15">
      <c r="A309" t="s">
        <v>2303</v>
      </c>
      <c r="B309">
        <v>2</v>
      </c>
      <c r="C309" t="s">
        <v>1534</v>
      </c>
      <c r="D309" t="s">
        <v>1473</v>
      </c>
      <c r="E309">
        <v>2</v>
      </c>
    </row>
    <row r="310" spans="1:5" x14ac:dyDescent="0.15">
      <c r="A310" t="s">
        <v>2304</v>
      </c>
      <c r="B310">
        <v>4</v>
      </c>
      <c r="C310" t="s">
        <v>1530</v>
      </c>
      <c r="D310" t="s">
        <v>1473</v>
      </c>
      <c r="E310">
        <v>0</v>
      </c>
    </row>
    <row r="311" spans="1:5" x14ac:dyDescent="0.15">
      <c r="A311" t="s">
        <v>2304</v>
      </c>
      <c r="B311">
        <v>4</v>
      </c>
      <c r="C311" t="s">
        <v>1530</v>
      </c>
      <c r="D311" t="s">
        <v>1473</v>
      </c>
      <c r="E311">
        <v>2</v>
      </c>
    </row>
    <row r="312" spans="1:5" x14ac:dyDescent="0.15">
      <c r="A312" t="s">
        <v>2305</v>
      </c>
      <c r="B312">
        <v>2</v>
      </c>
      <c r="C312" t="s">
        <v>1534</v>
      </c>
      <c r="D312" t="s">
        <v>1473</v>
      </c>
      <c r="E312">
        <v>0</v>
      </c>
    </row>
    <row r="313" spans="1:5" x14ac:dyDescent="0.15">
      <c r="A313" t="s">
        <v>2306</v>
      </c>
      <c r="B313">
        <v>2</v>
      </c>
      <c r="C313" t="s">
        <v>1534</v>
      </c>
      <c r="D313" t="s">
        <v>1473</v>
      </c>
      <c r="E313">
        <v>0</v>
      </c>
    </row>
    <row r="314" spans="1:5" x14ac:dyDescent="0.15">
      <c r="A314" t="s">
        <v>2307</v>
      </c>
      <c r="B314">
        <v>2</v>
      </c>
      <c r="C314" t="s">
        <v>1536</v>
      </c>
      <c r="D314" t="s">
        <v>1473</v>
      </c>
      <c r="E314">
        <v>2</v>
      </c>
    </row>
    <row r="315" spans="1:5" x14ac:dyDescent="0.15">
      <c r="A315" t="s">
        <v>2226</v>
      </c>
      <c r="B315">
        <v>2</v>
      </c>
      <c r="C315" t="s">
        <v>1530</v>
      </c>
      <c r="D315" t="s">
        <v>1473</v>
      </c>
      <c r="E315">
        <v>2</v>
      </c>
    </row>
    <row r="316" spans="1:5" x14ac:dyDescent="0.15">
      <c r="A316" t="s">
        <v>2308</v>
      </c>
      <c r="B316">
        <v>2</v>
      </c>
      <c r="C316" t="s">
        <v>1530</v>
      </c>
      <c r="D316" t="s">
        <v>1473</v>
      </c>
      <c r="E316">
        <v>0</v>
      </c>
    </row>
    <row r="317" spans="1:5" x14ac:dyDescent="0.15">
      <c r="A317" t="s">
        <v>2309</v>
      </c>
      <c r="B317">
        <v>1</v>
      </c>
      <c r="C317" t="s">
        <v>1530</v>
      </c>
      <c r="D317" t="s">
        <v>1473</v>
      </c>
      <c r="E317">
        <v>0</v>
      </c>
    </row>
    <row r="318" spans="1:5" x14ac:dyDescent="0.15">
      <c r="A318" t="s">
        <v>2310</v>
      </c>
      <c r="B318">
        <v>2</v>
      </c>
      <c r="C318" t="s">
        <v>1526</v>
      </c>
      <c r="D318" t="s">
        <v>1473</v>
      </c>
      <c r="E318">
        <v>0</v>
      </c>
    </row>
    <row r="319" spans="1:5" x14ac:dyDescent="0.15">
      <c r="A319" t="s">
        <v>2311</v>
      </c>
      <c r="B319">
        <v>1</v>
      </c>
      <c r="C319" t="s">
        <v>1530</v>
      </c>
      <c r="D319" t="s">
        <v>1473</v>
      </c>
      <c r="E319">
        <v>0</v>
      </c>
    </row>
    <row r="320" spans="1:5" x14ac:dyDescent="0.15">
      <c r="A320" t="s">
        <v>2312</v>
      </c>
      <c r="B320">
        <v>2</v>
      </c>
      <c r="C320" t="s">
        <v>1526</v>
      </c>
      <c r="D320" t="s">
        <v>1473</v>
      </c>
      <c r="E320">
        <v>0</v>
      </c>
    </row>
    <row r="321" spans="1:5" x14ac:dyDescent="0.15">
      <c r="A321" t="s">
        <v>2313</v>
      </c>
      <c r="B321">
        <v>2</v>
      </c>
      <c r="C321" t="s">
        <v>1534</v>
      </c>
      <c r="D321" t="s">
        <v>1473</v>
      </c>
      <c r="E321">
        <v>0</v>
      </c>
    </row>
    <row r="322" spans="1:5" x14ac:dyDescent="0.15">
      <c r="A322" t="s">
        <v>2314</v>
      </c>
      <c r="B322">
        <v>1</v>
      </c>
      <c r="C322" t="s">
        <v>1538</v>
      </c>
      <c r="D322" t="s">
        <v>1473</v>
      </c>
      <c r="E322">
        <v>0</v>
      </c>
    </row>
    <row r="323" spans="1:5" x14ac:dyDescent="0.15">
      <c r="A323" t="s">
        <v>2213</v>
      </c>
      <c r="B323">
        <v>4</v>
      </c>
      <c r="C323" t="s">
        <v>1528</v>
      </c>
      <c r="D323" t="s">
        <v>1473</v>
      </c>
      <c r="E323">
        <v>0</v>
      </c>
    </row>
    <row r="324" spans="1:5" x14ac:dyDescent="0.15">
      <c r="A324" t="s">
        <v>2315</v>
      </c>
      <c r="B324">
        <v>2</v>
      </c>
      <c r="C324" t="s">
        <v>1534</v>
      </c>
      <c r="D324" t="s">
        <v>1473</v>
      </c>
      <c r="E324">
        <v>0</v>
      </c>
    </row>
    <row r="325" spans="1:5" x14ac:dyDescent="0.15">
      <c r="A325" t="s">
        <v>2316</v>
      </c>
      <c r="B325">
        <v>2</v>
      </c>
      <c r="C325" t="s">
        <v>1526</v>
      </c>
      <c r="D325" t="s">
        <v>1473</v>
      </c>
      <c r="E325">
        <v>0</v>
      </c>
    </row>
    <row r="326" spans="1:5" x14ac:dyDescent="0.15">
      <c r="A326" t="s">
        <v>2278</v>
      </c>
      <c r="B326">
        <v>4</v>
      </c>
      <c r="C326" t="s">
        <v>1534</v>
      </c>
      <c r="D326" t="s">
        <v>1473</v>
      </c>
      <c r="E326">
        <v>2</v>
      </c>
    </row>
    <row r="327" spans="1:5" x14ac:dyDescent="0.15">
      <c r="A327" t="s">
        <v>2278</v>
      </c>
      <c r="B327">
        <v>4</v>
      </c>
      <c r="C327" t="s">
        <v>1534</v>
      </c>
      <c r="D327" t="s">
        <v>1473</v>
      </c>
      <c r="E327">
        <v>4</v>
      </c>
    </row>
    <row r="328" spans="1:5" x14ac:dyDescent="0.15">
      <c r="A328" t="s">
        <v>2317</v>
      </c>
      <c r="B328">
        <v>2</v>
      </c>
      <c r="C328" t="s">
        <v>1538</v>
      </c>
      <c r="D328" t="s">
        <v>1473</v>
      </c>
      <c r="E328">
        <v>2</v>
      </c>
    </row>
    <row r="329" spans="1:5" x14ac:dyDescent="0.15">
      <c r="A329" t="s">
        <v>2318</v>
      </c>
      <c r="B329">
        <v>2</v>
      </c>
      <c r="C329" t="s">
        <v>1538</v>
      </c>
      <c r="D329" t="s">
        <v>1473</v>
      </c>
      <c r="E329">
        <v>0</v>
      </c>
    </row>
    <row r="330" spans="1:5" x14ac:dyDescent="0.15">
      <c r="A330" t="s">
        <v>2319</v>
      </c>
      <c r="B330">
        <v>2</v>
      </c>
      <c r="C330" t="s">
        <v>1534</v>
      </c>
      <c r="D330" t="s">
        <v>1473</v>
      </c>
      <c r="E330">
        <v>0</v>
      </c>
    </row>
    <row r="331" spans="1:5" x14ac:dyDescent="0.15">
      <c r="A331" t="s">
        <v>2311</v>
      </c>
      <c r="B331">
        <v>1</v>
      </c>
      <c r="C331" t="s">
        <v>1530</v>
      </c>
      <c r="D331" t="s">
        <v>1473</v>
      </c>
      <c r="E331">
        <v>2</v>
      </c>
    </row>
    <row r="332" spans="1:5" x14ac:dyDescent="0.15">
      <c r="A332" t="s">
        <v>2320</v>
      </c>
      <c r="B332">
        <v>2</v>
      </c>
      <c r="C332" t="s">
        <v>1526</v>
      </c>
      <c r="D332" t="s">
        <v>1473</v>
      </c>
      <c r="E332">
        <v>0</v>
      </c>
    </row>
    <row r="333" spans="1:5" x14ac:dyDescent="0.15">
      <c r="A333" t="s">
        <v>2321</v>
      </c>
      <c r="B333">
        <v>2</v>
      </c>
      <c r="C333" t="s">
        <v>1526</v>
      </c>
      <c r="D333" t="s">
        <v>1473</v>
      </c>
      <c r="E333">
        <v>0</v>
      </c>
    </row>
    <row r="334" spans="1:5" x14ac:dyDescent="0.15">
      <c r="A334" t="s">
        <v>2322</v>
      </c>
      <c r="B334">
        <v>1</v>
      </c>
      <c r="C334" t="s">
        <v>1538</v>
      </c>
      <c r="D334" t="s">
        <v>1473</v>
      </c>
      <c r="E334">
        <v>0</v>
      </c>
    </row>
    <row r="335" spans="1:5" x14ac:dyDescent="0.15">
      <c r="A335" t="s">
        <v>2323</v>
      </c>
      <c r="B335">
        <v>2</v>
      </c>
      <c r="C335" t="s">
        <v>1526</v>
      </c>
      <c r="D335" t="s">
        <v>1473</v>
      </c>
      <c r="E335">
        <v>0</v>
      </c>
    </row>
    <row r="336" spans="1:5" x14ac:dyDescent="0.15">
      <c r="A336" t="s">
        <v>2324</v>
      </c>
      <c r="B336">
        <v>2</v>
      </c>
      <c r="C336" t="s">
        <v>1534</v>
      </c>
      <c r="D336" t="s">
        <v>1473</v>
      </c>
      <c r="E336">
        <v>0</v>
      </c>
    </row>
    <row r="337" spans="1:5" x14ac:dyDescent="0.15">
      <c r="A337" t="s">
        <v>2325</v>
      </c>
      <c r="B337">
        <v>1</v>
      </c>
      <c r="C337" t="s">
        <v>1528</v>
      </c>
      <c r="D337" t="s">
        <v>1473</v>
      </c>
      <c r="E337">
        <v>4</v>
      </c>
    </row>
    <row r="338" spans="1:5" x14ac:dyDescent="0.15">
      <c r="A338" t="s">
        <v>2326</v>
      </c>
      <c r="B338">
        <v>3</v>
      </c>
      <c r="C338" t="s">
        <v>1536</v>
      </c>
      <c r="D338" t="s">
        <v>1473</v>
      </c>
      <c r="E338">
        <v>0</v>
      </c>
    </row>
    <row r="339" spans="1:5" x14ac:dyDescent="0.15">
      <c r="A339" t="s">
        <v>2327</v>
      </c>
      <c r="B339">
        <v>2</v>
      </c>
      <c r="C339" t="s">
        <v>1534</v>
      </c>
      <c r="D339" t="s">
        <v>1473</v>
      </c>
      <c r="E339">
        <v>0</v>
      </c>
    </row>
    <row r="340" spans="1:5" x14ac:dyDescent="0.15">
      <c r="A340" t="s">
        <v>2328</v>
      </c>
      <c r="B340">
        <v>2</v>
      </c>
      <c r="C340" t="s">
        <v>1534</v>
      </c>
      <c r="D340" t="s">
        <v>1473</v>
      </c>
      <c r="E340">
        <v>0</v>
      </c>
    </row>
    <row r="341" spans="1:5" x14ac:dyDescent="0.15">
      <c r="A341" t="s">
        <v>2329</v>
      </c>
      <c r="B341">
        <v>1</v>
      </c>
      <c r="C341" t="s">
        <v>1526</v>
      </c>
      <c r="D341" t="s">
        <v>1473</v>
      </c>
      <c r="E341">
        <v>0</v>
      </c>
    </row>
    <row r="342" spans="1:5" x14ac:dyDescent="0.15">
      <c r="A342" t="s">
        <v>2330</v>
      </c>
      <c r="B342">
        <v>1</v>
      </c>
      <c r="C342" t="s">
        <v>1526</v>
      </c>
      <c r="D342" t="s">
        <v>1473</v>
      </c>
      <c r="E342">
        <v>0</v>
      </c>
    </row>
    <row r="343" spans="1:5" x14ac:dyDescent="0.15">
      <c r="A343" t="s">
        <v>2330</v>
      </c>
      <c r="B343">
        <v>1</v>
      </c>
      <c r="C343" t="s">
        <v>1526</v>
      </c>
      <c r="D343" t="s">
        <v>1473</v>
      </c>
      <c r="E343">
        <v>4</v>
      </c>
    </row>
    <row r="344" spans="1:5" x14ac:dyDescent="0.15">
      <c r="A344" t="s">
        <v>2331</v>
      </c>
      <c r="B344">
        <v>1</v>
      </c>
      <c r="C344" t="s">
        <v>1530</v>
      </c>
      <c r="D344" t="s">
        <v>1473</v>
      </c>
      <c r="E344">
        <v>0</v>
      </c>
    </row>
    <row r="345" spans="1:5" x14ac:dyDescent="0.15">
      <c r="A345" t="s">
        <v>2332</v>
      </c>
      <c r="B345">
        <v>2</v>
      </c>
      <c r="C345" t="s">
        <v>1530</v>
      </c>
      <c r="D345" t="s">
        <v>1473</v>
      </c>
      <c r="E345">
        <v>0</v>
      </c>
    </row>
    <row r="346" spans="1:5" x14ac:dyDescent="0.15">
      <c r="A346" t="s">
        <v>2273</v>
      </c>
      <c r="B346">
        <v>1</v>
      </c>
      <c r="C346" t="s">
        <v>1538</v>
      </c>
      <c r="D346" t="s">
        <v>1473</v>
      </c>
      <c r="E346">
        <v>2</v>
      </c>
    </row>
    <row r="347" spans="1:5" x14ac:dyDescent="0.15">
      <c r="A347" t="s">
        <v>2246</v>
      </c>
      <c r="B347">
        <v>4</v>
      </c>
      <c r="C347" t="s">
        <v>1534</v>
      </c>
      <c r="D347" t="s">
        <v>1473</v>
      </c>
      <c r="E347">
        <v>4</v>
      </c>
    </row>
    <row r="348" spans="1:5" x14ac:dyDescent="0.15">
      <c r="A348" t="s">
        <v>2227</v>
      </c>
      <c r="B348">
        <v>2</v>
      </c>
      <c r="C348" t="s">
        <v>1530</v>
      </c>
      <c r="D348" t="s">
        <v>1473</v>
      </c>
      <c r="E348">
        <v>4</v>
      </c>
    </row>
    <row r="349" spans="1:5" x14ac:dyDescent="0.15">
      <c r="A349" t="s">
        <v>2243</v>
      </c>
      <c r="B349">
        <v>1</v>
      </c>
      <c r="C349" t="s">
        <v>1528</v>
      </c>
      <c r="D349" t="s">
        <v>1473</v>
      </c>
      <c r="E349">
        <v>4</v>
      </c>
    </row>
    <row r="350" spans="1:5" x14ac:dyDescent="0.15">
      <c r="A350" t="s">
        <v>2333</v>
      </c>
      <c r="B350">
        <v>1</v>
      </c>
      <c r="C350" t="s">
        <v>1538</v>
      </c>
      <c r="D350" t="s">
        <v>1473</v>
      </c>
      <c r="E350">
        <v>0</v>
      </c>
    </row>
    <row r="351" spans="1:5" x14ac:dyDescent="0.15">
      <c r="A351" t="s">
        <v>2271</v>
      </c>
      <c r="B351">
        <v>1</v>
      </c>
      <c r="C351" t="s">
        <v>1530</v>
      </c>
      <c r="D351" t="s">
        <v>1473</v>
      </c>
      <c r="E351">
        <v>0</v>
      </c>
    </row>
    <row r="352" spans="1:5" x14ac:dyDescent="0.15">
      <c r="A352" t="s">
        <v>2334</v>
      </c>
      <c r="B352">
        <v>2</v>
      </c>
      <c r="C352" t="s">
        <v>1538</v>
      </c>
      <c r="D352" t="s">
        <v>1473</v>
      </c>
      <c r="E352">
        <v>0</v>
      </c>
    </row>
    <row r="353" spans="1:5" x14ac:dyDescent="0.15">
      <c r="A353" t="s">
        <v>2335</v>
      </c>
      <c r="B353">
        <v>4</v>
      </c>
      <c r="C353" t="s">
        <v>1532</v>
      </c>
      <c r="D353" t="s">
        <v>1473</v>
      </c>
      <c r="E353">
        <v>0</v>
      </c>
    </row>
    <row r="354" spans="1:5" x14ac:dyDescent="0.15">
      <c r="A354" t="s">
        <v>2335</v>
      </c>
      <c r="B354">
        <v>4</v>
      </c>
      <c r="C354" t="s">
        <v>1532</v>
      </c>
      <c r="D354" t="s">
        <v>1473</v>
      </c>
      <c r="E354">
        <v>2</v>
      </c>
    </row>
    <row r="355" spans="1:5" x14ac:dyDescent="0.15">
      <c r="A355" t="s">
        <v>2336</v>
      </c>
      <c r="B355">
        <v>2</v>
      </c>
      <c r="C355" t="s">
        <v>1534</v>
      </c>
      <c r="D355" t="s">
        <v>1473</v>
      </c>
      <c r="E355">
        <v>0</v>
      </c>
    </row>
    <row r="356" spans="1:5" x14ac:dyDescent="0.15">
      <c r="A356" t="s">
        <v>2337</v>
      </c>
      <c r="B356">
        <v>1</v>
      </c>
      <c r="C356" t="s">
        <v>1532</v>
      </c>
      <c r="D356" t="s">
        <v>1473</v>
      </c>
      <c r="E356">
        <v>0</v>
      </c>
    </row>
    <row r="357" spans="1:5" x14ac:dyDescent="0.15">
      <c r="A357" t="s">
        <v>2338</v>
      </c>
      <c r="B357">
        <v>1</v>
      </c>
      <c r="C357" t="s">
        <v>1534</v>
      </c>
      <c r="D357" t="s">
        <v>1473</v>
      </c>
      <c r="E357">
        <v>0</v>
      </c>
    </row>
    <row r="358" spans="1:5" x14ac:dyDescent="0.15">
      <c r="A358" t="s">
        <v>2252</v>
      </c>
      <c r="B358">
        <v>4</v>
      </c>
      <c r="C358" t="s">
        <v>1536</v>
      </c>
      <c r="D358" t="s">
        <v>1473</v>
      </c>
      <c r="E358">
        <v>2</v>
      </c>
    </row>
    <row r="359" spans="1:5" x14ac:dyDescent="0.15">
      <c r="A359" t="s">
        <v>2339</v>
      </c>
      <c r="B359">
        <v>2</v>
      </c>
      <c r="C359" t="s">
        <v>1534</v>
      </c>
      <c r="D359" t="s">
        <v>1473</v>
      </c>
      <c r="E359">
        <v>4</v>
      </c>
    </row>
    <row r="360" spans="1:5" x14ac:dyDescent="0.15">
      <c r="A360" t="s">
        <v>2340</v>
      </c>
      <c r="B360">
        <v>2</v>
      </c>
      <c r="C360" t="s">
        <v>1534</v>
      </c>
      <c r="D360" t="s">
        <v>1473</v>
      </c>
      <c r="E360">
        <v>0</v>
      </c>
    </row>
    <row r="361" spans="1:5" x14ac:dyDescent="0.15">
      <c r="A361" t="s">
        <v>2341</v>
      </c>
      <c r="B361">
        <v>2</v>
      </c>
      <c r="C361" t="s">
        <v>1526</v>
      </c>
      <c r="D361" t="s">
        <v>1473</v>
      </c>
      <c r="E361">
        <v>0</v>
      </c>
    </row>
    <row r="362" spans="1:5" x14ac:dyDescent="0.15">
      <c r="A362" t="s">
        <v>2342</v>
      </c>
      <c r="B362">
        <v>2</v>
      </c>
      <c r="C362" t="s">
        <v>1534</v>
      </c>
      <c r="D362" t="s">
        <v>1473</v>
      </c>
      <c r="E362">
        <v>0</v>
      </c>
    </row>
    <row r="363" spans="1:5" x14ac:dyDescent="0.15">
      <c r="A363" t="s">
        <v>2343</v>
      </c>
      <c r="B363">
        <v>1</v>
      </c>
      <c r="C363" t="s">
        <v>1526</v>
      </c>
      <c r="D363" t="s">
        <v>1473</v>
      </c>
      <c r="E363">
        <v>0</v>
      </c>
    </row>
    <row r="364" spans="1:5" x14ac:dyDescent="0.15">
      <c r="A364" t="s">
        <v>2344</v>
      </c>
      <c r="B364">
        <v>1</v>
      </c>
      <c r="C364" t="s">
        <v>1534</v>
      </c>
      <c r="D364" t="s">
        <v>1473</v>
      </c>
      <c r="E364">
        <v>0</v>
      </c>
    </row>
    <row r="365" spans="1:5" x14ac:dyDescent="0.15">
      <c r="A365" t="s">
        <v>2345</v>
      </c>
      <c r="B365">
        <v>2</v>
      </c>
      <c r="C365" t="s">
        <v>1526</v>
      </c>
      <c r="D365" t="s">
        <v>1473</v>
      </c>
      <c r="E365">
        <v>0</v>
      </c>
    </row>
    <row r="366" spans="1:5" x14ac:dyDescent="0.15">
      <c r="A366" t="s">
        <v>2346</v>
      </c>
      <c r="B366">
        <v>2</v>
      </c>
      <c r="C366" t="s">
        <v>1526</v>
      </c>
      <c r="D366" t="s">
        <v>1473</v>
      </c>
      <c r="E366">
        <v>0</v>
      </c>
    </row>
    <row r="367" spans="1:5" x14ac:dyDescent="0.15">
      <c r="A367" t="s">
        <v>2347</v>
      </c>
      <c r="B367">
        <v>2</v>
      </c>
      <c r="C367" t="s">
        <v>1526</v>
      </c>
      <c r="D367" t="s">
        <v>1473</v>
      </c>
      <c r="E367">
        <v>4</v>
      </c>
    </row>
    <row r="368" spans="1:5" x14ac:dyDescent="0.15">
      <c r="A368" t="s">
        <v>2348</v>
      </c>
      <c r="B368">
        <v>2</v>
      </c>
      <c r="C368" t="s">
        <v>1526</v>
      </c>
      <c r="D368" t="s">
        <v>1473</v>
      </c>
      <c r="E368">
        <v>0</v>
      </c>
    </row>
    <row r="369" spans="1:5" x14ac:dyDescent="0.15">
      <c r="A369" t="s">
        <v>2226</v>
      </c>
      <c r="B369">
        <v>2</v>
      </c>
      <c r="C369" t="s">
        <v>1530</v>
      </c>
      <c r="D369" t="s">
        <v>1473</v>
      </c>
      <c r="E369">
        <v>4</v>
      </c>
    </row>
    <row r="370" spans="1:5" x14ac:dyDescent="0.15">
      <c r="A370" t="s">
        <v>2349</v>
      </c>
      <c r="B370">
        <v>2</v>
      </c>
      <c r="C370" t="s">
        <v>1526</v>
      </c>
      <c r="D370" t="s">
        <v>1473</v>
      </c>
      <c r="E370">
        <v>0</v>
      </c>
    </row>
    <row r="371" spans="1:5" x14ac:dyDescent="0.15">
      <c r="A371" t="s">
        <v>2350</v>
      </c>
      <c r="B371">
        <v>2</v>
      </c>
      <c r="C371" t="s">
        <v>1534</v>
      </c>
      <c r="D371" t="s">
        <v>1473</v>
      </c>
      <c r="E371">
        <v>0</v>
      </c>
    </row>
    <row r="372" spans="1:5" x14ac:dyDescent="0.15">
      <c r="A372" t="s">
        <v>2351</v>
      </c>
      <c r="B372">
        <v>2</v>
      </c>
      <c r="C372" t="s">
        <v>1534</v>
      </c>
      <c r="D372" t="s">
        <v>1473</v>
      </c>
      <c r="E372">
        <v>0</v>
      </c>
    </row>
    <row r="373" spans="1:5" x14ac:dyDescent="0.15">
      <c r="A373" t="s">
        <v>2351</v>
      </c>
      <c r="B373">
        <v>2</v>
      </c>
      <c r="C373" t="s">
        <v>1534</v>
      </c>
      <c r="D373" t="s">
        <v>1473</v>
      </c>
      <c r="E373">
        <v>2</v>
      </c>
    </row>
    <row r="374" spans="1:5" x14ac:dyDescent="0.15">
      <c r="A374" t="s">
        <v>2352</v>
      </c>
      <c r="B374">
        <v>4</v>
      </c>
      <c r="C374" t="s">
        <v>1530</v>
      </c>
      <c r="D374" t="s">
        <v>1473</v>
      </c>
      <c r="E374">
        <v>0</v>
      </c>
    </row>
    <row r="375" spans="1:5" x14ac:dyDescent="0.15">
      <c r="A375" t="s">
        <v>2353</v>
      </c>
      <c r="B375">
        <v>2</v>
      </c>
      <c r="C375" t="s">
        <v>1534</v>
      </c>
      <c r="D375" t="s">
        <v>1473</v>
      </c>
      <c r="E375">
        <v>0</v>
      </c>
    </row>
    <row r="376" spans="1:5" x14ac:dyDescent="0.15">
      <c r="A376" t="s">
        <v>2354</v>
      </c>
      <c r="B376">
        <v>2</v>
      </c>
      <c r="C376" t="s">
        <v>1530</v>
      </c>
      <c r="D376" t="s">
        <v>1473</v>
      </c>
      <c r="E376">
        <v>0</v>
      </c>
    </row>
    <row r="377" spans="1:5" x14ac:dyDescent="0.15">
      <c r="A377" t="s">
        <v>2355</v>
      </c>
      <c r="B377">
        <v>2</v>
      </c>
      <c r="C377" t="s">
        <v>1534</v>
      </c>
      <c r="D377" t="s">
        <v>1473</v>
      </c>
      <c r="E377">
        <v>0</v>
      </c>
    </row>
    <row r="378" spans="1:5" x14ac:dyDescent="0.15">
      <c r="A378" t="s">
        <v>2356</v>
      </c>
      <c r="B378">
        <v>2</v>
      </c>
      <c r="C378" t="s">
        <v>1526</v>
      </c>
      <c r="D378" t="s">
        <v>1473</v>
      </c>
      <c r="E378">
        <v>0</v>
      </c>
    </row>
    <row r="379" spans="1:5" x14ac:dyDescent="0.15">
      <c r="A379" t="s">
        <v>2357</v>
      </c>
      <c r="B379">
        <v>2</v>
      </c>
      <c r="C379" t="s">
        <v>1526</v>
      </c>
      <c r="D379" t="s">
        <v>1473</v>
      </c>
      <c r="E379">
        <v>0</v>
      </c>
    </row>
    <row r="380" spans="1:5" x14ac:dyDescent="0.15">
      <c r="A380" t="s">
        <v>2347</v>
      </c>
      <c r="B380">
        <v>2</v>
      </c>
      <c r="C380" t="s">
        <v>1526</v>
      </c>
      <c r="D380" t="s">
        <v>1473</v>
      </c>
      <c r="E380">
        <v>0</v>
      </c>
    </row>
    <row r="381" spans="1:5" x14ac:dyDescent="0.15">
      <c r="A381" t="s">
        <v>2193</v>
      </c>
      <c r="B381">
        <v>1</v>
      </c>
      <c r="C381" t="s">
        <v>1532</v>
      </c>
      <c r="D381" t="s">
        <v>1473</v>
      </c>
      <c r="E381">
        <v>4</v>
      </c>
    </row>
    <row r="382" spans="1:5" x14ac:dyDescent="0.15">
      <c r="A382" t="s">
        <v>2187</v>
      </c>
      <c r="B382">
        <v>2</v>
      </c>
      <c r="C382" t="s">
        <v>1534</v>
      </c>
      <c r="D382" t="s">
        <v>1473</v>
      </c>
      <c r="E382">
        <v>2</v>
      </c>
    </row>
    <row r="383" spans="1:5" x14ac:dyDescent="0.15">
      <c r="A383" t="s">
        <v>2358</v>
      </c>
      <c r="B383">
        <v>1</v>
      </c>
      <c r="C383" t="s">
        <v>1536</v>
      </c>
      <c r="D383" t="s">
        <v>1473</v>
      </c>
      <c r="E383">
        <v>0</v>
      </c>
    </row>
    <row r="384" spans="1:5" x14ac:dyDescent="0.15">
      <c r="A384" t="s">
        <v>2358</v>
      </c>
      <c r="B384">
        <v>1</v>
      </c>
      <c r="C384" t="s">
        <v>1536</v>
      </c>
      <c r="D384" t="s">
        <v>1473</v>
      </c>
      <c r="E384">
        <v>2</v>
      </c>
    </row>
    <row r="385" spans="1:5" x14ac:dyDescent="0.15">
      <c r="A385" t="s">
        <v>2196</v>
      </c>
      <c r="B385">
        <v>2</v>
      </c>
      <c r="C385" t="s">
        <v>1534</v>
      </c>
      <c r="D385" t="s">
        <v>1473</v>
      </c>
      <c r="E385">
        <v>4</v>
      </c>
    </row>
    <row r="386" spans="1:5" x14ac:dyDescent="0.15">
      <c r="A386" t="s">
        <v>2359</v>
      </c>
      <c r="B386">
        <v>2</v>
      </c>
      <c r="C386" t="s">
        <v>1534</v>
      </c>
      <c r="D386" t="s">
        <v>1473</v>
      </c>
      <c r="E386">
        <v>2</v>
      </c>
    </row>
    <row r="387" spans="1:5" x14ac:dyDescent="0.15">
      <c r="A387" t="s">
        <v>2360</v>
      </c>
      <c r="B387">
        <v>2</v>
      </c>
      <c r="C387" t="s">
        <v>1534</v>
      </c>
      <c r="D387" t="s">
        <v>1473</v>
      </c>
      <c r="E387">
        <v>0</v>
      </c>
    </row>
    <row r="388" spans="1:5" x14ac:dyDescent="0.15">
      <c r="A388" t="s">
        <v>2299</v>
      </c>
      <c r="B388">
        <v>4</v>
      </c>
      <c r="C388" t="s">
        <v>1536</v>
      </c>
      <c r="D388" t="s">
        <v>1473</v>
      </c>
      <c r="E388">
        <v>2</v>
      </c>
    </row>
    <row r="389" spans="1:5" x14ac:dyDescent="0.15">
      <c r="A389" t="s">
        <v>2361</v>
      </c>
      <c r="B389">
        <v>2</v>
      </c>
      <c r="C389" t="s">
        <v>1534</v>
      </c>
      <c r="D389" t="s">
        <v>1473</v>
      </c>
      <c r="E389">
        <v>0</v>
      </c>
    </row>
    <row r="390" spans="1:5" x14ac:dyDescent="0.15">
      <c r="A390" t="s">
        <v>2362</v>
      </c>
      <c r="B390">
        <v>1</v>
      </c>
      <c r="C390" t="s">
        <v>1526</v>
      </c>
      <c r="D390" t="s">
        <v>1473</v>
      </c>
      <c r="E390">
        <v>0</v>
      </c>
    </row>
    <row r="391" spans="1:5" x14ac:dyDescent="0.15">
      <c r="A391" t="s">
        <v>2229</v>
      </c>
      <c r="B391">
        <v>1</v>
      </c>
      <c r="C391" t="s">
        <v>1534</v>
      </c>
      <c r="D391" t="s">
        <v>1473</v>
      </c>
      <c r="E391">
        <v>4</v>
      </c>
    </row>
    <row r="392" spans="1:5" x14ac:dyDescent="0.15">
      <c r="A392" t="s">
        <v>2363</v>
      </c>
      <c r="B392">
        <v>2</v>
      </c>
      <c r="C392" t="s">
        <v>1526</v>
      </c>
      <c r="D392" t="s">
        <v>1473</v>
      </c>
      <c r="E392">
        <v>0</v>
      </c>
    </row>
    <row r="393" spans="1:5" x14ac:dyDescent="0.15">
      <c r="A393" t="s">
        <v>2201</v>
      </c>
      <c r="B393">
        <v>1</v>
      </c>
      <c r="C393" t="s">
        <v>1530</v>
      </c>
      <c r="D393" t="s">
        <v>1473</v>
      </c>
      <c r="E393">
        <v>2</v>
      </c>
    </row>
    <row r="394" spans="1:5" x14ac:dyDescent="0.15">
      <c r="A394" t="s">
        <v>2364</v>
      </c>
      <c r="B394">
        <v>1</v>
      </c>
      <c r="C394" t="s">
        <v>1528</v>
      </c>
      <c r="D394" t="s">
        <v>1473</v>
      </c>
      <c r="E394">
        <v>0</v>
      </c>
    </row>
    <row r="395" spans="1:5" x14ac:dyDescent="0.15">
      <c r="A395" t="s">
        <v>2365</v>
      </c>
      <c r="B395">
        <v>2</v>
      </c>
      <c r="C395" t="s">
        <v>1538</v>
      </c>
      <c r="D395" t="s">
        <v>1473</v>
      </c>
      <c r="E395">
        <v>4</v>
      </c>
    </row>
    <row r="396" spans="1:5" x14ac:dyDescent="0.15">
      <c r="A396" t="s">
        <v>2366</v>
      </c>
      <c r="B396">
        <v>4</v>
      </c>
      <c r="C396" t="s">
        <v>1526</v>
      </c>
      <c r="D396" t="s">
        <v>1473</v>
      </c>
      <c r="E396">
        <v>0</v>
      </c>
    </row>
    <row r="397" spans="1:5" x14ac:dyDescent="0.15">
      <c r="A397" t="s">
        <v>2367</v>
      </c>
      <c r="B397">
        <v>2</v>
      </c>
      <c r="C397" t="s">
        <v>1528</v>
      </c>
      <c r="D397" t="s">
        <v>1473</v>
      </c>
      <c r="E397">
        <v>0</v>
      </c>
    </row>
    <row r="398" spans="1:5" x14ac:dyDescent="0.15">
      <c r="A398" t="s">
        <v>2367</v>
      </c>
      <c r="B398">
        <v>2</v>
      </c>
      <c r="C398" t="s">
        <v>1528</v>
      </c>
      <c r="D398" t="s">
        <v>1473</v>
      </c>
      <c r="E398">
        <v>2</v>
      </c>
    </row>
    <row r="399" spans="1:5" x14ac:dyDescent="0.15">
      <c r="A399" t="s">
        <v>2367</v>
      </c>
      <c r="B399">
        <v>2</v>
      </c>
      <c r="C399" t="s">
        <v>1528</v>
      </c>
      <c r="D399" t="s">
        <v>1473</v>
      </c>
      <c r="E399">
        <v>4</v>
      </c>
    </row>
    <row r="400" spans="1:5" x14ac:dyDescent="0.15">
      <c r="A400" t="s">
        <v>2368</v>
      </c>
      <c r="B400">
        <v>2</v>
      </c>
      <c r="C400" t="s">
        <v>1534</v>
      </c>
      <c r="D400" t="s">
        <v>1473</v>
      </c>
      <c r="E400">
        <v>0</v>
      </c>
    </row>
    <row r="401" spans="1:5" x14ac:dyDescent="0.15">
      <c r="A401" t="s">
        <v>2285</v>
      </c>
      <c r="B401">
        <v>2</v>
      </c>
      <c r="C401" t="s">
        <v>1536</v>
      </c>
      <c r="D401" t="s">
        <v>1473</v>
      </c>
      <c r="E401">
        <v>2</v>
      </c>
    </row>
    <row r="402" spans="1:5" x14ac:dyDescent="0.15">
      <c r="A402" t="s">
        <v>2369</v>
      </c>
      <c r="B402">
        <v>1</v>
      </c>
      <c r="C402" t="s">
        <v>1530</v>
      </c>
      <c r="D402" t="s">
        <v>1473</v>
      </c>
      <c r="E402">
        <v>0</v>
      </c>
    </row>
    <row r="403" spans="1:5" x14ac:dyDescent="0.15">
      <c r="A403" t="s">
        <v>2370</v>
      </c>
      <c r="B403">
        <v>4</v>
      </c>
      <c r="C403" t="s">
        <v>1534</v>
      </c>
      <c r="D403" t="s">
        <v>1473</v>
      </c>
      <c r="E403">
        <v>0</v>
      </c>
    </row>
    <row r="404" spans="1:5" x14ac:dyDescent="0.15">
      <c r="A404" t="s">
        <v>2371</v>
      </c>
      <c r="B404">
        <v>4</v>
      </c>
      <c r="C404" t="s">
        <v>1530</v>
      </c>
      <c r="D404" t="s">
        <v>1473</v>
      </c>
      <c r="E404">
        <v>0</v>
      </c>
    </row>
    <row r="405" spans="1:5" x14ac:dyDescent="0.15">
      <c r="A405" t="s">
        <v>2372</v>
      </c>
      <c r="B405">
        <v>1</v>
      </c>
      <c r="C405" t="s">
        <v>1528</v>
      </c>
      <c r="D405" t="s">
        <v>1473</v>
      </c>
      <c r="E405">
        <v>0</v>
      </c>
    </row>
    <row r="406" spans="1:5" x14ac:dyDescent="0.15">
      <c r="A406" t="s">
        <v>2373</v>
      </c>
      <c r="B406">
        <v>2</v>
      </c>
      <c r="C406" t="s">
        <v>1526</v>
      </c>
      <c r="D406" t="s">
        <v>1473</v>
      </c>
      <c r="E406">
        <v>0</v>
      </c>
    </row>
    <row r="407" spans="1:5" x14ac:dyDescent="0.15">
      <c r="A407" t="s">
        <v>2374</v>
      </c>
      <c r="B407">
        <v>2</v>
      </c>
      <c r="C407" t="s">
        <v>1530</v>
      </c>
      <c r="D407" t="s">
        <v>1473</v>
      </c>
      <c r="E407">
        <v>0</v>
      </c>
    </row>
    <row r="408" spans="1:5" x14ac:dyDescent="0.15">
      <c r="A408" t="s">
        <v>2375</v>
      </c>
      <c r="B408">
        <v>4</v>
      </c>
      <c r="C408" t="s">
        <v>1526</v>
      </c>
      <c r="D408" t="s">
        <v>1473</v>
      </c>
      <c r="E408">
        <v>0</v>
      </c>
    </row>
    <row r="409" spans="1:5" x14ac:dyDescent="0.15">
      <c r="A409" t="s">
        <v>2376</v>
      </c>
      <c r="B409">
        <v>1</v>
      </c>
      <c r="C409" t="s">
        <v>1526</v>
      </c>
      <c r="D409" t="s">
        <v>1473</v>
      </c>
      <c r="E409">
        <v>0</v>
      </c>
    </row>
    <row r="410" spans="1:5" x14ac:dyDescent="0.15">
      <c r="A410" t="s">
        <v>2377</v>
      </c>
      <c r="B410">
        <v>1</v>
      </c>
      <c r="C410" t="s">
        <v>1526</v>
      </c>
      <c r="D410" t="s">
        <v>1473</v>
      </c>
      <c r="E410">
        <v>0</v>
      </c>
    </row>
    <row r="411" spans="1:5" x14ac:dyDescent="0.15">
      <c r="A411" t="s">
        <v>2378</v>
      </c>
      <c r="B411">
        <v>2</v>
      </c>
      <c r="C411" t="s">
        <v>1530</v>
      </c>
      <c r="D411" t="s">
        <v>1473</v>
      </c>
      <c r="E411">
        <v>0</v>
      </c>
    </row>
    <row r="412" spans="1:5" x14ac:dyDescent="0.15">
      <c r="A412" t="s">
        <v>2379</v>
      </c>
      <c r="B412">
        <v>2</v>
      </c>
      <c r="C412" t="s">
        <v>1534</v>
      </c>
      <c r="D412" t="s">
        <v>1473</v>
      </c>
      <c r="E412">
        <v>0</v>
      </c>
    </row>
    <row r="413" spans="1:5" x14ac:dyDescent="0.15">
      <c r="A413" t="s">
        <v>2380</v>
      </c>
      <c r="B413">
        <v>2</v>
      </c>
      <c r="C413" t="s">
        <v>1526</v>
      </c>
      <c r="D413" t="s">
        <v>1473</v>
      </c>
      <c r="E413">
        <v>0</v>
      </c>
    </row>
    <row r="414" spans="1:5" x14ac:dyDescent="0.15">
      <c r="A414" t="s">
        <v>2381</v>
      </c>
      <c r="B414">
        <v>4</v>
      </c>
      <c r="C414" t="s">
        <v>1538</v>
      </c>
      <c r="D414" t="s">
        <v>1473</v>
      </c>
      <c r="E414">
        <v>0</v>
      </c>
    </row>
    <row r="415" spans="1:5" x14ac:dyDescent="0.15">
      <c r="A415" t="s">
        <v>2382</v>
      </c>
      <c r="B415">
        <v>1</v>
      </c>
      <c r="C415" t="s">
        <v>1532</v>
      </c>
      <c r="D415" t="s">
        <v>1473</v>
      </c>
      <c r="E415">
        <v>0</v>
      </c>
    </row>
    <row r="416" spans="1:5" x14ac:dyDescent="0.15">
      <c r="A416" t="s">
        <v>2383</v>
      </c>
      <c r="B416">
        <v>2</v>
      </c>
      <c r="C416" t="s">
        <v>1526</v>
      </c>
      <c r="D416" t="s">
        <v>1473</v>
      </c>
      <c r="E416">
        <v>0</v>
      </c>
    </row>
    <row r="417" spans="1:5" x14ac:dyDescent="0.15">
      <c r="A417" t="s">
        <v>2384</v>
      </c>
      <c r="B417">
        <v>2</v>
      </c>
      <c r="C417" t="s">
        <v>1534</v>
      </c>
      <c r="D417" t="s">
        <v>1473</v>
      </c>
      <c r="E417">
        <v>0</v>
      </c>
    </row>
    <row r="418" spans="1:5" x14ac:dyDescent="0.15">
      <c r="A418" t="s">
        <v>2385</v>
      </c>
      <c r="B418">
        <v>2</v>
      </c>
      <c r="C418" t="s">
        <v>1534</v>
      </c>
      <c r="D418" t="s">
        <v>1473</v>
      </c>
      <c r="E418">
        <v>0</v>
      </c>
    </row>
    <row r="419" spans="1:5" x14ac:dyDescent="0.15">
      <c r="A419" t="s">
        <v>2212</v>
      </c>
      <c r="B419">
        <v>4</v>
      </c>
      <c r="C419" t="s">
        <v>1536</v>
      </c>
      <c r="D419" t="s">
        <v>1473</v>
      </c>
      <c r="E419">
        <v>2</v>
      </c>
    </row>
    <row r="420" spans="1:5" x14ac:dyDescent="0.15">
      <c r="A420" t="s">
        <v>2212</v>
      </c>
      <c r="B420">
        <v>4</v>
      </c>
      <c r="C420" t="s">
        <v>1536</v>
      </c>
      <c r="D420" t="s">
        <v>1473</v>
      </c>
      <c r="E420">
        <v>4</v>
      </c>
    </row>
    <row r="421" spans="1:5" x14ac:dyDescent="0.15">
      <c r="A421" t="s">
        <v>2257</v>
      </c>
      <c r="B421">
        <v>2</v>
      </c>
      <c r="C421" t="s">
        <v>1536</v>
      </c>
      <c r="D421" t="s">
        <v>1473</v>
      </c>
      <c r="E421">
        <v>2</v>
      </c>
    </row>
    <row r="422" spans="1:5" x14ac:dyDescent="0.15">
      <c r="A422" t="s">
        <v>2386</v>
      </c>
      <c r="B422">
        <v>1</v>
      </c>
      <c r="C422" t="s">
        <v>1528</v>
      </c>
      <c r="D422" t="s">
        <v>1473</v>
      </c>
      <c r="E422">
        <v>0</v>
      </c>
    </row>
    <row r="423" spans="1:5" x14ac:dyDescent="0.15">
      <c r="A423" t="s">
        <v>2387</v>
      </c>
      <c r="B423">
        <v>2</v>
      </c>
      <c r="C423" t="s">
        <v>1526</v>
      </c>
      <c r="D423" t="s">
        <v>1473</v>
      </c>
      <c r="E423">
        <v>0</v>
      </c>
    </row>
    <row r="424" spans="1:5" x14ac:dyDescent="0.15">
      <c r="A424" t="s">
        <v>2388</v>
      </c>
      <c r="B424">
        <v>4</v>
      </c>
      <c r="C424" t="s">
        <v>1526</v>
      </c>
      <c r="D424" t="s">
        <v>1473</v>
      </c>
      <c r="E424">
        <v>0</v>
      </c>
    </row>
    <row r="425" spans="1:5" x14ac:dyDescent="0.15">
      <c r="A425" t="s">
        <v>2389</v>
      </c>
      <c r="B425">
        <v>2</v>
      </c>
      <c r="C425" t="s">
        <v>1526</v>
      </c>
      <c r="D425" t="s">
        <v>1473</v>
      </c>
      <c r="E425">
        <v>0</v>
      </c>
    </row>
    <row r="426" spans="1:5" x14ac:dyDescent="0.15">
      <c r="A426" t="s">
        <v>2390</v>
      </c>
      <c r="B426">
        <v>4</v>
      </c>
      <c r="C426" t="s">
        <v>1526</v>
      </c>
      <c r="D426" t="s">
        <v>1473</v>
      </c>
      <c r="E426">
        <v>0</v>
      </c>
    </row>
    <row r="427" spans="1:5" x14ac:dyDescent="0.15">
      <c r="A427" t="s">
        <v>2391</v>
      </c>
      <c r="B427">
        <v>2</v>
      </c>
      <c r="C427" t="s">
        <v>1526</v>
      </c>
      <c r="D427" t="s">
        <v>1473</v>
      </c>
      <c r="E427">
        <v>0</v>
      </c>
    </row>
    <row r="428" spans="1:5" x14ac:dyDescent="0.15">
      <c r="A428" t="s">
        <v>2392</v>
      </c>
      <c r="B428">
        <v>2</v>
      </c>
      <c r="C428" t="s">
        <v>1530</v>
      </c>
      <c r="D428" t="s">
        <v>1473</v>
      </c>
      <c r="E428">
        <v>0</v>
      </c>
    </row>
    <row r="429" spans="1:5" x14ac:dyDescent="0.15">
      <c r="A429" t="s">
        <v>2393</v>
      </c>
      <c r="B429">
        <v>2</v>
      </c>
      <c r="C429" t="s">
        <v>1572</v>
      </c>
      <c r="E429">
        <v>0</v>
      </c>
    </row>
    <row r="430" spans="1:5" x14ac:dyDescent="0.15">
      <c r="A430" t="s">
        <v>2394</v>
      </c>
      <c r="B430">
        <v>4</v>
      </c>
      <c r="C430" t="s">
        <v>1538</v>
      </c>
      <c r="D430" t="s">
        <v>1473</v>
      </c>
      <c r="E430">
        <v>0</v>
      </c>
    </row>
    <row r="431" spans="1:5" x14ac:dyDescent="0.15">
      <c r="A431" t="s">
        <v>2395</v>
      </c>
      <c r="B431">
        <v>2</v>
      </c>
      <c r="C431" t="s">
        <v>1526</v>
      </c>
      <c r="D431" t="s">
        <v>1473</v>
      </c>
      <c r="E431">
        <v>0</v>
      </c>
    </row>
    <row r="432" spans="1:5" x14ac:dyDescent="0.15">
      <c r="A432" t="s">
        <v>2396</v>
      </c>
      <c r="B432">
        <v>1</v>
      </c>
      <c r="C432" t="s">
        <v>1526</v>
      </c>
      <c r="D432" t="s">
        <v>1473</v>
      </c>
      <c r="E432">
        <v>0</v>
      </c>
    </row>
    <row r="433" spans="1:5" x14ac:dyDescent="0.15">
      <c r="A433" t="s">
        <v>2397</v>
      </c>
      <c r="B433">
        <v>2</v>
      </c>
      <c r="C433" t="s">
        <v>1526</v>
      </c>
      <c r="D433" t="s">
        <v>1473</v>
      </c>
      <c r="E433">
        <v>0</v>
      </c>
    </row>
    <row r="434" spans="1:5" x14ac:dyDescent="0.15">
      <c r="A434" t="s">
        <v>2398</v>
      </c>
      <c r="B434">
        <v>1</v>
      </c>
      <c r="C434" t="s">
        <v>1801</v>
      </c>
      <c r="E434">
        <v>0</v>
      </c>
    </row>
    <row r="435" spans="1:5" x14ac:dyDescent="0.15">
      <c r="A435" t="s">
        <v>2399</v>
      </c>
      <c r="B435">
        <v>1</v>
      </c>
      <c r="C435" t="s">
        <v>1528</v>
      </c>
      <c r="D435" t="s">
        <v>1473</v>
      </c>
      <c r="E435">
        <v>0</v>
      </c>
    </row>
    <row r="436" spans="1:5" x14ac:dyDescent="0.15">
      <c r="A436" t="s">
        <v>2400</v>
      </c>
      <c r="B436">
        <v>1</v>
      </c>
      <c r="C436" t="s">
        <v>1528</v>
      </c>
      <c r="D436" t="s">
        <v>1473</v>
      </c>
      <c r="E436">
        <v>0</v>
      </c>
    </row>
    <row r="437" spans="1:5" x14ac:dyDescent="0.15">
      <c r="A437" t="s">
        <v>2401</v>
      </c>
      <c r="B437">
        <v>2</v>
      </c>
      <c r="C437" t="s">
        <v>1530</v>
      </c>
      <c r="D437" t="s">
        <v>1473</v>
      </c>
      <c r="E437">
        <v>0</v>
      </c>
    </row>
    <row r="438" spans="1:5" x14ac:dyDescent="0.15">
      <c r="A438" t="s">
        <v>2402</v>
      </c>
      <c r="B438">
        <v>2</v>
      </c>
      <c r="C438" t="s">
        <v>1526</v>
      </c>
      <c r="D438" t="s">
        <v>1473</v>
      </c>
      <c r="E438">
        <v>0</v>
      </c>
    </row>
    <row r="439" spans="1:5" x14ac:dyDescent="0.15">
      <c r="A439" t="s">
        <v>2403</v>
      </c>
      <c r="B439">
        <v>2</v>
      </c>
      <c r="C439" t="s">
        <v>1526</v>
      </c>
      <c r="D439" t="s">
        <v>1473</v>
      </c>
      <c r="E439">
        <v>0</v>
      </c>
    </row>
    <row r="440" spans="1:5" x14ac:dyDescent="0.15">
      <c r="A440" t="s">
        <v>2404</v>
      </c>
      <c r="B440">
        <v>1</v>
      </c>
      <c r="C440" t="s">
        <v>1528</v>
      </c>
      <c r="D440" t="s">
        <v>1473</v>
      </c>
      <c r="E440">
        <v>2</v>
      </c>
    </row>
    <row r="441" spans="1:5" x14ac:dyDescent="0.15">
      <c r="A441" t="s">
        <v>2405</v>
      </c>
      <c r="B441">
        <v>1</v>
      </c>
      <c r="C441" t="s">
        <v>1528</v>
      </c>
      <c r="D441" t="s">
        <v>1473</v>
      </c>
      <c r="E441">
        <v>0</v>
      </c>
    </row>
    <row r="442" spans="1:5" x14ac:dyDescent="0.15">
      <c r="A442" t="s">
        <v>2406</v>
      </c>
      <c r="B442">
        <v>2</v>
      </c>
      <c r="C442" t="s">
        <v>1526</v>
      </c>
      <c r="D442" t="s">
        <v>1473</v>
      </c>
      <c r="E442">
        <v>0</v>
      </c>
    </row>
    <row r="443" spans="1:5" x14ac:dyDescent="0.15">
      <c r="A443" t="s">
        <v>2407</v>
      </c>
      <c r="B443">
        <v>4</v>
      </c>
      <c r="C443" t="s">
        <v>1538</v>
      </c>
      <c r="D443" t="s">
        <v>1473</v>
      </c>
      <c r="E443">
        <v>0</v>
      </c>
    </row>
    <row r="444" spans="1:5" x14ac:dyDescent="0.15">
      <c r="A444" t="s">
        <v>2408</v>
      </c>
      <c r="B444">
        <v>2</v>
      </c>
      <c r="C444" t="s">
        <v>1538</v>
      </c>
      <c r="D444" t="s">
        <v>1473</v>
      </c>
      <c r="E444">
        <v>0</v>
      </c>
    </row>
    <row r="445" spans="1:5" x14ac:dyDescent="0.15">
      <c r="A445" t="s">
        <v>2409</v>
      </c>
      <c r="B445">
        <v>1</v>
      </c>
      <c r="C445" t="s">
        <v>1526</v>
      </c>
      <c r="D445" t="s">
        <v>1473</v>
      </c>
      <c r="E445">
        <v>0</v>
      </c>
    </row>
    <row r="446" spans="1:5" x14ac:dyDescent="0.15">
      <c r="A446" t="s">
        <v>2410</v>
      </c>
      <c r="B446">
        <v>1</v>
      </c>
      <c r="C446" t="s">
        <v>1568</v>
      </c>
      <c r="E446">
        <v>0</v>
      </c>
    </row>
    <row r="447" spans="1:5" x14ac:dyDescent="0.15">
      <c r="A447" t="s">
        <v>2411</v>
      </c>
      <c r="B447">
        <v>2</v>
      </c>
      <c r="C447" t="s">
        <v>1568</v>
      </c>
      <c r="E447">
        <v>0</v>
      </c>
    </row>
    <row r="448" spans="1:5" x14ac:dyDescent="0.15">
      <c r="A448" t="s">
        <v>2280</v>
      </c>
      <c r="B448">
        <v>2</v>
      </c>
      <c r="C448" t="s">
        <v>1526</v>
      </c>
      <c r="D448" t="s">
        <v>1473</v>
      </c>
      <c r="E448">
        <v>0</v>
      </c>
    </row>
    <row r="449" spans="1:5" x14ac:dyDescent="0.15">
      <c r="A449" t="s">
        <v>2412</v>
      </c>
      <c r="B449">
        <v>2</v>
      </c>
      <c r="C449" t="s">
        <v>1526</v>
      </c>
      <c r="D449" t="s">
        <v>1473</v>
      </c>
      <c r="E449">
        <v>0</v>
      </c>
    </row>
    <row r="450" spans="1:5" x14ac:dyDescent="0.15">
      <c r="A450" t="s">
        <v>2413</v>
      </c>
      <c r="B450">
        <v>2</v>
      </c>
      <c r="C450" t="s">
        <v>1528</v>
      </c>
      <c r="D450" t="s">
        <v>1473</v>
      </c>
      <c r="E450">
        <v>0</v>
      </c>
    </row>
    <row r="451" spans="1:5" x14ac:dyDescent="0.15">
      <c r="A451" t="s">
        <v>2414</v>
      </c>
      <c r="B451">
        <v>2</v>
      </c>
      <c r="C451" t="s">
        <v>1528</v>
      </c>
      <c r="D451" t="s">
        <v>1473</v>
      </c>
      <c r="E451">
        <v>0</v>
      </c>
    </row>
    <row r="452" spans="1:5" x14ac:dyDescent="0.15">
      <c r="A452" t="s">
        <v>2415</v>
      </c>
      <c r="B452">
        <v>2</v>
      </c>
      <c r="C452" t="s">
        <v>1526</v>
      </c>
      <c r="D452" t="s">
        <v>1473</v>
      </c>
      <c r="E452">
        <v>2</v>
      </c>
    </row>
    <row r="453" spans="1:5" x14ac:dyDescent="0.15">
      <c r="A453" t="s">
        <v>2416</v>
      </c>
      <c r="B453">
        <v>1</v>
      </c>
      <c r="C453" t="s">
        <v>1532</v>
      </c>
      <c r="D453" t="s">
        <v>1473</v>
      </c>
      <c r="E453">
        <v>0</v>
      </c>
    </row>
    <row r="454" spans="1:5" x14ac:dyDescent="0.15">
      <c r="A454" t="s">
        <v>2387</v>
      </c>
      <c r="B454">
        <v>2</v>
      </c>
      <c r="C454" t="s">
        <v>1526</v>
      </c>
      <c r="D454" t="s">
        <v>1473</v>
      </c>
      <c r="E454">
        <v>2</v>
      </c>
    </row>
    <row r="455" spans="1:5" x14ac:dyDescent="0.15">
      <c r="A455" t="s">
        <v>2417</v>
      </c>
      <c r="B455">
        <v>2</v>
      </c>
      <c r="C455" t="s">
        <v>1526</v>
      </c>
      <c r="D455" t="s">
        <v>1473</v>
      </c>
      <c r="E455">
        <v>0</v>
      </c>
    </row>
    <row r="456" spans="1:5" x14ac:dyDescent="0.15">
      <c r="A456" t="s">
        <v>2418</v>
      </c>
      <c r="B456">
        <v>2</v>
      </c>
      <c r="C456" t="s">
        <v>1528</v>
      </c>
      <c r="D456" t="s">
        <v>1473</v>
      </c>
      <c r="E456">
        <v>0</v>
      </c>
    </row>
    <row r="457" spans="1:5" x14ac:dyDescent="0.15">
      <c r="A457" t="s">
        <v>2419</v>
      </c>
      <c r="B457">
        <v>2</v>
      </c>
      <c r="C457" t="s">
        <v>1526</v>
      </c>
      <c r="D457" t="s">
        <v>1473</v>
      </c>
      <c r="E457">
        <v>0</v>
      </c>
    </row>
    <row r="458" spans="1:5" x14ac:dyDescent="0.15">
      <c r="A458" t="s">
        <v>2420</v>
      </c>
      <c r="B458">
        <v>2</v>
      </c>
      <c r="C458" t="s">
        <v>1526</v>
      </c>
      <c r="D458" t="s">
        <v>1473</v>
      </c>
      <c r="E458">
        <v>0</v>
      </c>
    </row>
    <row r="459" spans="1:5" x14ac:dyDescent="0.15">
      <c r="A459" t="s">
        <v>2421</v>
      </c>
      <c r="B459">
        <v>2</v>
      </c>
      <c r="C459" t="s">
        <v>1526</v>
      </c>
      <c r="D459" t="s">
        <v>1473</v>
      </c>
      <c r="E459">
        <v>0</v>
      </c>
    </row>
    <row r="460" spans="1:5" x14ac:dyDescent="0.15">
      <c r="A460" t="s">
        <v>2422</v>
      </c>
      <c r="B460">
        <v>4</v>
      </c>
      <c r="C460" t="s">
        <v>1538</v>
      </c>
      <c r="D460" t="s">
        <v>1473</v>
      </c>
      <c r="E460">
        <v>4</v>
      </c>
    </row>
    <row r="461" spans="1:5" x14ac:dyDescent="0.15">
      <c r="A461" t="s">
        <v>2423</v>
      </c>
      <c r="B461">
        <v>2</v>
      </c>
      <c r="C461" t="s">
        <v>1526</v>
      </c>
      <c r="D461" t="s">
        <v>1473</v>
      </c>
      <c r="E461">
        <v>0</v>
      </c>
    </row>
    <row r="462" spans="1:5" x14ac:dyDescent="0.15">
      <c r="A462" t="s">
        <v>2424</v>
      </c>
      <c r="B462">
        <v>1</v>
      </c>
      <c r="C462" t="s">
        <v>1526</v>
      </c>
      <c r="D462" t="s">
        <v>1473</v>
      </c>
      <c r="E462">
        <v>0</v>
      </c>
    </row>
    <row r="463" spans="1:5" x14ac:dyDescent="0.15">
      <c r="A463" t="s">
        <v>2425</v>
      </c>
      <c r="B463">
        <v>2</v>
      </c>
      <c r="C463" t="s">
        <v>1526</v>
      </c>
      <c r="D463" t="s">
        <v>1473</v>
      </c>
      <c r="E463">
        <v>0</v>
      </c>
    </row>
    <row r="464" spans="1:5" x14ac:dyDescent="0.15">
      <c r="A464" t="s">
        <v>2426</v>
      </c>
      <c r="B464">
        <v>2</v>
      </c>
      <c r="C464" t="s">
        <v>1528</v>
      </c>
      <c r="D464" t="s">
        <v>1473</v>
      </c>
      <c r="E464">
        <v>0</v>
      </c>
    </row>
    <row r="465" spans="1:5" x14ac:dyDescent="0.15">
      <c r="A465" t="s">
        <v>2186</v>
      </c>
      <c r="B465">
        <v>4</v>
      </c>
      <c r="C465" t="s">
        <v>1528</v>
      </c>
      <c r="D465" t="s">
        <v>1473</v>
      </c>
      <c r="E465">
        <v>4</v>
      </c>
    </row>
    <row r="466" spans="1:5" x14ac:dyDescent="0.15">
      <c r="A466" t="s">
        <v>2427</v>
      </c>
      <c r="B466">
        <v>1</v>
      </c>
      <c r="C466" t="s">
        <v>1532</v>
      </c>
      <c r="D466" t="s">
        <v>1473</v>
      </c>
      <c r="E466">
        <v>2</v>
      </c>
    </row>
    <row r="467" spans="1:5" x14ac:dyDescent="0.15">
      <c r="A467" t="s">
        <v>2428</v>
      </c>
      <c r="B467">
        <v>2</v>
      </c>
      <c r="C467" t="s">
        <v>1572</v>
      </c>
      <c r="E467">
        <v>0</v>
      </c>
    </row>
    <row r="468" spans="1:5" x14ac:dyDescent="0.15">
      <c r="A468" t="s">
        <v>2422</v>
      </c>
      <c r="B468">
        <v>4</v>
      </c>
      <c r="C468" t="s">
        <v>1538</v>
      </c>
      <c r="D468" t="s">
        <v>1473</v>
      </c>
      <c r="E468">
        <v>0</v>
      </c>
    </row>
    <row r="469" spans="1:5" x14ac:dyDescent="0.15">
      <c r="A469" t="s">
        <v>2429</v>
      </c>
      <c r="B469">
        <v>2</v>
      </c>
      <c r="C469" t="s">
        <v>1526</v>
      </c>
      <c r="D469" t="s">
        <v>1473</v>
      </c>
      <c r="E469">
        <v>0</v>
      </c>
    </row>
    <row r="470" spans="1:5" x14ac:dyDescent="0.15">
      <c r="A470" t="s">
        <v>2430</v>
      </c>
      <c r="B470">
        <v>2</v>
      </c>
      <c r="C470" t="s">
        <v>1526</v>
      </c>
      <c r="D470" t="s">
        <v>1473</v>
      </c>
      <c r="E470">
        <v>0</v>
      </c>
    </row>
    <row r="471" spans="1:5" x14ac:dyDescent="0.15">
      <c r="A471" t="s">
        <v>2392</v>
      </c>
      <c r="B471">
        <v>2</v>
      </c>
      <c r="C471" t="s">
        <v>1530</v>
      </c>
      <c r="D471" t="s">
        <v>1473</v>
      </c>
      <c r="E471">
        <v>2</v>
      </c>
    </row>
    <row r="472" spans="1:5" x14ac:dyDescent="0.15">
      <c r="A472" t="s">
        <v>2290</v>
      </c>
      <c r="B472">
        <v>1</v>
      </c>
      <c r="C472" t="s">
        <v>1530</v>
      </c>
      <c r="D472" t="s">
        <v>1473</v>
      </c>
      <c r="E472">
        <v>0</v>
      </c>
    </row>
    <row r="473" spans="1:5" x14ac:dyDescent="0.15">
      <c r="A473" t="s">
        <v>2431</v>
      </c>
      <c r="B473">
        <v>1</v>
      </c>
      <c r="C473" t="s">
        <v>1530</v>
      </c>
      <c r="D473" t="s">
        <v>1473</v>
      </c>
      <c r="E473">
        <v>0</v>
      </c>
    </row>
    <row r="474" spans="1:5" x14ac:dyDescent="0.15">
      <c r="A474" t="s">
        <v>2234</v>
      </c>
      <c r="B474">
        <v>4</v>
      </c>
      <c r="C474" t="s">
        <v>1528</v>
      </c>
      <c r="D474" t="s">
        <v>1473</v>
      </c>
      <c r="E474">
        <v>2</v>
      </c>
    </row>
    <row r="475" spans="1:5" x14ac:dyDescent="0.15">
      <c r="A475" t="s">
        <v>2432</v>
      </c>
      <c r="B475">
        <v>1</v>
      </c>
      <c r="C475" t="s">
        <v>1530</v>
      </c>
      <c r="D475" t="s">
        <v>1473</v>
      </c>
      <c r="E475">
        <v>0</v>
      </c>
    </row>
    <row r="476" spans="1:5" x14ac:dyDescent="0.15">
      <c r="A476" t="s">
        <v>2433</v>
      </c>
      <c r="B476">
        <v>1</v>
      </c>
      <c r="C476" t="s">
        <v>1526</v>
      </c>
      <c r="D476" t="s">
        <v>1473</v>
      </c>
      <c r="E476">
        <v>0</v>
      </c>
    </row>
    <row r="477" spans="1:5" x14ac:dyDescent="0.15">
      <c r="A477" t="s">
        <v>2434</v>
      </c>
      <c r="B477">
        <v>2</v>
      </c>
      <c r="C477" t="s">
        <v>1526</v>
      </c>
      <c r="D477" t="s">
        <v>1473</v>
      </c>
      <c r="E477">
        <v>0</v>
      </c>
    </row>
    <row r="478" spans="1:5" x14ac:dyDescent="0.15">
      <c r="A478" t="s">
        <v>2435</v>
      </c>
      <c r="B478">
        <v>1</v>
      </c>
      <c r="C478" t="s">
        <v>1532</v>
      </c>
      <c r="D478" t="s">
        <v>1473</v>
      </c>
      <c r="E478">
        <v>0</v>
      </c>
    </row>
    <row r="479" spans="1:5" x14ac:dyDescent="0.15">
      <c r="A479" t="s">
        <v>2436</v>
      </c>
      <c r="B479">
        <v>1</v>
      </c>
      <c r="C479" t="s">
        <v>1572</v>
      </c>
      <c r="E479">
        <v>0</v>
      </c>
    </row>
    <row r="480" spans="1:5" x14ac:dyDescent="0.15">
      <c r="A480" t="s">
        <v>2437</v>
      </c>
      <c r="B480">
        <v>2</v>
      </c>
      <c r="C480" t="s">
        <v>1526</v>
      </c>
      <c r="D480" t="s">
        <v>1473</v>
      </c>
      <c r="E480">
        <v>4</v>
      </c>
    </row>
    <row r="481" spans="1:5" x14ac:dyDescent="0.15">
      <c r="A481" t="s">
        <v>2437</v>
      </c>
      <c r="B481">
        <v>2</v>
      </c>
      <c r="C481" t="s">
        <v>1526</v>
      </c>
      <c r="D481" t="s">
        <v>1473</v>
      </c>
      <c r="E481">
        <v>0</v>
      </c>
    </row>
    <row r="482" spans="1:5" x14ac:dyDescent="0.15">
      <c r="A482" t="s">
        <v>2438</v>
      </c>
      <c r="B482">
        <v>1</v>
      </c>
      <c r="C482" t="s">
        <v>1526</v>
      </c>
      <c r="D482" t="s">
        <v>1473</v>
      </c>
      <c r="E482">
        <v>0</v>
      </c>
    </row>
    <row r="483" spans="1:5" x14ac:dyDescent="0.15">
      <c r="A483" t="s">
        <v>2439</v>
      </c>
      <c r="B483">
        <v>2</v>
      </c>
      <c r="C483" t="s">
        <v>1536</v>
      </c>
      <c r="D483" t="s">
        <v>1473</v>
      </c>
      <c r="E483">
        <v>0</v>
      </c>
    </row>
    <row r="484" spans="1:5" x14ac:dyDescent="0.15">
      <c r="A484" t="s">
        <v>2402</v>
      </c>
      <c r="B484">
        <v>2</v>
      </c>
      <c r="C484" t="s">
        <v>1526</v>
      </c>
      <c r="D484" t="s">
        <v>1473</v>
      </c>
      <c r="E484">
        <v>2</v>
      </c>
    </row>
    <row r="485" spans="1:5" x14ac:dyDescent="0.15">
      <c r="A485" t="s">
        <v>2440</v>
      </c>
      <c r="B485">
        <v>2</v>
      </c>
      <c r="C485" t="s">
        <v>1526</v>
      </c>
      <c r="D485" t="s">
        <v>1473</v>
      </c>
      <c r="E485">
        <v>2</v>
      </c>
    </row>
    <row r="486" spans="1:5" x14ac:dyDescent="0.15">
      <c r="A486" t="s">
        <v>2441</v>
      </c>
      <c r="B486">
        <v>2</v>
      </c>
      <c r="C486" t="s">
        <v>1526</v>
      </c>
      <c r="D486" t="s">
        <v>1473</v>
      </c>
      <c r="E486">
        <v>0</v>
      </c>
    </row>
    <row r="487" spans="1:5" x14ac:dyDescent="0.15">
      <c r="A487" t="s">
        <v>2400</v>
      </c>
      <c r="B487">
        <v>1</v>
      </c>
      <c r="C487" t="s">
        <v>1528</v>
      </c>
      <c r="D487" t="s">
        <v>1473</v>
      </c>
      <c r="E487">
        <v>4</v>
      </c>
    </row>
    <row r="488" spans="1:5" x14ac:dyDescent="0.15">
      <c r="A488" t="s">
        <v>2442</v>
      </c>
      <c r="B488">
        <v>2</v>
      </c>
      <c r="C488" t="s">
        <v>1532</v>
      </c>
      <c r="D488" t="s">
        <v>1473</v>
      </c>
      <c r="E488">
        <v>0</v>
      </c>
    </row>
    <row r="489" spans="1:5" x14ac:dyDescent="0.15">
      <c r="A489" t="s">
        <v>2443</v>
      </c>
      <c r="B489">
        <v>1</v>
      </c>
      <c r="C489" t="s">
        <v>1526</v>
      </c>
      <c r="D489" t="s">
        <v>1473</v>
      </c>
      <c r="E489">
        <v>0</v>
      </c>
    </row>
    <row r="490" spans="1:5" x14ac:dyDescent="0.15">
      <c r="A490" t="s">
        <v>2444</v>
      </c>
      <c r="B490">
        <v>1</v>
      </c>
      <c r="C490" t="s">
        <v>1532</v>
      </c>
      <c r="D490" t="s">
        <v>1473</v>
      </c>
      <c r="E490">
        <v>0</v>
      </c>
    </row>
    <row r="491" spans="1:5" x14ac:dyDescent="0.15">
      <c r="A491" t="s">
        <v>2445</v>
      </c>
      <c r="B491">
        <v>2</v>
      </c>
      <c r="C491" t="s">
        <v>1526</v>
      </c>
      <c r="D491" t="s">
        <v>1473</v>
      </c>
      <c r="E491">
        <v>0</v>
      </c>
    </row>
    <row r="492" spans="1:5" x14ac:dyDescent="0.15">
      <c r="A492" t="s">
        <v>2446</v>
      </c>
      <c r="B492">
        <v>2</v>
      </c>
      <c r="C492" t="s">
        <v>1526</v>
      </c>
      <c r="D492" t="s">
        <v>1473</v>
      </c>
      <c r="E492">
        <v>0</v>
      </c>
    </row>
    <row r="493" spans="1:5" x14ac:dyDescent="0.15">
      <c r="A493" t="s">
        <v>2422</v>
      </c>
      <c r="B493">
        <v>4</v>
      </c>
      <c r="C493" t="s">
        <v>1538</v>
      </c>
      <c r="D493" t="s">
        <v>1473</v>
      </c>
      <c r="E493">
        <v>2</v>
      </c>
    </row>
    <row r="494" spans="1:5" x14ac:dyDescent="0.15">
      <c r="A494" t="s">
        <v>2269</v>
      </c>
      <c r="B494">
        <v>1</v>
      </c>
      <c r="C494" t="s">
        <v>1530</v>
      </c>
      <c r="D494" t="s">
        <v>1473</v>
      </c>
      <c r="E494">
        <v>2</v>
      </c>
    </row>
    <row r="495" spans="1:5" x14ac:dyDescent="0.15">
      <c r="A495" t="s">
        <v>2447</v>
      </c>
      <c r="B495">
        <v>1</v>
      </c>
      <c r="C495" t="s">
        <v>1528</v>
      </c>
      <c r="D495" t="s">
        <v>1473</v>
      </c>
      <c r="E495">
        <v>0</v>
      </c>
    </row>
    <row r="496" spans="1:5" x14ac:dyDescent="0.15">
      <c r="A496" t="s">
        <v>2448</v>
      </c>
      <c r="B496">
        <v>2</v>
      </c>
      <c r="C496" t="s">
        <v>1526</v>
      </c>
      <c r="D496" t="s">
        <v>1473</v>
      </c>
      <c r="E496">
        <v>0</v>
      </c>
    </row>
    <row r="497" spans="1:5" x14ac:dyDescent="0.15">
      <c r="A497" t="s">
        <v>2449</v>
      </c>
      <c r="B497">
        <v>2</v>
      </c>
      <c r="C497" t="s">
        <v>1526</v>
      </c>
      <c r="D497" t="s">
        <v>1473</v>
      </c>
      <c r="E497">
        <v>0</v>
      </c>
    </row>
    <row r="498" spans="1:5" x14ac:dyDescent="0.15">
      <c r="A498" t="s">
        <v>2450</v>
      </c>
      <c r="B498">
        <v>2</v>
      </c>
      <c r="C498" t="s">
        <v>1534</v>
      </c>
      <c r="D498" t="s">
        <v>1473</v>
      </c>
      <c r="E498">
        <v>0</v>
      </c>
    </row>
    <row r="499" spans="1:5" x14ac:dyDescent="0.15">
      <c r="A499" t="s">
        <v>2451</v>
      </c>
      <c r="B499">
        <v>2</v>
      </c>
      <c r="C499" t="s">
        <v>1526</v>
      </c>
      <c r="D499" t="s">
        <v>1473</v>
      </c>
      <c r="E499">
        <v>2</v>
      </c>
    </row>
    <row r="500" spans="1:5" x14ac:dyDescent="0.15">
      <c r="A500" t="s">
        <v>2452</v>
      </c>
      <c r="B500">
        <v>2</v>
      </c>
      <c r="C500" t="s">
        <v>1526</v>
      </c>
      <c r="D500" t="s">
        <v>1473</v>
      </c>
      <c r="E500">
        <v>0</v>
      </c>
    </row>
    <row r="501" spans="1:5" x14ac:dyDescent="0.15">
      <c r="A501" t="s">
        <v>2453</v>
      </c>
      <c r="B501">
        <v>1</v>
      </c>
      <c r="C501" t="s">
        <v>1572</v>
      </c>
      <c r="E501">
        <v>0</v>
      </c>
    </row>
    <row r="502" spans="1:5" x14ac:dyDescent="0.15">
      <c r="A502" t="s">
        <v>2454</v>
      </c>
      <c r="B502">
        <v>2</v>
      </c>
      <c r="C502" t="s">
        <v>1530</v>
      </c>
      <c r="D502" t="s">
        <v>1473</v>
      </c>
      <c r="E502">
        <v>0</v>
      </c>
    </row>
    <row r="503" spans="1:5" x14ac:dyDescent="0.15">
      <c r="A503" t="s">
        <v>2455</v>
      </c>
      <c r="B503">
        <v>1</v>
      </c>
      <c r="C503" t="s">
        <v>1528</v>
      </c>
      <c r="D503" t="s">
        <v>1473</v>
      </c>
      <c r="E503">
        <v>0</v>
      </c>
    </row>
    <row r="504" spans="1:5" x14ac:dyDescent="0.15">
      <c r="A504" t="s">
        <v>2427</v>
      </c>
      <c r="B504">
        <v>1</v>
      </c>
      <c r="C504" t="s">
        <v>1532</v>
      </c>
      <c r="D504" t="s">
        <v>1473</v>
      </c>
      <c r="E504">
        <v>0</v>
      </c>
    </row>
    <row r="505" spans="1:5" x14ac:dyDescent="0.15">
      <c r="A505" t="s">
        <v>2456</v>
      </c>
      <c r="B505">
        <v>4</v>
      </c>
      <c r="C505" t="s">
        <v>1530</v>
      </c>
      <c r="D505" t="s">
        <v>1473</v>
      </c>
      <c r="E505">
        <v>0</v>
      </c>
    </row>
    <row r="506" spans="1:5" x14ac:dyDescent="0.15">
      <c r="A506" t="s">
        <v>2457</v>
      </c>
      <c r="B506">
        <v>4</v>
      </c>
      <c r="C506" t="s">
        <v>1536</v>
      </c>
      <c r="D506" t="s">
        <v>1473</v>
      </c>
      <c r="E506">
        <v>0</v>
      </c>
    </row>
    <row r="507" spans="1:5" x14ac:dyDescent="0.15">
      <c r="A507" t="s">
        <v>2458</v>
      </c>
      <c r="B507">
        <v>1</v>
      </c>
      <c r="C507" t="s">
        <v>1538</v>
      </c>
      <c r="D507" t="s">
        <v>1473</v>
      </c>
      <c r="E507">
        <v>0</v>
      </c>
    </row>
    <row r="508" spans="1:5" x14ac:dyDescent="0.15">
      <c r="A508" t="s">
        <v>2459</v>
      </c>
      <c r="B508">
        <v>1</v>
      </c>
      <c r="C508" t="s">
        <v>1538</v>
      </c>
      <c r="D508" t="s">
        <v>1473</v>
      </c>
      <c r="E508">
        <v>0</v>
      </c>
    </row>
    <row r="509" spans="1:5" x14ac:dyDescent="0.15">
      <c r="A509" t="s">
        <v>2460</v>
      </c>
      <c r="B509">
        <v>1</v>
      </c>
      <c r="C509" t="s">
        <v>1538</v>
      </c>
      <c r="D509" t="s">
        <v>1473</v>
      </c>
      <c r="E509">
        <v>4</v>
      </c>
    </row>
    <row r="510" spans="1:5" x14ac:dyDescent="0.15">
      <c r="A510" t="s">
        <v>2461</v>
      </c>
      <c r="B510">
        <v>1</v>
      </c>
      <c r="C510" t="s">
        <v>1538</v>
      </c>
      <c r="D510" t="s">
        <v>1473</v>
      </c>
      <c r="E510">
        <v>4</v>
      </c>
    </row>
    <row r="511" spans="1:5" x14ac:dyDescent="0.15">
      <c r="A511" t="s">
        <v>2462</v>
      </c>
      <c r="B511">
        <v>1</v>
      </c>
      <c r="C511" t="s">
        <v>1538</v>
      </c>
      <c r="D511" t="s">
        <v>1473</v>
      </c>
      <c r="E511">
        <v>4</v>
      </c>
    </row>
    <row r="512" spans="1:5" x14ac:dyDescent="0.15">
      <c r="A512" t="s">
        <v>2462</v>
      </c>
      <c r="B512">
        <v>1</v>
      </c>
      <c r="C512" t="s">
        <v>1538</v>
      </c>
      <c r="D512" t="s">
        <v>1473</v>
      </c>
      <c r="E512">
        <v>0</v>
      </c>
    </row>
    <row r="513" spans="1:5" x14ac:dyDescent="0.15">
      <c r="A513" t="s">
        <v>2463</v>
      </c>
      <c r="B513">
        <v>1</v>
      </c>
      <c r="C513" t="s">
        <v>1538</v>
      </c>
      <c r="D513" t="s">
        <v>1473</v>
      </c>
      <c r="E513">
        <v>0</v>
      </c>
    </row>
    <row r="514" spans="1:5" x14ac:dyDescent="0.15">
      <c r="A514" t="s">
        <v>2464</v>
      </c>
      <c r="B514">
        <v>1</v>
      </c>
      <c r="C514" t="s">
        <v>1538</v>
      </c>
      <c r="D514" t="s">
        <v>1473</v>
      </c>
      <c r="E514">
        <v>4</v>
      </c>
    </row>
    <row r="515" spans="1:5" x14ac:dyDescent="0.15">
      <c r="A515" t="s">
        <v>2464</v>
      </c>
      <c r="B515">
        <v>1</v>
      </c>
      <c r="C515" t="s">
        <v>1538</v>
      </c>
      <c r="D515" t="s">
        <v>1473</v>
      </c>
      <c r="E515">
        <v>0</v>
      </c>
    </row>
    <row r="516" spans="1:5" x14ac:dyDescent="0.15">
      <c r="A516" t="s">
        <v>2465</v>
      </c>
      <c r="B516">
        <v>1</v>
      </c>
      <c r="C516" t="s">
        <v>1538</v>
      </c>
      <c r="D516" t="s">
        <v>1473</v>
      </c>
      <c r="E516">
        <v>4</v>
      </c>
    </row>
    <row r="517" spans="1:5" x14ac:dyDescent="0.15">
      <c r="A517" t="s">
        <v>2465</v>
      </c>
      <c r="B517">
        <v>1</v>
      </c>
      <c r="C517" t="s">
        <v>1538</v>
      </c>
      <c r="D517" t="s">
        <v>1473</v>
      </c>
      <c r="E517">
        <v>0</v>
      </c>
    </row>
    <row r="518" spans="1:5" x14ac:dyDescent="0.15">
      <c r="A518" t="s">
        <v>2466</v>
      </c>
      <c r="B518">
        <v>1</v>
      </c>
      <c r="C518" t="s">
        <v>1538</v>
      </c>
      <c r="D518" t="s">
        <v>1473</v>
      </c>
      <c r="E518">
        <v>4</v>
      </c>
    </row>
    <row r="519" spans="1:5" x14ac:dyDescent="0.15">
      <c r="A519" t="s">
        <v>2467</v>
      </c>
      <c r="B519">
        <v>1</v>
      </c>
      <c r="C519" t="s">
        <v>1538</v>
      </c>
      <c r="D519" t="s">
        <v>1473</v>
      </c>
      <c r="E519">
        <v>4</v>
      </c>
    </row>
    <row r="520" spans="1:5" x14ac:dyDescent="0.15">
      <c r="A520" t="s">
        <v>2467</v>
      </c>
      <c r="B520">
        <v>1</v>
      </c>
      <c r="C520" t="s">
        <v>1538</v>
      </c>
      <c r="D520" t="s">
        <v>1473</v>
      </c>
      <c r="E520">
        <v>0</v>
      </c>
    </row>
    <row r="521" spans="1:5" x14ac:dyDescent="0.15">
      <c r="A521" t="s">
        <v>2458</v>
      </c>
      <c r="B521">
        <v>1</v>
      </c>
      <c r="C521" t="s">
        <v>1538</v>
      </c>
      <c r="D521" t="s">
        <v>1473</v>
      </c>
      <c r="E521">
        <v>4</v>
      </c>
    </row>
    <row r="522" spans="1:5" x14ac:dyDescent="0.15">
      <c r="A522" t="s">
        <v>2468</v>
      </c>
      <c r="B522">
        <v>1</v>
      </c>
      <c r="C522" t="s">
        <v>1538</v>
      </c>
      <c r="D522" t="s">
        <v>1473</v>
      </c>
      <c r="E522">
        <v>4</v>
      </c>
    </row>
    <row r="523" spans="1:5" x14ac:dyDescent="0.15">
      <c r="A523" t="s">
        <v>2469</v>
      </c>
      <c r="B523">
        <v>1</v>
      </c>
      <c r="C523" t="s">
        <v>1538</v>
      </c>
      <c r="D523" t="s">
        <v>1473</v>
      </c>
      <c r="E523">
        <v>0</v>
      </c>
    </row>
    <row r="524" spans="1:5" x14ac:dyDescent="0.15">
      <c r="A524" t="s">
        <v>2469</v>
      </c>
      <c r="B524">
        <v>1</v>
      </c>
      <c r="C524" t="s">
        <v>1538</v>
      </c>
      <c r="D524" t="s">
        <v>1473</v>
      </c>
      <c r="E524">
        <v>4</v>
      </c>
    </row>
    <row r="525" spans="1:5" x14ac:dyDescent="0.15">
      <c r="A525" t="s">
        <v>2470</v>
      </c>
      <c r="B525">
        <v>1</v>
      </c>
      <c r="C525" t="s">
        <v>1538</v>
      </c>
      <c r="D525" t="s">
        <v>1473</v>
      </c>
      <c r="E525">
        <v>4</v>
      </c>
    </row>
    <row r="526" spans="1:5" x14ac:dyDescent="0.15">
      <c r="A526" t="s">
        <v>2470</v>
      </c>
      <c r="B526">
        <v>1</v>
      </c>
      <c r="C526" t="s">
        <v>1538</v>
      </c>
      <c r="D526" t="s">
        <v>1473</v>
      </c>
      <c r="E526">
        <v>0</v>
      </c>
    </row>
    <row r="527" spans="1:5" x14ac:dyDescent="0.15">
      <c r="A527" t="s">
        <v>2471</v>
      </c>
      <c r="B527">
        <v>1</v>
      </c>
      <c r="C527" t="s">
        <v>1538</v>
      </c>
      <c r="D527" t="s">
        <v>1473</v>
      </c>
      <c r="E527">
        <v>4</v>
      </c>
    </row>
    <row r="528" spans="1:5" x14ac:dyDescent="0.15">
      <c r="A528" t="s">
        <v>2472</v>
      </c>
      <c r="B528">
        <v>1</v>
      </c>
      <c r="C528" t="s">
        <v>1538</v>
      </c>
      <c r="D528" t="s">
        <v>1473</v>
      </c>
      <c r="E528">
        <v>4</v>
      </c>
    </row>
    <row r="529" spans="1:5" x14ac:dyDescent="0.15">
      <c r="A529" t="s">
        <v>2473</v>
      </c>
      <c r="B529">
        <v>1</v>
      </c>
      <c r="C529" t="s">
        <v>1538</v>
      </c>
      <c r="D529" t="s">
        <v>1473</v>
      </c>
      <c r="E529">
        <v>4</v>
      </c>
    </row>
    <row r="530" spans="1:5" x14ac:dyDescent="0.15">
      <c r="A530" t="s">
        <v>2473</v>
      </c>
      <c r="B530">
        <v>1</v>
      </c>
      <c r="C530" t="s">
        <v>1538</v>
      </c>
      <c r="D530" t="s">
        <v>1473</v>
      </c>
      <c r="E530">
        <v>0</v>
      </c>
    </row>
    <row r="531" spans="1:5" x14ac:dyDescent="0.15">
      <c r="A531" t="s">
        <v>2474</v>
      </c>
      <c r="B531">
        <v>1</v>
      </c>
      <c r="C531" t="s">
        <v>1538</v>
      </c>
      <c r="D531" t="s">
        <v>1473</v>
      </c>
      <c r="E531">
        <v>0</v>
      </c>
    </row>
    <row r="532" spans="1:5" x14ac:dyDescent="0.15">
      <c r="A532" t="s">
        <v>2475</v>
      </c>
      <c r="B532">
        <v>1</v>
      </c>
      <c r="C532" t="s">
        <v>1538</v>
      </c>
      <c r="D532" t="s">
        <v>1473</v>
      </c>
      <c r="E532">
        <v>0</v>
      </c>
    </row>
    <row r="533" spans="1:5" x14ac:dyDescent="0.15">
      <c r="A533" t="s">
        <v>2476</v>
      </c>
      <c r="B533">
        <v>1</v>
      </c>
      <c r="C533" t="s">
        <v>1538</v>
      </c>
      <c r="D533" t="s">
        <v>1473</v>
      </c>
      <c r="E533">
        <v>4</v>
      </c>
    </row>
    <row r="534" spans="1:5" x14ac:dyDescent="0.15">
      <c r="A534" t="s">
        <v>2477</v>
      </c>
      <c r="B534">
        <v>1</v>
      </c>
      <c r="C534" t="s">
        <v>1538</v>
      </c>
      <c r="D534" t="s">
        <v>1473</v>
      </c>
      <c r="E534">
        <v>0</v>
      </c>
    </row>
    <row r="535" spans="1:5" x14ac:dyDescent="0.15">
      <c r="A535" t="s">
        <v>2478</v>
      </c>
      <c r="B535">
        <v>1</v>
      </c>
      <c r="C535" t="s">
        <v>1538</v>
      </c>
      <c r="D535" t="s">
        <v>1473</v>
      </c>
      <c r="E535">
        <v>4</v>
      </c>
    </row>
    <row r="536" spans="1:5" x14ac:dyDescent="0.15">
      <c r="A536" t="s">
        <v>2478</v>
      </c>
      <c r="B536">
        <v>1</v>
      </c>
      <c r="C536" t="s">
        <v>1538</v>
      </c>
      <c r="D536" t="s">
        <v>1473</v>
      </c>
      <c r="E536">
        <v>0</v>
      </c>
    </row>
    <row r="537" spans="1:5" x14ac:dyDescent="0.15">
      <c r="A537" t="s">
        <v>2479</v>
      </c>
      <c r="B537">
        <v>1</v>
      </c>
      <c r="C537" t="s">
        <v>1538</v>
      </c>
      <c r="D537" t="s">
        <v>1473</v>
      </c>
      <c r="E537">
        <v>2</v>
      </c>
    </row>
    <row r="538" spans="1:5" x14ac:dyDescent="0.15">
      <c r="A538" t="s">
        <v>2479</v>
      </c>
      <c r="B538">
        <v>1</v>
      </c>
      <c r="C538" t="s">
        <v>1538</v>
      </c>
      <c r="D538" t="s">
        <v>1473</v>
      </c>
      <c r="E538">
        <v>4</v>
      </c>
    </row>
    <row r="539" spans="1:5" x14ac:dyDescent="0.15">
      <c r="A539" t="s">
        <v>2480</v>
      </c>
      <c r="B539">
        <v>1</v>
      </c>
      <c r="C539" t="s">
        <v>1538</v>
      </c>
      <c r="D539" t="s">
        <v>1473</v>
      </c>
      <c r="E539">
        <v>4</v>
      </c>
    </row>
    <row r="540" spans="1:5" x14ac:dyDescent="0.15">
      <c r="A540" t="s">
        <v>2480</v>
      </c>
      <c r="B540">
        <v>1</v>
      </c>
      <c r="C540" t="s">
        <v>1538</v>
      </c>
      <c r="D540" t="s">
        <v>1473</v>
      </c>
      <c r="E540">
        <v>0</v>
      </c>
    </row>
    <row r="541" spans="1:5" x14ac:dyDescent="0.15">
      <c r="A541" t="s">
        <v>2481</v>
      </c>
      <c r="B541">
        <v>1</v>
      </c>
      <c r="C541" t="s">
        <v>1538</v>
      </c>
      <c r="D541" t="s">
        <v>1473</v>
      </c>
      <c r="E541">
        <v>2</v>
      </c>
    </row>
    <row r="542" spans="1:5" x14ac:dyDescent="0.15">
      <c r="A542" t="s">
        <v>2482</v>
      </c>
      <c r="B542">
        <v>1</v>
      </c>
      <c r="C542" t="s">
        <v>1538</v>
      </c>
      <c r="D542" t="s">
        <v>1473</v>
      </c>
      <c r="E542">
        <v>0</v>
      </c>
    </row>
    <row r="543" spans="1:5" x14ac:dyDescent="0.15">
      <c r="A543" t="s">
        <v>2483</v>
      </c>
      <c r="B543">
        <v>1</v>
      </c>
      <c r="C543" t="s">
        <v>1538</v>
      </c>
      <c r="D543" t="s">
        <v>1473</v>
      </c>
      <c r="E543">
        <v>0</v>
      </c>
    </row>
    <row r="544" spans="1:5" x14ac:dyDescent="0.15">
      <c r="A544" t="s">
        <v>2484</v>
      </c>
      <c r="B544">
        <v>1</v>
      </c>
      <c r="C544" t="s">
        <v>1538</v>
      </c>
      <c r="D544" t="s">
        <v>1473</v>
      </c>
      <c r="E544">
        <v>0</v>
      </c>
    </row>
    <row r="545" spans="1:5" x14ac:dyDescent="0.15">
      <c r="A545" t="s">
        <v>2484</v>
      </c>
      <c r="B545">
        <v>1</v>
      </c>
      <c r="C545" t="s">
        <v>1538</v>
      </c>
      <c r="D545" t="s">
        <v>1473</v>
      </c>
      <c r="E545">
        <v>4</v>
      </c>
    </row>
    <row r="546" spans="1:5" x14ac:dyDescent="0.15">
      <c r="A546" t="s">
        <v>2485</v>
      </c>
      <c r="B546">
        <v>1</v>
      </c>
      <c r="C546" t="s">
        <v>1538</v>
      </c>
      <c r="D546" t="s">
        <v>1473</v>
      </c>
      <c r="E546">
        <v>0</v>
      </c>
    </row>
    <row r="547" spans="1:5" x14ac:dyDescent="0.15">
      <c r="A547" t="s">
        <v>2485</v>
      </c>
      <c r="B547">
        <v>1</v>
      </c>
      <c r="C547" t="s">
        <v>1538</v>
      </c>
      <c r="D547" t="s">
        <v>1473</v>
      </c>
      <c r="E547">
        <v>4</v>
      </c>
    </row>
    <row r="548" spans="1:5" x14ac:dyDescent="0.15">
      <c r="A548" t="s">
        <v>2486</v>
      </c>
      <c r="B548">
        <v>1</v>
      </c>
      <c r="C548" t="s">
        <v>1538</v>
      </c>
      <c r="D548" t="s">
        <v>1473</v>
      </c>
      <c r="E548">
        <v>0</v>
      </c>
    </row>
    <row r="549" spans="1:5" x14ac:dyDescent="0.15">
      <c r="A549" t="s">
        <v>2487</v>
      </c>
      <c r="B549">
        <v>1</v>
      </c>
      <c r="C549" t="s">
        <v>1538</v>
      </c>
      <c r="D549" t="s">
        <v>1473</v>
      </c>
      <c r="E549">
        <v>0</v>
      </c>
    </row>
    <row r="550" spans="1:5" x14ac:dyDescent="0.15">
      <c r="A550" t="s">
        <v>2488</v>
      </c>
      <c r="B550">
        <v>1</v>
      </c>
      <c r="C550" t="s">
        <v>1538</v>
      </c>
      <c r="D550" t="s">
        <v>1473</v>
      </c>
      <c r="E550">
        <v>0</v>
      </c>
    </row>
    <row r="551" spans="1:5" x14ac:dyDescent="0.15">
      <c r="A551" t="s">
        <v>2489</v>
      </c>
      <c r="B551">
        <v>1</v>
      </c>
      <c r="C551" t="s">
        <v>1538</v>
      </c>
      <c r="D551" t="s">
        <v>1473</v>
      </c>
      <c r="E551">
        <v>0</v>
      </c>
    </row>
    <row r="552" spans="1:5" x14ac:dyDescent="0.15">
      <c r="A552" t="s">
        <v>2490</v>
      </c>
      <c r="B552">
        <v>1</v>
      </c>
      <c r="C552" t="s">
        <v>1538</v>
      </c>
      <c r="D552" t="s">
        <v>1473</v>
      </c>
      <c r="E552">
        <v>0</v>
      </c>
    </row>
    <row r="553" spans="1:5" x14ac:dyDescent="0.15">
      <c r="A553" t="s">
        <v>2458</v>
      </c>
      <c r="B553">
        <v>1</v>
      </c>
      <c r="C553" t="s">
        <v>1538</v>
      </c>
      <c r="D553" t="s">
        <v>1473</v>
      </c>
      <c r="E553">
        <v>2</v>
      </c>
    </row>
    <row r="554" spans="1:5" x14ac:dyDescent="0.15">
      <c r="A554" t="s">
        <v>2491</v>
      </c>
      <c r="B554">
        <v>1</v>
      </c>
      <c r="C554" t="s">
        <v>1526</v>
      </c>
      <c r="D554" t="s">
        <v>1473</v>
      </c>
      <c r="E554">
        <v>0</v>
      </c>
    </row>
    <row r="555" spans="1:5" x14ac:dyDescent="0.15">
      <c r="A555" t="s">
        <v>2491</v>
      </c>
      <c r="B555">
        <v>1</v>
      </c>
      <c r="C555" t="s">
        <v>1526</v>
      </c>
      <c r="D555" t="s">
        <v>1473</v>
      </c>
      <c r="E555">
        <v>4</v>
      </c>
    </row>
    <row r="556" spans="1:5" x14ac:dyDescent="0.15">
      <c r="A556" t="s">
        <v>2492</v>
      </c>
      <c r="B556">
        <v>1</v>
      </c>
      <c r="C556" t="s">
        <v>1526</v>
      </c>
      <c r="D556" t="s">
        <v>1473</v>
      </c>
      <c r="E556">
        <v>0</v>
      </c>
    </row>
    <row r="557" spans="1:5" x14ac:dyDescent="0.15">
      <c r="A557" t="s">
        <v>2493</v>
      </c>
      <c r="B557">
        <v>1</v>
      </c>
      <c r="C557" t="s">
        <v>1526</v>
      </c>
      <c r="D557" t="s">
        <v>1473</v>
      </c>
      <c r="E557">
        <v>4</v>
      </c>
    </row>
    <row r="558" spans="1:5" x14ac:dyDescent="0.15">
      <c r="A558" t="s">
        <v>2494</v>
      </c>
      <c r="B558">
        <v>1</v>
      </c>
      <c r="C558" t="s">
        <v>1526</v>
      </c>
      <c r="D558" t="s">
        <v>1473</v>
      </c>
      <c r="E558">
        <v>4</v>
      </c>
    </row>
    <row r="559" spans="1:5" x14ac:dyDescent="0.15">
      <c r="A559" t="s">
        <v>2494</v>
      </c>
      <c r="B559">
        <v>1</v>
      </c>
      <c r="C559" t="s">
        <v>1526</v>
      </c>
      <c r="D559" t="s">
        <v>1473</v>
      </c>
      <c r="E559">
        <v>0</v>
      </c>
    </row>
    <row r="560" spans="1:5" x14ac:dyDescent="0.15">
      <c r="A560" t="s">
        <v>2495</v>
      </c>
      <c r="B560">
        <v>1</v>
      </c>
      <c r="C560" t="s">
        <v>1538</v>
      </c>
      <c r="D560" t="s">
        <v>1473</v>
      </c>
      <c r="E560">
        <v>0</v>
      </c>
    </row>
    <row r="561" spans="1:5" x14ac:dyDescent="0.15">
      <c r="A561" t="s">
        <v>2468</v>
      </c>
      <c r="B561">
        <v>1</v>
      </c>
      <c r="C561" t="s">
        <v>1538</v>
      </c>
      <c r="D561" t="s">
        <v>1473</v>
      </c>
      <c r="E561">
        <v>0</v>
      </c>
    </row>
    <row r="562" spans="1:5" x14ac:dyDescent="0.15">
      <c r="A562" t="s">
        <v>2496</v>
      </c>
      <c r="B562">
        <v>1</v>
      </c>
      <c r="C562" t="s">
        <v>1538</v>
      </c>
      <c r="D562" t="s">
        <v>1473</v>
      </c>
      <c r="E562">
        <v>0</v>
      </c>
    </row>
    <row r="563" spans="1:5" x14ac:dyDescent="0.15">
      <c r="A563" t="s">
        <v>2475</v>
      </c>
      <c r="B563">
        <v>1</v>
      </c>
      <c r="C563" t="s">
        <v>1538</v>
      </c>
      <c r="D563" t="s">
        <v>1473</v>
      </c>
      <c r="E563">
        <v>4</v>
      </c>
    </row>
    <row r="564" spans="1:5" x14ac:dyDescent="0.15">
      <c r="A564" t="s">
        <v>2474</v>
      </c>
      <c r="B564">
        <v>1</v>
      </c>
      <c r="C564" t="s">
        <v>1538</v>
      </c>
      <c r="D564" t="s">
        <v>1473</v>
      </c>
      <c r="E564">
        <v>4</v>
      </c>
    </row>
    <row r="565" spans="1:5" x14ac:dyDescent="0.15">
      <c r="A565" t="s">
        <v>2497</v>
      </c>
      <c r="B565">
        <v>1</v>
      </c>
      <c r="C565" t="s">
        <v>1538</v>
      </c>
      <c r="D565" t="s">
        <v>1473</v>
      </c>
      <c r="E565">
        <v>4</v>
      </c>
    </row>
    <row r="566" spans="1:5" x14ac:dyDescent="0.15">
      <c r="A566" t="s">
        <v>2481</v>
      </c>
      <c r="B566">
        <v>1</v>
      </c>
      <c r="C566" t="s">
        <v>1538</v>
      </c>
      <c r="D566" t="s">
        <v>1473</v>
      </c>
      <c r="E566">
        <v>0</v>
      </c>
    </row>
    <row r="567" spans="1:5" x14ac:dyDescent="0.15">
      <c r="A567" t="s">
        <v>2498</v>
      </c>
      <c r="B567">
        <v>1</v>
      </c>
      <c r="C567" t="s">
        <v>1538</v>
      </c>
      <c r="D567" t="s">
        <v>1473</v>
      </c>
      <c r="E567">
        <v>2</v>
      </c>
    </row>
    <row r="568" spans="1:5" x14ac:dyDescent="0.15">
      <c r="A568" t="s">
        <v>2498</v>
      </c>
      <c r="B568">
        <v>1</v>
      </c>
      <c r="C568" t="s">
        <v>1538</v>
      </c>
      <c r="D568" t="s">
        <v>1473</v>
      </c>
      <c r="E568">
        <v>0</v>
      </c>
    </row>
    <row r="569" spans="1:5" x14ac:dyDescent="0.15">
      <c r="A569" t="s">
        <v>2498</v>
      </c>
      <c r="B569">
        <v>1</v>
      </c>
      <c r="C569" t="s">
        <v>1538</v>
      </c>
      <c r="D569" t="s">
        <v>1473</v>
      </c>
      <c r="E569">
        <v>4</v>
      </c>
    </row>
    <row r="570" spans="1:5" x14ac:dyDescent="0.15">
      <c r="A570" t="s">
        <v>2499</v>
      </c>
      <c r="B570">
        <v>1</v>
      </c>
      <c r="C570" t="s">
        <v>1538</v>
      </c>
      <c r="D570" t="s">
        <v>1473</v>
      </c>
      <c r="E570">
        <v>0</v>
      </c>
    </row>
    <row r="571" spans="1:5" x14ac:dyDescent="0.15">
      <c r="A571" t="s">
        <v>2482</v>
      </c>
      <c r="B571">
        <v>1</v>
      </c>
      <c r="C571" t="s">
        <v>1538</v>
      </c>
      <c r="D571" t="s">
        <v>1473</v>
      </c>
      <c r="E571">
        <v>2</v>
      </c>
    </row>
    <row r="572" spans="1:5" x14ac:dyDescent="0.15">
      <c r="A572" t="s">
        <v>2500</v>
      </c>
      <c r="B572">
        <v>1</v>
      </c>
      <c r="C572" t="s">
        <v>1538</v>
      </c>
      <c r="D572" t="s">
        <v>1473</v>
      </c>
      <c r="E572">
        <v>0</v>
      </c>
    </row>
    <row r="573" spans="1:5" x14ac:dyDescent="0.15">
      <c r="A573" t="s">
        <v>2488</v>
      </c>
      <c r="B573">
        <v>1</v>
      </c>
      <c r="C573" t="s">
        <v>1538</v>
      </c>
      <c r="D573" t="s">
        <v>1473</v>
      </c>
      <c r="E573">
        <v>2</v>
      </c>
    </row>
    <row r="574" spans="1:5" x14ac:dyDescent="0.15">
      <c r="A574" t="s">
        <v>2501</v>
      </c>
      <c r="B574">
        <v>1</v>
      </c>
      <c r="C574" t="s">
        <v>1538</v>
      </c>
      <c r="D574" t="s">
        <v>1473</v>
      </c>
      <c r="E574">
        <v>0</v>
      </c>
    </row>
    <row r="575" spans="1:5" x14ac:dyDescent="0.15">
      <c r="A575" t="s">
        <v>2502</v>
      </c>
      <c r="B575">
        <v>1</v>
      </c>
      <c r="C575" t="s">
        <v>1538</v>
      </c>
      <c r="D575" t="s">
        <v>1473</v>
      </c>
      <c r="E575">
        <v>0</v>
      </c>
    </row>
    <row r="576" spans="1:5" x14ac:dyDescent="0.15">
      <c r="A576" t="s">
        <v>2464</v>
      </c>
      <c r="B576">
        <v>1</v>
      </c>
      <c r="C576" t="s">
        <v>1538</v>
      </c>
      <c r="D576" t="s">
        <v>1473</v>
      </c>
      <c r="E576">
        <v>2</v>
      </c>
    </row>
    <row r="577" spans="1:5" x14ac:dyDescent="0.15">
      <c r="A577" t="s">
        <v>2497</v>
      </c>
      <c r="B577">
        <v>1</v>
      </c>
      <c r="C577" t="s">
        <v>1538</v>
      </c>
      <c r="D577" t="s">
        <v>1473</v>
      </c>
      <c r="E577">
        <v>0</v>
      </c>
    </row>
    <row r="578" spans="1:5" x14ac:dyDescent="0.15">
      <c r="A578" t="s">
        <v>2472</v>
      </c>
      <c r="B578">
        <v>1</v>
      </c>
      <c r="C578" t="s">
        <v>1538</v>
      </c>
      <c r="D578" t="s">
        <v>1473</v>
      </c>
      <c r="E578">
        <v>0</v>
      </c>
    </row>
    <row r="579" spans="1:5" x14ac:dyDescent="0.15">
      <c r="A579" t="s">
        <v>2471</v>
      </c>
      <c r="B579">
        <v>1</v>
      </c>
      <c r="C579" t="s">
        <v>1538</v>
      </c>
      <c r="D579" t="s">
        <v>1473</v>
      </c>
      <c r="E579">
        <v>0</v>
      </c>
    </row>
    <row r="580" spans="1:5" x14ac:dyDescent="0.15">
      <c r="A580" t="s">
        <v>2479</v>
      </c>
      <c r="B580">
        <v>1</v>
      </c>
      <c r="C580" t="s">
        <v>1538</v>
      </c>
      <c r="D580" t="s">
        <v>1473</v>
      </c>
      <c r="E580">
        <v>0</v>
      </c>
    </row>
    <row r="581" spans="1:5" x14ac:dyDescent="0.15">
      <c r="A581" t="s">
        <v>2503</v>
      </c>
      <c r="B581">
        <v>1</v>
      </c>
      <c r="C581" t="s">
        <v>1526</v>
      </c>
      <c r="D581" t="s">
        <v>1473</v>
      </c>
      <c r="E581">
        <v>0</v>
      </c>
    </row>
    <row r="582" spans="1:5" x14ac:dyDescent="0.15">
      <c r="A582" t="s">
        <v>2487</v>
      </c>
      <c r="B582">
        <v>1</v>
      </c>
      <c r="C582" t="s">
        <v>1538</v>
      </c>
      <c r="D582" t="s">
        <v>1473</v>
      </c>
      <c r="E582">
        <v>4</v>
      </c>
    </row>
    <row r="583" spans="1:5" x14ac:dyDescent="0.15">
      <c r="A583" t="s">
        <v>2504</v>
      </c>
      <c r="B583">
        <v>1</v>
      </c>
      <c r="C583" t="s">
        <v>1538</v>
      </c>
      <c r="D583" t="s">
        <v>1473</v>
      </c>
      <c r="E583">
        <v>0</v>
      </c>
    </row>
    <row r="584" spans="1:5" x14ac:dyDescent="0.15">
      <c r="A584" t="s">
        <v>2460</v>
      </c>
      <c r="B584">
        <v>1</v>
      </c>
      <c r="C584" t="s">
        <v>1538</v>
      </c>
      <c r="D584" t="s">
        <v>1473</v>
      </c>
      <c r="E584">
        <v>0</v>
      </c>
    </row>
    <row r="585" spans="1:5" x14ac:dyDescent="0.15">
      <c r="A585" t="s">
        <v>2505</v>
      </c>
      <c r="B585">
        <v>1</v>
      </c>
      <c r="C585" t="s">
        <v>1538</v>
      </c>
      <c r="D585" t="s">
        <v>1473</v>
      </c>
      <c r="E585">
        <v>0</v>
      </c>
    </row>
    <row r="586" spans="1:5" x14ac:dyDescent="0.15">
      <c r="A586" t="s">
        <v>2459</v>
      </c>
      <c r="B586">
        <v>1</v>
      </c>
      <c r="C586" t="s">
        <v>1538</v>
      </c>
      <c r="D586" t="s">
        <v>1473</v>
      </c>
      <c r="E586">
        <v>2</v>
      </c>
    </row>
    <row r="587" spans="1:5" x14ac:dyDescent="0.15">
      <c r="A587" t="s">
        <v>2466</v>
      </c>
      <c r="B587">
        <v>1</v>
      </c>
      <c r="C587" t="s">
        <v>1538</v>
      </c>
      <c r="D587" t="s">
        <v>1473</v>
      </c>
      <c r="E587">
        <v>0</v>
      </c>
    </row>
    <row r="588" spans="1:5" x14ac:dyDescent="0.15">
      <c r="A588" t="s">
        <v>2506</v>
      </c>
      <c r="B588">
        <v>1</v>
      </c>
      <c r="C588" t="s">
        <v>1538</v>
      </c>
      <c r="D588" t="s">
        <v>1473</v>
      </c>
      <c r="E588">
        <v>0</v>
      </c>
    </row>
    <row r="589" spans="1:5" x14ac:dyDescent="0.15">
      <c r="A589" t="s">
        <v>2507</v>
      </c>
      <c r="B589">
        <v>1</v>
      </c>
      <c r="C589" t="s">
        <v>1538</v>
      </c>
      <c r="D589" t="s">
        <v>1473</v>
      </c>
      <c r="E589">
        <v>0</v>
      </c>
    </row>
    <row r="590" spans="1:5" x14ac:dyDescent="0.15">
      <c r="A590" t="s">
        <v>2478</v>
      </c>
      <c r="B590">
        <v>1</v>
      </c>
      <c r="C590" t="s">
        <v>1538</v>
      </c>
      <c r="D590" t="s">
        <v>1473</v>
      </c>
      <c r="E590">
        <v>2</v>
      </c>
    </row>
    <row r="591" spans="1:5" x14ac:dyDescent="0.15">
      <c r="A591" t="s">
        <v>2459</v>
      </c>
      <c r="B591">
        <v>1</v>
      </c>
      <c r="C591" t="s">
        <v>1538</v>
      </c>
      <c r="D591" t="s">
        <v>1473</v>
      </c>
      <c r="E591">
        <v>4</v>
      </c>
    </row>
    <row r="592" spans="1:5" x14ac:dyDescent="0.15">
      <c r="A592" t="s">
        <v>2508</v>
      </c>
      <c r="B592">
        <v>1</v>
      </c>
      <c r="C592" t="s">
        <v>1538</v>
      </c>
      <c r="D592" t="s">
        <v>1473</v>
      </c>
      <c r="E592">
        <v>0</v>
      </c>
    </row>
    <row r="593" spans="1:5" x14ac:dyDescent="0.15">
      <c r="A593" t="s">
        <v>2509</v>
      </c>
      <c r="B593">
        <v>1</v>
      </c>
      <c r="C593" t="s">
        <v>1538</v>
      </c>
      <c r="D593" t="s">
        <v>1473</v>
      </c>
      <c r="E593">
        <v>0</v>
      </c>
    </row>
    <row r="594" spans="1:5" x14ac:dyDescent="0.15">
      <c r="A594" t="s">
        <v>2510</v>
      </c>
      <c r="B594">
        <v>1</v>
      </c>
      <c r="C594" t="s">
        <v>1526</v>
      </c>
      <c r="D594" t="s">
        <v>1473</v>
      </c>
      <c r="E594">
        <v>0</v>
      </c>
    </row>
    <row r="595" spans="1:5" x14ac:dyDescent="0.15">
      <c r="A595" t="s">
        <v>2494</v>
      </c>
      <c r="B595">
        <v>1</v>
      </c>
      <c r="C595" t="s">
        <v>1526</v>
      </c>
      <c r="D595" t="s">
        <v>1473</v>
      </c>
      <c r="E595">
        <v>2</v>
      </c>
    </row>
    <row r="596" spans="1:5" x14ac:dyDescent="0.15">
      <c r="A596" t="s">
        <v>2511</v>
      </c>
      <c r="B596">
        <v>1</v>
      </c>
      <c r="C596" t="s">
        <v>1538</v>
      </c>
      <c r="D596" t="s">
        <v>1473</v>
      </c>
      <c r="E596">
        <v>0</v>
      </c>
    </row>
    <row r="597" spans="1:5" x14ac:dyDescent="0.15">
      <c r="A597" t="s">
        <v>2461</v>
      </c>
      <c r="B597">
        <v>1</v>
      </c>
      <c r="C597" t="s">
        <v>1538</v>
      </c>
      <c r="D597" t="s">
        <v>1473</v>
      </c>
      <c r="E597">
        <v>0</v>
      </c>
    </row>
    <row r="598" spans="1:5" x14ac:dyDescent="0.15">
      <c r="A598" t="s">
        <v>2487</v>
      </c>
      <c r="B598">
        <v>1</v>
      </c>
      <c r="C598" t="s">
        <v>1538</v>
      </c>
      <c r="D598" t="s">
        <v>1473</v>
      </c>
      <c r="E598">
        <v>2</v>
      </c>
    </row>
    <row r="599" spans="1:5" x14ac:dyDescent="0.15">
      <c r="A599" t="s">
        <v>2476</v>
      </c>
      <c r="B599">
        <v>1</v>
      </c>
      <c r="C599" t="s">
        <v>1538</v>
      </c>
      <c r="D599" t="s">
        <v>1473</v>
      </c>
      <c r="E599">
        <v>0</v>
      </c>
    </row>
    <row r="600" spans="1:5" x14ac:dyDescent="0.15">
      <c r="A600" t="s">
        <v>2512</v>
      </c>
      <c r="B600">
        <v>1</v>
      </c>
      <c r="C600" t="s">
        <v>1538</v>
      </c>
      <c r="D600" t="s">
        <v>1473</v>
      </c>
      <c r="E600">
        <v>0</v>
      </c>
    </row>
    <row r="601" spans="1:5" x14ac:dyDescent="0.15">
      <c r="A601" t="s">
        <v>2488</v>
      </c>
      <c r="B601">
        <v>1</v>
      </c>
      <c r="C601" t="s">
        <v>1538</v>
      </c>
      <c r="D601" t="s">
        <v>1473</v>
      </c>
      <c r="E601">
        <v>4</v>
      </c>
    </row>
    <row r="602" spans="1:5" x14ac:dyDescent="0.15">
      <c r="A602" t="s">
        <v>2513</v>
      </c>
      <c r="B602">
        <v>1</v>
      </c>
      <c r="C602" t="s">
        <v>1526</v>
      </c>
      <c r="D602" t="s">
        <v>1473</v>
      </c>
      <c r="E602">
        <v>0</v>
      </c>
    </row>
    <row r="603" spans="1:5" x14ac:dyDescent="0.15">
      <c r="A603" t="s">
        <v>2493</v>
      </c>
      <c r="B603">
        <v>1</v>
      </c>
      <c r="C603" t="s">
        <v>1526</v>
      </c>
      <c r="D603" t="s">
        <v>1473</v>
      </c>
      <c r="E603">
        <v>0</v>
      </c>
    </row>
    <row r="604" spans="1:5" x14ac:dyDescent="0.15">
      <c r="A604" t="s">
        <v>2511</v>
      </c>
      <c r="B604">
        <v>1</v>
      </c>
      <c r="C604" t="s">
        <v>1538</v>
      </c>
      <c r="D604" t="s">
        <v>1473</v>
      </c>
      <c r="E604">
        <v>4</v>
      </c>
    </row>
    <row r="605" spans="1:5" x14ac:dyDescent="0.15">
      <c r="A605" t="s">
        <v>2461</v>
      </c>
      <c r="B605">
        <v>1</v>
      </c>
      <c r="C605" t="s">
        <v>1538</v>
      </c>
      <c r="D605" t="s">
        <v>1473</v>
      </c>
      <c r="E605">
        <v>2</v>
      </c>
    </row>
    <row r="606" spans="1:5" x14ac:dyDescent="0.15">
      <c r="A606" t="s">
        <v>2514</v>
      </c>
      <c r="B606">
        <v>1</v>
      </c>
      <c r="C606" t="s">
        <v>1526</v>
      </c>
      <c r="D606" t="s">
        <v>1473</v>
      </c>
      <c r="E606">
        <v>0</v>
      </c>
    </row>
    <row r="607" spans="1:5" x14ac:dyDescent="0.15">
      <c r="A607" t="s">
        <v>2466</v>
      </c>
      <c r="B607">
        <v>1</v>
      </c>
      <c r="C607" t="s">
        <v>1538</v>
      </c>
      <c r="D607" t="s">
        <v>1473</v>
      </c>
      <c r="E607">
        <v>2</v>
      </c>
    </row>
    <row r="608" spans="1:5" x14ac:dyDescent="0.15">
      <c r="A608" t="s">
        <v>2504</v>
      </c>
      <c r="B608">
        <v>1</v>
      </c>
      <c r="C608" t="s">
        <v>1538</v>
      </c>
      <c r="D608" t="s">
        <v>1473</v>
      </c>
      <c r="E608">
        <v>4</v>
      </c>
    </row>
    <row r="609" spans="1:5" x14ac:dyDescent="0.15">
      <c r="A609" t="s">
        <v>2514</v>
      </c>
      <c r="B609">
        <v>1</v>
      </c>
      <c r="C609" t="s">
        <v>1526</v>
      </c>
      <c r="D609" t="s">
        <v>1473</v>
      </c>
      <c r="E609">
        <v>4</v>
      </c>
    </row>
    <row r="610" spans="1:5" x14ac:dyDescent="0.15">
      <c r="A610" t="s">
        <v>2499</v>
      </c>
      <c r="B610">
        <v>1</v>
      </c>
      <c r="C610" t="s">
        <v>1538</v>
      </c>
      <c r="D610" t="s">
        <v>1473</v>
      </c>
      <c r="E610">
        <v>2</v>
      </c>
    </row>
    <row r="611" spans="1:5" x14ac:dyDescent="0.15">
      <c r="A611" t="s">
        <v>2506</v>
      </c>
      <c r="B611">
        <v>1</v>
      </c>
      <c r="C611" t="s">
        <v>1538</v>
      </c>
      <c r="D611" t="s">
        <v>1473</v>
      </c>
      <c r="E611">
        <v>4</v>
      </c>
    </row>
    <row r="612" spans="1:5" x14ac:dyDescent="0.15">
      <c r="A612" t="s">
        <v>2480</v>
      </c>
      <c r="B612">
        <v>1</v>
      </c>
      <c r="C612" t="s">
        <v>1538</v>
      </c>
      <c r="D612" t="s">
        <v>1473</v>
      </c>
      <c r="E612">
        <v>2</v>
      </c>
    </row>
    <row r="613" spans="1:5" x14ac:dyDescent="0.15">
      <c r="A613" t="s">
        <v>2515</v>
      </c>
      <c r="B613">
        <v>1</v>
      </c>
      <c r="C613" t="s">
        <v>1538</v>
      </c>
      <c r="D613" t="s">
        <v>1473</v>
      </c>
      <c r="E613">
        <v>0</v>
      </c>
    </row>
    <row r="614" spans="1:5" x14ac:dyDescent="0.15">
      <c r="A614" t="s">
        <v>2497</v>
      </c>
      <c r="B614">
        <v>1</v>
      </c>
      <c r="C614" t="s">
        <v>1538</v>
      </c>
      <c r="D614" t="s">
        <v>1473</v>
      </c>
      <c r="E614">
        <v>2</v>
      </c>
    </row>
    <row r="615" spans="1:5" x14ac:dyDescent="0.15">
      <c r="A615" t="s">
        <v>2502</v>
      </c>
      <c r="B615">
        <v>1</v>
      </c>
      <c r="C615" t="s">
        <v>1538</v>
      </c>
      <c r="D615" t="s">
        <v>1473</v>
      </c>
      <c r="E615">
        <v>4</v>
      </c>
    </row>
    <row r="616" spans="1:5" x14ac:dyDescent="0.15">
      <c r="A616" t="s">
        <v>2516</v>
      </c>
      <c r="B616">
        <v>1</v>
      </c>
      <c r="C616" t="s">
        <v>1538</v>
      </c>
      <c r="D616" t="s">
        <v>1473</v>
      </c>
      <c r="E616">
        <v>0</v>
      </c>
    </row>
    <row r="617" spans="1:5" x14ac:dyDescent="0.15">
      <c r="A617" t="s">
        <v>2463</v>
      </c>
      <c r="B617">
        <v>1</v>
      </c>
      <c r="C617" t="s">
        <v>1538</v>
      </c>
      <c r="D617" t="s">
        <v>1473</v>
      </c>
      <c r="E617">
        <v>4</v>
      </c>
    </row>
    <row r="618" spans="1:5" x14ac:dyDescent="0.15">
      <c r="A618" t="s">
        <v>2517</v>
      </c>
      <c r="B618">
        <v>2</v>
      </c>
      <c r="C618" t="s">
        <v>1547</v>
      </c>
      <c r="E618">
        <v>2</v>
      </c>
    </row>
    <row r="619" spans="1:5" x14ac:dyDescent="0.15">
      <c r="A619" t="s">
        <v>2518</v>
      </c>
      <c r="B619">
        <v>2</v>
      </c>
      <c r="C619" t="s">
        <v>1799</v>
      </c>
      <c r="E619">
        <v>2</v>
      </c>
    </row>
    <row r="620" spans="1:5" x14ac:dyDescent="0.15">
      <c r="A620" t="s">
        <v>2519</v>
      </c>
      <c r="B620">
        <v>0</v>
      </c>
      <c r="C620" t="s">
        <v>1589</v>
      </c>
      <c r="E620">
        <v>3</v>
      </c>
    </row>
    <row r="621" spans="1:5" x14ac:dyDescent="0.15">
      <c r="A621" t="s">
        <v>2520</v>
      </c>
      <c r="B621">
        <v>2</v>
      </c>
      <c r="C621" t="s">
        <v>1723</v>
      </c>
      <c r="E621">
        <v>2</v>
      </c>
    </row>
    <row r="622" spans="1:5" x14ac:dyDescent="0.15">
      <c r="A622" t="s">
        <v>2521</v>
      </c>
      <c r="B622">
        <v>2</v>
      </c>
      <c r="C622" t="s">
        <v>1596</v>
      </c>
      <c r="E622">
        <v>2</v>
      </c>
    </row>
    <row r="623" spans="1:5" x14ac:dyDescent="0.15">
      <c r="A623" t="s">
        <v>2522</v>
      </c>
      <c r="B623">
        <v>2</v>
      </c>
      <c r="C623" t="s">
        <v>1608</v>
      </c>
      <c r="E623">
        <v>2</v>
      </c>
    </row>
    <row r="624" spans="1:5" x14ac:dyDescent="0.15">
      <c r="A624" t="s">
        <v>2523</v>
      </c>
      <c r="B624">
        <v>2</v>
      </c>
      <c r="C624" t="s">
        <v>1600</v>
      </c>
      <c r="E624">
        <v>2</v>
      </c>
    </row>
    <row r="625" spans="1:5" x14ac:dyDescent="0.15">
      <c r="A625" t="s">
        <v>2524</v>
      </c>
      <c r="B625">
        <v>2</v>
      </c>
      <c r="C625" t="s">
        <v>1606</v>
      </c>
      <c r="E625">
        <v>2</v>
      </c>
    </row>
    <row r="626" spans="1:5" x14ac:dyDescent="0.15">
      <c r="A626" t="s">
        <v>2525</v>
      </c>
      <c r="B626">
        <v>2</v>
      </c>
      <c r="C626" t="s">
        <v>1598</v>
      </c>
      <c r="E626">
        <v>2</v>
      </c>
    </row>
    <row r="627" spans="1:5" x14ac:dyDescent="0.15">
      <c r="A627" t="s">
        <v>2526</v>
      </c>
      <c r="B627">
        <v>2</v>
      </c>
      <c r="C627" t="s">
        <v>1608</v>
      </c>
      <c r="E627">
        <v>2</v>
      </c>
    </row>
    <row r="628" spans="1:5" x14ac:dyDescent="0.15">
      <c r="A628" t="s">
        <v>2527</v>
      </c>
      <c r="B628">
        <v>2</v>
      </c>
      <c r="C628" t="s">
        <v>1602</v>
      </c>
      <c r="E628">
        <v>2</v>
      </c>
    </row>
    <row r="629" spans="1:5" x14ac:dyDescent="0.15">
      <c r="A629" t="s">
        <v>2528</v>
      </c>
      <c r="B629">
        <v>2</v>
      </c>
      <c r="C629" t="s">
        <v>1747</v>
      </c>
      <c r="E629">
        <v>2</v>
      </c>
    </row>
    <row r="630" spans="1:5" x14ac:dyDescent="0.15">
      <c r="A630" t="s">
        <v>2529</v>
      </c>
      <c r="B630">
        <v>2</v>
      </c>
      <c r="C630" t="s">
        <v>1543</v>
      </c>
      <c r="E630">
        <v>2</v>
      </c>
    </row>
    <row r="631" spans="1:5" x14ac:dyDescent="0.15">
      <c r="A631" t="s">
        <v>2530</v>
      </c>
      <c r="B631">
        <v>2</v>
      </c>
      <c r="C631" t="s">
        <v>1751</v>
      </c>
      <c r="E631">
        <v>2</v>
      </c>
    </row>
    <row r="632" spans="1:5" x14ac:dyDescent="0.15">
      <c r="A632" t="s">
        <v>2531</v>
      </c>
      <c r="B632">
        <v>2</v>
      </c>
      <c r="C632" t="s">
        <v>1547</v>
      </c>
      <c r="E632">
        <v>2</v>
      </c>
    </row>
    <row r="633" spans="1:5" x14ac:dyDescent="0.15">
      <c r="A633" t="s">
        <v>2532</v>
      </c>
      <c r="B633">
        <v>2</v>
      </c>
      <c r="C633" t="s">
        <v>1547</v>
      </c>
      <c r="E633">
        <v>2</v>
      </c>
    </row>
    <row r="634" spans="1:5" x14ac:dyDescent="0.15">
      <c r="A634" t="s">
        <v>2533</v>
      </c>
      <c r="B634">
        <v>2</v>
      </c>
      <c r="C634" t="s">
        <v>1598</v>
      </c>
      <c r="E634">
        <v>2</v>
      </c>
    </row>
    <row r="635" spans="1:5" x14ac:dyDescent="0.15">
      <c r="A635" t="s">
        <v>2534</v>
      </c>
      <c r="B635">
        <v>2</v>
      </c>
      <c r="C635" t="s">
        <v>1753</v>
      </c>
      <c r="E635">
        <v>2</v>
      </c>
    </row>
    <row r="636" spans="1:5" x14ac:dyDescent="0.15">
      <c r="A636" t="s">
        <v>2535</v>
      </c>
      <c r="B636">
        <v>2</v>
      </c>
      <c r="C636" t="s">
        <v>1604</v>
      </c>
      <c r="E636">
        <v>2</v>
      </c>
    </row>
    <row r="637" spans="1:5" x14ac:dyDescent="0.15">
      <c r="A637" t="s">
        <v>2536</v>
      </c>
      <c r="B637">
        <v>2</v>
      </c>
      <c r="C637" t="s">
        <v>1725</v>
      </c>
      <c r="E637">
        <v>2</v>
      </c>
    </row>
    <row r="638" spans="1:5" x14ac:dyDescent="0.15">
      <c r="A638" t="s">
        <v>2537</v>
      </c>
      <c r="B638">
        <v>2</v>
      </c>
      <c r="C638" t="s">
        <v>1543</v>
      </c>
      <c r="E638">
        <v>2</v>
      </c>
    </row>
    <row r="639" spans="1:5" x14ac:dyDescent="0.15">
      <c r="A639" t="s">
        <v>2538</v>
      </c>
      <c r="B639">
        <v>2</v>
      </c>
      <c r="C639" t="s">
        <v>1547</v>
      </c>
      <c r="E639">
        <v>2</v>
      </c>
    </row>
    <row r="640" spans="1:5" x14ac:dyDescent="0.15">
      <c r="A640" t="s">
        <v>2539</v>
      </c>
      <c r="B640">
        <v>2</v>
      </c>
      <c r="C640" t="s">
        <v>1553</v>
      </c>
      <c r="E640">
        <v>2</v>
      </c>
    </row>
    <row r="641" spans="1:5" x14ac:dyDescent="0.15">
      <c r="A641" t="s">
        <v>2540</v>
      </c>
      <c r="B641">
        <v>2</v>
      </c>
      <c r="C641" t="s">
        <v>1541</v>
      </c>
      <c r="E641">
        <v>2</v>
      </c>
    </row>
    <row r="642" spans="1:5" x14ac:dyDescent="0.15">
      <c r="A642" t="s">
        <v>2541</v>
      </c>
      <c r="B642">
        <v>2</v>
      </c>
      <c r="C642" t="s">
        <v>1725</v>
      </c>
      <c r="E642">
        <v>2</v>
      </c>
    </row>
    <row r="643" spans="1:5" x14ac:dyDescent="0.15">
      <c r="A643" t="s">
        <v>2542</v>
      </c>
      <c r="B643">
        <v>2</v>
      </c>
      <c r="C643" t="s">
        <v>1725</v>
      </c>
      <c r="E643">
        <v>2</v>
      </c>
    </row>
    <row r="644" spans="1:5" x14ac:dyDescent="0.15">
      <c r="A644" t="s">
        <v>2543</v>
      </c>
      <c r="B644">
        <v>2</v>
      </c>
      <c r="C644" t="s">
        <v>1559</v>
      </c>
      <c r="E644">
        <v>2</v>
      </c>
    </row>
    <row r="645" spans="1:5" x14ac:dyDescent="0.15">
      <c r="A645" t="s">
        <v>2544</v>
      </c>
      <c r="B645">
        <v>1</v>
      </c>
      <c r="C645" t="s">
        <v>1536</v>
      </c>
      <c r="D645" t="s">
        <v>1473</v>
      </c>
      <c r="E645">
        <v>0</v>
      </c>
    </row>
    <row r="646" spans="1:5" x14ac:dyDescent="0.15">
      <c r="A646" t="s">
        <v>2545</v>
      </c>
      <c r="B646">
        <v>1</v>
      </c>
      <c r="C646" t="s">
        <v>1536</v>
      </c>
      <c r="D646" t="s">
        <v>1473</v>
      </c>
      <c r="E646">
        <v>0</v>
      </c>
    </row>
    <row r="647" spans="1:5" x14ac:dyDescent="0.15">
      <c r="A647" t="s">
        <v>2546</v>
      </c>
      <c r="B647">
        <v>1</v>
      </c>
      <c r="C647" t="s">
        <v>1536</v>
      </c>
      <c r="D647" t="s">
        <v>1473</v>
      </c>
      <c r="E647">
        <v>0</v>
      </c>
    </row>
    <row r="648" spans="1:5" x14ac:dyDescent="0.15">
      <c r="A648" t="s">
        <v>2547</v>
      </c>
      <c r="B648">
        <v>1</v>
      </c>
      <c r="C648" t="s">
        <v>1536</v>
      </c>
      <c r="D648" t="s">
        <v>1473</v>
      </c>
      <c r="E648">
        <v>0</v>
      </c>
    </row>
    <row r="649" spans="1:5" x14ac:dyDescent="0.15">
      <c r="A649" t="s">
        <v>2548</v>
      </c>
      <c r="B649">
        <v>1</v>
      </c>
      <c r="C649" t="s">
        <v>1536</v>
      </c>
      <c r="D649" t="s">
        <v>1473</v>
      </c>
      <c r="E649">
        <v>0</v>
      </c>
    </row>
    <row r="650" spans="1:5" x14ac:dyDescent="0.15">
      <c r="A650" t="s">
        <v>2549</v>
      </c>
      <c r="B650">
        <v>1</v>
      </c>
      <c r="C650" t="s">
        <v>1536</v>
      </c>
      <c r="D650" t="s">
        <v>1473</v>
      </c>
      <c r="E650">
        <v>0</v>
      </c>
    </row>
    <row r="651" spans="1:5" x14ac:dyDescent="0.15">
      <c r="A651" t="s">
        <v>2550</v>
      </c>
      <c r="B651">
        <v>1</v>
      </c>
      <c r="C651" t="s">
        <v>1536</v>
      </c>
      <c r="D651" t="s">
        <v>1473</v>
      </c>
      <c r="E651">
        <v>0</v>
      </c>
    </row>
    <row r="652" spans="1:5" x14ac:dyDescent="0.15">
      <c r="A652" t="s">
        <v>2551</v>
      </c>
      <c r="B652">
        <v>1</v>
      </c>
      <c r="C652" t="s">
        <v>1536</v>
      </c>
      <c r="D652" t="s">
        <v>1473</v>
      </c>
      <c r="E652">
        <v>0</v>
      </c>
    </row>
    <row r="653" spans="1:5" x14ac:dyDescent="0.15">
      <c r="A653" t="s">
        <v>2552</v>
      </c>
      <c r="B653">
        <v>1</v>
      </c>
      <c r="C653" t="s">
        <v>1536</v>
      </c>
      <c r="D653" t="s">
        <v>1473</v>
      </c>
      <c r="E653">
        <v>0</v>
      </c>
    </row>
    <row r="654" spans="1:5" x14ac:dyDescent="0.15">
      <c r="A654" t="s">
        <v>2553</v>
      </c>
      <c r="B654">
        <v>1</v>
      </c>
      <c r="C654" t="s">
        <v>1536</v>
      </c>
      <c r="D654" t="s">
        <v>1473</v>
      </c>
      <c r="E654">
        <v>0</v>
      </c>
    </row>
    <row r="655" spans="1:5" x14ac:dyDescent="0.15">
      <c r="A655" t="s">
        <v>2554</v>
      </c>
      <c r="B655">
        <v>1</v>
      </c>
      <c r="C655" t="s">
        <v>1536</v>
      </c>
      <c r="D655" t="s">
        <v>1473</v>
      </c>
      <c r="E655">
        <v>0</v>
      </c>
    </row>
    <row r="656" spans="1:5" x14ac:dyDescent="0.15">
      <c r="A656" t="s">
        <v>2555</v>
      </c>
      <c r="B656">
        <v>1</v>
      </c>
      <c r="C656" t="s">
        <v>1536</v>
      </c>
      <c r="D656" t="s">
        <v>1473</v>
      </c>
      <c r="E656">
        <v>0</v>
      </c>
    </row>
    <row r="657" spans="1:5" x14ac:dyDescent="0.15">
      <c r="A657" t="s">
        <v>2556</v>
      </c>
      <c r="B657">
        <v>1</v>
      </c>
      <c r="C657" t="s">
        <v>1536</v>
      </c>
      <c r="D657" t="s">
        <v>1473</v>
      </c>
      <c r="E657">
        <v>0</v>
      </c>
    </row>
    <row r="658" spans="1:5" x14ac:dyDescent="0.15">
      <c r="A658" t="s">
        <v>2557</v>
      </c>
      <c r="B658">
        <v>1</v>
      </c>
      <c r="C658" t="s">
        <v>1536</v>
      </c>
      <c r="D658" t="s">
        <v>1473</v>
      </c>
      <c r="E658">
        <v>0</v>
      </c>
    </row>
    <row r="659" spans="1:5" x14ac:dyDescent="0.15">
      <c r="A659" t="s">
        <v>2558</v>
      </c>
      <c r="B659">
        <v>1</v>
      </c>
      <c r="C659" t="s">
        <v>1536</v>
      </c>
      <c r="D659" t="s">
        <v>1473</v>
      </c>
      <c r="E659">
        <v>0</v>
      </c>
    </row>
    <row r="660" spans="1:5" x14ac:dyDescent="0.15">
      <c r="A660" t="s">
        <v>2559</v>
      </c>
      <c r="B660">
        <v>1</v>
      </c>
      <c r="C660" t="s">
        <v>1536</v>
      </c>
      <c r="D660" t="s">
        <v>1473</v>
      </c>
      <c r="E660">
        <v>0</v>
      </c>
    </row>
    <row r="661" spans="1:5" x14ac:dyDescent="0.15">
      <c r="A661" t="s">
        <v>2560</v>
      </c>
      <c r="B661">
        <v>1</v>
      </c>
      <c r="C661" t="s">
        <v>1536</v>
      </c>
      <c r="D661" t="s">
        <v>1473</v>
      </c>
      <c r="E661">
        <v>0</v>
      </c>
    </row>
    <row r="662" spans="1:5" x14ac:dyDescent="0.15">
      <c r="A662" t="s">
        <v>2561</v>
      </c>
      <c r="B662">
        <v>1</v>
      </c>
      <c r="C662" t="s">
        <v>1536</v>
      </c>
      <c r="D662" t="s">
        <v>1473</v>
      </c>
      <c r="E662">
        <v>0</v>
      </c>
    </row>
    <row r="663" spans="1:5" x14ac:dyDescent="0.15">
      <c r="A663" t="s">
        <v>2562</v>
      </c>
      <c r="B663">
        <v>1</v>
      </c>
      <c r="C663" t="s">
        <v>1536</v>
      </c>
      <c r="D663" t="s">
        <v>1473</v>
      </c>
      <c r="E663">
        <v>0</v>
      </c>
    </row>
    <row r="664" spans="1:5" x14ac:dyDescent="0.15">
      <c r="A664" t="s">
        <v>2563</v>
      </c>
      <c r="B664">
        <v>1</v>
      </c>
      <c r="C664" t="s">
        <v>1536</v>
      </c>
      <c r="D664" t="s">
        <v>1473</v>
      </c>
      <c r="E664">
        <v>0</v>
      </c>
    </row>
    <row r="665" spans="1:5" x14ac:dyDescent="0.15">
      <c r="A665" t="s">
        <v>2564</v>
      </c>
      <c r="B665">
        <v>1</v>
      </c>
      <c r="C665" t="s">
        <v>1536</v>
      </c>
      <c r="D665" t="s">
        <v>1473</v>
      </c>
      <c r="E665">
        <v>0</v>
      </c>
    </row>
    <row r="666" spans="1:5" x14ac:dyDescent="0.15">
      <c r="A666" t="s">
        <v>2565</v>
      </c>
      <c r="B666">
        <v>1</v>
      </c>
      <c r="C666" t="s">
        <v>1536</v>
      </c>
      <c r="D666" t="s">
        <v>1473</v>
      </c>
      <c r="E666">
        <v>0</v>
      </c>
    </row>
    <row r="667" spans="1:5" x14ac:dyDescent="0.15">
      <c r="A667" t="s">
        <v>2566</v>
      </c>
      <c r="B667">
        <v>1</v>
      </c>
      <c r="C667" t="s">
        <v>1536</v>
      </c>
      <c r="D667" t="s">
        <v>1473</v>
      </c>
      <c r="E667">
        <v>0</v>
      </c>
    </row>
    <row r="668" spans="1:5" x14ac:dyDescent="0.15">
      <c r="A668" t="s">
        <v>2567</v>
      </c>
      <c r="B668">
        <v>1</v>
      </c>
      <c r="C668" t="s">
        <v>1536</v>
      </c>
      <c r="D668" t="s">
        <v>1473</v>
      </c>
      <c r="E668">
        <v>0</v>
      </c>
    </row>
    <row r="669" spans="1:5" x14ac:dyDescent="0.15">
      <c r="A669" t="s">
        <v>2552</v>
      </c>
      <c r="B669">
        <v>1</v>
      </c>
      <c r="C669" t="s">
        <v>1536</v>
      </c>
      <c r="D669" t="s">
        <v>1473</v>
      </c>
      <c r="E669">
        <v>2</v>
      </c>
    </row>
    <row r="670" spans="1:5" x14ac:dyDescent="0.15">
      <c r="A670" t="s">
        <v>2554</v>
      </c>
      <c r="B670">
        <v>1</v>
      </c>
      <c r="C670" t="s">
        <v>1536</v>
      </c>
      <c r="D670" t="s">
        <v>1473</v>
      </c>
      <c r="E670">
        <v>2</v>
      </c>
    </row>
    <row r="671" spans="1:5" x14ac:dyDescent="0.15">
      <c r="A671" t="s">
        <v>2547</v>
      </c>
      <c r="B671">
        <v>1</v>
      </c>
      <c r="C671" t="s">
        <v>1536</v>
      </c>
      <c r="D671" t="s">
        <v>1473</v>
      </c>
      <c r="E671">
        <v>2</v>
      </c>
    </row>
    <row r="672" spans="1:5" x14ac:dyDescent="0.15">
      <c r="A672" t="s">
        <v>2544</v>
      </c>
      <c r="B672">
        <v>1</v>
      </c>
      <c r="C672" t="s">
        <v>1536</v>
      </c>
      <c r="D672" t="s">
        <v>1473</v>
      </c>
      <c r="E672">
        <v>2</v>
      </c>
    </row>
    <row r="673" spans="1:5" x14ac:dyDescent="0.15">
      <c r="A673" t="s">
        <v>2567</v>
      </c>
      <c r="B673">
        <v>1</v>
      </c>
      <c r="C673" t="s">
        <v>1536</v>
      </c>
      <c r="D673" t="s">
        <v>1473</v>
      </c>
      <c r="E673">
        <v>2</v>
      </c>
    </row>
    <row r="674" spans="1:5" x14ac:dyDescent="0.15">
      <c r="A674" t="s">
        <v>204</v>
      </c>
      <c r="B674">
        <v>0</v>
      </c>
      <c r="C674" t="s">
        <v>1534</v>
      </c>
      <c r="D674" t="s">
        <v>1473</v>
      </c>
      <c r="E674">
        <v>3</v>
      </c>
    </row>
    <row r="675" spans="1:5" x14ac:dyDescent="0.15">
      <c r="A675" t="s">
        <v>2568</v>
      </c>
      <c r="B675">
        <v>2</v>
      </c>
      <c r="C675" t="s">
        <v>1526</v>
      </c>
      <c r="D675" t="s">
        <v>1473</v>
      </c>
      <c r="E675">
        <v>0</v>
      </c>
    </row>
    <row r="676" spans="1:5" x14ac:dyDescent="0.15">
      <c r="A676" t="s">
        <v>2569</v>
      </c>
      <c r="B676">
        <v>3</v>
      </c>
      <c r="C676" t="s">
        <v>1530</v>
      </c>
      <c r="D676" t="s">
        <v>1473</v>
      </c>
      <c r="E676">
        <v>2</v>
      </c>
    </row>
    <row r="677" spans="1:5" x14ac:dyDescent="0.15">
      <c r="A677" t="s">
        <v>2125</v>
      </c>
      <c r="B677">
        <v>2</v>
      </c>
      <c r="C677" t="s">
        <v>1538</v>
      </c>
      <c r="D677" t="s">
        <v>1473</v>
      </c>
      <c r="E677">
        <v>2</v>
      </c>
    </row>
    <row r="678" spans="1:5" x14ac:dyDescent="0.15">
      <c r="A678" t="s">
        <v>2570</v>
      </c>
      <c r="B678">
        <v>2</v>
      </c>
      <c r="C678" t="s">
        <v>1538</v>
      </c>
      <c r="D678" t="s">
        <v>1473</v>
      </c>
      <c r="E678">
        <v>0</v>
      </c>
    </row>
    <row r="679" spans="1:5" x14ac:dyDescent="0.15">
      <c r="A679" t="s">
        <v>2058</v>
      </c>
      <c r="B679">
        <v>1</v>
      </c>
      <c r="C679" t="s">
        <v>1538</v>
      </c>
      <c r="D679" t="s">
        <v>1473</v>
      </c>
      <c r="E679">
        <v>2</v>
      </c>
    </row>
    <row r="680" spans="1:5" x14ac:dyDescent="0.15">
      <c r="A680" t="s">
        <v>2057</v>
      </c>
      <c r="B680">
        <v>1</v>
      </c>
      <c r="C680" t="s">
        <v>1538</v>
      </c>
      <c r="D680" t="s">
        <v>1473</v>
      </c>
      <c r="E680">
        <v>2</v>
      </c>
    </row>
    <row r="681" spans="1:5" x14ac:dyDescent="0.15">
      <c r="A681" t="s">
        <v>2098</v>
      </c>
      <c r="B681">
        <v>1</v>
      </c>
      <c r="C681" t="s">
        <v>1538</v>
      </c>
      <c r="D681" t="s">
        <v>1473</v>
      </c>
      <c r="E681">
        <v>2</v>
      </c>
    </row>
    <row r="682" spans="1:5" x14ac:dyDescent="0.15">
      <c r="A682" t="s">
        <v>2571</v>
      </c>
      <c r="B682">
        <v>2</v>
      </c>
      <c r="C682" t="s">
        <v>1538</v>
      </c>
      <c r="D682" t="s">
        <v>1473</v>
      </c>
      <c r="E682">
        <v>0</v>
      </c>
    </row>
    <row r="683" spans="1:5" x14ac:dyDescent="0.15">
      <c r="A683" t="s">
        <v>2572</v>
      </c>
      <c r="B683">
        <v>2</v>
      </c>
      <c r="C683" t="s">
        <v>1538</v>
      </c>
      <c r="D683" t="s">
        <v>1473</v>
      </c>
      <c r="E683">
        <v>0</v>
      </c>
    </row>
    <row r="684" spans="1:5" x14ac:dyDescent="0.15">
      <c r="A684" t="s">
        <v>2086</v>
      </c>
      <c r="B684">
        <v>1</v>
      </c>
      <c r="C684" t="s">
        <v>1538</v>
      </c>
      <c r="D684" t="s">
        <v>1473</v>
      </c>
      <c r="E684">
        <v>4</v>
      </c>
    </row>
    <row r="685" spans="1:5" x14ac:dyDescent="0.15">
      <c r="A685" t="s">
        <v>2104</v>
      </c>
      <c r="B685">
        <v>1</v>
      </c>
      <c r="C685" t="s">
        <v>1538</v>
      </c>
      <c r="D685" t="s">
        <v>1473</v>
      </c>
      <c r="E685">
        <v>2</v>
      </c>
    </row>
    <row r="686" spans="1:5" x14ac:dyDescent="0.15">
      <c r="A686" t="s">
        <v>2085</v>
      </c>
      <c r="B686">
        <v>1</v>
      </c>
      <c r="C686" t="s">
        <v>1538</v>
      </c>
      <c r="D686" t="s">
        <v>1473</v>
      </c>
      <c r="E686">
        <v>4</v>
      </c>
    </row>
    <row r="687" spans="1:5" x14ac:dyDescent="0.15">
      <c r="A687" t="s">
        <v>2092</v>
      </c>
      <c r="B687">
        <v>1</v>
      </c>
      <c r="C687" t="s">
        <v>1538</v>
      </c>
      <c r="D687" t="s">
        <v>1473</v>
      </c>
      <c r="E687">
        <v>4</v>
      </c>
    </row>
    <row r="688" spans="1:5" x14ac:dyDescent="0.15">
      <c r="A688" t="s">
        <v>2062</v>
      </c>
      <c r="B688">
        <v>1</v>
      </c>
      <c r="C688" t="s">
        <v>1538</v>
      </c>
      <c r="D688" t="s">
        <v>1473</v>
      </c>
      <c r="E688">
        <v>2</v>
      </c>
    </row>
    <row r="689" spans="1:5" x14ac:dyDescent="0.15">
      <c r="A689" t="s">
        <v>2573</v>
      </c>
      <c r="B689">
        <v>2</v>
      </c>
      <c r="C689" t="s">
        <v>1538</v>
      </c>
      <c r="D689" t="s">
        <v>1473</v>
      </c>
      <c r="E689">
        <v>0</v>
      </c>
    </row>
    <row r="690" spans="1:5" x14ac:dyDescent="0.15">
      <c r="A690" t="s">
        <v>2574</v>
      </c>
      <c r="B690">
        <v>2</v>
      </c>
      <c r="C690" t="s">
        <v>1538</v>
      </c>
      <c r="D690" t="s">
        <v>1473</v>
      </c>
      <c r="E690">
        <v>0</v>
      </c>
    </row>
    <row r="691" spans="1:5" x14ac:dyDescent="0.15">
      <c r="A691" t="s">
        <v>2575</v>
      </c>
      <c r="B691">
        <v>1</v>
      </c>
      <c r="C691" t="s">
        <v>1538</v>
      </c>
      <c r="D691" t="s">
        <v>1473</v>
      </c>
      <c r="E691">
        <v>0</v>
      </c>
    </row>
    <row r="692" spans="1:5" x14ac:dyDescent="0.15">
      <c r="A692" t="s">
        <v>2575</v>
      </c>
      <c r="B692">
        <v>1</v>
      </c>
      <c r="C692" t="s">
        <v>1538</v>
      </c>
      <c r="D692" t="s">
        <v>1473</v>
      </c>
      <c r="E692">
        <v>2</v>
      </c>
    </row>
    <row r="693" spans="1:5" x14ac:dyDescent="0.15">
      <c r="A693" t="s">
        <v>2575</v>
      </c>
      <c r="B693">
        <v>1</v>
      </c>
      <c r="C693" t="s">
        <v>1538</v>
      </c>
      <c r="D693" t="s">
        <v>1473</v>
      </c>
      <c r="E693">
        <v>4</v>
      </c>
    </row>
    <row r="694" spans="1:5" x14ac:dyDescent="0.15">
      <c r="A694" t="s">
        <v>2576</v>
      </c>
      <c r="B694">
        <v>2</v>
      </c>
      <c r="C694" t="s">
        <v>1538</v>
      </c>
      <c r="D694" t="s">
        <v>1473</v>
      </c>
      <c r="E694">
        <v>0</v>
      </c>
    </row>
    <row r="695" spans="1:5" x14ac:dyDescent="0.15">
      <c r="A695" t="s">
        <v>2576</v>
      </c>
      <c r="B695">
        <v>2</v>
      </c>
      <c r="C695" t="s">
        <v>1538</v>
      </c>
      <c r="D695" t="s">
        <v>1473</v>
      </c>
      <c r="E695">
        <v>4</v>
      </c>
    </row>
    <row r="696" spans="1:5" x14ac:dyDescent="0.15">
      <c r="A696" t="s">
        <v>2095</v>
      </c>
      <c r="B696">
        <v>1</v>
      </c>
      <c r="C696" t="s">
        <v>1538</v>
      </c>
      <c r="D696" t="s">
        <v>1473</v>
      </c>
      <c r="E696">
        <v>4</v>
      </c>
    </row>
    <row r="697" spans="1:5" x14ac:dyDescent="0.15">
      <c r="A697" t="s">
        <v>2059</v>
      </c>
      <c r="B697">
        <v>1</v>
      </c>
      <c r="C697" t="s">
        <v>1538</v>
      </c>
      <c r="D697" t="s">
        <v>1473</v>
      </c>
      <c r="E697">
        <v>4</v>
      </c>
    </row>
    <row r="698" spans="1:5" x14ac:dyDescent="0.15">
      <c r="A698" t="s">
        <v>2577</v>
      </c>
      <c r="B698">
        <v>2</v>
      </c>
      <c r="C698" t="s">
        <v>1538</v>
      </c>
      <c r="D698" t="s">
        <v>1473</v>
      </c>
      <c r="E698">
        <v>0</v>
      </c>
    </row>
    <row r="699" spans="1:5" x14ac:dyDescent="0.15">
      <c r="A699" t="s">
        <v>2578</v>
      </c>
      <c r="B699">
        <v>2</v>
      </c>
      <c r="C699" t="s">
        <v>1530</v>
      </c>
      <c r="D699" t="s">
        <v>1473</v>
      </c>
      <c r="E699">
        <v>0</v>
      </c>
    </row>
    <row r="700" spans="1:5" x14ac:dyDescent="0.15">
      <c r="A700" t="s">
        <v>2073</v>
      </c>
      <c r="B700">
        <v>1</v>
      </c>
      <c r="C700" t="s">
        <v>1538</v>
      </c>
      <c r="D700" t="s">
        <v>1473</v>
      </c>
      <c r="E700">
        <v>2</v>
      </c>
    </row>
    <row r="701" spans="1:5" x14ac:dyDescent="0.15">
      <c r="A701" t="s">
        <v>2058</v>
      </c>
      <c r="B701">
        <v>1</v>
      </c>
      <c r="C701" t="s">
        <v>1538</v>
      </c>
      <c r="D701" t="s">
        <v>1473</v>
      </c>
      <c r="E701">
        <v>4</v>
      </c>
    </row>
    <row r="702" spans="1:5" x14ac:dyDescent="0.15">
      <c r="A702" t="s">
        <v>2579</v>
      </c>
      <c r="B702">
        <v>2</v>
      </c>
      <c r="C702" t="s">
        <v>1538</v>
      </c>
      <c r="D702" t="s">
        <v>1473</v>
      </c>
      <c r="E702">
        <v>2</v>
      </c>
    </row>
    <row r="703" spans="1:5" x14ac:dyDescent="0.15">
      <c r="A703" t="s">
        <v>2580</v>
      </c>
      <c r="B703">
        <v>2</v>
      </c>
      <c r="C703" t="s">
        <v>1538</v>
      </c>
      <c r="D703" t="s">
        <v>1473</v>
      </c>
      <c r="E703">
        <v>2</v>
      </c>
    </row>
    <row r="704" spans="1:5" x14ac:dyDescent="0.15">
      <c r="A704" t="s">
        <v>2581</v>
      </c>
      <c r="B704">
        <v>2</v>
      </c>
      <c r="C704" t="s">
        <v>1538</v>
      </c>
      <c r="D704" t="s">
        <v>1473</v>
      </c>
      <c r="E704">
        <v>2</v>
      </c>
    </row>
    <row r="705" spans="1:5" x14ac:dyDescent="0.15">
      <c r="A705" t="s">
        <v>2057</v>
      </c>
      <c r="B705">
        <v>1</v>
      </c>
      <c r="C705" t="s">
        <v>1538</v>
      </c>
      <c r="D705" t="s">
        <v>1473</v>
      </c>
      <c r="E705">
        <v>4</v>
      </c>
    </row>
    <row r="706" spans="1:5" x14ac:dyDescent="0.15">
      <c r="A706" t="s">
        <v>2078</v>
      </c>
      <c r="B706">
        <v>1</v>
      </c>
      <c r="C706" t="s">
        <v>1538</v>
      </c>
      <c r="D706" t="s">
        <v>1473</v>
      </c>
      <c r="E706">
        <v>2</v>
      </c>
    </row>
    <row r="707" spans="1:5" x14ac:dyDescent="0.15">
      <c r="A707" t="s">
        <v>2582</v>
      </c>
      <c r="B707">
        <v>3</v>
      </c>
      <c r="C707" t="s">
        <v>1526</v>
      </c>
      <c r="D707" t="s">
        <v>1473</v>
      </c>
      <c r="E707">
        <v>2</v>
      </c>
    </row>
    <row r="708" spans="1:5" x14ac:dyDescent="0.15">
      <c r="A708" t="s">
        <v>2583</v>
      </c>
      <c r="B708">
        <v>1</v>
      </c>
      <c r="C708" t="s">
        <v>1528</v>
      </c>
      <c r="D708" t="s">
        <v>1473</v>
      </c>
      <c r="E708">
        <v>0</v>
      </c>
    </row>
    <row r="709" spans="1:5" x14ac:dyDescent="0.15">
      <c r="A709" t="s">
        <v>2584</v>
      </c>
      <c r="B709">
        <v>2</v>
      </c>
      <c r="C709" t="s">
        <v>1530</v>
      </c>
      <c r="D709" t="s">
        <v>1473</v>
      </c>
      <c r="E709">
        <v>0</v>
      </c>
    </row>
    <row r="710" spans="1:5" x14ac:dyDescent="0.15">
      <c r="A710" t="s">
        <v>2585</v>
      </c>
      <c r="B710">
        <v>2</v>
      </c>
      <c r="C710" t="s">
        <v>1530</v>
      </c>
      <c r="D710" t="s">
        <v>1473</v>
      </c>
      <c r="E710">
        <v>0</v>
      </c>
    </row>
    <row r="711" spans="1:5" x14ac:dyDescent="0.15">
      <c r="A711" t="s">
        <v>2586</v>
      </c>
      <c r="B711">
        <v>2</v>
      </c>
      <c r="C711" t="s">
        <v>1526</v>
      </c>
      <c r="D711" t="s">
        <v>1473</v>
      </c>
      <c r="E711">
        <v>2</v>
      </c>
    </row>
    <row r="712" spans="1:5" x14ac:dyDescent="0.15">
      <c r="A712" t="s">
        <v>2587</v>
      </c>
      <c r="B712">
        <v>2</v>
      </c>
      <c r="C712" t="s">
        <v>1526</v>
      </c>
      <c r="D712" t="s">
        <v>1473</v>
      </c>
      <c r="E712">
        <v>0</v>
      </c>
    </row>
    <row r="713" spans="1:5" x14ac:dyDescent="0.15">
      <c r="A713" t="s">
        <v>2588</v>
      </c>
      <c r="B713">
        <v>1</v>
      </c>
      <c r="C713" t="s">
        <v>1572</v>
      </c>
      <c r="E713">
        <v>0</v>
      </c>
    </row>
    <row r="714" spans="1:5" x14ac:dyDescent="0.15">
      <c r="A714" t="s">
        <v>2589</v>
      </c>
      <c r="B714">
        <v>2</v>
      </c>
      <c r="C714" t="s">
        <v>1526</v>
      </c>
      <c r="D714" t="s">
        <v>1473</v>
      </c>
      <c r="E714">
        <v>4</v>
      </c>
    </row>
    <row r="715" spans="1:5" x14ac:dyDescent="0.15">
      <c r="A715" t="s">
        <v>2590</v>
      </c>
      <c r="B715">
        <v>1</v>
      </c>
      <c r="C715" t="s">
        <v>1530</v>
      </c>
      <c r="D715" t="s">
        <v>1473</v>
      </c>
      <c r="E715">
        <v>4</v>
      </c>
    </row>
    <row r="716" spans="1:5" x14ac:dyDescent="0.15">
      <c r="A716" t="s">
        <v>2591</v>
      </c>
      <c r="B716">
        <v>2</v>
      </c>
      <c r="C716" t="s">
        <v>1526</v>
      </c>
      <c r="D716" t="s">
        <v>1473</v>
      </c>
      <c r="E716">
        <v>0</v>
      </c>
    </row>
    <row r="717" spans="1:5" x14ac:dyDescent="0.15">
      <c r="A717" t="s">
        <v>2592</v>
      </c>
      <c r="B717">
        <v>4</v>
      </c>
      <c r="C717" t="s">
        <v>1526</v>
      </c>
      <c r="D717" t="s">
        <v>1473</v>
      </c>
      <c r="E717">
        <v>0</v>
      </c>
    </row>
    <row r="718" spans="1:5" x14ac:dyDescent="0.15">
      <c r="A718" t="s">
        <v>2593</v>
      </c>
      <c r="B718">
        <v>2</v>
      </c>
      <c r="C718" t="s">
        <v>1526</v>
      </c>
      <c r="D718" t="s">
        <v>1473</v>
      </c>
      <c r="E718">
        <v>0</v>
      </c>
    </row>
    <row r="719" spans="1:5" x14ac:dyDescent="0.15">
      <c r="A719" t="s">
        <v>2594</v>
      </c>
      <c r="B719">
        <v>2</v>
      </c>
      <c r="C719" t="s">
        <v>1526</v>
      </c>
      <c r="D719" t="s">
        <v>1473</v>
      </c>
      <c r="E719">
        <v>0</v>
      </c>
    </row>
    <row r="720" spans="1:5" x14ac:dyDescent="0.15">
      <c r="A720" t="s">
        <v>2595</v>
      </c>
      <c r="B720">
        <v>2</v>
      </c>
      <c r="C720" t="s">
        <v>1526</v>
      </c>
      <c r="D720" t="s">
        <v>1473</v>
      </c>
      <c r="E720">
        <v>0</v>
      </c>
    </row>
    <row r="721" spans="1:5" x14ac:dyDescent="0.15">
      <c r="A721" t="s">
        <v>2596</v>
      </c>
      <c r="B721">
        <v>2</v>
      </c>
      <c r="C721" t="s">
        <v>1526</v>
      </c>
      <c r="D721" t="s">
        <v>1473</v>
      </c>
      <c r="E721">
        <v>0</v>
      </c>
    </row>
    <row r="722" spans="1:5" x14ac:dyDescent="0.15">
      <c r="A722" t="s">
        <v>2597</v>
      </c>
      <c r="B722">
        <v>2</v>
      </c>
      <c r="C722" t="s">
        <v>1526</v>
      </c>
      <c r="D722" t="s">
        <v>1473</v>
      </c>
      <c r="E722">
        <v>0</v>
      </c>
    </row>
    <row r="723" spans="1:5" x14ac:dyDescent="0.15">
      <c r="A723" t="s">
        <v>2598</v>
      </c>
      <c r="B723">
        <v>2</v>
      </c>
      <c r="C723" t="s">
        <v>1526</v>
      </c>
      <c r="D723" t="s">
        <v>1473</v>
      </c>
      <c r="E723">
        <v>0</v>
      </c>
    </row>
    <row r="724" spans="1:5" x14ac:dyDescent="0.15">
      <c r="A724" t="s">
        <v>2350</v>
      </c>
      <c r="B724">
        <v>2</v>
      </c>
      <c r="C724" t="s">
        <v>1526</v>
      </c>
      <c r="D724" t="s">
        <v>1473</v>
      </c>
      <c r="E724">
        <v>0</v>
      </c>
    </row>
    <row r="725" spans="1:5" x14ac:dyDescent="0.15">
      <c r="A725" t="s">
        <v>2599</v>
      </c>
      <c r="B725">
        <v>2</v>
      </c>
      <c r="C725" t="s">
        <v>1526</v>
      </c>
      <c r="D725" t="s">
        <v>1473</v>
      </c>
      <c r="E725">
        <v>0</v>
      </c>
    </row>
    <row r="726" spans="1:5" x14ac:dyDescent="0.15">
      <c r="A726" t="s">
        <v>2600</v>
      </c>
      <c r="B726">
        <v>2</v>
      </c>
      <c r="C726" t="s">
        <v>1572</v>
      </c>
      <c r="E726">
        <v>0</v>
      </c>
    </row>
    <row r="727" spans="1:5" x14ac:dyDescent="0.15">
      <c r="A727" t="s">
        <v>2601</v>
      </c>
      <c r="B727">
        <v>2</v>
      </c>
      <c r="C727" t="s">
        <v>1526</v>
      </c>
      <c r="D727" t="s">
        <v>1473</v>
      </c>
      <c r="E727">
        <v>0</v>
      </c>
    </row>
    <row r="728" spans="1:5" x14ac:dyDescent="0.15">
      <c r="A728" t="s">
        <v>2602</v>
      </c>
      <c r="B728">
        <v>2</v>
      </c>
      <c r="C728" t="s">
        <v>1526</v>
      </c>
      <c r="D728" t="s">
        <v>1473</v>
      </c>
      <c r="E728">
        <v>0</v>
      </c>
    </row>
    <row r="729" spans="1:5" x14ac:dyDescent="0.15">
      <c r="A729" t="s">
        <v>2603</v>
      </c>
      <c r="E729">
        <v>0</v>
      </c>
    </row>
    <row r="730" spans="1:5" x14ac:dyDescent="0.15">
      <c r="A730" t="s">
        <v>2604</v>
      </c>
      <c r="B730">
        <v>2</v>
      </c>
      <c r="C730" t="s">
        <v>1526</v>
      </c>
      <c r="D730" t="s">
        <v>1473</v>
      </c>
      <c r="E730">
        <v>0</v>
      </c>
    </row>
    <row r="731" spans="1:5" x14ac:dyDescent="0.15">
      <c r="A731" t="s">
        <v>2605</v>
      </c>
      <c r="B731">
        <v>2</v>
      </c>
      <c r="C731" t="s">
        <v>1526</v>
      </c>
      <c r="D731" t="s">
        <v>1473</v>
      </c>
      <c r="E731">
        <v>2</v>
      </c>
    </row>
    <row r="732" spans="1:5" x14ac:dyDescent="0.15">
      <c r="A732" t="s">
        <v>2606</v>
      </c>
      <c r="B732">
        <v>2</v>
      </c>
      <c r="C732" t="s">
        <v>1526</v>
      </c>
      <c r="D732" t="s">
        <v>1473</v>
      </c>
      <c r="E732">
        <v>2</v>
      </c>
    </row>
    <row r="733" spans="1:5" x14ac:dyDescent="0.15">
      <c r="A733" t="s">
        <v>2607</v>
      </c>
      <c r="B733">
        <v>2</v>
      </c>
      <c r="C733" t="s">
        <v>1526</v>
      </c>
      <c r="D733" t="s">
        <v>1473</v>
      </c>
      <c r="E733">
        <v>0</v>
      </c>
    </row>
    <row r="734" spans="1:5" x14ac:dyDescent="0.15">
      <c r="A734" t="s">
        <v>2608</v>
      </c>
      <c r="B734">
        <v>2</v>
      </c>
      <c r="C734" t="s">
        <v>1526</v>
      </c>
      <c r="D734" t="s">
        <v>1473</v>
      </c>
      <c r="E734">
        <v>2</v>
      </c>
    </row>
    <row r="735" spans="1:5" x14ac:dyDescent="0.15">
      <c r="A735" t="s">
        <v>2609</v>
      </c>
      <c r="B735">
        <v>2</v>
      </c>
      <c r="C735" t="s">
        <v>1526</v>
      </c>
      <c r="D735" t="s">
        <v>1473</v>
      </c>
      <c r="E735">
        <v>0</v>
      </c>
    </row>
    <row r="736" spans="1:5" x14ac:dyDescent="0.15">
      <c r="A736" t="s">
        <v>2610</v>
      </c>
      <c r="B736">
        <v>2</v>
      </c>
      <c r="C736" t="s">
        <v>1526</v>
      </c>
      <c r="D736" t="s">
        <v>1473</v>
      </c>
      <c r="E736">
        <v>0</v>
      </c>
    </row>
    <row r="737" spans="1:5" x14ac:dyDescent="0.15">
      <c r="A737" t="s">
        <v>2611</v>
      </c>
      <c r="B737">
        <v>2</v>
      </c>
      <c r="C737" t="s">
        <v>1526</v>
      </c>
      <c r="D737" t="s">
        <v>1473</v>
      </c>
      <c r="E737">
        <v>0</v>
      </c>
    </row>
    <row r="738" spans="1:5" x14ac:dyDescent="0.15">
      <c r="A738" t="s">
        <v>2611</v>
      </c>
      <c r="B738">
        <v>2</v>
      </c>
      <c r="C738" t="s">
        <v>1526</v>
      </c>
      <c r="D738" t="s">
        <v>1473</v>
      </c>
      <c r="E738">
        <v>2</v>
      </c>
    </row>
    <row r="739" spans="1:5" x14ac:dyDescent="0.15">
      <c r="A739" t="s">
        <v>2612</v>
      </c>
      <c r="B739">
        <v>2</v>
      </c>
      <c r="C739" t="s">
        <v>1526</v>
      </c>
      <c r="D739" t="s">
        <v>1473</v>
      </c>
      <c r="E739">
        <v>0</v>
      </c>
    </row>
    <row r="740" spans="1:5" x14ac:dyDescent="0.15">
      <c r="A740" t="s">
        <v>2613</v>
      </c>
      <c r="B740">
        <v>2</v>
      </c>
      <c r="C740" t="s">
        <v>1526</v>
      </c>
      <c r="D740" t="s">
        <v>1473</v>
      </c>
      <c r="E740">
        <v>0</v>
      </c>
    </row>
    <row r="741" spans="1:5" x14ac:dyDescent="0.15">
      <c r="A741" t="s">
        <v>2614</v>
      </c>
      <c r="B741">
        <v>2</v>
      </c>
      <c r="C741" t="s">
        <v>1526</v>
      </c>
      <c r="D741" t="s">
        <v>1473</v>
      </c>
      <c r="E741">
        <v>0</v>
      </c>
    </row>
    <row r="742" spans="1:5" x14ac:dyDescent="0.15">
      <c r="A742" t="s">
        <v>2349</v>
      </c>
      <c r="B742">
        <v>2</v>
      </c>
      <c r="C742" t="s">
        <v>1526</v>
      </c>
      <c r="D742" t="s">
        <v>1473</v>
      </c>
      <c r="E742">
        <v>2</v>
      </c>
    </row>
    <row r="743" spans="1:5" x14ac:dyDescent="0.15">
      <c r="A743" t="s">
        <v>2615</v>
      </c>
      <c r="B743">
        <v>2</v>
      </c>
      <c r="C743" t="s">
        <v>1526</v>
      </c>
      <c r="D743" t="s">
        <v>1473</v>
      </c>
      <c r="E743">
        <v>0</v>
      </c>
    </row>
    <row r="744" spans="1:5" x14ac:dyDescent="0.15">
      <c r="A744" t="s">
        <v>2616</v>
      </c>
      <c r="B744">
        <v>1</v>
      </c>
      <c r="C744" t="s">
        <v>1534</v>
      </c>
      <c r="D744" t="s">
        <v>1473</v>
      </c>
      <c r="E744">
        <v>0</v>
      </c>
    </row>
    <row r="745" spans="1:5" x14ac:dyDescent="0.15">
      <c r="A745" t="s">
        <v>2603</v>
      </c>
      <c r="E745">
        <v>2</v>
      </c>
    </row>
    <row r="746" spans="1:5" x14ac:dyDescent="0.15">
      <c r="A746" t="s">
        <v>2617</v>
      </c>
      <c r="B746">
        <v>1</v>
      </c>
      <c r="C746" t="s">
        <v>1572</v>
      </c>
      <c r="E746">
        <v>0</v>
      </c>
    </row>
    <row r="747" spans="1:5" x14ac:dyDescent="0.15">
      <c r="A747" t="s">
        <v>2404</v>
      </c>
      <c r="B747">
        <v>1</v>
      </c>
      <c r="C747" t="s">
        <v>1528</v>
      </c>
      <c r="D747" t="s">
        <v>1473</v>
      </c>
      <c r="E747">
        <v>0</v>
      </c>
    </row>
    <row r="748" spans="1:5" x14ac:dyDescent="0.15">
      <c r="A748" t="s">
        <v>2618</v>
      </c>
      <c r="B748">
        <v>2</v>
      </c>
      <c r="C748" t="s">
        <v>1526</v>
      </c>
      <c r="D748" t="s">
        <v>1473</v>
      </c>
      <c r="E748">
        <v>0</v>
      </c>
    </row>
    <row r="749" spans="1:5" x14ac:dyDescent="0.15">
      <c r="A749" t="s">
        <v>2590</v>
      </c>
      <c r="B749">
        <v>1</v>
      </c>
      <c r="C749" t="s">
        <v>1530</v>
      </c>
      <c r="D749" t="s">
        <v>1473</v>
      </c>
      <c r="E749">
        <v>0</v>
      </c>
    </row>
    <row r="750" spans="1:5" x14ac:dyDescent="0.15">
      <c r="A750" t="s">
        <v>2280</v>
      </c>
      <c r="B750">
        <v>2</v>
      </c>
      <c r="C750" t="s">
        <v>1526</v>
      </c>
      <c r="D750" t="s">
        <v>1473</v>
      </c>
      <c r="E750">
        <v>4</v>
      </c>
    </row>
    <row r="751" spans="1:5" x14ac:dyDescent="0.15">
      <c r="A751" t="s">
        <v>2619</v>
      </c>
      <c r="B751">
        <v>2</v>
      </c>
      <c r="C751" t="s">
        <v>1526</v>
      </c>
      <c r="D751" t="s">
        <v>1473</v>
      </c>
      <c r="E751">
        <v>0</v>
      </c>
    </row>
    <row r="752" spans="1:5" x14ac:dyDescent="0.15">
      <c r="A752" t="s">
        <v>2620</v>
      </c>
      <c r="B752">
        <v>4</v>
      </c>
      <c r="C752" t="s">
        <v>1538</v>
      </c>
      <c r="D752" t="s">
        <v>1473</v>
      </c>
      <c r="E752">
        <v>2</v>
      </c>
    </row>
    <row r="753" spans="1:5" x14ac:dyDescent="0.15">
      <c r="A753" t="s">
        <v>2605</v>
      </c>
      <c r="B753">
        <v>2</v>
      </c>
      <c r="C753" t="s">
        <v>1526</v>
      </c>
      <c r="D753" t="s">
        <v>1473</v>
      </c>
      <c r="E753">
        <v>0</v>
      </c>
    </row>
    <row r="754" spans="1:5" x14ac:dyDescent="0.15">
      <c r="A754" t="s">
        <v>2424</v>
      </c>
      <c r="B754">
        <v>1</v>
      </c>
      <c r="C754" t="s">
        <v>1530</v>
      </c>
      <c r="D754" t="s">
        <v>1473</v>
      </c>
      <c r="E754">
        <v>0</v>
      </c>
    </row>
    <row r="755" spans="1:5" x14ac:dyDescent="0.15">
      <c r="A755" t="s">
        <v>2621</v>
      </c>
      <c r="B755">
        <v>1</v>
      </c>
      <c r="C755" t="s">
        <v>1530</v>
      </c>
      <c r="D755" t="s">
        <v>1473</v>
      </c>
      <c r="E755">
        <v>0</v>
      </c>
    </row>
    <row r="756" spans="1:5" x14ac:dyDescent="0.15">
      <c r="A756" t="s">
        <v>2622</v>
      </c>
      <c r="B756">
        <v>1</v>
      </c>
      <c r="C756" t="s">
        <v>1530</v>
      </c>
      <c r="D756" t="s">
        <v>1473</v>
      </c>
      <c r="E756">
        <v>2</v>
      </c>
    </row>
    <row r="757" spans="1:5" x14ac:dyDescent="0.15">
      <c r="A757" t="s">
        <v>2623</v>
      </c>
      <c r="B757">
        <v>2</v>
      </c>
      <c r="C757" t="s">
        <v>1526</v>
      </c>
      <c r="D757" t="s">
        <v>1473</v>
      </c>
      <c r="E757">
        <v>0</v>
      </c>
    </row>
    <row r="758" spans="1:5" x14ac:dyDescent="0.15">
      <c r="A758" t="s">
        <v>2624</v>
      </c>
      <c r="B758">
        <v>2</v>
      </c>
      <c r="C758" t="s">
        <v>1526</v>
      </c>
      <c r="D758" t="s">
        <v>1473</v>
      </c>
      <c r="E758">
        <v>0</v>
      </c>
    </row>
    <row r="759" spans="1:5" x14ac:dyDescent="0.15">
      <c r="A759" t="s">
        <v>2625</v>
      </c>
      <c r="B759">
        <v>2</v>
      </c>
      <c r="C759" t="s">
        <v>1534</v>
      </c>
      <c r="D759" t="s">
        <v>1473</v>
      </c>
      <c r="E759">
        <v>0</v>
      </c>
    </row>
    <row r="760" spans="1:5" x14ac:dyDescent="0.15">
      <c r="A760" t="s">
        <v>2626</v>
      </c>
      <c r="B760">
        <v>2</v>
      </c>
      <c r="C760" t="s">
        <v>1526</v>
      </c>
      <c r="D760" t="s">
        <v>1473</v>
      </c>
      <c r="E760">
        <v>0</v>
      </c>
    </row>
    <row r="761" spans="1:5" x14ac:dyDescent="0.15">
      <c r="A761" t="s">
        <v>2627</v>
      </c>
      <c r="B761">
        <v>2</v>
      </c>
      <c r="C761" t="s">
        <v>1526</v>
      </c>
      <c r="D761" t="s">
        <v>1473</v>
      </c>
      <c r="E761">
        <v>0</v>
      </c>
    </row>
    <row r="762" spans="1:5" x14ac:dyDescent="0.15">
      <c r="A762" t="s">
        <v>2628</v>
      </c>
      <c r="B762">
        <v>2</v>
      </c>
      <c r="C762" t="s">
        <v>1530</v>
      </c>
      <c r="D762" t="s">
        <v>1473</v>
      </c>
      <c r="E762">
        <v>0</v>
      </c>
    </row>
    <row r="763" spans="1:5" x14ac:dyDescent="0.15">
      <c r="A763" t="s">
        <v>2629</v>
      </c>
      <c r="B763">
        <v>2</v>
      </c>
      <c r="C763" t="s">
        <v>1532</v>
      </c>
      <c r="D763" t="s">
        <v>1473</v>
      </c>
      <c r="E763">
        <v>0</v>
      </c>
    </row>
    <row r="764" spans="1:5" x14ac:dyDescent="0.15">
      <c r="A764" t="s">
        <v>2629</v>
      </c>
      <c r="B764">
        <v>2</v>
      </c>
      <c r="C764" t="s">
        <v>1532</v>
      </c>
      <c r="D764" t="s">
        <v>1473</v>
      </c>
      <c r="E764">
        <v>2</v>
      </c>
    </row>
    <row r="765" spans="1:5" x14ac:dyDescent="0.15">
      <c r="A765" t="s">
        <v>2630</v>
      </c>
      <c r="B765">
        <v>1</v>
      </c>
      <c r="C765" t="s">
        <v>1532</v>
      </c>
      <c r="D765" t="s">
        <v>1473</v>
      </c>
      <c r="E765">
        <v>0</v>
      </c>
    </row>
    <row r="766" spans="1:5" x14ac:dyDescent="0.15">
      <c r="A766" t="s">
        <v>2630</v>
      </c>
      <c r="B766">
        <v>1</v>
      </c>
      <c r="C766" t="s">
        <v>1532</v>
      </c>
      <c r="D766" t="s">
        <v>1473</v>
      </c>
      <c r="E766">
        <v>2</v>
      </c>
    </row>
    <row r="767" spans="1:5" x14ac:dyDescent="0.15">
      <c r="A767" t="s">
        <v>2284</v>
      </c>
      <c r="B767">
        <v>2</v>
      </c>
      <c r="C767" t="s">
        <v>1526</v>
      </c>
      <c r="D767" t="s">
        <v>1473</v>
      </c>
      <c r="E767">
        <v>4</v>
      </c>
    </row>
    <row r="768" spans="1:5" x14ac:dyDescent="0.15">
      <c r="A768" t="s">
        <v>2631</v>
      </c>
      <c r="B768">
        <v>2</v>
      </c>
      <c r="C768" t="s">
        <v>1526</v>
      </c>
      <c r="D768" t="s">
        <v>1473</v>
      </c>
      <c r="E768">
        <v>4</v>
      </c>
    </row>
    <row r="769" spans="1:5" x14ac:dyDescent="0.15">
      <c r="A769" t="s">
        <v>2631</v>
      </c>
      <c r="B769">
        <v>2</v>
      </c>
      <c r="C769" t="s">
        <v>1526</v>
      </c>
      <c r="D769" t="s">
        <v>1473</v>
      </c>
      <c r="E769">
        <v>0</v>
      </c>
    </row>
    <row r="770" spans="1:5" x14ac:dyDescent="0.15">
      <c r="A770" t="s">
        <v>2632</v>
      </c>
      <c r="B770">
        <v>1</v>
      </c>
      <c r="C770" t="s">
        <v>1530</v>
      </c>
      <c r="D770" t="s">
        <v>1473</v>
      </c>
      <c r="E770">
        <v>0</v>
      </c>
    </row>
    <row r="771" spans="1:5" x14ac:dyDescent="0.15">
      <c r="A771" t="s">
        <v>2633</v>
      </c>
      <c r="B771">
        <v>1</v>
      </c>
      <c r="C771" t="s">
        <v>1526</v>
      </c>
      <c r="D771" t="s">
        <v>1473</v>
      </c>
      <c r="E771">
        <v>0</v>
      </c>
    </row>
    <row r="772" spans="1:5" x14ac:dyDescent="0.15">
      <c r="A772" t="s">
        <v>2634</v>
      </c>
      <c r="B772">
        <v>4</v>
      </c>
      <c r="C772" t="s">
        <v>1526</v>
      </c>
      <c r="D772" t="s">
        <v>1473</v>
      </c>
      <c r="E772">
        <v>0</v>
      </c>
    </row>
    <row r="773" spans="1:5" x14ac:dyDescent="0.15">
      <c r="A773" t="s">
        <v>2283</v>
      </c>
      <c r="B773">
        <v>2</v>
      </c>
      <c r="C773" t="s">
        <v>1526</v>
      </c>
      <c r="D773" t="s">
        <v>1473</v>
      </c>
      <c r="E773">
        <v>0</v>
      </c>
    </row>
    <row r="774" spans="1:5" x14ac:dyDescent="0.15">
      <c r="A774" t="s">
        <v>2635</v>
      </c>
      <c r="B774">
        <v>2</v>
      </c>
      <c r="C774" t="s">
        <v>1530</v>
      </c>
      <c r="D774" t="s">
        <v>1473</v>
      </c>
      <c r="E774">
        <v>0</v>
      </c>
    </row>
    <row r="775" spans="1:5" x14ac:dyDescent="0.15">
      <c r="A775" t="s">
        <v>2636</v>
      </c>
      <c r="B775">
        <v>2</v>
      </c>
      <c r="C775" t="s">
        <v>1534</v>
      </c>
      <c r="D775" t="s">
        <v>1473</v>
      </c>
      <c r="E775">
        <v>0</v>
      </c>
    </row>
    <row r="776" spans="1:5" x14ac:dyDescent="0.15">
      <c r="A776" t="s">
        <v>2218</v>
      </c>
      <c r="B776">
        <v>1</v>
      </c>
      <c r="C776" t="s">
        <v>1536</v>
      </c>
      <c r="D776" t="s">
        <v>1473</v>
      </c>
      <c r="E776">
        <v>4</v>
      </c>
    </row>
    <row r="777" spans="1:5" x14ac:dyDescent="0.15">
      <c r="A777" t="s">
        <v>2206</v>
      </c>
      <c r="B777">
        <v>2</v>
      </c>
      <c r="C777" t="s">
        <v>1534</v>
      </c>
      <c r="D777" t="s">
        <v>1473</v>
      </c>
      <c r="E777">
        <v>4</v>
      </c>
    </row>
    <row r="778" spans="1:5" x14ac:dyDescent="0.15">
      <c r="A778" t="s">
        <v>2339</v>
      </c>
      <c r="B778">
        <v>2</v>
      </c>
      <c r="C778" t="s">
        <v>1534</v>
      </c>
      <c r="D778" t="s">
        <v>1473</v>
      </c>
      <c r="E778">
        <v>0</v>
      </c>
    </row>
    <row r="779" spans="1:5" x14ac:dyDescent="0.15">
      <c r="A779" t="s">
        <v>2584</v>
      </c>
      <c r="B779">
        <v>2</v>
      </c>
      <c r="C779" t="s">
        <v>1530</v>
      </c>
      <c r="D779" t="s">
        <v>1473</v>
      </c>
      <c r="E779">
        <v>4</v>
      </c>
    </row>
    <row r="780" spans="1:5" x14ac:dyDescent="0.15">
      <c r="A780" t="s">
        <v>2265</v>
      </c>
      <c r="B780">
        <v>4</v>
      </c>
      <c r="C780" t="s">
        <v>1532</v>
      </c>
      <c r="D780" t="s">
        <v>1473</v>
      </c>
      <c r="E780">
        <v>2</v>
      </c>
    </row>
    <row r="781" spans="1:5" x14ac:dyDescent="0.15">
      <c r="A781" t="s">
        <v>2637</v>
      </c>
      <c r="B781">
        <v>2</v>
      </c>
      <c r="C781" t="s">
        <v>1530</v>
      </c>
      <c r="D781" t="s">
        <v>1473</v>
      </c>
      <c r="E781">
        <v>0</v>
      </c>
    </row>
    <row r="782" spans="1:5" x14ac:dyDescent="0.15">
      <c r="A782" t="s">
        <v>2638</v>
      </c>
      <c r="B782">
        <v>2</v>
      </c>
      <c r="C782" t="s">
        <v>1534</v>
      </c>
      <c r="D782" t="s">
        <v>1473</v>
      </c>
      <c r="E782">
        <v>0</v>
      </c>
    </row>
    <row r="783" spans="1:5" x14ac:dyDescent="0.15">
      <c r="A783" t="s">
        <v>2184</v>
      </c>
      <c r="B783">
        <v>2</v>
      </c>
      <c r="C783" t="s">
        <v>1534</v>
      </c>
      <c r="D783" t="s">
        <v>1473</v>
      </c>
      <c r="E783">
        <v>2</v>
      </c>
    </row>
    <row r="784" spans="1:5" x14ac:dyDescent="0.15">
      <c r="A784" t="s">
        <v>2639</v>
      </c>
      <c r="B784">
        <v>2</v>
      </c>
      <c r="C784" t="s">
        <v>1526</v>
      </c>
      <c r="D784" t="s">
        <v>1473</v>
      </c>
      <c r="E784">
        <v>0</v>
      </c>
    </row>
    <row r="785" spans="1:5" x14ac:dyDescent="0.15">
      <c r="A785" t="s">
        <v>2640</v>
      </c>
      <c r="B785">
        <v>1</v>
      </c>
      <c r="C785" t="s">
        <v>1526</v>
      </c>
      <c r="D785" t="s">
        <v>1473</v>
      </c>
      <c r="E785">
        <v>0</v>
      </c>
    </row>
    <row r="786" spans="1:5" x14ac:dyDescent="0.15">
      <c r="A786" t="s">
        <v>2402</v>
      </c>
      <c r="B786">
        <v>2</v>
      </c>
      <c r="C786" t="s">
        <v>1526</v>
      </c>
      <c r="D786" t="s">
        <v>1473</v>
      </c>
      <c r="E786">
        <v>4</v>
      </c>
    </row>
    <row r="787" spans="1:5" x14ac:dyDescent="0.15">
      <c r="A787" t="s">
        <v>2641</v>
      </c>
      <c r="B787">
        <v>1</v>
      </c>
      <c r="C787" t="s">
        <v>1538</v>
      </c>
      <c r="D787" t="s">
        <v>1473</v>
      </c>
      <c r="E787">
        <v>0</v>
      </c>
    </row>
    <row r="788" spans="1:5" x14ac:dyDescent="0.15">
      <c r="A788" t="s">
        <v>2642</v>
      </c>
      <c r="B788">
        <v>1</v>
      </c>
      <c r="C788" t="s">
        <v>1530</v>
      </c>
      <c r="D788" t="s">
        <v>1473</v>
      </c>
      <c r="E788">
        <v>0</v>
      </c>
    </row>
    <row r="789" spans="1:5" x14ac:dyDescent="0.15">
      <c r="A789" t="s">
        <v>2643</v>
      </c>
      <c r="B789">
        <v>2</v>
      </c>
      <c r="C789" t="s">
        <v>1534</v>
      </c>
      <c r="D789" t="s">
        <v>1473</v>
      </c>
      <c r="E789">
        <v>0</v>
      </c>
    </row>
    <row r="790" spans="1:5" x14ac:dyDescent="0.15">
      <c r="A790" t="s">
        <v>2644</v>
      </c>
      <c r="B790">
        <v>2</v>
      </c>
      <c r="C790" t="s">
        <v>1534</v>
      </c>
      <c r="D790" t="s">
        <v>1473</v>
      </c>
      <c r="E790">
        <v>0</v>
      </c>
    </row>
    <row r="791" spans="1:5" x14ac:dyDescent="0.15">
      <c r="A791" t="s">
        <v>2644</v>
      </c>
      <c r="B791">
        <v>2</v>
      </c>
      <c r="C791" t="s">
        <v>1534</v>
      </c>
      <c r="D791" t="s">
        <v>1473</v>
      </c>
      <c r="E791">
        <v>4</v>
      </c>
    </row>
    <row r="792" spans="1:5" x14ac:dyDescent="0.15">
      <c r="A792" t="s">
        <v>2282</v>
      </c>
      <c r="B792">
        <v>4</v>
      </c>
      <c r="C792" t="s">
        <v>1532</v>
      </c>
      <c r="D792" t="s">
        <v>1473</v>
      </c>
      <c r="E792">
        <v>4</v>
      </c>
    </row>
    <row r="793" spans="1:5" x14ac:dyDescent="0.15">
      <c r="A793" t="s">
        <v>2645</v>
      </c>
      <c r="B793">
        <v>2</v>
      </c>
      <c r="C793" t="s">
        <v>1526</v>
      </c>
      <c r="D793" t="s">
        <v>1473</v>
      </c>
      <c r="E793">
        <v>0</v>
      </c>
    </row>
    <row r="794" spans="1:5" x14ac:dyDescent="0.15">
      <c r="A794" t="s">
        <v>2646</v>
      </c>
      <c r="B794">
        <v>1</v>
      </c>
      <c r="C794" t="s">
        <v>1530</v>
      </c>
      <c r="D794" t="s">
        <v>1473</v>
      </c>
      <c r="E794">
        <v>0</v>
      </c>
    </row>
    <row r="795" spans="1:5" x14ac:dyDescent="0.15">
      <c r="A795" t="s">
        <v>2647</v>
      </c>
      <c r="B795">
        <v>2</v>
      </c>
      <c r="C795" t="s">
        <v>1536</v>
      </c>
      <c r="D795" t="s">
        <v>1473</v>
      </c>
      <c r="E795">
        <v>2</v>
      </c>
    </row>
    <row r="796" spans="1:5" x14ac:dyDescent="0.15">
      <c r="A796" t="s">
        <v>2648</v>
      </c>
      <c r="B796">
        <v>2</v>
      </c>
      <c r="C796" t="s">
        <v>1526</v>
      </c>
      <c r="D796" t="s">
        <v>1473</v>
      </c>
      <c r="E796">
        <v>0</v>
      </c>
    </row>
    <row r="797" spans="1:5" x14ac:dyDescent="0.15">
      <c r="A797" t="s">
        <v>2649</v>
      </c>
      <c r="B797">
        <v>2</v>
      </c>
      <c r="C797" t="s">
        <v>1530</v>
      </c>
      <c r="D797" t="s">
        <v>1473</v>
      </c>
      <c r="E797">
        <v>0</v>
      </c>
    </row>
    <row r="798" spans="1:5" x14ac:dyDescent="0.15">
      <c r="A798" t="s">
        <v>2584</v>
      </c>
      <c r="B798">
        <v>2</v>
      </c>
      <c r="C798" t="s">
        <v>1530</v>
      </c>
      <c r="D798" t="s">
        <v>1473</v>
      </c>
      <c r="E798">
        <v>2</v>
      </c>
    </row>
    <row r="799" spans="1:5" x14ac:dyDescent="0.15">
      <c r="A799" t="s">
        <v>2275</v>
      </c>
      <c r="B799">
        <v>4</v>
      </c>
      <c r="C799" t="s">
        <v>1538</v>
      </c>
      <c r="D799" t="s">
        <v>1473</v>
      </c>
      <c r="E799">
        <v>4</v>
      </c>
    </row>
    <row r="800" spans="1:5" x14ac:dyDescent="0.15">
      <c r="A800" t="s">
        <v>2650</v>
      </c>
      <c r="B800">
        <v>2</v>
      </c>
      <c r="C800" t="s">
        <v>1534</v>
      </c>
      <c r="D800" t="s">
        <v>1473</v>
      </c>
      <c r="E800">
        <v>0</v>
      </c>
    </row>
    <row r="801" spans="1:5" x14ac:dyDescent="0.15">
      <c r="A801" t="s">
        <v>2651</v>
      </c>
      <c r="B801">
        <v>2</v>
      </c>
      <c r="C801" t="s">
        <v>1536</v>
      </c>
      <c r="D801" t="s">
        <v>1473</v>
      </c>
      <c r="E801">
        <v>0</v>
      </c>
    </row>
    <row r="802" spans="1:5" x14ac:dyDescent="0.15">
      <c r="A802" t="s">
        <v>2652</v>
      </c>
      <c r="B802">
        <v>2</v>
      </c>
      <c r="C802" t="s">
        <v>1534</v>
      </c>
      <c r="D802" t="s">
        <v>1473</v>
      </c>
      <c r="E802">
        <v>0</v>
      </c>
    </row>
    <row r="803" spans="1:5" x14ac:dyDescent="0.15">
      <c r="A803" t="s">
        <v>2653</v>
      </c>
      <c r="B803">
        <v>2</v>
      </c>
      <c r="C803" t="s">
        <v>1534</v>
      </c>
      <c r="D803" t="s">
        <v>1473</v>
      </c>
      <c r="E803">
        <v>0</v>
      </c>
    </row>
    <row r="804" spans="1:5" x14ac:dyDescent="0.15">
      <c r="A804" t="s">
        <v>2654</v>
      </c>
      <c r="B804">
        <v>1</v>
      </c>
      <c r="C804" t="s">
        <v>1532</v>
      </c>
      <c r="D804" t="s">
        <v>1473</v>
      </c>
      <c r="E804">
        <v>4</v>
      </c>
    </row>
    <row r="805" spans="1:5" x14ac:dyDescent="0.15">
      <c r="A805" t="s">
        <v>2655</v>
      </c>
      <c r="B805">
        <v>2</v>
      </c>
      <c r="C805" t="s">
        <v>1534</v>
      </c>
      <c r="D805" t="s">
        <v>1473</v>
      </c>
      <c r="E805">
        <v>0</v>
      </c>
    </row>
    <row r="806" spans="1:5" x14ac:dyDescent="0.15">
      <c r="A806" t="s">
        <v>2614</v>
      </c>
      <c r="B806">
        <v>2</v>
      </c>
      <c r="C806" t="s">
        <v>1526</v>
      </c>
      <c r="D806" t="s">
        <v>1473</v>
      </c>
      <c r="E806">
        <v>4</v>
      </c>
    </row>
    <row r="807" spans="1:5" x14ac:dyDescent="0.15">
      <c r="A807" t="s">
        <v>2286</v>
      </c>
      <c r="B807">
        <v>2</v>
      </c>
      <c r="C807" t="s">
        <v>1536</v>
      </c>
      <c r="D807" t="s">
        <v>1473</v>
      </c>
      <c r="E807">
        <v>2</v>
      </c>
    </row>
    <row r="808" spans="1:5" x14ac:dyDescent="0.15">
      <c r="A808" t="s">
        <v>2359</v>
      </c>
      <c r="B808">
        <v>2</v>
      </c>
      <c r="C808" t="s">
        <v>1530</v>
      </c>
      <c r="D808" t="s">
        <v>1473</v>
      </c>
      <c r="E808">
        <v>2</v>
      </c>
    </row>
    <row r="809" spans="1:5" x14ac:dyDescent="0.15">
      <c r="A809" t="s">
        <v>2359</v>
      </c>
      <c r="B809">
        <v>2</v>
      </c>
      <c r="C809" t="s">
        <v>1530</v>
      </c>
      <c r="D809" t="s">
        <v>1473</v>
      </c>
      <c r="E809">
        <v>0</v>
      </c>
    </row>
    <row r="810" spans="1:5" x14ac:dyDescent="0.15">
      <c r="A810" t="s">
        <v>2656</v>
      </c>
      <c r="B810">
        <v>2</v>
      </c>
      <c r="C810" t="s">
        <v>1534</v>
      </c>
      <c r="D810" t="s">
        <v>1473</v>
      </c>
      <c r="E810">
        <v>0</v>
      </c>
    </row>
    <row r="811" spans="1:5" x14ac:dyDescent="0.15">
      <c r="A811" t="s">
        <v>2288</v>
      </c>
      <c r="B811">
        <v>2</v>
      </c>
      <c r="C811" t="s">
        <v>1530</v>
      </c>
      <c r="D811" t="s">
        <v>1473</v>
      </c>
      <c r="E811">
        <v>0</v>
      </c>
    </row>
    <row r="812" spans="1:5" x14ac:dyDescent="0.15">
      <c r="A812" t="s">
        <v>2657</v>
      </c>
      <c r="B812">
        <v>2</v>
      </c>
      <c r="C812" t="s">
        <v>1528</v>
      </c>
      <c r="D812" t="s">
        <v>1473</v>
      </c>
      <c r="E812">
        <v>0</v>
      </c>
    </row>
    <row r="813" spans="1:5" x14ac:dyDescent="0.15">
      <c r="A813" t="s">
        <v>2658</v>
      </c>
      <c r="B813">
        <v>2</v>
      </c>
      <c r="C813" t="s">
        <v>1530</v>
      </c>
      <c r="D813" t="s">
        <v>1473</v>
      </c>
      <c r="E813">
        <v>0</v>
      </c>
    </row>
    <row r="814" spans="1:5" x14ac:dyDescent="0.15">
      <c r="A814" t="s">
        <v>2659</v>
      </c>
      <c r="B814">
        <v>2</v>
      </c>
      <c r="C814" t="s">
        <v>1534</v>
      </c>
      <c r="D814" t="s">
        <v>1473</v>
      </c>
      <c r="E814">
        <v>0</v>
      </c>
    </row>
    <row r="815" spans="1:5" x14ac:dyDescent="0.15">
      <c r="A815" t="s">
        <v>2660</v>
      </c>
      <c r="B815">
        <v>2</v>
      </c>
      <c r="C815" t="s">
        <v>1534</v>
      </c>
      <c r="D815" t="s">
        <v>1473</v>
      </c>
      <c r="E815">
        <v>4</v>
      </c>
    </row>
    <row r="816" spans="1:5" x14ac:dyDescent="0.15">
      <c r="A816" t="s">
        <v>2660</v>
      </c>
      <c r="B816">
        <v>2</v>
      </c>
      <c r="C816" t="s">
        <v>1534</v>
      </c>
      <c r="D816" t="s">
        <v>1473</v>
      </c>
      <c r="E816">
        <v>2</v>
      </c>
    </row>
    <row r="817" spans="1:5" x14ac:dyDescent="0.15">
      <c r="A817" t="s">
        <v>2660</v>
      </c>
      <c r="B817">
        <v>2</v>
      </c>
      <c r="C817" t="s">
        <v>1534</v>
      </c>
      <c r="D817" t="s">
        <v>1473</v>
      </c>
      <c r="E817">
        <v>0</v>
      </c>
    </row>
    <row r="818" spans="1:5" x14ac:dyDescent="0.15">
      <c r="A818" t="s">
        <v>2266</v>
      </c>
      <c r="B818">
        <v>1</v>
      </c>
      <c r="C818" t="s">
        <v>1530</v>
      </c>
      <c r="D818" t="s">
        <v>1473</v>
      </c>
      <c r="E818">
        <v>0</v>
      </c>
    </row>
    <row r="819" spans="1:5" x14ac:dyDescent="0.15">
      <c r="A819" t="s">
        <v>2661</v>
      </c>
      <c r="B819">
        <v>2</v>
      </c>
      <c r="C819" t="s">
        <v>1534</v>
      </c>
      <c r="D819" t="s">
        <v>1473</v>
      </c>
      <c r="E819">
        <v>0</v>
      </c>
    </row>
    <row r="820" spans="1:5" x14ac:dyDescent="0.15">
      <c r="A820" t="s">
        <v>2647</v>
      </c>
      <c r="B820">
        <v>2</v>
      </c>
      <c r="C820" t="s">
        <v>1536</v>
      </c>
      <c r="D820" t="s">
        <v>1473</v>
      </c>
      <c r="E820">
        <v>0</v>
      </c>
    </row>
    <row r="821" spans="1:5" x14ac:dyDescent="0.15">
      <c r="A821" t="s">
        <v>2662</v>
      </c>
      <c r="B821">
        <v>2</v>
      </c>
      <c r="C821" t="s">
        <v>1526</v>
      </c>
      <c r="D821" t="s">
        <v>1473</v>
      </c>
      <c r="E821">
        <v>0</v>
      </c>
    </row>
    <row r="822" spans="1:5" x14ac:dyDescent="0.15">
      <c r="A822" t="s">
        <v>2663</v>
      </c>
      <c r="B822">
        <v>1</v>
      </c>
      <c r="C822" t="s">
        <v>1530</v>
      </c>
      <c r="D822" t="s">
        <v>1473</v>
      </c>
      <c r="E822">
        <v>0</v>
      </c>
    </row>
    <row r="823" spans="1:5" x14ac:dyDescent="0.15">
      <c r="A823" t="s">
        <v>2664</v>
      </c>
      <c r="B823">
        <v>2</v>
      </c>
      <c r="C823" t="s">
        <v>1530</v>
      </c>
      <c r="D823" t="s">
        <v>1473</v>
      </c>
      <c r="E823">
        <v>0</v>
      </c>
    </row>
    <row r="824" spans="1:5" x14ac:dyDescent="0.15">
      <c r="A824" t="s">
        <v>2635</v>
      </c>
      <c r="B824">
        <v>2</v>
      </c>
      <c r="C824" t="s">
        <v>1530</v>
      </c>
      <c r="D824" t="s">
        <v>1473</v>
      </c>
      <c r="E824">
        <v>2</v>
      </c>
    </row>
    <row r="825" spans="1:5" x14ac:dyDescent="0.15">
      <c r="A825" t="s">
        <v>2665</v>
      </c>
      <c r="B825">
        <v>2</v>
      </c>
      <c r="C825" t="s">
        <v>1532</v>
      </c>
      <c r="D825" t="s">
        <v>1473</v>
      </c>
      <c r="E825">
        <v>0</v>
      </c>
    </row>
    <row r="826" spans="1:5" x14ac:dyDescent="0.15">
      <c r="A826" t="s">
        <v>2666</v>
      </c>
      <c r="B826">
        <v>2</v>
      </c>
      <c r="C826" t="s">
        <v>1530</v>
      </c>
      <c r="D826" t="s">
        <v>1473</v>
      </c>
      <c r="E826">
        <v>0</v>
      </c>
    </row>
    <row r="827" spans="1:5" x14ac:dyDescent="0.15">
      <c r="A827" t="s">
        <v>2667</v>
      </c>
      <c r="B827">
        <v>2</v>
      </c>
      <c r="C827" t="s">
        <v>1534</v>
      </c>
      <c r="D827" t="s">
        <v>1473</v>
      </c>
      <c r="E827">
        <v>0</v>
      </c>
    </row>
    <row r="828" spans="1:5" x14ac:dyDescent="0.15">
      <c r="A828" t="s">
        <v>2330</v>
      </c>
      <c r="B828">
        <v>1</v>
      </c>
      <c r="C828" t="s">
        <v>1526</v>
      </c>
      <c r="D828" t="s">
        <v>1473</v>
      </c>
      <c r="E828">
        <v>2</v>
      </c>
    </row>
    <row r="829" spans="1:5" x14ac:dyDescent="0.15">
      <c r="A829" t="s">
        <v>2668</v>
      </c>
      <c r="B829">
        <v>1</v>
      </c>
      <c r="C829" t="s">
        <v>1526</v>
      </c>
      <c r="D829" t="s">
        <v>1473</v>
      </c>
      <c r="E829">
        <v>0</v>
      </c>
    </row>
    <row r="830" spans="1:5" x14ac:dyDescent="0.15">
      <c r="A830" t="s">
        <v>2223</v>
      </c>
      <c r="B830">
        <v>2</v>
      </c>
      <c r="C830" t="s">
        <v>1526</v>
      </c>
      <c r="D830" t="s">
        <v>1473</v>
      </c>
      <c r="E830">
        <v>4</v>
      </c>
    </row>
    <row r="831" spans="1:5" x14ac:dyDescent="0.15">
      <c r="A831" t="s">
        <v>2290</v>
      </c>
      <c r="B831">
        <v>1</v>
      </c>
      <c r="C831" t="s">
        <v>1530</v>
      </c>
      <c r="D831" t="s">
        <v>1473</v>
      </c>
      <c r="E831">
        <v>2</v>
      </c>
    </row>
    <row r="832" spans="1:5" x14ac:dyDescent="0.15">
      <c r="A832" t="s">
        <v>2346</v>
      </c>
      <c r="B832">
        <v>2</v>
      </c>
      <c r="C832" t="s">
        <v>1526</v>
      </c>
      <c r="D832" t="s">
        <v>1473</v>
      </c>
      <c r="E832">
        <v>2</v>
      </c>
    </row>
    <row r="833" spans="1:5" x14ac:dyDescent="0.15">
      <c r="A833" t="s">
        <v>2669</v>
      </c>
      <c r="B833">
        <v>1</v>
      </c>
      <c r="C833" t="s">
        <v>1526</v>
      </c>
      <c r="D833" t="s">
        <v>1473</v>
      </c>
      <c r="E833">
        <v>0</v>
      </c>
    </row>
    <row r="834" spans="1:5" x14ac:dyDescent="0.15">
      <c r="A834" t="s">
        <v>2262</v>
      </c>
      <c r="B834">
        <v>1</v>
      </c>
      <c r="C834" t="s">
        <v>1528</v>
      </c>
      <c r="D834" t="s">
        <v>1473</v>
      </c>
      <c r="E834">
        <v>2</v>
      </c>
    </row>
    <row r="835" spans="1:5" x14ac:dyDescent="0.15">
      <c r="A835" t="s">
        <v>2370</v>
      </c>
      <c r="B835">
        <v>4</v>
      </c>
      <c r="C835" t="s">
        <v>1534</v>
      </c>
      <c r="D835" t="s">
        <v>1473</v>
      </c>
      <c r="E835">
        <v>2</v>
      </c>
    </row>
    <row r="836" spans="1:5" x14ac:dyDescent="0.15">
      <c r="A836" t="s">
        <v>2390</v>
      </c>
      <c r="B836">
        <v>4</v>
      </c>
      <c r="C836" t="s">
        <v>1526</v>
      </c>
      <c r="D836" t="s">
        <v>1473</v>
      </c>
      <c r="E836">
        <v>2</v>
      </c>
    </row>
    <row r="837" spans="1:5" x14ac:dyDescent="0.15">
      <c r="A837" t="s">
        <v>2670</v>
      </c>
      <c r="B837">
        <v>2</v>
      </c>
      <c r="C837" t="s">
        <v>1526</v>
      </c>
      <c r="D837" t="s">
        <v>1473</v>
      </c>
      <c r="E837">
        <v>0</v>
      </c>
    </row>
    <row r="838" spans="1:5" x14ac:dyDescent="0.15">
      <c r="A838" t="s">
        <v>2249</v>
      </c>
      <c r="B838">
        <v>2</v>
      </c>
      <c r="C838" t="s">
        <v>1530</v>
      </c>
      <c r="D838" t="s">
        <v>1473</v>
      </c>
      <c r="E838">
        <v>2</v>
      </c>
    </row>
    <row r="839" spans="1:5" x14ac:dyDescent="0.15">
      <c r="A839" t="s">
        <v>2303</v>
      </c>
      <c r="B839">
        <v>2</v>
      </c>
      <c r="C839" t="s">
        <v>1534</v>
      </c>
      <c r="D839" t="s">
        <v>1473</v>
      </c>
      <c r="E839">
        <v>4</v>
      </c>
    </row>
    <row r="840" spans="1:5" x14ac:dyDescent="0.15">
      <c r="A840" t="s">
        <v>2671</v>
      </c>
      <c r="B840">
        <v>2</v>
      </c>
      <c r="C840" t="s">
        <v>1538</v>
      </c>
      <c r="D840" t="s">
        <v>1473</v>
      </c>
      <c r="E840">
        <v>4</v>
      </c>
    </row>
    <row r="841" spans="1:5" x14ac:dyDescent="0.15">
      <c r="A841" t="s">
        <v>2671</v>
      </c>
      <c r="B841">
        <v>2</v>
      </c>
      <c r="C841" t="s">
        <v>1538</v>
      </c>
      <c r="D841" t="s">
        <v>1473</v>
      </c>
      <c r="E841">
        <v>2</v>
      </c>
    </row>
    <row r="842" spans="1:5" x14ac:dyDescent="0.15">
      <c r="A842" t="s">
        <v>2672</v>
      </c>
      <c r="B842">
        <v>2</v>
      </c>
      <c r="C842" t="s">
        <v>1526</v>
      </c>
      <c r="D842" t="s">
        <v>1473</v>
      </c>
      <c r="E842">
        <v>4</v>
      </c>
    </row>
    <row r="843" spans="1:5" x14ac:dyDescent="0.15">
      <c r="A843" t="s">
        <v>2182</v>
      </c>
      <c r="B843">
        <v>4</v>
      </c>
      <c r="C843" t="s">
        <v>1538</v>
      </c>
      <c r="D843" t="s">
        <v>1473</v>
      </c>
      <c r="E843">
        <v>4</v>
      </c>
    </row>
    <row r="844" spans="1:5" x14ac:dyDescent="0.15">
      <c r="A844" t="s">
        <v>2673</v>
      </c>
      <c r="B844">
        <v>2</v>
      </c>
      <c r="C844" t="s">
        <v>1534</v>
      </c>
      <c r="D844" t="s">
        <v>1473</v>
      </c>
      <c r="E844">
        <v>0</v>
      </c>
    </row>
    <row r="845" spans="1:5" x14ac:dyDescent="0.15">
      <c r="A845" t="s">
        <v>2674</v>
      </c>
      <c r="B845">
        <v>2</v>
      </c>
      <c r="C845" t="s">
        <v>1534</v>
      </c>
      <c r="D845" t="s">
        <v>1473</v>
      </c>
      <c r="E845">
        <v>2</v>
      </c>
    </row>
    <row r="846" spans="1:5" x14ac:dyDescent="0.15">
      <c r="A846" t="s">
        <v>2675</v>
      </c>
      <c r="B846">
        <v>2</v>
      </c>
      <c r="C846" t="s">
        <v>1534</v>
      </c>
      <c r="D846" t="s">
        <v>1473</v>
      </c>
      <c r="E846">
        <v>0</v>
      </c>
    </row>
    <row r="847" spans="1:5" x14ac:dyDescent="0.15">
      <c r="A847" t="s">
        <v>2676</v>
      </c>
      <c r="B847">
        <v>2</v>
      </c>
      <c r="C847" t="s">
        <v>1534</v>
      </c>
      <c r="D847" t="s">
        <v>1473</v>
      </c>
      <c r="E847">
        <v>0</v>
      </c>
    </row>
    <row r="848" spans="1:5" x14ac:dyDescent="0.15">
      <c r="A848" t="s">
        <v>2495</v>
      </c>
      <c r="B848">
        <v>1</v>
      </c>
      <c r="C848" t="s">
        <v>1538</v>
      </c>
      <c r="D848" t="s">
        <v>1473</v>
      </c>
      <c r="E848">
        <v>4</v>
      </c>
    </row>
    <row r="849" spans="1:5" x14ac:dyDescent="0.15">
      <c r="A849" t="s">
        <v>2508</v>
      </c>
      <c r="B849">
        <v>1</v>
      </c>
      <c r="C849" t="s">
        <v>1538</v>
      </c>
      <c r="D849" t="s">
        <v>1473</v>
      </c>
      <c r="E849">
        <v>4</v>
      </c>
    </row>
    <row r="850" spans="1:5" x14ac:dyDescent="0.15">
      <c r="A850" t="s">
        <v>2677</v>
      </c>
      <c r="B850">
        <v>1</v>
      </c>
      <c r="C850" t="s">
        <v>1538</v>
      </c>
      <c r="D850" t="s">
        <v>1473</v>
      </c>
      <c r="E850">
        <v>0</v>
      </c>
    </row>
    <row r="851" spans="1:5" x14ac:dyDescent="0.15">
      <c r="A851" t="s">
        <v>2490</v>
      </c>
      <c r="B851">
        <v>1</v>
      </c>
      <c r="C851" t="s">
        <v>1538</v>
      </c>
      <c r="D851" t="s">
        <v>1473</v>
      </c>
      <c r="E851">
        <v>4</v>
      </c>
    </row>
    <row r="852" spans="1:5" x14ac:dyDescent="0.15">
      <c r="A852" t="s">
        <v>2507</v>
      </c>
      <c r="B852">
        <v>1</v>
      </c>
      <c r="C852" t="s">
        <v>1538</v>
      </c>
      <c r="D852" t="s">
        <v>1473</v>
      </c>
      <c r="E852">
        <v>4</v>
      </c>
    </row>
    <row r="853" spans="1:5" x14ac:dyDescent="0.15">
      <c r="A853" t="s">
        <v>2489</v>
      </c>
      <c r="B853">
        <v>1</v>
      </c>
      <c r="C853" t="s">
        <v>1538</v>
      </c>
      <c r="D853" t="s">
        <v>1473</v>
      </c>
      <c r="E853">
        <v>4</v>
      </c>
    </row>
    <row r="854" spans="1:5" x14ac:dyDescent="0.15">
      <c r="A854" t="s">
        <v>2500</v>
      </c>
      <c r="B854">
        <v>1</v>
      </c>
      <c r="C854" t="s">
        <v>1538</v>
      </c>
      <c r="D854" t="s">
        <v>1473</v>
      </c>
      <c r="E854">
        <v>4</v>
      </c>
    </row>
    <row r="855" spans="1:5" x14ac:dyDescent="0.15">
      <c r="A855" t="s">
        <v>2516</v>
      </c>
      <c r="B855">
        <v>1</v>
      </c>
      <c r="C855" t="s">
        <v>1538</v>
      </c>
      <c r="D855" t="s">
        <v>1473</v>
      </c>
      <c r="E855">
        <v>4</v>
      </c>
    </row>
    <row r="856" spans="1:5" x14ac:dyDescent="0.15">
      <c r="A856" t="s">
        <v>2513</v>
      </c>
      <c r="B856">
        <v>1</v>
      </c>
      <c r="C856" t="s">
        <v>1526</v>
      </c>
      <c r="D856" t="s">
        <v>1473</v>
      </c>
      <c r="E856">
        <v>4</v>
      </c>
    </row>
    <row r="857" spans="1:5" x14ac:dyDescent="0.15">
      <c r="A857" t="s">
        <v>2486</v>
      </c>
      <c r="B857">
        <v>1</v>
      </c>
      <c r="C857" t="s">
        <v>1538</v>
      </c>
      <c r="D857" t="s">
        <v>1473</v>
      </c>
      <c r="E857">
        <v>4</v>
      </c>
    </row>
    <row r="858" spans="1:5" x14ac:dyDescent="0.15">
      <c r="A858" t="s">
        <v>2477</v>
      </c>
      <c r="B858">
        <v>1</v>
      </c>
      <c r="C858" t="s">
        <v>1538</v>
      </c>
      <c r="D858" t="s">
        <v>1473</v>
      </c>
      <c r="E858">
        <v>4</v>
      </c>
    </row>
    <row r="859" spans="1:5" x14ac:dyDescent="0.15">
      <c r="A859" t="s">
        <v>2489</v>
      </c>
      <c r="B859">
        <v>1</v>
      </c>
      <c r="C859" t="s">
        <v>1538</v>
      </c>
      <c r="D859" t="s">
        <v>1473</v>
      </c>
      <c r="E859">
        <v>2</v>
      </c>
    </row>
    <row r="860" spans="1:5" x14ac:dyDescent="0.15">
      <c r="A860" t="s">
        <v>2475</v>
      </c>
      <c r="B860">
        <v>1</v>
      </c>
      <c r="C860" t="s">
        <v>1538</v>
      </c>
      <c r="D860" t="s">
        <v>1473</v>
      </c>
      <c r="E860">
        <v>2</v>
      </c>
    </row>
    <row r="861" spans="1:5" x14ac:dyDescent="0.15">
      <c r="A861" t="s">
        <v>2508</v>
      </c>
      <c r="B861">
        <v>1</v>
      </c>
      <c r="C861" t="s">
        <v>1538</v>
      </c>
      <c r="D861" t="s">
        <v>1473</v>
      </c>
      <c r="E861">
        <v>2</v>
      </c>
    </row>
    <row r="862" spans="1:5" x14ac:dyDescent="0.15">
      <c r="A862" t="s">
        <v>2472</v>
      </c>
      <c r="B862">
        <v>1</v>
      </c>
      <c r="C862" t="s">
        <v>1538</v>
      </c>
      <c r="D862" t="s">
        <v>1473</v>
      </c>
      <c r="E862">
        <v>2</v>
      </c>
    </row>
    <row r="863" spans="1:5" x14ac:dyDescent="0.15">
      <c r="A863" t="s">
        <v>2512</v>
      </c>
      <c r="B863">
        <v>1</v>
      </c>
      <c r="C863" t="s">
        <v>1538</v>
      </c>
      <c r="D863" t="s">
        <v>1473</v>
      </c>
      <c r="E863">
        <v>2</v>
      </c>
    </row>
    <row r="864" spans="1:5" x14ac:dyDescent="0.15">
      <c r="A864" t="s">
        <v>2484</v>
      </c>
      <c r="B864">
        <v>1</v>
      </c>
      <c r="C864" t="s">
        <v>1538</v>
      </c>
      <c r="D864" t="s">
        <v>1473</v>
      </c>
      <c r="E864">
        <v>2</v>
      </c>
    </row>
    <row r="865" spans="1:5" x14ac:dyDescent="0.15">
      <c r="A865" t="s">
        <v>2515</v>
      </c>
      <c r="B865">
        <v>1</v>
      </c>
      <c r="C865" t="s">
        <v>1538</v>
      </c>
      <c r="D865" t="s">
        <v>1473</v>
      </c>
      <c r="E865">
        <v>2</v>
      </c>
    </row>
    <row r="866" spans="1:5" x14ac:dyDescent="0.15">
      <c r="A866" t="s">
        <v>2512</v>
      </c>
      <c r="B866">
        <v>1</v>
      </c>
      <c r="C866" t="s">
        <v>1538</v>
      </c>
      <c r="D866" t="s">
        <v>1473</v>
      </c>
      <c r="E866">
        <v>4</v>
      </c>
    </row>
    <row r="867" spans="1:5" x14ac:dyDescent="0.15">
      <c r="A867" t="s">
        <v>2481</v>
      </c>
      <c r="B867">
        <v>1</v>
      </c>
      <c r="C867" t="s">
        <v>1538</v>
      </c>
      <c r="D867" t="s">
        <v>1473</v>
      </c>
      <c r="E867">
        <v>4</v>
      </c>
    </row>
    <row r="868" spans="1:5" x14ac:dyDescent="0.15">
      <c r="A868" t="s">
        <v>2678</v>
      </c>
      <c r="B868">
        <v>1</v>
      </c>
      <c r="C868" t="s">
        <v>1536</v>
      </c>
      <c r="D868" t="s">
        <v>1473</v>
      </c>
      <c r="E868">
        <v>0</v>
      </c>
    </row>
    <row r="869" spans="1:5" x14ac:dyDescent="0.15">
      <c r="A869" t="s">
        <v>2555</v>
      </c>
      <c r="B869">
        <v>1</v>
      </c>
      <c r="C869" t="s">
        <v>1536</v>
      </c>
      <c r="D869" t="s">
        <v>1473</v>
      </c>
      <c r="E869">
        <v>2</v>
      </c>
    </row>
    <row r="870" spans="1:5" x14ac:dyDescent="0.15">
      <c r="A870" t="s">
        <v>2556</v>
      </c>
      <c r="B870">
        <v>1</v>
      </c>
      <c r="C870" t="s">
        <v>1536</v>
      </c>
      <c r="D870" t="s">
        <v>1473</v>
      </c>
      <c r="E870">
        <v>2</v>
      </c>
    </row>
    <row r="871" spans="1:5" x14ac:dyDescent="0.15">
      <c r="A871" t="s">
        <v>2679</v>
      </c>
      <c r="B871">
        <v>2</v>
      </c>
      <c r="C871" t="s">
        <v>1526</v>
      </c>
      <c r="D871" t="s">
        <v>1473</v>
      </c>
      <c r="E871">
        <v>0</v>
      </c>
    </row>
    <row r="872" spans="1:5" x14ac:dyDescent="0.15">
      <c r="A872" t="s">
        <v>2680</v>
      </c>
      <c r="B872">
        <v>2</v>
      </c>
      <c r="C872" t="s">
        <v>1526</v>
      </c>
      <c r="D872" t="s">
        <v>1473</v>
      </c>
      <c r="E872">
        <v>0</v>
      </c>
    </row>
    <row r="873" spans="1:5" x14ac:dyDescent="0.15">
      <c r="A873" t="s">
        <v>2681</v>
      </c>
      <c r="B873">
        <v>1</v>
      </c>
      <c r="C873" t="s">
        <v>1538</v>
      </c>
      <c r="D873" t="s">
        <v>1473</v>
      </c>
      <c r="E873">
        <v>0</v>
      </c>
    </row>
    <row r="874" spans="1:5" x14ac:dyDescent="0.15">
      <c r="A874" t="s">
        <v>2682</v>
      </c>
      <c r="B874">
        <v>2</v>
      </c>
      <c r="C874" t="s">
        <v>1536</v>
      </c>
      <c r="D874" t="s">
        <v>1473</v>
      </c>
      <c r="E874">
        <v>2</v>
      </c>
    </row>
    <row r="875" spans="1:5" x14ac:dyDescent="0.15">
      <c r="A875" t="s">
        <v>2606</v>
      </c>
      <c r="B875">
        <v>2</v>
      </c>
      <c r="C875" t="s">
        <v>1526</v>
      </c>
      <c r="D875" t="s">
        <v>1473</v>
      </c>
      <c r="E875">
        <v>0</v>
      </c>
    </row>
    <row r="876" spans="1:5" x14ac:dyDescent="0.15">
      <c r="A876" t="s">
        <v>2422</v>
      </c>
      <c r="B876">
        <v>1</v>
      </c>
      <c r="C876" t="s">
        <v>1538</v>
      </c>
      <c r="D876" t="s">
        <v>1473</v>
      </c>
      <c r="E876">
        <v>4</v>
      </c>
    </row>
    <row r="877" spans="1:5" x14ac:dyDescent="0.15">
      <c r="A877" t="s">
        <v>2683</v>
      </c>
      <c r="B877">
        <v>2</v>
      </c>
      <c r="C877" t="s">
        <v>1526</v>
      </c>
      <c r="D877" t="s">
        <v>1473</v>
      </c>
      <c r="E877">
        <v>0</v>
      </c>
    </row>
    <row r="878" spans="1:5" x14ac:dyDescent="0.15">
      <c r="A878" t="s">
        <v>2684</v>
      </c>
      <c r="B878">
        <v>2</v>
      </c>
      <c r="C878" t="s">
        <v>1526</v>
      </c>
      <c r="D878" t="s">
        <v>1473</v>
      </c>
      <c r="E878">
        <v>0</v>
      </c>
    </row>
    <row r="879" spans="1:5" x14ac:dyDescent="0.15">
      <c r="A879" t="s">
        <v>2240</v>
      </c>
      <c r="B879">
        <v>1</v>
      </c>
      <c r="C879" t="s">
        <v>1528</v>
      </c>
      <c r="D879" t="s">
        <v>1473</v>
      </c>
      <c r="E879">
        <v>4</v>
      </c>
    </row>
    <row r="880" spans="1:5" x14ac:dyDescent="0.15">
      <c r="A880" t="s">
        <v>2685</v>
      </c>
      <c r="B880">
        <v>2</v>
      </c>
      <c r="C880" t="s">
        <v>1526</v>
      </c>
      <c r="D880" t="s">
        <v>1473</v>
      </c>
      <c r="E880">
        <v>0</v>
      </c>
    </row>
    <row r="881" spans="1:5" x14ac:dyDescent="0.15">
      <c r="A881" t="s">
        <v>2686</v>
      </c>
      <c r="B881">
        <v>2</v>
      </c>
      <c r="C881" t="s">
        <v>1536</v>
      </c>
      <c r="D881" t="s">
        <v>1473</v>
      </c>
      <c r="E881">
        <v>0</v>
      </c>
    </row>
    <row r="882" spans="1:5" x14ac:dyDescent="0.15">
      <c r="A882" t="s">
        <v>2687</v>
      </c>
      <c r="B882">
        <v>1</v>
      </c>
      <c r="C882" t="s">
        <v>1526</v>
      </c>
      <c r="D882" t="s">
        <v>1473</v>
      </c>
      <c r="E882">
        <v>0</v>
      </c>
    </row>
    <row r="883" spans="1:5" x14ac:dyDescent="0.15">
      <c r="A883" t="s">
        <v>2428</v>
      </c>
      <c r="B883">
        <v>2</v>
      </c>
      <c r="C883" t="s">
        <v>1572</v>
      </c>
      <c r="D883" t="s">
        <v>1473</v>
      </c>
      <c r="E883">
        <v>0</v>
      </c>
    </row>
    <row r="884" spans="1:5" x14ac:dyDescent="0.15">
      <c r="A884" t="s">
        <v>2422</v>
      </c>
      <c r="B884">
        <v>1</v>
      </c>
      <c r="C884" t="s">
        <v>1538</v>
      </c>
      <c r="D884" t="s">
        <v>1473</v>
      </c>
      <c r="E884">
        <v>0</v>
      </c>
    </row>
    <row r="885" spans="1:5" x14ac:dyDescent="0.15">
      <c r="A885" t="s">
        <v>2615</v>
      </c>
      <c r="B885">
        <v>2</v>
      </c>
      <c r="C885" t="s">
        <v>1526</v>
      </c>
      <c r="D885" t="s">
        <v>1473</v>
      </c>
      <c r="E885">
        <v>4</v>
      </c>
    </row>
    <row r="886" spans="1:5" x14ac:dyDescent="0.15">
      <c r="A886" t="s">
        <v>2688</v>
      </c>
      <c r="B886">
        <v>2</v>
      </c>
      <c r="C886" t="s">
        <v>1526</v>
      </c>
      <c r="D886" t="s">
        <v>1473</v>
      </c>
      <c r="E886">
        <v>0</v>
      </c>
    </row>
    <row r="887" spans="1:5" x14ac:dyDescent="0.15">
      <c r="A887" t="s">
        <v>2687</v>
      </c>
      <c r="B887">
        <v>1</v>
      </c>
      <c r="C887" t="s">
        <v>1526</v>
      </c>
      <c r="D887" t="s">
        <v>1473</v>
      </c>
      <c r="E887">
        <v>2</v>
      </c>
    </row>
    <row r="888" spans="1:5" x14ac:dyDescent="0.15">
      <c r="A888" t="s">
        <v>2689</v>
      </c>
      <c r="B888">
        <v>1</v>
      </c>
      <c r="C888" t="s">
        <v>1526</v>
      </c>
      <c r="D888" t="s">
        <v>1473</v>
      </c>
      <c r="E888">
        <v>0</v>
      </c>
    </row>
    <row r="889" spans="1:5" x14ac:dyDescent="0.15">
      <c r="A889" t="s">
        <v>2690</v>
      </c>
      <c r="B889">
        <v>2</v>
      </c>
      <c r="C889" t="s">
        <v>1526</v>
      </c>
      <c r="D889" t="s">
        <v>1473</v>
      </c>
      <c r="E889">
        <v>0</v>
      </c>
    </row>
    <row r="890" spans="1:5" x14ac:dyDescent="0.15">
      <c r="A890" t="s">
        <v>2691</v>
      </c>
      <c r="B890">
        <v>1</v>
      </c>
      <c r="C890" t="s">
        <v>1568</v>
      </c>
      <c r="D890" t="s">
        <v>1473</v>
      </c>
      <c r="E890">
        <v>0</v>
      </c>
    </row>
    <row r="891" spans="1:5" x14ac:dyDescent="0.15">
      <c r="A891" t="s">
        <v>2692</v>
      </c>
      <c r="B891">
        <v>2</v>
      </c>
      <c r="C891" t="s">
        <v>1526</v>
      </c>
      <c r="D891" t="s">
        <v>1473</v>
      </c>
      <c r="E891">
        <v>0</v>
      </c>
    </row>
    <row r="892" spans="1:5" x14ac:dyDescent="0.15">
      <c r="A892" t="s">
        <v>2693</v>
      </c>
      <c r="B892">
        <v>2</v>
      </c>
      <c r="C892" t="s">
        <v>1526</v>
      </c>
      <c r="D892" t="s">
        <v>1473</v>
      </c>
      <c r="E892">
        <v>0</v>
      </c>
    </row>
    <row r="893" spans="1:5" x14ac:dyDescent="0.15">
      <c r="A893" t="s">
        <v>2694</v>
      </c>
      <c r="B893">
        <v>2</v>
      </c>
      <c r="C893" t="s">
        <v>1526</v>
      </c>
      <c r="D893" t="s">
        <v>1473</v>
      </c>
      <c r="E893">
        <v>0</v>
      </c>
    </row>
    <row r="894" spans="1:5" x14ac:dyDescent="0.15">
      <c r="A894" t="s">
        <v>2603</v>
      </c>
      <c r="C894" t="s">
        <v>1801</v>
      </c>
      <c r="D894" t="s">
        <v>1473</v>
      </c>
      <c r="E894">
        <v>0</v>
      </c>
    </row>
    <row r="895" spans="1:5" x14ac:dyDescent="0.15">
      <c r="A895" t="s">
        <v>2695</v>
      </c>
      <c r="B895">
        <v>2</v>
      </c>
      <c r="C895" t="s">
        <v>1526</v>
      </c>
      <c r="D895" t="s">
        <v>1473</v>
      </c>
      <c r="E895">
        <v>0</v>
      </c>
    </row>
    <row r="896" spans="1:5" x14ac:dyDescent="0.15">
      <c r="A896" t="s">
        <v>2696</v>
      </c>
      <c r="B896">
        <v>2</v>
      </c>
      <c r="C896" t="s">
        <v>1526</v>
      </c>
      <c r="D896" t="s">
        <v>1473</v>
      </c>
      <c r="E896">
        <v>2</v>
      </c>
    </row>
    <row r="897" spans="1:5" x14ac:dyDescent="0.15">
      <c r="A897" t="s">
        <v>2418</v>
      </c>
      <c r="B897">
        <v>2</v>
      </c>
      <c r="C897" t="s">
        <v>1528</v>
      </c>
      <c r="D897" t="s">
        <v>1473</v>
      </c>
      <c r="E897">
        <v>2</v>
      </c>
    </row>
    <row r="898" spans="1:5" x14ac:dyDescent="0.15">
      <c r="A898" t="s">
        <v>2697</v>
      </c>
      <c r="B898">
        <v>2</v>
      </c>
      <c r="C898" t="s">
        <v>1526</v>
      </c>
      <c r="D898" t="s">
        <v>1473</v>
      </c>
      <c r="E898">
        <v>0</v>
      </c>
    </row>
    <row r="899" spans="1:5" x14ac:dyDescent="0.15">
      <c r="A899" t="s">
        <v>2600</v>
      </c>
      <c r="B899">
        <v>2</v>
      </c>
      <c r="C899" t="s">
        <v>1572</v>
      </c>
      <c r="D899" t="s">
        <v>1473</v>
      </c>
      <c r="E899">
        <v>0</v>
      </c>
    </row>
    <row r="900" spans="1:5" x14ac:dyDescent="0.15">
      <c r="A900" t="s">
        <v>2698</v>
      </c>
      <c r="B900">
        <v>4</v>
      </c>
      <c r="C900" t="s">
        <v>1526</v>
      </c>
      <c r="D900" t="s">
        <v>1473</v>
      </c>
      <c r="E900">
        <v>0</v>
      </c>
    </row>
    <row r="901" spans="1:5" x14ac:dyDescent="0.15">
      <c r="A901" t="s">
        <v>2588</v>
      </c>
      <c r="B901">
        <v>1</v>
      </c>
      <c r="C901" t="s">
        <v>1572</v>
      </c>
      <c r="D901" t="s">
        <v>1473</v>
      </c>
      <c r="E901">
        <v>0</v>
      </c>
    </row>
    <row r="902" spans="1:5" x14ac:dyDescent="0.15">
      <c r="A902" t="s">
        <v>2699</v>
      </c>
      <c r="B902">
        <v>2</v>
      </c>
      <c r="C902" t="s">
        <v>1536</v>
      </c>
      <c r="D902" t="s">
        <v>1473</v>
      </c>
      <c r="E902">
        <v>0</v>
      </c>
    </row>
    <row r="903" spans="1:5" x14ac:dyDescent="0.15">
      <c r="A903" t="s">
        <v>2700</v>
      </c>
      <c r="B903">
        <v>2</v>
      </c>
      <c r="C903" t="s">
        <v>1526</v>
      </c>
      <c r="D903" t="s">
        <v>1473</v>
      </c>
      <c r="E903">
        <v>0</v>
      </c>
    </row>
    <row r="904" spans="1:5" x14ac:dyDescent="0.15">
      <c r="A904" t="s">
        <v>2632</v>
      </c>
      <c r="B904">
        <v>1</v>
      </c>
      <c r="C904" t="s">
        <v>1530</v>
      </c>
      <c r="D904" t="s">
        <v>1473</v>
      </c>
      <c r="E904">
        <v>2</v>
      </c>
    </row>
    <row r="905" spans="1:5" x14ac:dyDescent="0.15">
      <c r="A905" t="s">
        <v>2701</v>
      </c>
      <c r="B905">
        <v>2</v>
      </c>
      <c r="C905" t="s">
        <v>1526</v>
      </c>
      <c r="D905" t="s">
        <v>1473</v>
      </c>
      <c r="E905">
        <v>0</v>
      </c>
    </row>
    <row r="906" spans="1:5" x14ac:dyDescent="0.15">
      <c r="A906" t="s">
        <v>2701</v>
      </c>
      <c r="B906">
        <v>2</v>
      </c>
      <c r="C906" t="s">
        <v>1526</v>
      </c>
      <c r="D906" t="s">
        <v>1473</v>
      </c>
      <c r="E906">
        <v>4</v>
      </c>
    </row>
    <row r="907" spans="1:5" x14ac:dyDescent="0.15">
      <c r="A907" t="s">
        <v>2702</v>
      </c>
      <c r="B907">
        <v>1</v>
      </c>
      <c r="C907" t="s">
        <v>1528</v>
      </c>
      <c r="D907" t="s">
        <v>1473</v>
      </c>
      <c r="E907">
        <v>0</v>
      </c>
    </row>
    <row r="908" spans="1:5" x14ac:dyDescent="0.15">
      <c r="A908" t="s">
        <v>2703</v>
      </c>
      <c r="B908">
        <v>2</v>
      </c>
      <c r="C908" t="s">
        <v>1526</v>
      </c>
      <c r="D908" t="s">
        <v>1473</v>
      </c>
      <c r="E908">
        <v>0</v>
      </c>
    </row>
    <row r="909" spans="1:5" x14ac:dyDescent="0.15">
      <c r="A909" t="s">
        <v>2704</v>
      </c>
      <c r="B909">
        <v>2</v>
      </c>
      <c r="C909" t="s">
        <v>1526</v>
      </c>
      <c r="D909" t="s">
        <v>1473</v>
      </c>
      <c r="E909">
        <v>0</v>
      </c>
    </row>
    <row r="910" spans="1:5" x14ac:dyDescent="0.15">
      <c r="A910" t="s">
        <v>2705</v>
      </c>
      <c r="B910">
        <v>1</v>
      </c>
      <c r="C910" t="s">
        <v>1528</v>
      </c>
      <c r="D910" t="s">
        <v>1473</v>
      </c>
      <c r="E910">
        <v>0</v>
      </c>
    </row>
    <row r="911" spans="1:5" x14ac:dyDescent="0.15">
      <c r="A911" t="s">
        <v>2706</v>
      </c>
      <c r="B911">
        <v>1</v>
      </c>
      <c r="C911" t="s">
        <v>1528</v>
      </c>
      <c r="D911" t="s">
        <v>1473</v>
      </c>
      <c r="E911">
        <v>0</v>
      </c>
    </row>
    <row r="912" spans="1:5" x14ac:dyDescent="0.15">
      <c r="A912" t="s">
        <v>2707</v>
      </c>
      <c r="B912">
        <v>1</v>
      </c>
      <c r="C912" t="s">
        <v>1528</v>
      </c>
      <c r="D912" t="s">
        <v>1473</v>
      </c>
      <c r="E912">
        <v>0</v>
      </c>
    </row>
    <row r="913" spans="1:5" x14ac:dyDescent="0.15">
      <c r="A913" t="s">
        <v>2708</v>
      </c>
      <c r="B913">
        <v>1</v>
      </c>
      <c r="C913" t="s">
        <v>1528</v>
      </c>
      <c r="D913" t="s">
        <v>1473</v>
      </c>
      <c r="E913">
        <v>0</v>
      </c>
    </row>
    <row r="914" spans="1:5" x14ac:dyDescent="0.15">
      <c r="A914" t="s">
        <v>2709</v>
      </c>
      <c r="B914">
        <v>1</v>
      </c>
      <c r="C914" t="s">
        <v>1528</v>
      </c>
      <c r="D914" t="s">
        <v>1473</v>
      </c>
      <c r="E914">
        <v>0</v>
      </c>
    </row>
    <row r="915" spans="1:5" x14ac:dyDescent="0.15">
      <c r="A915" t="s">
        <v>2710</v>
      </c>
      <c r="B915">
        <v>2</v>
      </c>
      <c r="C915" t="s">
        <v>1536</v>
      </c>
      <c r="D915" t="s">
        <v>1473</v>
      </c>
      <c r="E915">
        <v>0</v>
      </c>
    </row>
    <row r="916" spans="1:5" x14ac:dyDescent="0.15">
      <c r="A916" t="s">
        <v>2711</v>
      </c>
      <c r="B916">
        <v>1</v>
      </c>
      <c r="C916" t="s">
        <v>1801</v>
      </c>
      <c r="D916" t="s">
        <v>1473</v>
      </c>
      <c r="E916">
        <v>0</v>
      </c>
    </row>
    <row r="917" spans="1:5" x14ac:dyDescent="0.15">
      <c r="A917" t="s">
        <v>2712</v>
      </c>
      <c r="B917">
        <v>2</v>
      </c>
      <c r="C917" t="s">
        <v>1534</v>
      </c>
      <c r="D917" t="s">
        <v>1473</v>
      </c>
      <c r="E917">
        <v>4</v>
      </c>
    </row>
    <row r="918" spans="1:5" x14ac:dyDescent="0.15">
      <c r="A918" t="s">
        <v>2713</v>
      </c>
      <c r="B918">
        <v>2</v>
      </c>
      <c r="C918" t="s">
        <v>1526</v>
      </c>
      <c r="D918" t="s">
        <v>1473</v>
      </c>
      <c r="E918">
        <v>4</v>
      </c>
    </row>
    <row r="919" spans="1:5" x14ac:dyDescent="0.15">
      <c r="A919" t="s">
        <v>2416</v>
      </c>
      <c r="B919">
        <v>1</v>
      </c>
      <c r="C919" t="s">
        <v>1532</v>
      </c>
      <c r="D919" t="s">
        <v>1473</v>
      </c>
      <c r="E919">
        <v>4</v>
      </c>
    </row>
    <row r="920" spans="1:5" x14ac:dyDescent="0.15">
      <c r="A920" t="s">
        <v>2422</v>
      </c>
      <c r="B920">
        <v>1</v>
      </c>
      <c r="C920" t="s">
        <v>1538</v>
      </c>
      <c r="D920" t="s">
        <v>1473</v>
      </c>
      <c r="E920">
        <v>2</v>
      </c>
    </row>
    <row r="921" spans="1:5" x14ac:dyDescent="0.15">
      <c r="A921" t="s">
        <v>2349</v>
      </c>
      <c r="B921">
        <v>2</v>
      </c>
      <c r="C921" t="s">
        <v>1526</v>
      </c>
      <c r="D921" t="s">
        <v>1473</v>
      </c>
      <c r="E921">
        <v>4</v>
      </c>
    </row>
    <row r="922" spans="1:5" x14ac:dyDescent="0.15">
      <c r="A922" t="s">
        <v>2714</v>
      </c>
      <c r="B922">
        <v>2</v>
      </c>
      <c r="C922" t="s">
        <v>1534</v>
      </c>
      <c r="D922" t="s">
        <v>1473</v>
      </c>
      <c r="E922">
        <v>0</v>
      </c>
    </row>
    <row r="923" spans="1:5" x14ac:dyDescent="0.15">
      <c r="A923" t="s">
        <v>2594</v>
      </c>
      <c r="B923">
        <v>2</v>
      </c>
      <c r="C923" t="s">
        <v>1526</v>
      </c>
      <c r="D923" t="s">
        <v>1473</v>
      </c>
      <c r="E923">
        <v>4</v>
      </c>
    </row>
    <row r="924" spans="1:5" x14ac:dyDescent="0.15">
      <c r="A924" t="s">
        <v>2715</v>
      </c>
      <c r="B924">
        <v>4</v>
      </c>
      <c r="C924" t="s">
        <v>1526</v>
      </c>
      <c r="D924" t="s">
        <v>1473</v>
      </c>
      <c r="E924">
        <v>0</v>
      </c>
    </row>
    <row r="925" spans="1:5" x14ac:dyDescent="0.15">
      <c r="A925" t="s">
        <v>2716</v>
      </c>
      <c r="B925">
        <v>1</v>
      </c>
      <c r="C925" t="s">
        <v>1572</v>
      </c>
      <c r="D925" t="s">
        <v>1473</v>
      </c>
      <c r="E925">
        <v>0</v>
      </c>
    </row>
    <row r="926" spans="1:5" x14ac:dyDescent="0.15">
      <c r="A926" t="s">
        <v>2717</v>
      </c>
      <c r="B926">
        <v>2</v>
      </c>
      <c r="C926" t="s">
        <v>1534</v>
      </c>
      <c r="D926" t="s">
        <v>1473</v>
      </c>
      <c r="E926">
        <v>0</v>
      </c>
    </row>
    <row r="927" spans="1:5" x14ac:dyDescent="0.15">
      <c r="A927" t="s">
        <v>2718</v>
      </c>
      <c r="B927">
        <v>1</v>
      </c>
      <c r="C927" t="s">
        <v>1530</v>
      </c>
      <c r="D927" t="s">
        <v>1473</v>
      </c>
      <c r="E927">
        <v>0</v>
      </c>
    </row>
    <row r="928" spans="1:5" x14ac:dyDescent="0.15">
      <c r="A928" t="s">
        <v>2719</v>
      </c>
      <c r="B928">
        <v>2</v>
      </c>
      <c r="C928" t="s">
        <v>1534</v>
      </c>
      <c r="D928" t="s">
        <v>1473</v>
      </c>
      <c r="E928">
        <v>2</v>
      </c>
    </row>
    <row r="929" spans="1:5" x14ac:dyDescent="0.15">
      <c r="A929" t="s">
        <v>2237</v>
      </c>
      <c r="B929">
        <v>2</v>
      </c>
      <c r="C929" t="s">
        <v>1530</v>
      </c>
      <c r="D929" t="s">
        <v>1473</v>
      </c>
      <c r="E929">
        <v>2</v>
      </c>
    </row>
    <row r="930" spans="1:5" x14ac:dyDescent="0.15">
      <c r="A930" t="s">
        <v>2277</v>
      </c>
      <c r="B930">
        <v>2</v>
      </c>
      <c r="C930" t="s">
        <v>1534</v>
      </c>
      <c r="D930" t="s">
        <v>1473</v>
      </c>
      <c r="E930">
        <v>2</v>
      </c>
    </row>
    <row r="931" spans="1:5" x14ac:dyDescent="0.15">
      <c r="A931" t="s">
        <v>2720</v>
      </c>
      <c r="B931">
        <v>2</v>
      </c>
      <c r="C931" t="s">
        <v>1538</v>
      </c>
      <c r="D931" t="s">
        <v>1473</v>
      </c>
      <c r="E931">
        <v>0</v>
      </c>
    </row>
    <row r="932" spans="1:5" x14ac:dyDescent="0.15">
      <c r="A932" t="s">
        <v>2721</v>
      </c>
      <c r="B932">
        <v>2</v>
      </c>
      <c r="C932" t="s">
        <v>1530</v>
      </c>
      <c r="D932" t="s">
        <v>1473</v>
      </c>
      <c r="E932">
        <v>0</v>
      </c>
    </row>
    <row r="933" spans="1:5" x14ac:dyDescent="0.15">
      <c r="A933" t="s">
        <v>2722</v>
      </c>
      <c r="B933">
        <v>2</v>
      </c>
      <c r="C933" t="s">
        <v>1526</v>
      </c>
      <c r="D933" t="s">
        <v>1473</v>
      </c>
      <c r="E933">
        <v>0</v>
      </c>
    </row>
    <row r="934" spans="1:5" x14ac:dyDescent="0.15">
      <c r="A934" t="s">
        <v>2722</v>
      </c>
      <c r="B934">
        <v>2</v>
      </c>
      <c r="C934" t="s">
        <v>1526</v>
      </c>
      <c r="D934" t="s">
        <v>1473</v>
      </c>
      <c r="E934">
        <v>4</v>
      </c>
    </row>
    <row r="935" spans="1:5" x14ac:dyDescent="0.15">
      <c r="A935" t="s">
        <v>2723</v>
      </c>
      <c r="B935">
        <v>2</v>
      </c>
      <c r="C935" t="s">
        <v>1534</v>
      </c>
      <c r="D935" t="s">
        <v>1473</v>
      </c>
      <c r="E935">
        <v>0</v>
      </c>
    </row>
    <row r="936" spans="1:5" x14ac:dyDescent="0.15">
      <c r="A936" t="s">
        <v>2186</v>
      </c>
      <c r="B936">
        <v>4</v>
      </c>
      <c r="C936" t="s">
        <v>1528</v>
      </c>
      <c r="D936" t="s">
        <v>1473</v>
      </c>
      <c r="E936">
        <v>2</v>
      </c>
    </row>
    <row r="937" spans="1:5" x14ac:dyDescent="0.15">
      <c r="A937" t="s">
        <v>2724</v>
      </c>
      <c r="B937">
        <v>2</v>
      </c>
      <c r="C937" t="s">
        <v>1530</v>
      </c>
      <c r="D937" t="s">
        <v>1473</v>
      </c>
      <c r="E937">
        <v>0</v>
      </c>
    </row>
    <row r="938" spans="1:5" x14ac:dyDescent="0.15">
      <c r="A938" t="s">
        <v>2725</v>
      </c>
      <c r="B938">
        <v>2</v>
      </c>
      <c r="C938" t="s">
        <v>1528</v>
      </c>
      <c r="D938" t="s">
        <v>1473</v>
      </c>
      <c r="E938">
        <v>2</v>
      </c>
    </row>
    <row r="939" spans="1:5" x14ac:dyDescent="0.15">
      <c r="A939" t="s">
        <v>2726</v>
      </c>
      <c r="B939">
        <v>2</v>
      </c>
      <c r="C939" t="s">
        <v>1534</v>
      </c>
      <c r="D939" t="s">
        <v>1473</v>
      </c>
      <c r="E939">
        <v>0</v>
      </c>
    </row>
    <row r="940" spans="1:5" x14ac:dyDescent="0.15">
      <c r="A940" t="s">
        <v>2727</v>
      </c>
      <c r="B940">
        <v>2</v>
      </c>
      <c r="C940" t="s">
        <v>1534</v>
      </c>
      <c r="D940" t="s">
        <v>1473</v>
      </c>
      <c r="E940">
        <v>0</v>
      </c>
    </row>
    <row r="941" spans="1:5" x14ac:dyDescent="0.15">
      <c r="A941" t="s">
        <v>2728</v>
      </c>
      <c r="B941">
        <v>1</v>
      </c>
      <c r="C941" t="s">
        <v>1526</v>
      </c>
      <c r="D941" t="s">
        <v>1473</v>
      </c>
      <c r="E941">
        <v>0</v>
      </c>
    </row>
    <row r="942" spans="1:5" x14ac:dyDescent="0.15">
      <c r="A942" t="s">
        <v>2320</v>
      </c>
      <c r="B942">
        <v>2</v>
      </c>
      <c r="C942" t="s">
        <v>1526</v>
      </c>
      <c r="D942" t="s">
        <v>1473</v>
      </c>
      <c r="E942">
        <v>2</v>
      </c>
    </row>
    <row r="943" spans="1:5" x14ac:dyDescent="0.15">
      <c r="A943" t="s">
        <v>2729</v>
      </c>
      <c r="B943">
        <v>2</v>
      </c>
      <c r="C943" t="s">
        <v>1526</v>
      </c>
      <c r="D943" t="s">
        <v>1473</v>
      </c>
      <c r="E943">
        <v>0</v>
      </c>
    </row>
    <row r="944" spans="1:5" x14ac:dyDescent="0.15">
      <c r="A944" t="s">
        <v>2339</v>
      </c>
      <c r="B944">
        <v>2</v>
      </c>
      <c r="C944" t="s">
        <v>1534</v>
      </c>
      <c r="D944" t="s">
        <v>1473</v>
      </c>
      <c r="E944">
        <v>2</v>
      </c>
    </row>
    <row r="945" spans="1:5" x14ac:dyDescent="0.15">
      <c r="A945" t="s">
        <v>2730</v>
      </c>
      <c r="B945">
        <v>1</v>
      </c>
      <c r="C945" t="s">
        <v>1530</v>
      </c>
      <c r="D945" t="s">
        <v>1473</v>
      </c>
      <c r="E945">
        <v>0</v>
      </c>
    </row>
    <row r="946" spans="1:5" x14ac:dyDescent="0.15">
      <c r="A946" t="s">
        <v>2731</v>
      </c>
      <c r="B946">
        <v>2</v>
      </c>
      <c r="C946" t="s">
        <v>1530</v>
      </c>
      <c r="D946" t="s">
        <v>1473</v>
      </c>
      <c r="E946">
        <v>2</v>
      </c>
    </row>
    <row r="947" spans="1:5" x14ac:dyDescent="0.15">
      <c r="A947" t="s">
        <v>2654</v>
      </c>
      <c r="B947">
        <v>1</v>
      </c>
      <c r="C947" t="s">
        <v>1532</v>
      </c>
      <c r="D947" t="s">
        <v>1473</v>
      </c>
      <c r="E947">
        <v>0</v>
      </c>
    </row>
    <row r="948" spans="1:5" x14ac:dyDescent="0.15">
      <c r="A948" t="s">
        <v>2181</v>
      </c>
      <c r="B948">
        <v>1</v>
      </c>
      <c r="C948" t="s">
        <v>1526</v>
      </c>
      <c r="D948" t="s">
        <v>1473</v>
      </c>
      <c r="E948">
        <v>4</v>
      </c>
    </row>
    <row r="949" spans="1:5" x14ac:dyDescent="0.15">
      <c r="A949" t="s">
        <v>2184</v>
      </c>
      <c r="B949">
        <v>2</v>
      </c>
      <c r="C949" t="s">
        <v>1534</v>
      </c>
      <c r="D949" t="s">
        <v>1473</v>
      </c>
      <c r="E949">
        <v>4</v>
      </c>
    </row>
    <row r="950" spans="1:5" x14ac:dyDescent="0.15">
      <c r="A950" t="s">
        <v>2732</v>
      </c>
      <c r="B950">
        <v>2</v>
      </c>
      <c r="C950" t="s">
        <v>1536</v>
      </c>
      <c r="D950" t="s">
        <v>1473</v>
      </c>
      <c r="E950">
        <v>0</v>
      </c>
    </row>
    <row r="951" spans="1:5" x14ac:dyDescent="0.15">
      <c r="A951" t="s">
        <v>2733</v>
      </c>
      <c r="B951">
        <v>2</v>
      </c>
      <c r="C951" t="s">
        <v>1526</v>
      </c>
      <c r="D951" t="s">
        <v>1473</v>
      </c>
      <c r="E951">
        <v>0</v>
      </c>
    </row>
    <row r="952" spans="1:5" x14ac:dyDescent="0.15">
      <c r="A952" t="s">
        <v>2267</v>
      </c>
      <c r="B952">
        <v>2</v>
      </c>
      <c r="C952" t="s">
        <v>1526</v>
      </c>
      <c r="D952" t="s">
        <v>1473</v>
      </c>
      <c r="E952">
        <v>4</v>
      </c>
    </row>
    <row r="953" spans="1:5" x14ac:dyDescent="0.15">
      <c r="A953" t="s">
        <v>2734</v>
      </c>
      <c r="B953">
        <v>2</v>
      </c>
      <c r="C953" t="s">
        <v>1538</v>
      </c>
      <c r="D953" t="s">
        <v>1473</v>
      </c>
      <c r="E953">
        <v>4</v>
      </c>
    </row>
    <row r="954" spans="1:5" x14ac:dyDescent="0.15">
      <c r="A954" t="s">
        <v>2735</v>
      </c>
      <c r="B954">
        <v>1</v>
      </c>
      <c r="C954" t="s">
        <v>1530</v>
      </c>
      <c r="D954" t="s">
        <v>1473</v>
      </c>
      <c r="E954">
        <v>0</v>
      </c>
    </row>
    <row r="955" spans="1:5" x14ac:dyDescent="0.15">
      <c r="A955" t="s">
        <v>2318</v>
      </c>
      <c r="B955">
        <v>2</v>
      </c>
      <c r="C955" t="s">
        <v>1538</v>
      </c>
      <c r="D955" t="s">
        <v>1473</v>
      </c>
      <c r="E955">
        <v>2</v>
      </c>
    </row>
    <row r="956" spans="1:5" x14ac:dyDescent="0.15">
      <c r="A956" t="s">
        <v>2736</v>
      </c>
      <c r="B956">
        <v>2</v>
      </c>
      <c r="C956" t="s">
        <v>1534</v>
      </c>
      <c r="D956" t="s">
        <v>1473</v>
      </c>
      <c r="E956">
        <v>0</v>
      </c>
    </row>
    <row r="957" spans="1:5" x14ac:dyDescent="0.15">
      <c r="A957" t="s">
        <v>2244</v>
      </c>
      <c r="B957">
        <v>4</v>
      </c>
      <c r="C957" t="s">
        <v>1530</v>
      </c>
      <c r="D957" t="s">
        <v>1473</v>
      </c>
      <c r="E957">
        <v>0</v>
      </c>
    </row>
    <row r="958" spans="1:5" x14ac:dyDescent="0.15">
      <c r="A958" t="s">
        <v>2257</v>
      </c>
      <c r="B958">
        <v>2</v>
      </c>
      <c r="C958" t="s">
        <v>1536</v>
      </c>
      <c r="D958" t="s">
        <v>1473</v>
      </c>
      <c r="E958">
        <v>4</v>
      </c>
    </row>
    <row r="959" spans="1:5" x14ac:dyDescent="0.15">
      <c r="A959" t="s">
        <v>2648</v>
      </c>
      <c r="B959">
        <v>2</v>
      </c>
      <c r="C959" t="s">
        <v>1526</v>
      </c>
      <c r="D959" t="s">
        <v>1473</v>
      </c>
      <c r="E959">
        <v>2</v>
      </c>
    </row>
    <row r="960" spans="1:5" x14ac:dyDescent="0.15">
      <c r="A960" t="s">
        <v>2737</v>
      </c>
      <c r="B960">
        <v>1</v>
      </c>
      <c r="C960" t="s">
        <v>1526</v>
      </c>
      <c r="D960" t="s">
        <v>1473</v>
      </c>
      <c r="E960">
        <v>0</v>
      </c>
    </row>
    <row r="961" spans="1:5" x14ac:dyDescent="0.15">
      <c r="A961" t="s">
        <v>2362</v>
      </c>
      <c r="B961">
        <v>1</v>
      </c>
      <c r="C961" t="s">
        <v>1526</v>
      </c>
      <c r="D961" t="s">
        <v>1473</v>
      </c>
      <c r="E961">
        <v>4</v>
      </c>
    </row>
    <row r="962" spans="1:5" x14ac:dyDescent="0.15">
      <c r="A962" t="s">
        <v>2738</v>
      </c>
      <c r="B962">
        <v>2</v>
      </c>
      <c r="C962" t="s">
        <v>1534</v>
      </c>
      <c r="D962" t="s">
        <v>1473</v>
      </c>
      <c r="E962">
        <v>2</v>
      </c>
    </row>
    <row r="963" spans="1:5" x14ac:dyDescent="0.15">
      <c r="A963" t="s">
        <v>2739</v>
      </c>
      <c r="B963">
        <v>2</v>
      </c>
      <c r="C963" t="s">
        <v>1530</v>
      </c>
      <c r="D963" t="s">
        <v>1473</v>
      </c>
      <c r="E963">
        <v>0</v>
      </c>
    </row>
    <row r="964" spans="1:5" x14ac:dyDescent="0.15">
      <c r="A964" t="s">
        <v>2740</v>
      </c>
      <c r="B964">
        <v>2</v>
      </c>
      <c r="C964" t="s">
        <v>1538</v>
      </c>
      <c r="D964" t="s">
        <v>1473</v>
      </c>
      <c r="E964">
        <v>0</v>
      </c>
    </row>
    <row r="965" spans="1:5" x14ac:dyDescent="0.15">
      <c r="A965" t="s">
        <v>2741</v>
      </c>
      <c r="B965">
        <v>2</v>
      </c>
      <c r="C965" t="s">
        <v>1534</v>
      </c>
      <c r="D965" t="s">
        <v>1473</v>
      </c>
      <c r="E965">
        <v>0</v>
      </c>
    </row>
    <row r="966" spans="1:5" x14ac:dyDescent="0.15">
      <c r="A966" t="s">
        <v>2727</v>
      </c>
      <c r="B966">
        <v>2</v>
      </c>
      <c r="C966" t="s">
        <v>1534</v>
      </c>
      <c r="D966" t="s">
        <v>1473</v>
      </c>
      <c r="E966">
        <v>2</v>
      </c>
    </row>
    <row r="967" spans="1:5" x14ac:dyDescent="0.15">
      <c r="A967" t="s">
        <v>2742</v>
      </c>
      <c r="B967">
        <v>2</v>
      </c>
      <c r="C967" t="s">
        <v>1534</v>
      </c>
      <c r="D967" t="s">
        <v>1473</v>
      </c>
      <c r="E967">
        <v>0</v>
      </c>
    </row>
    <row r="968" spans="1:5" x14ac:dyDescent="0.15">
      <c r="A968" t="s">
        <v>2383</v>
      </c>
      <c r="B968">
        <v>2</v>
      </c>
      <c r="C968" t="s">
        <v>1526</v>
      </c>
      <c r="D968" t="s">
        <v>1473</v>
      </c>
      <c r="E968">
        <v>4</v>
      </c>
    </row>
    <row r="969" spans="1:5" x14ac:dyDescent="0.15">
      <c r="A969" t="s">
        <v>2743</v>
      </c>
      <c r="B969">
        <v>2</v>
      </c>
      <c r="C969" t="s">
        <v>1532</v>
      </c>
      <c r="D969" t="s">
        <v>1473</v>
      </c>
      <c r="E969">
        <v>2</v>
      </c>
    </row>
    <row r="970" spans="1:5" x14ac:dyDescent="0.15">
      <c r="A970" t="s">
        <v>2744</v>
      </c>
      <c r="B970">
        <v>1</v>
      </c>
      <c r="C970" t="s">
        <v>1532</v>
      </c>
      <c r="D970" t="s">
        <v>1473</v>
      </c>
      <c r="E970">
        <v>0</v>
      </c>
    </row>
    <row r="971" spans="1:5" x14ac:dyDescent="0.15">
      <c r="A971" t="s">
        <v>2745</v>
      </c>
      <c r="B971">
        <v>2</v>
      </c>
      <c r="C971" t="s">
        <v>1526</v>
      </c>
      <c r="D971" t="s">
        <v>1473</v>
      </c>
      <c r="E971">
        <v>0</v>
      </c>
    </row>
    <row r="972" spans="1:5" x14ac:dyDescent="0.15">
      <c r="A972" t="s">
        <v>2302</v>
      </c>
      <c r="B972">
        <v>2</v>
      </c>
      <c r="C972" t="s">
        <v>1526</v>
      </c>
      <c r="D972" t="s">
        <v>1473</v>
      </c>
      <c r="E972">
        <v>2</v>
      </c>
    </row>
    <row r="973" spans="1:5" x14ac:dyDescent="0.15">
      <c r="A973" t="s">
        <v>2289</v>
      </c>
      <c r="B973">
        <v>2</v>
      </c>
      <c r="C973" t="s">
        <v>1536</v>
      </c>
      <c r="D973" t="s">
        <v>1473</v>
      </c>
      <c r="E973">
        <v>2</v>
      </c>
    </row>
    <row r="974" spans="1:5" x14ac:dyDescent="0.15">
      <c r="A974" t="s">
        <v>2326</v>
      </c>
      <c r="B974">
        <v>3</v>
      </c>
      <c r="C974" t="s">
        <v>1536</v>
      </c>
      <c r="D974" t="s">
        <v>1473</v>
      </c>
      <c r="E974">
        <v>2</v>
      </c>
    </row>
    <row r="975" spans="1:5" x14ac:dyDescent="0.15">
      <c r="A975" t="s">
        <v>2746</v>
      </c>
      <c r="B975">
        <v>2</v>
      </c>
      <c r="C975" t="s">
        <v>1534</v>
      </c>
      <c r="D975" t="s">
        <v>1473</v>
      </c>
      <c r="E975">
        <v>0</v>
      </c>
    </row>
    <row r="976" spans="1:5" x14ac:dyDescent="0.15">
      <c r="A976" t="s">
        <v>2646</v>
      </c>
      <c r="B976">
        <v>1</v>
      </c>
      <c r="C976" t="s">
        <v>1530</v>
      </c>
      <c r="D976" t="s">
        <v>1473</v>
      </c>
      <c r="E976">
        <v>2</v>
      </c>
    </row>
    <row r="977" spans="1:5" x14ac:dyDescent="0.15">
      <c r="A977" t="s">
        <v>2747</v>
      </c>
      <c r="B977">
        <v>1</v>
      </c>
      <c r="C977" t="s">
        <v>1530</v>
      </c>
      <c r="D977" t="s">
        <v>1473</v>
      </c>
      <c r="E977">
        <v>0</v>
      </c>
    </row>
    <row r="978" spans="1:5" x14ac:dyDescent="0.15">
      <c r="A978" t="s">
        <v>2456</v>
      </c>
      <c r="B978">
        <v>4</v>
      </c>
      <c r="C978" t="s">
        <v>1530</v>
      </c>
      <c r="D978" t="s">
        <v>1473</v>
      </c>
      <c r="E978">
        <v>2</v>
      </c>
    </row>
    <row r="979" spans="1:5" x14ac:dyDescent="0.15">
      <c r="A979" t="s">
        <v>2748</v>
      </c>
      <c r="B979">
        <v>1</v>
      </c>
      <c r="C979" t="s">
        <v>1530</v>
      </c>
      <c r="D979" t="s">
        <v>1473</v>
      </c>
      <c r="E979">
        <v>0</v>
      </c>
    </row>
    <row r="980" spans="1:5" x14ac:dyDescent="0.15">
      <c r="A980" t="s">
        <v>2301</v>
      </c>
      <c r="B980">
        <v>1</v>
      </c>
      <c r="C980" t="s">
        <v>1532</v>
      </c>
      <c r="D980" t="s">
        <v>1473</v>
      </c>
      <c r="E980">
        <v>2</v>
      </c>
    </row>
    <row r="981" spans="1:5" x14ac:dyDescent="0.15">
      <c r="A981" t="s">
        <v>2749</v>
      </c>
      <c r="B981">
        <v>2</v>
      </c>
      <c r="C981" t="s">
        <v>1534</v>
      </c>
      <c r="D981" t="s">
        <v>1473</v>
      </c>
      <c r="E981">
        <v>0</v>
      </c>
    </row>
    <row r="982" spans="1:5" x14ac:dyDescent="0.15">
      <c r="A982" t="s">
        <v>2750</v>
      </c>
      <c r="B982">
        <v>1</v>
      </c>
      <c r="C982" t="s">
        <v>1530</v>
      </c>
      <c r="D982" t="s">
        <v>1473</v>
      </c>
      <c r="E982">
        <v>0</v>
      </c>
    </row>
    <row r="983" spans="1:5" x14ac:dyDescent="0.15">
      <c r="A983" t="s">
        <v>2750</v>
      </c>
      <c r="B983">
        <v>1</v>
      </c>
      <c r="C983" t="s">
        <v>1530</v>
      </c>
      <c r="D983" t="s">
        <v>1473</v>
      </c>
      <c r="E983">
        <v>2</v>
      </c>
    </row>
    <row r="984" spans="1:5" x14ac:dyDescent="0.15">
      <c r="A984" t="s">
        <v>2751</v>
      </c>
      <c r="B984">
        <v>2</v>
      </c>
      <c r="C984" t="s">
        <v>1526</v>
      </c>
      <c r="D984" t="s">
        <v>1473</v>
      </c>
      <c r="E984">
        <v>0</v>
      </c>
    </row>
    <row r="985" spans="1:5" x14ac:dyDescent="0.15">
      <c r="A985" t="s">
        <v>2225</v>
      </c>
      <c r="B985">
        <v>1</v>
      </c>
      <c r="C985" t="s">
        <v>1530</v>
      </c>
      <c r="D985" t="s">
        <v>1473</v>
      </c>
      <c r="E985">
        <v>4</v>
      </c>
    </row>
    <row r="986" spans="1:5" x14ac:dyDescent="0.15">
      <c r="A986" t="s">
        <v>2752</v>
      </c>
      <c r="B986">
        <v>2</v>
      </c>
      <c r="C986" t="s">
        <v>1530</v>
      </c>
      <c r="D986" t="s">
        <v>1473</v>
      </c>
      <c r="E986">
        <v>2</v>
      </c>
    </row>
    <row r="987" spans="1:5" x14ac:dyDescent="0.15">
      <c r="A987" t="s">
        <v>2753</v>
      </c>
      <c r="B987">
        <v>2</v>
      </c>
      <c r="C987" t="s">
        <v>1534</v>
      </c>
      <c r="D987" t="s">
        <v>1473</v>
      </c>
      <c r="E987">
        <v>0</v>
      </c>
    </row>
    <row r="988" spans="1:5" x14ac:dyDescent="0.15">
      <c r="A988" t="s">
        <v>2754</v>
      </c>
      <c r="B988">
        <v>2</v>
      </c>
      <c r="C988" t="s">
        <v>1534</v>
      </c>
      <c r="D988" t="s">
        <v>1473</v>
      </c>
      <c r="E988">
        <v>0</v>
      </c>
    </row>
    <row r="989" spans="1:5" x14ac:dyDescent="0.15">
      <c r="A989" t="s">
        <v>2755</v>
      </c>
      <c r="B989">
        <v>2</v>
      </c>
      <c r="C989" t="s">
        <v>1534</v>
      </c>
      <c r="D989" t="s">
        <v>1473</v>
      </c>
      <c r="E989">
        <v>2</v>
      </c>
    </row>
    <row r="990" spans="1:5" x14ac:dyDescent="0.15">
      <c r="A990" t="s">
        <v>2755</v>
      </c>
      <c r="B990">
        <v>2</v>
      </c>
      <c r="C990" t="s">
        <v>1534</v>
      </c>
      <c r="D990" t="s">
        <v>1473</v>
      </c>
      <c r="E990">
        <v>0</v>
      </c>
    </row>
    <row r="991" spans="1:5" x14ac:dyDescent="0.15">
      <c r="A991" t="s">
        <v>2756</v>
      </c>
      <c r="B991">
        <v>2</v>
      </c>
      <c r="C991" t="s">
        <v>1534</v>
      </c>
      <c r="D991" t="s">
        <v>1473</v>
      </c>
      <c r="E991">
        <v>0</v>
      </c>
    </row>
    <row r="992" spans="1:5" x14ac:dyDescent="0.15">
      <c r="A992" t="s">
        <v>2303</v>
      </c>
      <c r="B992">
        <v>2</v>
      </c>
      <c r="C992" t="s">
        <v>1534</v>
      </c>
      <c r="D992" t="s">
        <v>1473</v>
      </c>
      <c r="E992">
        <v>0</v>
      </c>
    </row>
    <row r="993" spans="1:5" x14ac:dyDescent="0.15">
      <c r="A993" t="s">
        <v>2200</v>
      </c>
      <c r="B993">
        <v>2</v>
      </c>
      <c r="C993" t="s">
        <v>1526</v>
      </c>
      <c r="D993" t="s">
        <v>1473</v>
      </c>
      <c r="E993">
        <v>4</v>
      </c>
    </row>
    <row r="994" spans="1:5" x14ac:dyDescent="0.15">
      <c r="A994" t="s">
        <v>2262</v>
      </c>
      <c r="B994">
        <v>1</v>
      </c>
      <c r="C994" t="s">
        <v>1528</v>
      </c>
      <c r="D994" t="s">
        <v>1473</v>
      </c>
      <c r="E994">
        <v>4</v>
      </c>
    </row>
    <row r="995" spans="1:5" x14ac:dyDescent="0.15">
      <c r="A995" t="s">
        <v>2268</v>
      </c>
      <c r="B995">
        <v>2</v>
      </c>
      <c r="C995" t="s">
        <v>1526</v>
      </c>
      <c r="D995" t="s">
        <v>1473</v>
      </c>
      <c r="E995">
        <v>4</v>
      </c>
    </row>
    <row r="996" spans="1:5" x14ac:dyDescent="0.15">
      <c r="A996" t="s">
        <v>2373</v>
      </c>
      <c r="B996">
        <v>2</v>
      </c>
      <c r="C996" t="s">
        <v>1526</v>
      </c>
      <c r="D996" t="s">
        <v>1473</v>
      </c>
      <c r="E996">
        <v>4</v>
      </c>
    </row>
    <row r="997" spans="1:5" x14ac:dyDescent="0.15">
      <c r="A997" t="s">
        <v>2228</v>
      </c>
      <c r="B997">
        <v>4</v>
      </c>
      <c r="C997" t="s">
        <v>1526</v>
      </c>
      <c r="D997" t="s">
        <v>1473</v>
      </c>
      <c r="E997">
        <v>4</v>
      </c>
    </row>
    <row r="998" spans="1:5" x14ac:dyDescent="0.15">
      <c r="A998" t="s">
        <v>2304</v>
      </c>
      <c r="B998">
        <v>4</v>
      </c>
      <c r="C998" t="s">
        <v>1530</v>
      </c>
      <c r="D998" t="s">
        <v>1473</v>
      </c>
      <c r="E998">
        <v>4</v>
      </c>
    </row>
    <row r="999" spans="1:5" x14ac:dyDescent="0.15">
      <c r="A999" t="s">
        <v>2455</v>
      </c>
      <c r="B999">
        <v>1</v>
      </c>
      <c r="C999" t="s">
        <v>1528</v>
      </c>
      <c r="D999" t="s">
        <v>1473</v>
      </c>
      <c r="E999">
        <v>4</v>
      </c>
    </row>
    <row r="1000" spans="1:5" x14ac:dyDescent="0.15">
      <c r="A1000" t="s">
        <v>2370</v>
      </c>
      <c r="B1000">
        <v>4</v>
      </c>
      <c r="C1000" t="s">
        <v>1534</v>
      </c>
      <c r="D1000" t="s">
        <v>1473</v>
      </c>
      <c r="E1000">
        <v>4</v>
      </c>
    </row>
    <row r="1001" spans="1:5" x14ac:dyDescent="0.15">
      <c r="A1001" t="s">
        <v>2366</v>
      </c>
      <c r="B1001">
        <v>4</v>
      </c>
      <c r="C1001" t="s">
        <v>1526</v>
      </c>
      <c r="D1001" t="s">
        <v>1473</v>
      </c>
      <c r="E1001">
        <v>4</v>
      </c>
    </row>
    <row r="1002" spans="1:5" x14ac:dyDescent="0.15">
      <c r="A1002" t="s">
        <v>2757</v>
      </c>
      <c r="B1002">
        <v>2</v>
      </c>
      <c r="C1002" t="s">
        <v>1526</v>
      </c>
      <c r="D1002" t="s">
        <v>1473</v>
      </c>
      <c r="E1002">
        <v>0</v>
      </c>
    </row>
    <row r="1003" spans="1:5" x14ac:dyDescent="0.15">
      <c r="A1003" t="s">
        <v>2758</v>
      </c>
      <c r="B1003">
        <v>2</v>
      </c>
      <c r="C1003" t="s">
        <v>1526</v>
      </c>
      <c r="D1003" t="s">
        <v>1473</v>
      </c>
      <c r="E1003">
        <v>0</v>
      </c>
    </row>
    <row r="1004" spans="1:5" x14ac:dyDescent="0.15">
      <c r="A1004" t="s">
        <v>2347</v>
      </c>
      <c r="B1004">
        <v>2</v>
      </c>
      <c r="C1004" t="s">
        <v>1526</v>
      </c>
      <c r="D1004" t="s">
        <v>1473</v>
      </c>
      <c r="E1004">
        <v>2</v>
      </c>
    </row>
    <row r="1005" spans="1:5" x14ac:dyDescent="0.15">
      <c r="A1005" t="s">
        <v>2622</v>
      </c>
      <c r="B1005">
        <v>1</v>
      </c>
      <c r="C1005" t="s">
        <v>1530</v>
      </c>
      <c r="D1005" t="s">
        <v>1473</v>
      </c>
      <c r="E1005">
        <v>0</v>
      </c>
    </row>
    <row r="1006" spans="1:5" x14ac:dyDescent="0.15">
      <c r="A1006" t="s">
        <v>2455</v>
      </c>
      <c r="B1006">
        <v>1</v>
      </c>
      <c r="C1006" t="s">
        <v>1528</v>
      </c>
      <c r="D1006" t="s">
        <v>1473</v>
      </c>
      <c r="E1006">
        <v>2</v>
      </c>
    </row>
    <row r="1007" spans="1:5" x14ac:dyDescent="0.15">
      <c r="A1007" t="s">
        <v>2240</v>
      </c>
      <c r="B1007">
        <v>1</v>
      </c>
      <c r="C1007" t="s">
        <v>1528</v>
      </c>
      <c r="D1007" t="s">
        <v>1473</v>
      </c>
      <c r="E1007">
        <v>2</v>
      </c>
    </row>
    <row r="1008" spans="1:5" x14ac:dyDescent="0.15">
      <c r="A1008" t="s">
        <v>2182</v>
      </c>
      <c r="B1008">
        <v>1</v>
      </c>
      <c r="C1008" t="s">
        <v>1538</v>
      </c>
      <c r="D1008" t="s">
        <v>1473</v>
      </c>
      <c r="E1008">
        <v>0</v>
      </c>
    </row>
    <row r="1009" spans="1:5" x14ac:dyDescent="0.15">
      <c r="A1009" t="s">
        <v>2759</v>
      </c>
      <c r="B1009">
        <v>1</v>
      </c>
      <c r="C1009" t="s">
        <v>1534</v>
      </c>
      <c r="D1009" t="s">
        <v>1473</v>
      </c>
      <c r="E1009">
        <v>0</v>
      </c>
    </row>
    <row r="1010" spans="1:5" x14ac:dyDescent="0.15">
      <c r="A1010" t="s">
        <v>2760</v>
      </c>
      <c r="B1010">
        <v>2</v>
      </c>
      <c r="C1010" t="s">
        <v>1536</v>
      </c>
      <c r="D1010" t="s">
        <v>1473</v>
      </c>
      <c r="E1010">
        <v>2</v>
      </c>
    </row>
    <row r="1011" spans="1:5" x14ac:dyDescent="0.15">
      <c r="A1011" t="s">
        <v>2761</v>
      </c>
      <c r="B1011">
        <v>2</v>
      </c>
      <c r="C1011" t="s">
        <v>1534</v>
      </c>
      <c r="D1011" t="s">
        <v>1473</v>
      </c>
      <c r="E1011">
        <v>0</v>
      </c>
    </row>
    <row r="1012" spans="1:5" x14ac:dyDescent="0.15">
      <c r="A1012" t="s">
        <v>2762</v>
      </c>
      <c r="B1012">
        <v>2</v>
      </c>
      <c r="C1012" t="s">
        <v>1530</v>
      </c>
      <c r="D1012" t="s">
        <v>1473</v>
      </c>
      <c r="E1012">
        <v>2</v>
      </c>
    </row>
    <row r="1013" spans="1:5" x14ac:dyDescent="0.15">
      <c r="A1013" t="s">
        <v>2763</v>
      </c>
      <c r="B1013">
        <v>2</v>
      </c>
      <c r="C1013" t="s">
        <v>1534</v>
      </c>
      <c r="D1013" t="s">
        <v>1473</v>
      </c>
      <c r="E1013">
        <v>0</v>
      </c>
    </row>
    <row r="1014" spans="1:5" x14ac:dyDescent="0.15">
      <c r="A1014" t="s">
        <v>2182</v>
      </c>
      <c r="B1014">
        <v>1</v>
      </c>
      <c r="C1014" t="s">
        <v>1538</v>
      </c>
      <c r="D1014" t="s">
        <v>1473</v>
      </c>
      <c r="E1014">
        <v>4</v>
      </c>
    </row>
    <row r="1015" spans="1:5" x14ac:dyDescent="0.15">
      <c r="A1015" t="s">
        <v>2317</v>
      </c>
      <c r="B1015">
        <v>2</v>
      </c>
      <c r="C1015" t="s">
        <v>1538</v>
      </c>
      <c r="D1015" t="s">
        <v>1473</v>
      </c>
      <c r="E1015">
        <v>4</v>
      </c>
    </row>
    <row r="1016" spans="1:5" x14ac:dyDescent="0.15">
      <c r="A1016" t="s">
        <v>2764</v>
      </c>
      <c r="B1016">
        <v>2</v>
      </c>
      <c r="C1016" t="s">
        <v>1534</v>
      </c>
      <c r="D1016" t="s">
        <v>1473</v>
      </c>
      <c r="E1016">
        <v>0</v>
      </c>
    </row>
    <row r="1017" spans="1:5" x14ac:dyDescent="0.15">
      <c r="A1017" t="s">
        <v>2765</v>
      </c>
      <c r="B1017">
        <v>1</v>
      </c>
      <c r="C1017" t="s">
        <v>1534</v>
      </c>
      <c r="D1017" t="s">
        <v>1473</v>
      </c>
      <c r="E1017">
        <v>0</v>
      </c>
    </row>
    <row r="1018" spans="1:5" x14ac:dyDescent="0.15">
      <c r="A1018" t="s">
        <v>2282</v>
      </c>
      <c r="B1018">
        <v>4</v>
      </c>
      <c r="C1018" t="s">
        <v>1532</v>
      </c>
      <c r="D1018" t="s">
        <v>1473</v>
      </c>
      <c r="E1018">
        <v>2</v>
      </c>
    </row>
    <row r="1019" spans="1:5" x14ac:dyDescent="0.15">
      <c r="A1019" t="s">
        <v>2766</v>
      </c>
      <c r="B1019">
        <v>2</v>
      </c>
      <c r="C1019" t="s">
        <v>1534</v>
      </c>
      <c r="D1019" t="s">
        <v>1473</v>
      </c>
      <c r="E1019">
        <v>0</v>
      </c>
    </row>
    <row r="1020" spans="1:5" x14ac:dyDescent="0.15">
      <c r="A1020" t="s">
        <v>2335</v>
      </c>
      <c r="B1020">
        <v>4</v>
      </c>
      <c r="C1020" t="s">
        <v>1532</v>
      </c>
      <c r="D1020" t="s">
        <v>1473</v>
      </c>
      <c r="E1020">
        <v>4</v>
      </c>
    </row>
    <row r="1021" spans="1:5" x14ac:dyDescent="0.15">
      <c r="A1021" t="s">
        <v>2281</v>
      </c>
      <c r="B1021">
        <v>4</v>
      </c>
      <c r="C1021" t="s">
        <v>1532</v>
      </c>
      <c r="D1021" t="s">
        <v>1473</v>
      </c>
      <c r="E1021">
        <v>4</v>
      </c>
    </row>
    <row r="1022" spans="1:5" x14ac:dyDescent="0.15">
      <c r="A1022" t="s">
        <v>2767</v>
      </c>
      <c r="B1022">
        <v>2</v>
      </c>
      <c r="C1022" t="s">
        <v>1534</v>
      </c>
      <c r="D1022" t="s">
        <v>1473</v>
      </c>
      <c r="E1022">
        <v>0</v>
      </c>
    </row>
    <row r="1023" spans="1:5" x14ac:dyDescent="0.15">
      <c r="A1023" t="s">
        <v>2768</v>
      </c>
      <c r="B1023">
        <v>2</v>
      </c>
      <c r="C1023" t="s">
        <v>1526</v>
      </c>
      <c r="D1023" t="s">
        <v>1473</v>
      </c>
      <c r="E1023">
        <v>2</v>
      </c>
    </row>
    <row r="1024" spans="1:5" x14ac:dyDescent="0.15">
      <c r="A1024" t="s">
        <v>2769</v>
      </c>
      <c r="B1024">
        <v>2</v>
      </c>
      <c r="C1024" t="s">
        <v>1530</v>
      </c>
      <c r="D1024" t="s">
        <v>1473</v>
      </c>
      <c r="E1024">
        <v>4</v>
      </c>
    </row>
    <row r="1025" spans="1:5" x14ac:dyDescent="0.15">
      <c r="A1025" t="s">
        <v>2337</v>
      </c>
      <c r="B1025">
        <v>1</v>
      </c>
      <c r="C1025" t="s">
        <v>1532</v>
      </c>
      <c r="D1025" t="s">
        <v>1473</v>
      </c>
      <c r="E1025">
        <v>2</v>
      </c>
    </row>
    <row r="1026" spans="1:5" x14ac:dyDescent="0.15">
      <c r="A1026" t="s">
        <v>2770</v>
      </c>
      <c r="B1026">
        <v>1</v>
      </c>
      <c r="C1026" t="s">
        <v>1532</v>
      </c>
      <c r="D1026" t="s">
        <v>1473</v>
      </c>
      <c r="E1026">
        <v>0</v>
      </c>
    </row>
    <row r="1027" spans="1:5" x14ac:dyDescent="0.15">
      <c r="A1027" t="s">
        <v>2353</v>
      </c>
      <c r="B1027">
        <v>2</v>
      </c>
      <c r="C1027" t="s">
        <v>1534</v>
      </c>
      <c r="D1027" t="s">
        <v>1473</v>
      </c>
      <c r="E1027">
        <v>2</v>
      </c>
    </row>
    <row r="1028" spans="1:5" x14ac:dyDescent="0.15">
      <c r="A1028" t="s">
        <v>2771</v>
      </c>
      <c r="B1028">
        <v>2</v>
      </c>
      <c r="C1028" t="s">
        <v>1532</v>
      </c>
      <c r="D1028" t="s">
        <v>1473</v>
      </c>
      <c r="E1028">
        <v>4</v>
      </c>
    </row>
    <row r="1029" spans="1:5" x14ac:dyDescent="0.15">
      <c r="A1029" t="s">
        <v>2076</v>
      </c>
      <c r="B1029">
        <v>1</v>
      </c>
      <c r="C1029" t="s">
        <v>1538</v>
      </c>
      <c r="D1029" t="s">
        <v>1473</v>
      </c>
      <c r="E1029">
        <v>1</v>
      </c>
    </row>
    <row r="1030" spans="1:5" x14ac:dyDescent="0.15">
      <c r="A1030" t="s">
        <v>2772</v>
      </c>
      <c r="B1030">
        <v>2</v>
      </c>
      <c r="C1030" t="s">
        <v>1538</v>
      </c>
      <c r="D1030" t="s">
        <v>1473</v>
      </c>
      <c r="E1030">
        <v>0</v>
      </c>
    </row>
    <row r="1031" spans="1:5" x14ac:dyDescent="0.15">
      <c r="A1031" t="s">
        <v>2773</v>
      </c>
      <c r="B1031">
        <v>2</v>
      </c>
      <c r="C1031" t="s">
        <v>1530</v>
      </c>
      <c r="D1031" t="s">
        <v>1473</v>
      </c>
      <c r="E1031">
        <v>0</v>
      </c>
    </row>
    <row r="1032" spans="1:5" x14ac:dyDescent="0.15">
      <c r="A1032" t="s">
        <v>2774</v>
      </c>
      <c r="B1032">
        <v>2</v>
      </c>
      <c r="C1032" t="s">
        <v>1538</v>
      </c>
      <c r="D1032" t="s">
        <v>1473</v>
      </c>
      <c r="E1032">
        <v>0</v>
      </c>
    </row>
    <row r="1033" spans="1:5" x14ac:dyDescent="0.15">
      <c r="A1033" t="s">
        <v>2052</v>
      </c>
      <c r="B1033">
        <v>1</v>
      </c>
      <c r="C1033" t="s">
        <v>1538</v>
      </c>
      <c r="D1033" t="s">
        <v>1473</v>
      </c>
      <c r="E1033">
        <v>1</v>
      </c>
    </row>
    <row r="1034" spans="1:5" x14ac:dyDescent="0.15">
      <c r="A1034" t="s">
        <v>2775</v>
      </c>
      <c r="B1034">
        <v>2</v>
      </c>
      <c r="C1034" t="s">
        <v>1538</v>
      </c>
      <c r="D1034" t="s">
        <v>1473</v>
      </c>
      <c r="E1034">
        <v>0</v>
      </c>
    </row>
    <row r="1035" spans="1:5" x14ac:dyDescent="0.15">
      <c r="A1035" t="s">
        <v>2086</v>
      </c>
      <c r="B1035">
        <v>1</v>
      </c>
      <c r="C1035" t="s">
        <v>1538</v>
      </c>
      <c r="D1035" t="s">
        <v>1473</v>
      </c>
      <c r="E1035">
        <v>2</v>
      </c>
    </row>
    <row r="1036" spans="1:5" x14ac:dyDescent="0.15">
      <c r="A1036" t="s">
        <v>2084</v>
      </c>
      <c r="B1036">
        <v>1</v>
      </c>
      <c r="C1036" t="s">
        <v>1538</v>
      </c>
      <c r="D1036" t="s">
        <v>1473</v>
      </c>
      <c r="E1036">
        <v>2</v>
      </c>
    </row>
    <row r="1037" spans="1:5" x14ac:dyDescent="0.15">
      <c r="A1037" t="s">
        <v>2776</v>
      </c>
      <c r="B1037">
        <v>2</v>
      </c>
      <c r="C1037" t="s">
        <v>1801</v>
      </c>
      <c r="D1037" t="s">
        <v>1473</v>
      </c>
      <c r="E1037">
        <v>0</v>
      </c>
    </row>
    <row r="1038" spans="1:5" x14ac:dyDescent="0.15">
      <c r="A1038" t="s">
        <v>2777</v>
      </c>
      <c r="B1038">
        <v>2</v>
      </c>
      <c r="C1038" t="s">
        <v>1538</v>
      </c>
      <c r="D1038" t="s">
        <v>1473</v>
      </c>
      <c r="E1038">
        <v>0</v>
      </c>
    </row>
    <row r="1039" spans="1:5" x14ac:dyDescent="0.15">
      <c r="A1039" t="s">
        <v>2078</v>
      </c>
      <c r="B1039">
        <v>1</v>
      </c>
      <c r="C1039" t="s">
        <v>1538</v>
      </c>
      <c r="D1039" t="s">
        <v>1473</v>
      </c>
      <c r="E1039">
        <v>4</v>
      </c>
    </row>
    <row r="1040" spans="1:5" x14ac:dyDescent="0.15">
      <c r="A1040" t="s">
        <v>2067</v>
      </c>
      <c r="B1040">
        <v>1</v>
      </c>
      <c r="C1040" t="s">
        <v>1538</v>
      </c>
      <c r="D1040" t="s">
        <v>1473</v>
      </c>
      <c r="E1040">
        <v>2</v>
      </c>
    </row>
    <row r="1041" spans="1:5" x14ac:dyDescent="0.15">
      <c r="A1041" t="s">
        <v>2052</v>
      </c>
      <c r="B1041">
        <v>1</v>
      </c>
      <c r="C1041" t="s">
        <v>1538</v>
      </c>
      <c r="D1041" t="s">
        <v>1473</v>
      </c>
      <c r="E1041">
        <v>4</v>
      </c>
    </row>
    <row r="1042" spans="1:5" x14ac:dyDescent="0.15">
      <c r="A1042" t="s">
        <v>2051</v>
      </c>
      <c r="B1042">
        <v>1</v>
      </c>
      <c r="C1042" t="s">
        <v>1538</v>
      </c>
      <c r="D1042" t="s">
        <v>1473</v>
      </c>
      <c r="E1042">
        <v>4</v>
      </c>
    </row>
    <row r="1043" spans="1:5" x14ac:dyDescent="0.15">
      <c r="A1043" t="s">
        <v>2093</v>
      </c>
      <c r="B1043">
        <v>1</v>
      </c>
      <c r="C1043" t="s">
        <v>1538</v>
      </c>
      <c r="D1043" t="s">
        <v>1473</v>
      </c>
      <c r="E1043">
        <v>4</v>
      </c>
    </row>
    <row r="1044" spans="1:5" x14ac:dyDescent="0.15">
      <c r="A1044" t="s">
        <v>2778</v>
      </c>
      <c r="B1044">
        <v>2</v>
      </c>
      <c r="C1044" t="s">
        <v>1538</v>
      </c>
      <c r="D1044" t="s">
        <v>1473</v>
      </c>
      <c r="E1044">
        <v>0</v>
      </c>
    </row>
    <row r="1045" spans="1:5" x14ac:dyDescent="0.15">
      <c r="A1045" t="s">
        <v>2779</v>
      </c>
      <c r="B1045">
        <v>2</v>
      </c>
      <c r="C1045" t="s">
        <v>1803</v>
      </c>
      <c r="D1045" t="s">
        <v>1473</v>
      </c>
      <c r="E1045">
        <v>0</v>
      </c>
    </row>
    <row r="1046" spans="1:5" x14ac:dyDescent="0.15">
      <c r="A1046" t="s">
        <v>2068</v>
      </c>
      <c r="B1046">
        <v>1</v>
      </c>
      <c r="C1046" t="s">
        <v>1538</v>
      </c>
      <c r="D1046" t="s">
        <v>1473</v>
      </c>
      <c r="E1046">
        <v>4</v>
      </c>
    </row>
    <row r="1047" spans="1:5" x14ac:dyDescent="0.15">
      <c r="A1047" t="s">
        <v>2090</v>
      </c>
      <c r="B1047">
        <v>1</v>
      </c>
      <c r="C1047" t="s">
        <v>1538</v>
      </c>
      <c r="D1047" t="s">
        <v>1473</v>
      </c>
      <c r="E1047">
        <v>4</v>
      </c>
    </row>
    <row r="1048" spans="1:5" x14ac:dyDescent="0.15">
      <c r="A1048" t="s">
        <v>2780</v>
      </c>
      <c r="C1048" t="s">
        <v>1801</v>
      </c>
      <c r="D1048" t="s">
        <v>1473</v>
      </c>
      <c r="E1048">
        <v>0</v>
      </c>
    </row>
    <row r="1049" spans="1:5" x14ac:dyDescent="0.15">
      <c r="A1049" t="s">
        <v>2781</v>
      </c>
      <c r="B1049">
        <v>2</v>
      </c>
      <c r="C1049" t="s">
        <v>1538</v>
      </c>
      <c r="D1049" t="s">
        <v>1473</v>
      </c>
      <c r="E1049">
        <v>0</v>
      </c>
    </row>
    <row r="1050" spans="1:5" x14ac:dyDescent="0.15">
      <c r="A1050" t="s">
        <v>2091</v>
      </c>
      <c r="B1050">
        <v>1</v>
      </c>
      <c r="C1050" t="s">
        <v>1538</v>
      </c>
      <c r="D1050" t="s">
        <v>1473</v>
      </c>
      <c r="E1050">
        <v>2</v>
      </c>
    </row>
    <row r="1051" spans="1:5" x14ac:dyDescent="0.15">
      <c r="A1051" t="s">
        <v>2782</v>
      </c>
      <c r="B1051">
        <v>2</v>
      </c>
      <c r="C1051" t="s">
        <v>1538</v>
      </c>
      <c r="D1051" t="s">
        <v>1473</v>
      </c>
      <c r="E1051">
        <v>0</v>
      </c>
    </row>
    <row r="1052" spans="1:5" x14ac:dyDescent="0.15">
      <c r="A1052" t="s">
        <v>2079</v>
      </c>
      <c r="B1052">
        <v>2</v>
      </c>
      <c r="C1052" t="s">
        <v>1538</v>
      </c>
      <c r="D1052" t="s">
        <v>1473</v>
      </c>
      <c r="E1052">
        <v>2</v>
      </c>
    </row>
    <row r="1053" spans="1:5" x14ac:dyDescent="0.15">
      <c r="A1053" t="s">
        <v>2077</v>
      </c>
      <c r="B1053">
        <v>4</v>
      </c>
      <c r="C1053" t="s">
        <v>1538</v>
      </c>
      <c r="D1053" t="s">
        <v>1473</v>
      </c>
      <c r="E1053">
        <v>2</v>
      </c>
    </row>
    <row r="1054" spans="1:5" x14ac:dyDescent="0.15">
      <c r="A1054" t="s">
        <v>2061</v>
      </c>
      <c r="B1054">
        <v>1</v>
      </c>
      <c r="C1054" t="s">
        <v>1538</v>
      </c>
      <c r="D1054" t="s">
        <v>1473</v>
      </c>
      <c r="E1054">
        <v>4</v>
      </c>
    </row>
    <row r="1055" spans="1:5" x14ac:dyDescent="0.15">
      <c r="A1055" t="s">
        <v>2073</v>
      </c>
      <c r="B1055">
        <v>1</v>
      </c>
      <c r="C1055" t="s">
        <v>1538</v>
      </c>
      <c r="D1055" t="s">
        <v>1473</v>
      </c>
      <c r="E1055">
        <v>4</v>
      </c>
    </row>
    <row r="1056" spans="1:5" x14ac:dyDescent="0.15">
      <c r="A1056" t="s">
        <v>2096</v>
      </c>
      <c r="B1056">
        <v>1</v>
      </c>
      <c r="C1056" t="s">
        <v>1538</v>
      </c>
      <c r="D1056" t="s">
        <v>1473</v>
      </c>
      <c r="E1056">
        <v>4</v>
      </c>
    </row>
    <row r="1057" spans="1:5" x14ac:dyDescent="0.15">
      <c r="A1057" t="s">
        <v>2066</v>
      </c>
      <c r="B1057">
        <v>1</v>
      </c>
      <c r="C1057" t="s">
        <v>1538</v>
      </c>
      <c r="D1057" t="s">
        <v>1473</v>
      </c>
      <c r="E1057">
        <v>4</v>
      </c>
    </row>
    <row r="1058" spans="1:5" x14ac:dyDescent="0.15">
      <c r="A1058" t="s">
        <v>2065</v>
      </c>
      <c r="B1058">
        <v>1</v>
      </c>
      <c r="C1058" t="s">
        <v>1538</v>
      </c>
      <c r="D1058" t="s">
        <v>1473</v>
      </c>
      <c r="E1058">
        <v>4</v>
      </c>
    </row>
    <row r="1059" spans="1:5" x14ac:dyDescent="0.15">
      <c r="A1059" t="s">
        <v>2102</v>
      </c>
      <c r="B1059">
        <v>1</v>
      </c>
      <c r="C1059" t="s">
        <v>1538</v>
      </c>
      <c r="D1059" t="s">
        <v>1473</v>
      </c>
      <c r="E1059">
        <v>4</v>
      </c>
    </row>
    <row r="1060" spans="1:5" x14ac:dyDescent="0.15">
      <c r="A1060" t="s">
        <v>2783</v>
      </c>
      <c r="B1060">
        <v>2</v>
      </c>
      <c r="C1060" t="s">
        <v>1538</v>
      </c>
      <c r="D1060" t="s">
        <v>1473</v>
      </c>
      <c r="E1060">
        <v>0</v>
      </c>
    </row>
    <row r="1061" spans="1:5" x14ac:dyDescent="0.15">
      <c r="A1061" t="s">
        <v>2784</v>
      </c>
      <c r="B1061">
        <v>2</v>
      </c>
      <c r="C1061" t="s">
        <v>1538</v>
      </c>
      <c r="D1061" t="s">
        <v>1473</v>
      </c>
      <c r="E1061">
        <v>2</v>
      </c>
    </row>
    <row r="1062" spans="1:5" x14ac:dyDescent="0.15">
      <c r="A1062" t="s">
        <v>2785</v>
      </c>
      <c r="B1062">
        <v>2</v>
      </c>
      <c r="C1062" t="s">
        <v>1538</v>
      </c>
      <c r="D1062" t="s">
        <v>1473</v>
      </c>
      <c r="E1062">
        <v>2</v>
      </c>
    </row>
    <row r="1063" spans="1:5" x14ac:dyDescent="0.15">
      <c r="A1063" t="s">
        <v>2786</v>
      </c>
      <c r="B1063">
        <v>2</v>
      </c>
      <c r="C1063" t="s">
        <v>1538</v>
      </c>
      <c r="D1063" t="s">
        <v>1473</v>
      </c>
      <c r="E1063">
        <v>0</v>
      </c>
    </row>
    <row r="1064" spans="1:5" x14ac:dyDescent="0.15">
      <c r="A1064" t="s">
        <v>2095</v>
      </c>
      <c r="B1064">
        <v>1</v>
      </c>
      <c r="C1064" t="s">
        <v>1538</v>
      </c>
      <c r="D1064" t="s">
        <v>1473</v>
      </c>
      <c r="E1064">
        <v>2</v>
      </c>
    </row>
    <row r="1065" spans="1:5" x14ac:dyDescent="0.15">
      <c r="A1065" t="s">
        <v>100</v>
      </c>
      <c r="B1065">
        <v>0</v>
      </c>
      <c r="C1065" t="s">
        <v>1598</v>
      </c>
      <c r="E1065">
        <v>3</v>
      </c>
    </row>
    <row r="1066" spans="1:5" x14ac:dyDescent="0.15">
      <c r="A1066" t="s">
        <v>2513</v>
      </c>
      <c r="B1066">
        <v>1</v>
      </c>
      <c r="C1066" t="s">
        <v>1526</v>
      </c>
      <c r="D1066" t="s">
        <v>1473</v>
      </c>
      <c r="E1066">
        <v>2</v>
      </c>
    </row>
    <row r="1067" spans="1:5" x14ac:dyDescent="0.15">
      <c r="A1067" t="s">
        <v>2492</v>
      </c>
      <c r="B1067">
        <v>1</v>
      </c>
      <c r="C1067" t="s">
        <v>1526</v>
      </c>
      <c r="D1067" t="s">
        <v>1473</v>
      </c>
      <c r="E1067">
        <v>4</v>
      </c>
    </row>
    <row r="1068" spans="1:5" x14ac:dyDescent="0.15">
      <c r="A1068" t="s">
        <v>2493</v>
      </c>
      <c r="B1068">
        <v>1</v>
      </c>
      <c r="C1068" t="s">
        <v>1526</v>
      </c>
      <c r="D1068" t="s">
        <v>1473</v>
      </c>
      <c r="E1068">
        <v>2</v>
      </c>
    </row>
    <row r="1069" spans="1:5" x14ac:dyDescent="0.15">
      <c r="A1069" t="s">
        <v>2485</v>
      </c>
      <c r="B1069">
        <v>1</v>
      </c>
      <c r="C1069" t="s">
        <v>1538</v>
      </c>
      <c r="D1069" t="s">
        <v>1473</v>
      </c>
      <c r="E1069">
        <v>2</v>
      </c>
    </row>
    <row r="1070" spans="1:5" x14ac:dyDescent="0.15">
      <c r="A1070" t="s">
        <v>2515</v>
      </c>
      <c r="B1070">
        <v>1</v>
      </c>
      <c r="C1070" t="s">
        <v>1538</v>
      </c>
      <c r="D1070" t="s">
        <v>1473</v>
      </c>
      <c r="E1070">
        <v>4</v>
      </c>
    </row>
    <row r="1071" spans="1:5" x14ac:dyDescent="0.15">
      <c r="A1071" t="s">
        <v>2501</v>
      </c>
      <c r="B1071">
        <v>1</v>
      </c>
      <c r="C1071" t="s">
        <v>1538</v>
      </c>
      <c r="D1071" t="s">
        <v>1473</v>
      </c>
      <c r="E1071">
        <v>4</v>
      </c>
    </row>
    <row r="1072" spans="1:5" x14ac:dyDescent="0.15">
      <c r="A1072" t="s">
        <v>2787</v>
      </c>
      <c r="B1072">
        <v>2</v>
      </c>
      <c r="C1072" t="s">
        <v>1555</v>
      </c>
      <c r="E1072">
        <v>2</v>
      </c>
    </row>
    <row r="1073" spans="1:5" x14ac:dyDescent="0.15">
      <c r="A1073" t="s">
        <v>2788</v>
      </c>
      <c r="B1073">
        <v>2</v>
      </c>
      <c r="C1073" t="s">
        <v>1753</v>
      </c>
      <c r="E1073">
        <v>2</v>
      </c>
    </row>
    <row r="1074" spans="1:5" x14ac:dyDescent="0.15">
      <c r="A1074" t="s">
        <v>2789</v>
      </c>
      <c r="B1074">
        <v>2</v>
      </c>
      <c r="C1074" t="s">
        <v>1753</v>
      </c>
      <c r="E1074">
        <v>2</v>
      </c>
    </row>
    <row r="1075" spans="1:5" x14ac:dyDescent="0.15">
      <c r="A1075" t="s">
        <v>2790</v>
      </c>
      <c r="B1075">
        <v>2</v>
      </c>
      <c r="C1075" t="s">
        <v>1555</v>
      </c>
      <c r="E1075">
        <v>2</v>
      </c>
    </row>
    <row r="1076" spans="1:5" x14ac:dyDescent="0.15">
      <c r="A1076" t="s">
        <v>2791</v>
      </c>
      <c r="B1076">
        <v>2</v>
      </c>
      <c r="C1076" t="s">
        <v>1551</v>
      </c>
      <c r="E1076">
        <v>2</v>
      </c>
    </row>
    <row r="1077" spans="1:5" x14ac:dyDescent="0.15">
      <c r="A1077" t="s">
        <v>2792</v>
      </c>
      <c r="B1077">
        <v>2</v>
      </c>
      <c r="C1077" t="s">
        <v>1553</v>
      </c>
      <c r="E1077">
        <v>2</v>
      </c>
    </row>
    <row r="1078" spans="1:5" x14ac:dyDescent="0.15">
      <c r="A1078" t="s">
        <v>2793</v>
      </c>
      <c r="B1078">
        <v>2</v>
      </c>
      <c r="C1078" t="s">
        <v>1555</v>
      </c>
      <c r="E1078">
        <v>2</v>
      </c>
    </row>
    <row r="1079" spans="1:5" x14ac:dyDescent="0.15">
      <c r="A1079" t="s">
        <v>2794</v>
      </c>
      <c r="B1079">
        <v>2</v>
      </c>
      <c r="C1079" t="s">
        <v>1604</v>
      </c>
      <c r="E1079">
        <v>2</v>
      </c>
    </row>
    <row r="1080" spans="1:5" x14ac:dyDescent="0.15">
      <c r="A1080" t="s">
        <v>2519</v>
      </c>
      <c r="B1080">
        <v>0</v>
      </c>
      <c r="C1080" t="s">
        <v>1583</v>
      </c>
      <c r="E1080">
        <v>3</v>
      </c>
    </row>
    <row r="1081" spans="1:5" x14ac:dyDescent="0.15">
      <c r="A1081" t="s">
        <v>2795</v>
      </c>
      <c r="B1081">
        <v>2</v>
      </c>
      <c r="C1081" t="s">
        <v>1596</v>
      </c>
      <c r="E1081">
        <v>2</v>
      </c>
    </row>
    <row r="1082" spans="1:5" x14ac:dyDescent="0.15">
      <c r="A1082" t="s">
        <v>2796</v>
      </c>
      <c r="B1082">
        <v>2</v>
      </c>
      <c r="C1082" t="s">
        <v>1555</v>
      </c>
      <c r="E1082">
        <v>2</v>
      </c>
    </row>
    <row r="1083" spans="1:5" x14ac:dyDescent="0.15">
      <c r="A1083" t="s">
        <v>2797</v>
      </c>
      <c r="B1083">
        <v>2</v>
      </c>
      <c r="C1083" t="s">
        <v>1757</v>
      </c>
      <c r="E1083">
        <v>2</v>
      </c>
    </row>
    <row r="1084" spans="1:5" x14ac:dyDescent="0.15">
      <c r="A1084" t="s">
        <v>2798</v>
      </c>
      <c r="B1084">
        <v>2</v>
      </c>
      <c r="C1084" t="s">
        <v>1757</v>
      </c>
      <c r="E1084">
        <v>2</v>
      </c>
    </row>
    <row r="1085" spans="1:5" x14ac:dyDescent="0.15">
      <c r="A1085" t="s">
        <v>2799</v>
      </c>
      <c r="B1085">
        <v>2</v>
      </c>
      <c r="C1085" t="s">
        <v>1547</v>
      </c>
      <c r="E1085">
        <v>2</v>
      </c>
    </row>
    <row r="1086" spans="1:5" x14ac:dyDescent="0.15">
      <c r="A1086" t="s">
        <v>2800</v>
      </c>
      <c r="B1086">
        <v>2</v>
      </c>
      <c r="C1086" t="s">
        <v>1553</v>
      </c>
      <c r="E1086">
        <v>2</v>
      </c>
    </row>
    <row r="1087" spans="1:5" x14ac:dyDescent="0.15">
      <c r="A1087" t="s">
        <v>2801</v>
      </c>
      <c r="B1087">
        <v>2</v>
      </c>
      <c r="C1087" t="s">
        <v>1757</v>
      </c>
      <c r="E1087">
        <v>2</v>
      </c>
    </row>
    <row r="1088" spans="1:5" x14ac:dyDescent="0.15">
      <c r="A1088" t="s">
        <v>2802</v>
      </c>
      <c r="B1088">
        <v>2</v>
      </c>
      <c r="C1088" t="s">
        <v>1757</v>
      </c>
      <c r="E1088">
        <v>2</v>
      </c>
    </row>
    <row r="1089" spans="1:5" x14ac:dyDescent="0.15">
      <c r="A1089" t="s">
        <v>2803</v>
      </c>
      <c r="B1089">
        <v>2</v>
      </c>
      <c r="C1089" t="s">
        <v>1757</v>
      </c>
      <c r="E1089">
        <v>2</v>
      </c>
    </row>
    <row r="1090" spans="1:5" x14ac:dyDescent="0.15">
      <c r="A1090" t="s">
        <v>2804</v>
      </c>
      <c r="B1090">
        <v>2</v>
      </c>
      <c r="C1090" t="s">
        <v>1596</v>
      </c>
      <c r="E1090">
        <v>2</v>
      </c>
    </row>
    <row r="1091" spans="1:5" x14ac:dyDescent="0.15">
      <c r="A1091" t="s">
        <v>2805</v>
      </c>
      <c r="B1091">
        <v>2</v>
      </c>
      <c r="C1091" t="s">
        <v>1596</v>
      </c>
      <c r="E1091">
        <v>2</v>
      </c>
    </row>
    <row r="1092" spans="1:5" x14ac:dyDescent="0.15">
      <c r="A1092" t="s">
        <v>2806</v>
      </c>
      <c r="B1092">
        <v>2</v>
      </c>
      <c r="C1092" t="s">
        <v>1541</v>
      </c>
      <c r="E1092">
        <v>2</v>
      </c>
    </row>
    <row r="1093" spans="1:5" x14ac:dyDescent="0.15">
      <c r="A1093" t="s">
        <v>2807</v>
      </c>
      <c r="B1093">
        <v>2</v>
      </c>
      <c r="C1093" t="s">
        <v>1600</v>
      </c>
      <c r="E1093">
        <v>2</v>
      </c>
    </row>
    <row r="1094" spans="1:5" x14ac:dyDescent="0.15">
      <c r="A1094" t="s">
        <v>2808</v>
      </c>
      <c r="B1094">
        <v>2</v>
      </c>
      <c r="C1094" t="s">
        <v>1600</v>
      </c>
      <c r="E1094">
        <v>2</v>
      </c>
    </row>
    <row r="1095" spans="1:5" x14ac:dyDescent="0.15">
      <c r="A1095" t="s">
        <v>2551</v>
      </c>
      <c r="B1095">
        <v>1</v>
      </c>
      <c r="C1095" t="s">
        <v>1536</v>
      </c>
      <c r="D1095" t="s">
        <v>1473</v>
      </c>
      <c r="E1095">
        <v>4</v>
      </c>
    </row>
    <row r="1096" spans="1:5" x14ac:dyDescent="0.15">
      <c r="A1096" t="s">
        <v>2552</v>
      </c>
      <c r="B1096">
        <v>1</v>
      </c>
      <c r="C1096" t="s">
        <v>1536</v>
      </c>
      <c r="D1096" t="s">
        <v>1473</v>
      </c>
      <c r="E1096">
        <v>4</v>
      </c>
    </row>
    <row r="1097" spans="1:5" x14ac:dyDescent="0.15">
      <c r="A1097" t="s">
        <v>2548</v>
      </c>
      <c r="B1097">
        <v>1</v>
      </c>
      <c r="C1097" t="s">
        <v>1536</v>
      </c>
      <c r="D1097" t="s">
        <v>1473</v>
      </c>
      <c r="E1097">
        <v>4</v>
      </c>
    </row>
    <row r="1098" spans="1:5" x14ac:dyDescent="0.15">
      <c r="A1098" t="s">
        <v>2809</v>
      </c>
      <c r="B1098">
        <v>1</v>
      </c>
      <c r="C1098" t="s">
        <v>1530</v>
      </c>
      <c r="D1098" t="s">
        <v>1473</v>
      </c>
      <c r="E1098">
        <v>0</v>
      </c>
    </row>
    <row r="1099" spans="1:5" x14ac:dyDescent="0.15">
      <c r="A1099" t="s">
        <v>2810</v>
      </c>
      <c r="B1099">
        <v>2</v>
      </c>
      <c r="C1099" t="s">
        <v>1526</v>
      </c>
      <c r="D1099" t="s">
        <v>1473</v>
      </c>
      <c r="E1099">
        <v>0</v>
      </c>
    </row>
    <row r="1100" spans="1:5" x14ac:dyDescent="0.15">
      <c r="A1100" t="s">
        <v>2811</v>
      </c>
      <c r="B1100">
        <v>2</v>
      </c>
      <c r="C1100" t="s">
        <v>1534</v>
      </c>
      <c r="D1100" t="s">
        <v>1473</v>
      </c>
      <c r="E1100">
        <v>0</v>
      </c>
    </row>
    <row r="1101" spans="1:5" x14ac:dyDescent="0.15">
      <c r="A1101" t="s">
        <v>2812</v>
      </c>
      <c r="B1101">
        <v>2</v>
      </c>
      <c r="C1101" t="s">
        <v>1530</v>
      </c>
      <c r="D1101" t="s">
        <v>1473</v>
      </c>
      <c r="E1101">
        <v>0</v>
      </c>
    </row>
    <row r="1102" spans="1:5" x14ac:dyDescent="0.15">
      <c r="A1102" t="s">
        <v>2813</v>
      </c>
      <c r="B1102">
        <v>2</v>
      </c>
      <c r="C1102" t="s">
        <v>1534</v>
      </c>
      <c r="D1102" t="s">
        <v>1473</v>
      </c>
      <c r="E1102">
        <v>0</v>
      </c>
    </row>
    <row r="1103" spans="1:5" x14ac:dyDescent="0.15">
      <c r="A1103" t="s">
        <v>2814</v>
      </c>
      <c r="B1103">
        <v>2</v>
      </c>
      <c r="C1103" t="s">
        <v>1526</v>
      </c>
      <c r="D1103" t="s">
        <v>1473</v>
      </c>
      <c r="E1103">
        <v>0</v>
      </c>
    </row>
    <row r="1104" spans="1:5" x14ac:dyDescent="0.15">
      <c r="A1104" t="s">
        <v>2815</v>
      </c>
      <c r="B1104">
        <v>2</v>
      </c>
      <c r="C1104" t="s">
        <v>1532</v>
      </c>
      <c r="D1104" t="s">
        <v>1473</v>
      </c>
      <c r="E1104">
        <v>0</v>
      </c>
    </row>
    <row r="1105" spans="1:5" x14ac:dyDescent="0.15">
      <c r="A1105" t="s">
        <v>2816</v>
      </c>
      <c r="B1105">
        <v>2</v>
      </c>
      <c r="C1105" t="s">
        <v>1532</v>
      </c>
      <c r="D1105" t="s">
        <v>1473</v>
      </c>
      <c r="E1105">
        <v>0</v>
      </c>
    </row>
    <row r="1106" spans="1:5" x14ac:dyDescent="0.15">
      <c r="A1106" t="s">
        <v>2726</v>
      </c>
      <c r="B1106">
        <v>2</v>
      </c>
      <c r="C1106" t="s">
        <v>1534</v>
      </c>
      <c r="D1106" t="s">
        <v>1473</v>
      </c>
      <c r="E1106">
        <v>2</v>
      </c>
    </row>
    <row r="1107" spans="1:5" x14ac:dyDescent="0.15">
      <c r="A1107" t="s">
        <v>2366</v>
      </c>
      <c r="B1107">
        <v>4</v>
      </c>
      <c r="C1107" t="s">
        <v>1526</v>
      </c>
      <c r="D1107" t="s">
        <v>1473</v>
      </c>
      <c r="E1107">
        <v>2</v>
      </c>
    </row>
    <row r="1108" spans="1:5" x14ac:dyDescent="0.15">
      <c r="A1108" t="s">
        <v>2228</v>
      </c>
      <c r="B1108">
        <v>4</v>
      </c>
      <c r="C1108" t="s">
        <v>1526</v>
      </c>
      <c r="D1108" t="s">
        <v>1473</v>
      </c>
      <c r="E1108">
        <v>2</v>
      </c>
    </row>
    <row r="1109" spans="1:5" x14ac:dyDescent="0.15">
      <c r="A1109" t="s">
        <v>2300</v>
      </c>
      <c r="B1109">
        <v>1</v>
      </c>
      <c r="C1109" t="s">
        <v>1526</v>
      </c>
      <c r="D1109" t="s">
        <v>1473</v>
      </c>
      <c r="E1109">
        <v>2</v>
      </c>
    </row>
    <row r="1110" spans="1:5" x14ac:dyDescent="0.15">
      <c r="A1110" t="s">
        <v>2810</v>
      </c>
      <c r="B1110">
        <v>2</v>
      </c>
      <c r="C1110" t="s">
        <v>1526</v>
      </c>
      <c r="D1110" t="s">
        <v>1473</v>
      </c>
      <c r="E1110">
        <v>2</v>
      </c>
    </row>
    <row r="1111" spans="1:5" x14ac:dyDescent="0.15">
      <c r="A1111" t="s">
        <v>2218</v>
      </c>
      <c r="B1111">
        <v>1</v>
      </c>
      <c r="C1111" t="s">
        <v>1536</v>
      </c>
      <c r="D1111" t="s">
        <v>1473</v>
      </c>
      <c r="E1111">
        <v>2</v>
      </c>
    </row>
    <row r="1112" spans="1:5" x14ac:dyDescent="0.15">
      <c r="A1112" t="s">
        <v>2732</v>
      </c>
      <c r="B1112">
        <v>2</v>
      </c>
      <c r="C1112" t="s">
        <v>1536</v>
      </c>
      <c r="D1112" t="s">
        <v>1473</v>
      </c>
      <c r="E1112">
        <v>2</v>
      </c>
    </row>
    <row r="1113" spans="1:5" x14ac:dyDescent="0.15">
      <c r="A1113" t="s">
        <v>2457</v>
      </c>
      <c r="B1113">
        <v>4</v>
      </c>
      <c r="C1113" t="s">
        <v>1536</v>
      </c>
      <c r="D1113" t="s">
        <v>1473</v>
      </c>
      <c r="E1113">
        <v>2</v>
      </c>
    </row>
    <row r="1114" spans="1:5" x14ac:dyDescent="0.15">
      <c r="A1114" t="s">
        <v>2253</v>
      </c>
      <c r="B1114">
        <v>2</v>
      </c>
      <c r="C1114" t="s">
        <v>1536</v>
      </c>
      <c r="D1114" t="s">
        <v>1473</v>
      </c>
      <c r="E1114">
        <v>2</v>
      </c>
    </row>
    <row r="1115" spans="1:5" x14ac:dyDescent="0.15">
      <c r="A1115" t="s">
        <v>2817</v>
      </c>
      <c r="B1115">
        <v>3</v>
      </c>
      <c r="C1115" t="s">
        <v>1534</v>
      </c>
      <c r="D1115" t="s">
        <v>1473</v>
      </c>
      <c r="E1115">
        <v>2</v>
      </c>
    </row>
    <row r="1116" spans="1:5" x14ac:dyDescent="0.15">
      <c r="A1116" t="s">
        <v>2312</v>
      </c>
      <c r="B1116">
        <v>2</v>
      </c>
      <c r="C1116" t="s">
        <v>1526</v>
      </c>
      <c r="D1116" t="s">
        <v>1473</v>
      </c>
      <c r="E1116">
        <v>2</v>
      </c>
    </row>
    <row r="1117" spans="1:5" x14ac:dyDescent="0.15">
      <c r="A1117" t="s">
        <v>2318</v>
      </c>
      <c r="B1117">
        <v>2</v>
      </c>
      <c r="C1117" t="s">
        <v>1538</v>
      </c>
      <c r="D1117" t="s">
        <v>1473</v>
      </c>
      <c r="E1117">
        <v>4</v>
      </c>
    </row>
    <row r="1118" spans="1:5" x14ac:dyDescent="0.15">
      <c r="A1118" t="s">
        <v>2818</v>
      </c>
      <c r="B1118">
        <v>2</v>
      </c>
      <c r="C1118" t="s">
        <v>1534</v>
      </c>
      <c r="D1118" t="s">
        <v>1473</v>
      </c>
      <c r="E1118">
        <v>0</v>
      </c>
    </row>
    <row r="1119" spans="1:5" x14ac:dyDescent="0.15">
      <c r="A1119" t="s">
        <v>2633</v>
      </c>
      <c r="B1119">
        <v>1</v>
      </c>
      <c r="C1119" t="s">
        <v>1526</v>
      </c>
      <c r="D1119" t="s">
        <v>1473</v>
      </c>
      <c r="E1119">
        <v>2</v>
      </c>
    </row>
    <row r="1120" spans="1:5" x14ac:dyDescent="0.15">
      <c r="A1120" t="s">
        <v>2819</v>
      </c>
      <c r="B1120">
        <v>2</v>
      </c>
      <c r="C1120" t="s">
        <v>1530</v>
      </c>
      <c r="D1120" t="s">
        <v>1473</v>
      </c>
      <c r="E1120">
        <v>0</v>
      </c>
    </row>
    <row r="1121" spans="1:5" x14ac:dyDescent="0.15">
      <c r="A1121" t="s">
        <v>2820</v>
      </c>
      <c r="B1121">
        <v>2</v>
      </c>
      <c r="C1121" t="s">
        <v>1534</v>
      </c>
      <c r="D1121" t="s">
        <v>1473</v>
      </c>
      <c r="E1121">
        <v>0</v>
      </c>
    </row>
    <row r="1122" spans="1:5" x14ac:dyDescent="0.15">
      <c r="A1122" t="s">
        <v>2187</v>
      </c>
      <c r="B1122">
        <v>2</v>
      </c>
      <c r="C1122" t="s">
        <v>1534</v>
      </c>
      <c r="D1122" t="s">
        <v>1473</v>
      </c>
      <c r="E1122">
        <v>4</v>
      </c>
    </row>
    <row r="1123" spans="1:5" x14ac:dyDescent="0.15">
      <c r="A1123" t="s">
        <v>2263</v>
      </c>
      <c r="B1123">
        <v>2</v>
      </c>
      <c r="C1123" t="s">
        <v>1530</v>
      </c>
      <c r="D1123" t="s">
        <v>1473</v>
      </c>
      <c r="E1123">
        <v>0</v>
      </c>
    </row>
    <row r="1124" spans="1:5" x14ac:dyDescent="0.15">
      <c r="A1124" t="s">
        <v>2701</v>
      </c>
      <c r="B1124">
        <v>2</v>
      </c>
      <c r="C1124" t="s">
        <v>1526</v>
      </c>
      <c r="D1124" t="s">
        <v>1473</v>
      </c>
      <c r="E1124">
        <v>2</v>
      </c>
    </row>
    <row r="1125" spans="1:5" x14ac:dyDescent="0.15">
      <c r="A1125" t="s">
        <v>2315</v>
      </c>
      <c r="B1125">
        <v>2</v>
      </c>
      <c r="C1125" t="s">
        <v>1534</v>
      </c>
      <c r="D1125" t="s">
        <v>1473</v>
      </c>
      <c r="E1125">
        <v>2</v>
      </c>
    </row>
    <row r="1126" spans="1:5" x14ac:dyDescent="0.15">
      <c r="A1126" t="s">
        <v>2821</v>
      </c>
      <c r="B1126">
        <v>2</v>
      </c>
      <c r="C1126" t="s">
        <v>1534</v>
      </c>
      <c r="D1126" t="s">
        <v>1473</v>
      </c>
      <c r="E1126">
        <v>2</v>
      </c>
    </row>
    <row r="1127" spans="1:5" x14ac:dyDescent="0.15">
      <c r="A1127" t="s">
        <v>2259</v>
      </c>
      <c r="B1127">
        <v>2</v>
      </c>
      <c r="C1127" t="s">
        <v>1526</v>
      </c>
      <c r="D1127" t="s">
        <v>1473</v>
      </c>
      <c r="E1127">
        <v>2</v>
      </c>
    </row>
    <row r="1128" spans="1:5" x14ac:dyDescent="0.15">
      <c r="A1128" t="s">
        <v>2591</v>
      </c>
      <c r="B1128">
        <v>2</v>
      </c>
      <c r="C1128" t="s">
        <v>1526</v>
      </c>
      <c r="D1128" t="s">
        <v>1473</v>
      </c>
      <c r="E1128">
        <v>4</v>
      </c>
    </row>
    <row r="1129" spans="1:5" x14ac:dyDescent="0.15">
      <c r="A1129" t="s">
        <v>2822</v>
      </c>
      <c r="B1129">
        <v>2</v>
      </c>
      <c r="C1129" t="s">
        <v>1538</v>
      </c>
      <c r="D1129" t="s">
        <v>1473</v>
      </c>
      <c r="E1129">
        <v>0</v>
      </c>
    </row>
    <row r="1130" spans="1:5" x14ac:dyDescent="0.15">
      <c r="A1130" t="s">
        <v>2823</v>
      </c>
      <c r="B1130">
        <v>2</v>
      </c>
      <c r="C1130" t="s">
        <v>1528</v>
      </c>
      <c r="D1130" t="s">
        <v>1473</v>
      </c>
      <c r="E1130">
        <v>0</v>
      </c>
    </row>
    <row r="1131" spans="1:5" x14ac:dyDescent="0.15">
      <c r="A1131" t="s">
        <v>2824</v>
      </c>
      <c r="B1131">
        <v>2</v>
      </c>
      <c r="C1131" t="s">
        <v>1801</v>
      </c>
      <c r="E1131">
        <v>0</v>
      </c>
    </row>
    <row r="1132" spans="1:5" x14ac:dyDescent="0.15">
      <c r="A1132" t="s">
        <v>2825</v>
      </c>
      <c r="B1132">
        <v>2</v>
      </c>
      <c r="C1132" t="s">
        <v>1538</v>
      </c>
      <c r="D1132" t="s">
        <v>1473</v>
      </c>
      <c r="E1132">
        <v>0</v>
      </c>
    </row>
    <row r="1133" spans="1:5" x14ac:dyDescent="0.15">
      <c r="A1133" t="s">
        <v>2055</v>
      </c>
      <c r="B1133">
        <v>1</v>
      </c>
      <c r="C1133" t="s">
        <v>1538</v>
      </c>
      <c r="D1133" t="s">
        <v>1473</v>
      </c>
      <c r="E1133">
        <v>4</v>
      </c>
    </row>
    <row r="1134" spans="1:5" x14ac:dyDescent="0.15">
      <c r="A1134" t="s">
        <v>2826</v>
      </c>
      <c r="B1134">
        <v>2</v>
      </c>
      <c r="C1134" t="s">
        <v>1538</v>
      </c>
      <c r="D1134" t="s">
        <v>1473</v>
      </c>
      <c r="E1134">
        <v>0</v>
      </c>
    </row>
    <row r="1135" spans="1:5" x14ac:dyDescent="0.15">
      <c r="A1135" t="s">
        <v>2056</v>
      </c>
      <c r="B1135">
        <v>1</v>
      </c>
      <c r="C1135" t="s">
        <v>1538</v>
      </c>
      <c r="D1135" t="s">
        <v>1473</v>
      </c>
      <c r="E1135">
        <v>4</v>
      </c>
    </row>
    <row r="1136" spans="1:5" x14ac:dyDescent="0.15">
      <c r="A1136" t="s">
        <v>2082</v>
      </c>
      <c r="B1136">
        <v>1</v>
      </c>
      <c r="C1136" t="s">
        <v>1538</v>
      </c>
      <c r="D1136" t="s">
        <v>1473</v>
      </c>
      <c r="E1136">
        <v>4</v>
      </c>
    </row>
    <row r="1137" spans="1:5" x14ac:dyDescent="0.15">
      <c r="A1137" t="s">
        <v>2827</v>
      </c>
      <c r="B1137">
        <v>2</v>
      </c>
      <c r="C1137" t="s">
        <v>1538</v>
      </c>
      <c r="D1137" t="s">
        <v>1473</v>
      </c>
      <c r="E1137">
        <v>0</v>
      </c>
    </row>
    <row r="1138" spans="1:5" x14ac:dyDescent="0.15">
      <c r="A1138" t="s">
        <v>2828</v>
      </c>
      <c r="B1138">
        <v>2</v>
      </c>
      <c r="C1138" t="s">
        <v>1538</v>
      </c>
      <c r="D1138" t="s">
        <v>1473</v>
      </c>
      <c r="E1138">
        <v>0</v>
      </c>
    </row>
    <row r="1139" spans="1:5" x14ac:dyDescent="0.15">
      <c r="A1139" t="s">
        <v>2829</v>
      </c>
      <c r="B1139">
        <v>2</v>
      </c>
      <c r="C1139" t="s">
        <v>1538</v>
      </c>
      <c r="D1139" t="s">
        <v>1473</v>
      </c>
      <c r="E1139">
        <v>0</v>
      </c>
    </row>
    <row r="1140" spans="1:5" x14ac:dyDescent="0.15">
      <c r="A1140" t="s">
        <v>2830</v>
      </c>
      <c r="B1140">
        <v>2</v>
      </c>
      <c r="C1140" t="s">
        <v>1538</v>
      </c>
      <c r="D1140" t="s">
        <v>1473</v>
      </c>
      <c r="E1140">
        <v>0</v>
      </c>
    </row>
    <row r="1141" spans="1:5" x14ac:dyDescent="0.15">
      <c r="A1141" t="s">
        <v>2831</v>
      </c>
      <c r="B1141">
        <v>2</v>
      </c>
      <c r="C1141" t="s">
        <v>1538</v>
      </c>
      <c r="D1141" t="s">
        <v>1473</v>
      </c>
      <c r="E1141">
        <v>0</v>
      </c>
    </row>
    <row r="1142" spans="1:5" x14ac:dyDescent="0.15">
      <c r="A1142" t="s">
        <v>2832</v>
      </c>
      <c r="B1142">
        <v>2</v>
      </c>
      <c r="C1142" t="s">
        <v>1538</v>
      </c>
      <c r="D1142" t="s">
        <v>1473</v>
      </c>
      <c r="E1142">
        <v>2</v>
      </c>
    </row>
    <row r="1143" spans="1:5" x14ac:dyDescent="0.15">
      <c r="A1143" t="s">
        <v>2833</v>
      </c>
      <c r="B1143">
        <v>2</v>
      </c>
      <c r="C1143" t="s">
        <v>1538</v>
      </c>
      <c r="D1143" t="s">
        <v>1473</v>
      </c>
      <c r="E1143">
        <v>2</v>
      </c>
    </row>
    <row r="1144" spans="1:5" x14ac:dyDescent="0.15">
      <c r="A1144" t="s">
        <v>2576</v>
      </c>
      <c r="B1144">
        <v>2</v>
      </c>
      <c r="C1144" t="s">
        <v>1538</v>
      </c>
      <c r="D1144" t="s">
        <v>1473</v>
      </c>
      <c r="E1144">
        <v>2</v>
      </c>
    </row>
    <row r="1145" spans="1:5" x14ac:dyDescent="0.15">
      <c r="A1145" t="s">
        <v>2834</v>
      </c>
      <c r="B1145">
        <v>2</v>
      </c>
      <c r="C1145" t="s">
        <v>1538</v>
      </c>
      <c r="D1145" t="s">
        <v>1473</v>
      </c>
      <c r="E1145">
        <v>0</v>
      </c>
    </row>
    <row r="1146" spans="1:5" x14ac:dyDescent="0.15">
      <c r="A1146" t="s">
        <v>2835</v>
      </c>
      <c r="B1146">
        <v>1</v>
      </c>
      <c r="C1146" t="s">
        <v>1530</v>
      </c>
      <c r="D1146" t="s">
        <v>1473</v>
      </c>
      <c r="E1146">
        <v>0</v>
      </c>
    </row>
    <row r="1147" spans="1:5" x14ac:dyDescent="0.15">
      <c r="A1147" t="s">
        <v>2612</v>
      </c>
      <c r="B1147">
        <v>2</v>
      </c>
      <c r="C1147" t="s">
        <v>1526</v>
      </c>
      <c r="D1147" t="s">
        <v>1473</v>
      </c>
      <c r="E1147">
        <v>4</v>
      </c>
    </row>
    <row r="1148" spans="1:5" x14ac:dyDescent="0.15">
      <c r="A1148" t="s">
        <v>2836</v>
      </c>
      <c r="B1148">
        <v>2</v>
      </c>
      <c r="C1148" t="s">
        <v>1526</v>
      </c>
      <c r="D1148" t="s">
        <v>1473</v>
      </c>
      <c r="E1148">
        <v>0</v>
      </c>
    </row>
    <row r="1149" spans="1:5" x14ac:dyDescent="0.15">
      <c r="A1149" t="s">
        <v>2837</v>
      </c>
      <c r="B1149">
        <v>2</v>
      </c>
      <c r="C1149" t="s">
        <v>1572</v>
      </c>
      <c r="E1149">
        <v>0</v>
      </c>
    </row>
    <row r="1150" spans="1:5" x14ac:dyDescent="0.15">
      <c r="A1150" t="s">
        <v>2838</v>
      </c>
      <c r="B1150">
        <v>2</v>
      </c>
      <c r="C1150" t="s">
        <v>1528</v>
      </c>
      <c r="D1150" t="s">
        <v>1473</v>
      </c>
      <c r="E1150">
        <v>0</v>
      </c>
    </row>
    <row r="1151" spans="1:5" x14ac:dyDescent="0.15">
      <c r="A1151" t="s">
        <v>2604</v>
      </c>
      <c r="B1151">
        <v>2</v>
      </c>
      <c r="C1151" t="s">
        <v>1526</v>
      </c>
      <c r="D1151" t="s">
        <v>1473</v>
      </c>
      <c r="E1151">
        <v>4</v>
      </c>
    </row>
    <row r="1152" spans="1:5" x14ac:dyDescent="0.15">
      <c r="A1152" t="s">
        <v>2603</v>
      </c>
      <c r="C1152" t="s">
        <v>1801</v>
      </c>
      <c r="E1152">
        <v>0</v>
      </c>
    </row>
    <row r="1153" spans="1:5" x14ac:dyDescent="0.15">
      <c r="A1153" t="s">
        <v>2711</v>
      </c>
      <c r="B1153">
        <v>1</v>
      </c>
      <c r="C1153" t="s">
        <v>1801</v>
      </c>
      <c r="E1153">
        <v>0</v>
      </c>
    </row>
    <row r="1154" spans="1:5" x14ac:dyDescent="0.15">
      <c r="A1154" t="s">
        <v>2839</v>
      </c>
      <c r="B1154">
        <v>2</v>
      </c>
      <c r="C1154" t="s">
        <v>1572</v>
      </c>
      <c r="E1154">
        <v>0</v>
      </c>
    </row>
    <row r="1155" spans="1:5" x14ac:dyDescent="0.15">
      <c r="A1155" t="s">
        <v>2840</v>
      </c>
      <c r="B1155">
        <v>2</v>
      </c>
      <c r="C1155" t="s">
        <v>1530</v>
      </c>
      <c r="D1155" t="s">
        <v>1473</v>
      </c>
      <c r="E1155">
        <v>0</v>
      </c>
    </row>
    <row r="1156" spans="1:5" x14ac:dyDescent="0.15">
      <c r="A1156" t="s">
        <v>2672</v>
      </c>
      <c r="B1156">
        <v>2</v>
      </c>
      <c r="C1156" t="s">
        <v>1526</v>
      </c>
      <c r="D1156" t="s">
        <v>1473</v>
      </c>
      <c r="E1156">
        <v>0</v>
      </c>
    </row>
    <row r="1157" spans="1:5" x14ac:dyDescent="0.15">
      <c r="A1157" t="s">
        <v>2841</v>
      </c>
      <c r="B1157">
        <v>2</v>
      </c>
      <c r="C1157" t="s">
        <v>1526</v>
      </c>
      <c r="D1157" t="s">
        <v>1473</v>
      </c>
      <c r="E1157">
        <v>0</v>
      </c>
    </row>
    <row r="1158" spans="1:5" x14ac:dyDescent="0.15">
      <c r="A1158" t="s">
        <v>2842</v>
      </c>
      <c r="B1158">
        <v>2</v>
      </c>
      <c r="C1158" t="s">
        <v>1538</v>
      </c>
      <c r="D1158" t="s">
        <v>1473</v>
      </c>
      <c r="E1158">
        <v>2</v>
      </c>
    </row>
    <row r="1159" spans="1:5" x14ac:dyDescent="0.15">
      <c r="A1159" t="s">
        <v>2843</v>
      </c>
      <c r="B1159">
        <v>2</v>
      </c>
      <c r="C1159" t="s">
        <v>1526</v>
      </c>
      <c r="D1159" t="s">
        <v>1473</v>
      </c>
      <c r="E1159">
        <v>0</v>
      </c>
    </row>
    <row r="1160" spans="1:5" x14ac:dyDescent="0.15">
      <c r="A1160" t="s">
        <v>2844</v>
      </c>
      <c r="B1160">
        <v>2</v>
      </c>
      <c r="C1160" t="s">
        <v>1526</v>
      </c>
      <c r="D1160" t="s">
        <v>1473</v>
      </c>
      <c r="E1160">
        <v>0</v>
      </c>
    </row>
    <row r="1161" spans="1:5" x14ac:dyDescent="0.15">
      <c r="A1161" t="s">
        <v>2845</v>
      </c>
      <c r="B1161">
        <v>3</v>
      </c>
      <c r="C1161" t="s">
        <v>1526</v>
      </c>
      <c r="D1161" t="s">
        <v>1473</v>
      </c>
      <c r="E1161">
        <v>2</v>
      </c>
    </row>
    <row r="1162" spans="1:5" x14ac:dyDescent="0.15">
      <c r="A1162" t="s">
        <v>2600</v>
      </c>
      <c r="B1162">
        <v>2</v>
      </c>
      <c r="C1162" t="s">
        <v>1572</v>
      </c>
      <c r="E1162">
        <v>4</v>
      </c>
    </row>
    <row r="1163" spans="1:5" x14ac:dyDescent="0.15">
      <c r="A1163" t="s">
        <v>2846</v>
      </c>
      <c r="B1163">
        <v>2</v>
      </c>
      <c r="C1163" t="s">
        <v>1739</v>
      </c>
      <c r="E1163">
        <v>2</v>
      </c>
    </row>
    <row r="1164" spans="1:5" x14ac:dyDescent="0.15">
      <c r="A1164" t="s">
        <v>2847</v>
      </c>
      <c r="B1164">
        <v>2</v>
      </c>
      <c r="C1164" t="s">
        <v>1543</v>
      </c>
      <c r="E1164">
        <v>2</v>
      </c>
    </row>
    <row r="1165" spans="1:5" x14ac:dyDescent="0.15">
      <c r="A1165" t="s">
        <v>2848</v>
      </c>
      <c r="B1165">
        <v>2</v>
      </c>
      <c r="C1165" t="s">
        <v>1543</v>
      </c>
      <c r="E1165">
        <v>2</v>
      </c>
    </row>
    <row r="1166" spans="1:5" x14ac:dyDescent="0.15">
      <c r="A1166" t="s">
        <v>2849</v>
      </c>
      <c r="B1166">
        <v>2</v>
      </c>
      <c r="C1166" t="s">
        <v>1739</v>
      </c>
      <c r="E1166">
        <v>2</v>
      </c>
    </row>
    <row r="1167" spans="1:5" x14ac:dyDescent="0.15">
      <c r="A1167" t="s">
        <v>2850</v>
      </c>
      <c r="B1167">
        <v>2</v>
      </c>
      <c r="C1167" t="s">
        <v>1596</v>
      </c>
      <c r="E1167">
        <v>2</v>
      </c>
    </row>
    <row r="1168" spans="1:5" x14ac:dyDescent="0.15">
      <c r="A1168" t="s">
        <v>2851</v>
      </c>
      <c r="B1168">
        <v>2</v>
      </c>
      <c r="C1168" t="s">
        <v>1543</v>
      </c>
      <c r="E1168">
        <v>2</v>
      </c>
    </row>
    <row r="1169" spans="1:5" x14ac:dyDescent="0.15">
      <c r="A1169" t="s">
        <v>2852</v>
      </c>
      <c r="B1169">
        <v>2</v>
      </c>
      <c r="C1169" t="s">
        <v>1549</v>
      </c>
      <c r="E1169">
        <v>2</v>
      </c>
    </row>
    <row r="1170" spans="1:5" x14ac:dyDescent="0.15">
      <c r="A1170" t="s">
        <v>2853</v>
      </c>
      <c r="B1170">
        <v>2</v>
      </c>
      <c r="C1170" t="s">
        <v>1553</v>
      </c>
      <c r="E1170">
        <v>2</v>
      </c>
    </row>
    <row r="1171" spans="1:5" x14ac:dyDescent="0.15">
      <c r="A1171" t="s">
        <v>2854</v>
      </c>
      <c r="B1171">
        <v>2</v>
      </c>
      <c r="C1171" t="s">
        <v>1543</v>
      </c>
      <c r="E1171">
        <v>2</v>
      </c>
    </row>
    <row r="1172" spans="1:5" x14ac:dyDescent="0.15">
      <c r="A1172" t="s">
        <v>2855</v>
      </c>
      <c r="B1172">
        <v>2</v>
      </c>
      <c r="C1172" t="s">
        <v>1547</v>
      </c>
      <c r="E1172">
        <v>2</v>
      </c>
    </row>
    <row r="1173" spans="1:5" x14ac:dyDescent="0.15">
      <c r="A1173" t="s">
        <v>2856</v>
      </c>
      <c r="B1173">
        <v>2</v>
      </c>
      <c r="C1173" t="s">
        <v>1547</v>
      </c>
      <c r="E1173">
        <v>2</v>
      </c>
    </row>
    <row r="1174" spans="1:5" x14ac:dyDescent="0.15">
      <c r="A1174" t="s">
        <v>2857</v>
      </c>
      <c r="B1174">
        <v>2</v>
      </c>
      <c r="C1174" t="s">
        <v>1547</v>
      </c>
      <c r="E1174">
        <v>2</v>
      </c>
    </row>
    <row r="1175" spans="1:5" x14ac:dyDescent="0.15">
      <c r="A1175" t="s">
        <v>2858</v>
      </c>
      <c r="B1175">
        <v>2</v>
      </c>
      <c r="C1175" t="s">
        <v>1547</v>
      </c>
      <c r="E1175">
        <v>2</v>
      </c>
    </row>
    <row r="1176" spans="1:5" x14ac:dyDescent="0.15">
      <c r="A1176" t="s">
        <v>2859</v>
      </c>
      <c r="B1176">
        <v>2</v>
      </c>
      <c r="C1176" t="s">
        <v>1725</v>
      </c>
      <c r="E1176">
        <v>2</v>
      </c>
    </row>
    <row r="1177" spans="1:5" x14ac:dyDescent="0.15">
      <c r="A1177" t="s">
        <v>2860</v>
      </c>
      <c r="B1177">
        <v>2</v>
      </c>
      <c r="C1177" t="s">
        <v>1725</v>
      </c>
      <c r="E1177">
        <v>2</v>
      </c>
    </row>
    <row r="1178" spans="1:5" x14ac:dyDescent="0.15">
      <c r="A1178" t="s">
        <v>2861</v>
      </c>
      <c r="B1178">
        <v>2</v>
      </c>
      <c r="C1178" t="s">
        <v>1547</v>
      </c>
      <c r="E1178">
        <v>2</v>
      </c>
    </row>
    <row r="1179" spans="1:5" x14ac:dyDescent="0.15">
      <c r="A1179" t="s">
        <v>2862</v>
      </c>
      <c r="B1179">
        <v>2</v>
      </c>
      <c r="C1179" t="s">
        <v>1725</v>
      </c>
      <c r="E1179">
        <v>2</v>
      </c>
    </row>
    <row r="1180" spans="1:5" x14ac:dyDescent="0.15">
      <c r="A1180" t="s">
        <v>2863</v>
      </c>
      <c r="B1180">
        <v>2</v>
      </c>
      <c r="C1180" t="s">
        <v>1555</v>
      </c>
      <c r="E1180">
        <v>2</v>
      </c>
    </row>
    <row r="1181" spans="1:5" x14ac:dyDescent="0.15">
      <c r="A1181" t="s">
        <v>2864</v>
      </c>
      <c r="B1181">
        <v>2</v>
      </c>
      <c r="C1181" t="s">
        <v>1547</v>
      </c>
      <c r="E1181">
        <v>2</v>
      </c>
    </row>
    <row r="1182" spans="1:5" x14ac:dyDescent="0.15">
      <c r="A1182" t="s">
        <v>2865</v>
      </c>
      <c r="B1182">
        <v>2</v>
      </c>
      <c r="C1182" t="s">
        <v>1547</v>
      </c>
      <c r="E1182">
        <v>2</v>
      </c>
    </row>
    <row r="1183" spans="1:5" x14ac:dyDescent="0.15">
      <c r="A1183" t="s">
        <v>2866</v>
      </c>
      <c r="B1183">
        <v>2</v>
      </c>
      <c r="C1183" t="s">
        <v>1594</v>
      </c>
      <c r="E1183">
        <v>2</v>
      </c>
    </row>
    <row r="1184" spans="1:5" x14ac:dyDescent="0.15">
      <c r="A1184" t="s">
        <v>2677</v>
      </c>
      <c r="B1184">
        <v>1</v>
      </c>
      <c r="C1184" t="s">
        <v>1538</v>
      </c>
      <c r="D1184" t="s">
        <v>1473</v>
      </c>
      <c r="E1184">
        <v>4</v>
      </c>
    </row>
    <row r="1185" spans="1:5" x14ac:dyDescent="0.15">
      <c r="A1185" t="s">
        <v>2460</v>
      </c>
      <c r="B1185">
        <v>1</v>
      </c>
      <c r="C1185" t="s">
        <v>1538</v>
      </c>
      <c r="D1185" t="s">
        <v>1473</v>
      </c>
      <c r="E1185">
        <v>2</v>
      </c>
    </row>
    <row r="1186" spans="1:5" x14ac:dyDescent="0.15">
      <c r="A1186" t="s">
        <v>2511</v>
      </c>
      <c r="B1186">
        <v>1</v>
      </c>
      <c r="C1186" t="s">
        <v>1538</v>
      </c>
      <c r="D1186" t="s">
        <v>1473</v>
      </c>
      <c r="E1186">
        <v>2</v>
      </c>
    </row>
    <row r="1187" spans="1:5" x14ac:dyDescent="0.15">
      <c r="A1187" t="s">
        <v>2463</v>
      </c>
      <c r="B1187">
        <v>1</v>
      </c>
      <c r="C1187" t="s">
        <v>1538</v>
      </c>
      <c r="D1187" t="s">
        <v>1473</v>
      </c>
      <c r="E1187">
        <v>2</v>
      </c>
    </row>
    <row r="1188" spans="1:5" x14ac:dyDescent="0.15">
      <c r="A1188" t="s">
        <v>2482</v>
      </c>
      <c r="B1188">
        <v>1</v>
      </c>
      <c r="C1188" t="s">
        <v>1538</v>
      </c>
      <c r="D1188" t="s">
        <v>1473</v>
      </c>
      <c r="E1188">
        <v>4</v>
      </c>
    </row>
    <row r="1189" spans="1:5" x14ac:dyDescent="0.15">
      <c r="A1189" t="s">
        <v>2558</v>
      </c>
      <c r="B1189">
        <v>1</v>
      </c>
      <c r="C1189" t="s">
        <v>1536</v>
      </c>
      <c r="D1189" t="s">
        <v>1473</v>
      </c>
      <c r="E1189">
        <v>2</v>
      </c>
    </row>
    <row r="1190" spans="1:5" x14ac:dyDescent="0.15">
      <c r="A1190" t="s">
        <v>2936</v>
      </c>
      <c r="B1190" s="1"/>
      <c r="C1190" s="1"/>
      <c r="D1190" s="1"/>
      <c r="E1190" s="1"/>
    </row>
    <row r="1191" spans="1:5" x14ac:dyDescent="0.15">
      <c r="A1191" t="s">
        <v>2937</v>
      </c>
      <c r="B1191" s="1"/>
      <c r="C1191" s="1"/>
      <c r="D1191" s="1"/>
      <c r="E1191" s="1"/>
    </row>
    <row r="1192" spans="1:5" x14ac:dyDescent="0.15">
      <c r="A1192" t="s">
        <v>2938</v>
      </c>
      <c r="B1192" s="1"/>
      <c r="C1192" s="1"/>
      <c r="D1192" s="1"/>
      <c r="E1192" s="1"/>
    </row>
    <row r="1193" spans="1:5" x14ac:dyDescent="0.15">
      <c r="A1193" t="s">
        <v>2939</v>
      </c>
      <c r="B1193" s="1"/>
      <c r="C1193" s="1"/>
      <c r="D1193" s="1"/>
      <c r="E1193" s="1"/>
    </row>
    <row r="1194" spans="1:5" x14ac:dyDescent="0.15">
      <c r="A1194" t="s">
        <v>2940</v>
      </c>
      <c r="B1194" s="1"/>
      <c r="C1194" s="1"/>
      <c r="D1194" s="1"/>
      <c r="E1194" s="1"/>
    </row>
    <row r="1195" spans="1:5" x14ac:dyDescent="0.15">
      <c r="A1195" t="s">
        <v>2941</v>
      </c>
      <c r="B1195" s="1"/>
      <c r="C1195" s="1"/>
      <c r="D1195" s="1"/>
      <c r="E1195" s="1"/>
    </row>
    <row r="1196" spans="1:5" x14ac:dyDescent="0.15">
      <c r="A1196" t="s">
        <v>2942</v>
      </c>
      <c r="B1196" s="1"/>
      <c r="C1196" s="1"/>
      <c r="D1196" s="1"/>
      <c r="E1196" s="1"/>
    </row>
    <row r="1197" spans="1:5" x14ac:dyDescent="0.15">
      <c r="A1197" t="s">
        <v>2943</v>
      </c>
      <c r="B1197" s="1"/>
      <c r="C1197" s="1"/>
      <c r="D1197" s="1"/>
      <c r="E1197" s="1"/>
    </row>
    <row r="1198" spans="1:5" x14ac:dyDescent="0.15">
      <c r="A1198" t="s">
        <v>2944</v>
      </c>
      <c r="B1198" s="1"/>
      <c r="C1198" s="1"/>
      <c r="D1198" s="1"/>
      <c r="E1198" s="1"/>
    </row>
    <row r="1199" spans="1:5" x14ac:dyDescent="0.15">
      <c r="A1199" t="s">
        <v>2945</v>
      </c>
      <c r="B1199" s="1"/>
      <c r="C1199" s="1"/>
      <c r="D1199" s="1"/>
      <c r="E1199" s="1"/>
    </row>
    <row r="1200" spans="1:5" x14ac:dyDescent="0.15">
      <c r="A1200" t="s">
        <v>2946</v>
      </c>
      <c r="B1200" s="1"/>
      <c r="C1200" s="1"/>
      <c r="D1200" s="1"/>
      <c r="E1200" s="1"/>
    </row>
    <row r="1201" spans="1:5" x14ac:dyDescent="0.15">
      <c r="A1201" t="s">
        <v>2947</v>
      </c>
      <c r="B1201" s="1"/>
      <c r="C1201" s="1"/>
      <c r="D1201" s="1"/>
      <c r="E1201" s="1"/>
    </row>
    <row r="1202" spans="1:5" x14ac:dyDescent="0.15">
      <c r="A1202" t="s">
        <v>2948</v>
      </c>
      <c r="B1202" s="1"/>
      <c r="C1202" s="1"/>
      <c r="D1202" s="1"/>
      <c r="E1202" s="1"/>
    </row>
    <row r="1203" spans="1:5" x14ac:dyDescent="0.15">
      <c r="A1203" t="s">
        <v>2949</v>
      </c>
      <c r="B1203" s="1"/>
      <c r="C1203" s="1"/>
      <c r="D1203" s="1"/>
      <c r="E1203" s="1"/>
    </row>
    <row r="1204" spans="1:5" x14ac:dyDescent="0.15">
      <c r="A1204" t="s">
        <v>2950</v>
      </c>
      <c r="B1204" s="1"/>
      <c r="C1204" s="1"/>
      <c r="D1204" s="1"/>
      <c r="E1204" s="1"/>
    </row>
    <row r="1205" spans="1:5" x14ac:dyDescent="0.15">
      <c r="A1205" t="s">
        <v>2951</v>
      </c>
      <c r="B1205" s="1"/>
      <c r="C1205" s="1"/>
      <c r="D1205" s="1"/>
      <c r="E1205" s="1"/>
    </row>
    <row r="1206" spans="1:5" x14ac:dyDescent="0.15">
      <c r="A1206" t="s">
        <v>2952</v>
      </c>
      <c r="B1206" s="1"/>
      <c r="C1206" s="1"/>
      <c r="D1206" s="1"/>
      <c r="E1206" s="1"/>
    </row>
    <row r="1207" spans="1:5" x14ac:dyDescent="0.15">
      <c r="A1207" t="s">
        <v>2953</v>
      </c>
      <c r="B1207" s="1"/>
      <c r="C1207" s="1"/>
      <c r="D1207" s="1"/>
      <c r="E1207" s="1"/>
    </row>
    <row r="1208" spans="1:5" x14ac:dyDescent="0.15">
      <c r="A1208" t="s">
        <v>2954</v>
      </c>
      <c r="B1208" s="1"/>
      <c r="C1208" s="1"/>
      <c r="D1208" s="1"/>
      <c r="E1208" s="1"/>
    </row>
    <row r="1209" spans="1:5" x14ac:dyDescent="0.15">
      <c r="A1209" t="s">
        <v>2955</v>
      </c>
      <c r="B1209" s="1"/>
      <c r="C1209" s="1"/>
      <c r="D1209" s="1"/>
      <c r="E1209" s="1"/>
    </row>
    <row r="1210" spans="1:5" x14ac:dyDescent="0.15">
      <c r="A1210" t="s">
        <v>2956</v>
      </c>
      <c r="B1210" s="1"/>
      <c r="C1210" s="1"/>
      <c r="D1210" s="1"/>
      <c r="E1210" s="1"/>
    </row>
    <row r="1211" spans="1:5" x14ac:dyDescent="0.15">
      <c r="A1211" t="s">
        <v>2957</v>
      </c>
      <c r="B1211" s="1"/>
      <c r="C1211" s="1"/>
      <c r="D1211" s="1"/>
      <c r="E1211" s="1"/>
    </row>
    <row r="1212" spans="1:5" x14ac:dyDescent="0.15">
      <c r="A1212" t="s">
        <v>2958</v>
      </c>
      <c r="B1212" s="1"/>
      <c r="C1212" s="1"/>
      <c r="D1212" s="1"/>
      <c r="E1212" s="1"/>
    </row>
    <row r="1213" spans="1:5" x14ac:dyDescent="0.15">
      <c r="A1213" t="s">
        <v>2959</v>
      </c>
      <c r="B1213" s="1"/>
      <c r="C1213" s="1"/>
      <c r="D1213" s="1"/>
      <c r="E1213" s="1"/>
    </row>
    <row r="1214" spans="1:5" x14ac:dyDescent="0.15">
      <c r="A1214" t="s">
        <v>2960</v>
      </c>
      <c r="B1214" s="1"/>
      <c r="C1214" s="1"/>
      <c r="D1214" s="1"/>
      <c r="E1214" s="1"/>
    </row>
    <row r="1215" spans="1:5" x14ac:dyDescent="0.15">
      <c r="A1215" t="s">
        <v>2961</v>
      </c>
      <c r="B1215" s="1"/>
      <c r="C1215" s="1"/>
      <c r="D1215" s="1"/>
      <c r="E1215" s="1"/>
    </row>
    <row r="1216" spans="1:5" x14ac:dyDescent="0.15">
      <c r="A1216" t="s">
        <v>2962</v>
      </c>
      <c r="B1216" s="1"/>
      <c r="C1216" s="1"/>
      <c r="D1216" s="1"/>
      <c r="E1216" s="1"/>
    </row>
    <row r="1217" spans="1:5" x14ac:dyDescent="0.15">
      <c r="A1217" t="s">
        <v>2963</v>
      </c>
      <c r="B1217" s="1"/>
      <c r="C1217" s="1"/>
      <c r="D1217" s="1"/>
      <c r="E1217" s="1"/>
    </row>
    <row r="1218" spans="1:5" x14ac:dyDescent="0.15">
      <c r="A1218" t="s">
        <v>2964</v>
      </c>
      <c r="B1218" s="1"/>
      <c r="C1218" s="1"/>
      <c r="D1218" s="1"/>
      <c r="E1218" s="1"/>
    </row>
    <row r="1219" spans="1:5" x14ac:dyDescent="0.15">
      <c r="A1219" t="s">
        <v>2965</v>
      </c>
      <c r="B1219" s="1"/>
      <c r="C1219" s="1"/>
      <c r="D1219" s="1"/>
      <c r="E1219" s="1"/>
    </row>
    <row r="1220" spans="1:5" x14ac:dyDescent="0.15">
      <c r="A1220" t="s">
        <v>2966</v>
      </c>
      <c r="B1220" s="1"/>
      <c r="C1220" s="1"/>
      <c r="D1220" s="1"/>
      <c r="E1220" s="1"/>
    </row>
    <row r="1221" spans="1:5" x14ac:dyDescent="0.15">
      <c r="A1221" t="s">
        <v>2967</v>
      </c>
      <c r="B1221" s="1"/>
      <c r="C1221" s="1"/>
      <c r="D1221" s="1"/>
      <c r="E1221" s="1"/>
    </row>
    <row r="1222" spans="1:5" x14ac:dyDescent="0.15">
      <c r="A1222" t="s">
        <v>2968</v>
      </c>
      <c r="B1222" s="1"/>
      <c r="C1222" s="1"/>
      <c r="D1222" s="1"/>
      <c r="E1222" s="1"/>
    </row>
    <row r="1223" spans="1:5" x14ac:dyDescent="0.15">
      <c r="A1223" t="s">
        <v>2969</v>
      </c>
      <c r="B1223" s="1"/>
      <c r="C1223" s="1"/>
      <c r="D1223" s="1"/>
      <c r="E1223" s="1"/>
    </row>
    <row r="1224" spans="1:5" x14ac:dyDescent="0.15">
      <c r="A1224" t="s">
        <v>96</v>
      </c>
      <c r="B1224" s="1"/>
      <c r="C1224" s="1"/>
      <c r="D1224" s="1"/>
      <c r="E1224" s="1"/>
    </row>
    <row r="1225" spans="1:5" x14ac:dyDescent="0.15">
      <c r="A1225" t="s">
        <v>2970</v>
      </c>
      <c r="B1225" s="1"/>
      <c r="C1225" s="1"/>
      <c r="D1225" s="1"/>
      <c r="E1225" s="1"/>
    </row>
    <row r="1226" spans="1:5" x14ac:dyDescent="0.15">
      <c r="A1226" t="s">
        <v>2971</v>
      </c>
      <c r="B1226" s="1"/>
      <c r="C1226" s="1"/>
      <c r="D1226" s="1"/>
      <c r="E1226" s="1"/>
    </row>
    <row r="1227" spans="1:5" x14ac:dyDescent="0.15">
      <c r="A1227" t="s">
        <v>2972</v>
      </c>
      <c r="B1227" s="1"/>
      <c r="C1227" s="1"/>
      <c r="D1227" s="1"/>
      <c r="E1227" s="1"/>
    </row>
    <row r="1228" spans="1:5" x14ac:dyDescent="0.15">
      <c r="A1228" t="s">
        <v>2973</v>
      </c>
      <c r="B1228" s="1"/>
      <c r="C1228" s="1"/>
      <c r="D1228" s="1"/>
      <c r="E1228" s="1"/>
    </row>
    <row r="1229" spans="1:5" x14ac:dyDescent="0.15">
      <c r="A1229" t="s">
        <v>2974</v>
      </c>
      <c r="B1229" s="1"/>
      <c r="C1229" s="1"/>
      <c r="D1229" s="1"/>
      <c r="E1229" s="1"/>
    </row>
    <row r="1230" spans="1:5" x14ac:dyDescent="0.15">
      <c r="A1230" t="s">
        <v>2975</v>
      </c>
      <c r="B1230" s="1"/>
      <c r="C1230" s="1"/>
      <c r="D1230" s="1"/>
      <c r="E1230" s="1"/>
    </row>
    <row r="1231" spans="1:5" x14ac:dyDescent="0.15">
      <c r="A1231" t="s">
        <v>2976</v>
      </c>
      <c r="B1231" s="1"/>
      <c r="C1231" s="1"/>
      <c r="D1231" s="1"/>
      <c r="E1231" s="1"/>
    </row>
    <row r="1232" spans="1:5" x14ac:dyDescent="0.15">
      <c r="A1232" t="s">
        <v>2977</v>
      </c>
      <c r="B1232" s="1"/>
      <c r="C1232" s="1"/>
      <c r="D1232" s="1"/>
      <c r="E1232" s="1"/>
    </row>
    <row r="1233" spans="1:5" x14ac:dyDescent="0.15">
      <c r="A1233" t="s">
        <v>2978</v>
      </c>
      <c r="B1233" s="1"/>
      <c r="C1233" s="1"/>
      <c r="D1233" s="1"/>
      <c r="E1233" s="1"/>
    </row>
    <row r="1234" spans="1:5" x14ac:dyDescent="0.15">
      <c r="A1234" t="s">
        <v>2979</v>
      </c>
      <c r="B1234" s="1"/>
      <c r="C1234" s="1"/>
      <c r="D1234" s="1"/>
      <c r="E1234" s="1"/>
    </row>
    <row r="1235" spans="1:5" x14ac:dyDescent="0.15">
      <c r="A1235" t="s">
        <v>2980</v>
      </c>
      <c r="B1235" s="1"/>
      <c r="C1235" s="1"/>
      <c r="D1235" s="1"/>
      <c r="E1235" s="1"/>
    </row>
    <row r="1236" spans="1:5" x14ac:dyDescent="0.15">
      <c r="A1236" t="s">
        <v>2981</v>
      </c>
      <c r="B1236" s="1"/>
      <c r="C1236" s="1"/>
      <c r="D1236" s="1"/>
      <c r="E1236" s="1"/>
    </row>
    <row r="1237" spans="1:5" x14ac:dyDescent="0.15">
      <c r="A1237" t="s">
        <v>2982</v>
      </c>
      <c r="B1237" s="1"/>
      <c r="C1237" s="1"/>
      <c r="D1237" s="1"/>
      <c r="E1237" s="1"/>
    </row>
    <row r="1238" spans="1:5" x14ac:dyDescent="0.15">
      <c r="A1238" t="s">
        <v>2983</v>
      </c>
      <c r="B1238" s="1"/>
      <c r="C1238" s="1"/>
      <c r="D1238" s="1"/>
      <c r="E1238" s="1"/>
    </row>
    <row r="1239" spans="1:5" x14ac:dyDescent="0.15">
      <c r="A1239" t="s">
        <v>2984</v>
      </c>
      <c r="B1239" s="1"/>
      <c r="C1239" s="1"/>
      <c r="D1239" s="1"/>
      <c r="E1239" s="1"/>
    </row>
    <row r="1240" spans="1:5" x14ac:dyDescent="0.15">
      <c r="A1240" t="s">
        <v>2985</v>
      </c>
      <c r="B1240" s="1"/>
      <c r="C1240" s="1"/>
      <c r="D1240" s="1"/>
      <c r="E1240" s="1"/>
    </row>
    <row r="1241" spans="1:5" x14ac:dyDescent="0.15">
      <c r="A1241" t="s">
        <v>2986</v>
      </c>
      <c r="B1241" s="1"/>
      <c r="C1241" s="1"/>
      <c r="D1241" s="1"/>
      <c r="E1241" s="1"/>
    </row>
    <row r="1242" spans="1:5" x14ac:dyDescent="0.15">
      <c r="A1242" t="s">
        <v>2987</v>
      </c>
      <c r="B1242" s="1"/>
      <c r="C1242" s="1"/>
      <c r="D1242" s="1"/>
      <c r="E1242" s="1"/>
    </row>
    <row r="1243" spans="1:5" x14ac:dyDescent="0.15">
      <c r="A1243" t="s">
        <v>2988</v>
      </c>
      <c r="B1243" s="1"/>
      <c r="C1243" s="1"/>
      <c r="D1243" s="1"/>
      <c r="E1243" s="1"/>
    </row>
    <row r="1244" spans="1:5" x14ac:dyDescent="0.15">
      <c r="A1244" t="s">
        <v>2989</v>
      </c>
      <c r="B1244" s="1"/>
      <c r="C1244" s="1"/>
      <c r="D1244" s="1"/>
      <c r="E1244" s="1"/>
    </row>
    <row r="1245" spans="1:5" x14ac:dyDescent="0.15">
      <c r="A1245" t="s">
        <v>2990</v>
      </c>
      <c r="B1245" s="1"/>
      <c r="C1245" s="1"/>
      <c r="D1245" s="1"/>
      <c r="E1245" s="1"/>
    </row>
    <row r="1246" spans="1:5" x14ac:dyDescent="0.15">
      <c r="A1246" t="s">
        <v>2991</v>
      </c>
      <c r="B1246" s="1"/>
      <c r="C1246" s="1"/>
      <c r="D1246" s="1"/>
      <c r="E1246" s="1"/>
    </row>
  </sheetData>
  <phoneticPr fontId="5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0D5E3-D148-4BB2-BA39-7F19AF417ED9}">
  <sheetPr codeName="Sheet6"/>
  <dimension ref="A1:D341"/>
  <sheetViews>
    <sheetView topLeftCell="A250" workbookViewId="0">
      <selection activeCell="C261" sqref="C261"/>
    </sheetView>
  </sheetViews>
  <sheetFormatPr defaultRowHeight="13.5" x14ac:dyDescent="0.15"/>
  <cols>
    <col min="1" max="1" width="20.5" bestFit="1" customWidth="1"/>
    <col min="2" max="2" width="37.125" bestFit="1" customWidth="1"/>
    <col min="3" max="3" width="22.375" bestFit="1" customWidth="1"/>
    <col min="4" max="4" width="15.125" bestFit="1" customWidth="1"/>
  </cols>
  <sheetData>
    <row r="1" spans="1:4" x14ac:dyDescent="0.15">
      <c r="A1" t="s">
        <v>2</v>
      </c>
      <c r="B1" t="s">
        <v>3</v>
      </c>
      <c r="C1" t="s">
        <v>4</v>
      </c>
      <c r="D1" s="13" t="s">
        <v>3062</v>
      </c>
    </row>
    <row r="2" spans="1:4" x14ac:dyDescent="0.15">
      <c r="A2" t="s">
        <v>550</v>
      </c>
      <c r="B2" t="s">
        <v>1833</v>
      </c>
      <c r="C2" t="s">
        <v>411</v>
      </c>
      <c r="D2" t="str">
        <f>B2&amp;C2</f>
        <v>葡萄糖酸钙口服溶液10ml*12支</v>
      </c>
    </row>
    <row r="3" spans="1:4" x14ac:dyDescent="0.15">
      <c r="A3" t="s">
        <v>552</v>
      </c>
      <c r="B3" t="s">
        <v>555</v>
      </c>
      <c r="C3" t="s">
        <v>411</v>
      </c>
      <c r="D3" t="str">
        <f t="shared" ref="D3:D66" si="0">B3&amp;C3</f>
        <v>葡萄糖酸锌口服液10ml*12支</v>
      </c>
    </row>
    <row r="4" spans="1:4" x14ac:dyDescent="0.15">
      <c r="A4" t="s">
        <v>542</v>
      </c>
      <c r="B4" t="s">
        <v>543</v>
      </c>
      <c r="C4" t="s">
        <v>1834</v>
      </c>
      <c r="D4" t="str">
        <f t="shared" si="0"/>
        <v>诺氟沙星胶囊0.1g*20粒</v>
      </c>
    </row>
    <row r="5" spans="1:4" x14ac:dyDescent="0.15">
      <c r="A5" t="s">
        <v>503</v>
      </c>
      <c r="B5" t="s">
        <v>1835</v>
      </c>
      <c r="C5" t="s">
        <v>1836</v>
      </c>
      <c r="D5" t="str">
        <f t="shared" si="0"/>
        <v>蒙脱石散3g*12袋</v>
      </c>
    </row>
    <row r="6" spans="1:4" x14ac:dyDescent="0.15">
      <c r="A6" t="s">
        <v>724</v>
      </c>
      <c r="B6" t="s">
        <v>1837</v>
      </c>
      <c r="C6" t="s">
        <v>1838</v>
      </c>
      <c r="D6" t="str">
        <f t="shared" si="0"/>
        <v>新盖中盖高钙片(成人)/盖中盖2.5g*36片</v>
      </c>
    </row>
    <row r="7" spans="1:4" x14ac:dyDescent="0.15">
      <c r="A7" t="s">
        <v>590</v>
      </c>
      <c r="B7" t="s">
        <v>591</v>
      </c>
      <c r="C7" t="s">
        <v>1839</v>
      </c>
      <c r="D7" t="str">
        <f t="shared" si="0"/>
        <v>乳酸菌素片0.4g*36片</v>
      </c>
    </row>
    <row r="8" spans="1:4" x14ac:dyDescent="0.15">
      <c r="A8" t="s">
        <v>496</v>
      </c>
      <c r="B8" t="s">
        <v>1840</v>
      </c>
      <c r="C8" t="s">
        <v>1841</v>
      </c>
      <c r="D8" t="str">
        <f t="shared" si="0"/>
        <v>罗红霉素分散片/小严迪50mg*12片</v>
      </c>
    </row>
    <row r="9" spans="1:4" x14ac:dyDescent="0.15">
      <c r="A9" t="s">
        <v>744</v>
      </c>
      <c r="B9" t="s">
        <v>745</v>
      </c>
      <c r="C9" t="s">
        <v>290</v>
      </c>
      <c r="D9" t="str">
        <f t="shared" si="0"/>
        <v>盐酸环丙沙星片0.25g*12片</v>
      </c>
    </row>
    <row r="10" spans="1:4" x14ac:dyDescent="0.15">
      <c r="A10" t="s">
        <v>558</v>
      </c>
      <c r="B10" t="s">
        <v>1842</v>
      </c>
      <c r="C10" t="s">
        <v>411</v>
      </c>
      <c r="D10" t="str">
        <f t="shared" si="0"/>
        <v>朴血乳酸亚铁口服液10ml*12支</v>
      </c>
    </row>
    <row r="11" spans="1:4" x14ac:dyDescent="0.15">
      <c r="A11" t="s">
        <v>767</v>
      </c>
      <c r="B11" t="s">
        <v>768</v>
      </c>
      <c r="C11" t="s">
        <v>1843</v>
      </c>
      <c r="D11" t="str">
        <f t="shared" si="0"/>
        <v>医用退热贴2贴</v>
      </c>
    </row>
    <row r="12" spans="1:4" x14ac:dyDescent="0.15">
      <c r="A12" t="s">
        <v>401</v>
      </c>
      <c r="B12" t="s">
        <v>1844</v>
      </c>
      <c r="C12" t="s">
        <v>411</v>
      </c>
      <c r="D12" t="str">
        <f t="shared" si="0"/>
        <v>哈药六牌钙加锌口服液10ml*12支</v>
      </c>
    </row>
    <row r="13" spans="1:4" x14ac:dyDescent="0.15">
      <c r="A13" t="s">
        <v>414</v>
      </c>
      <c r="B13" t="s">
        <v>1845</v>
      </c>
      <c r="C13" t="s">
        <v>1846</v>
      </c>
      <c r="D13" t="str">
        <f t="shared" si="0"/>
        <v>感冒解毒灵颗粒5g*10袋</v>
      </c>
    </row>
    <row r="14" spans="1:4" x14ac:dyDescent="0.15">
      <c r="A14" t="s">
        <v>319</v>
      </c>
      <c r="B14" t="s">
        <v>1847</v>
      </c>
      <c r="C14" t="s">
        <v>1848</v>
      </c>
      <c r="D14" t="str">
        <f t="shared" si="0"/>
        <v>布洛芬颗粒/小安瑞克0.2g*12袋</v>
      </c>
    </row>
    <row r="15" spans="1:4" x14ac:dyDescent="0.15">
      <c r="A15" t="s">
        <v>404</v>
      </c>
      <c r="B15" t="s">
        <v>1849</v>
      </c>
      <c r="C15" t="s">
        <v>1850</v>
      </c>
      <c r="D15" t="str">
        <f t="shared" si="0"/>
        <v>哈药牌钙铁锌口服液10ml*10支</v>
      </c>
    </row>
    <row r="16" spans="1:4" x14ac:dyDescent="0.15">
      <c r="A16" t="s">
        <v>707</v>
      </c>
      <c r="B16" t="s">
        <v>708</v>
      </c>
      <c r="C16" t="s">
        <v>1851</v>
      </c>
      <c r="D16" t="str">
        <f t="shared" si="0"/>
        <v>小儿百部止咳糖浆100ml</v>
      </c>
    </row>
    <row r="17" spans="1:4" x14ac:dyDescent="0.15">
      <c r="A17" t="s">
        <v>701</v>
      </c>
      <c r="B17" t="s">
        <v>1852</v>
      </c>
      <c r="C17" t="s">
        <v>1853</v>
      </c>
      <c r="D17" t="str">
        <f t="shared" si="0"/>
        <v>小儿氨酚黄那敏颗粒/护彤2g*12袋</v>
      </c>
    </row>
    <row r="18" spans="1:4" x14ac:dyDescent="0.15">
      <c r="A18" t="s">
        <v>278</v>
      </c>
      <c r="B18" t="s">
        <v>1854</v>
      </c>
      <c r="C18" t="s">
        <v>279</v>
      </c>
      <c r="D18" t="str">
        <f t="shared" si="0"/>
        <v>阿莫西林克拉维酸钾分散片/胜艾0.2285g*12片</v>
      </c>
    </row>
    <row r="19" spans="1:4" x14ac:dyDescent="0.15">
      <c r="A19" t="s">
        <v>387</v>
      </c>
      <c r="B19" t="s">
        <v>380</v>
      </c>
      <c r="C19" t="s">
        <v>381</v>
      </c>
      <c r="D19" t="str">
        <f t="shared" si="0"/>
        <v>复方氨酚烷胺片12片</v>
      </c>
    </row>
    <row r="20" spans="1:4" x14ac:dyDescent="0.15">
      <c r="A20" t="s">
        <v>348</v>
      </c>
      <c r="B20" t="s">
        <v>1855</v>
      </c>
      <c r="C20" t="s">
        <v>381</v>
      </c>
      <c r="D20" t="str">
        <f t="shared" si="0"/>
        <v>颠茄磺苄啶片12片</v>
      </c>
    </row>
    <row r="21" spans="1:4" x14ac:dyDescent="0.15">
      <c r="A21" t="s">
        <v>515</v>
      </c>
      <c r="B21" t="s">
        <v>516</v>
      </c>
      <c r="C21" t="s">
        <v>1856</v>
      </c>
      <c r="D21" t="str">
        <f t="shared" si="0"/>
        <v>尼莫地平片20mg*50片</v>
      </c>
    </row>
    <row r="22" spans="1:4" x14ac:dyDescent="0.15">
      <c r="A22" t="s">
        <v>371</v>
      </c>
      <c r="B22" t="s">
        <v>1857</v>
      </c>
      <c r="C22" t="s">
        <v>1858</v>
      </c>
      <c r="D22" t="str">
        <f t="shared" si="0"/>
        <v>妇宁栓1.6克*8粒</v>
      </c>
    </row>
    <row r="23" spans="1:4" x14ac:dyDescent="0.15">
      <c r="A23" t="s">
        <v>379</v>
      </c>
      <c r="B23" t="s">
        <v>380</v>
      </c>
      <c r="C23" t="s">
        <v>381</v>
      </c>
      <c r="D23" t="str">
        <f t="shared" si="0"/>
        <v>复方氨酚烷胺片12片</v>
      </c>
    </row>
    <row r="24" spans="1:4" x14ac:dyDescent="0.15">
      <c r="A24" t="s">
        <v>244</v>
      </c>
      <c r="B24" t="s">
        <v>1859</v>
      </c>
      <c r="C24" t="s">
        <v>246</v>
      </c>
      <c r="D24" t="str">
        <f t="shared" si="0"/>
        <v>阿莫西林胶囊/益萨林0.25g*20粒</v>
      </c>
    </row>
    <row r="25" spans="1:4" x14ac:dyDescent="0.15">
      <c r="A25" t="s">
        <v>580</v>
      </c>
      <c r="B25" t="s">
        <v>581</v>
      </c>
      <c r="C25" t="s">
        <v>1850</v>
      </c>
      <c r="D25" t="str">
        <f t="shared" si="0"/>
        <v>清热解毒口服液10ml*10支</v>
      </c>
    </row>
    <row r="26" spans="1:4" x14ac:dyDescent="0.15">
      <c r="A26" t="s">
        <v>640</v>
      </c>
      <c r="B26" t="s">
        <v>641</v>
      </c>
      <c r="C26" t="s">
        <v>434</v>
      </c>
      <c r="D26" t="str">
        <f t="shared" si="0"/>
        <v>头孢氨苄胶囊0.125g*20粒</v>
      </c>
    </row>
    <row r="27" spans="1:4" x14ac:dyDescent="0.15">
      <c r="A27" t="s">
        <v>577</v>
      </c>
      <c r="B27" t="s">
        <v>575</v>
      </c>
      <c r="C27" t="s">
        <v>1860</v>
      </c>
      <c r="D27" t="str">
        <f t="shared" si="0"/>
        <v>青霉素V钾片0.236g*24片</v>
      </c>
    </row>
    <row r="28" spans="1:4" x14ac:dyDescent="0.15">
      <c r="A28" t="s">
        <v>377</v>
      </c>
      <c r="B28" t="s">
        <v>1861</v>
      </c>
      <c r="C28" t="s">
        <v>444</v>
      </c>
      <c r="D28" t="str">
        <f t="shared" si="0"/>
        <v>附子理中丸9g*10丸</v>
      </c>
    </row>
    <row r="29" spans="1:4" x14ac:dyDescent="0.15">
      <c r="A29" t="s">
        <v>351</v>
      </c>
      <c r="B29" t="s">
        <v>1862</v>
      </c>
      <c r="C29" t="s">
        <v>1863</v>
      </c>
      <c r="D29" t="str">
        <f t="shared" si="0"/>
        <v>颠茄磺苄啶片/儿童0.122g*20片</v>
      </c>
    </row>
    <row r="30" spans="1:4" x14ac:dyDescent="0.15">
      <c r="A30" t="s">
        <v>253</v>
      </c>
      <c r="B30" t="s">
        <v>1859</v>
      </c>
      <c r="C30" t="s">
        <v>254</v>
      </c>
      <c r="D30" t="str">
        <f t="shared" si="0"/>
        <v>阿莫西林胶囊/益萨林0.5g*20粒</v>
      </c>
    </row>
    <row r="31" spans="1:4" x14ac:dyDescent="0.15">
      <c r="A31" t="s">
        <v>390</v>
      </c>
      <c r="B31" t="s">
        <v>1864</v>
      </c>
      <c r="C31" t="s">
        <v>339</v>
      </c>
      <c r="D31" t="str">
        <f t="shared" si="0"/>
        <v>复方金银花颗粒10g*10袋</v>
      </c>
    </row>
    <row r="32" spans="1:4" x14ac:dyDescent="0.15">
      <c r="A32" t="s">
        <v>1029</v>
      </c>
      <c r="B32" t="s">
        <v>1030</v>
      </c>
      <c r="C32" t="s">
        <v>1865</v>
      </c>
      <c r="D32" t="str">
        <f t="shared" si="0"/>
        <v>壮肾安神片45片</v>
      </c>
    </row>
    <row r="33" spans="1:4" x14ac:dyDescent="0.15">
      <c r="A33" t="s">
        <v>398</v>
      </c>
      <c r="B33" t="s">
        <v>399</v>
      </c>
      <c r="C33" t="s">
        <v>508</v>
      </c>
      <c r="D33" t="str">
        <f t="shared" si="0"/>
        <v>富马酸亚铁颗粒6袋</v>
      </c>
    </row>
    <row r="34" spans="1:4" x14ac:dyDescent="0.15">
      <c r="A34" t="s">
        <v>342</v>
      </c>
      <c r="B34" t="s">
        <v>338</v>
      </c>
      <c r="C34" t="s">
        <v>1866</v>
      </c>
      <c r="D34" t="str">
        <f t="shared" si="0"/>
        <v>丹佛胃尔康颗粒10g*6袋</v>
      </c>
    </row>
    <row r="35" spans="1:4" x14ac:dyDescent="0.15">
      <c r="A35" t="s">
        <v>714</v>
      </c>
      <c r="B35" t="s">
        <v>715</v>
      </c>
      <c r="C35" t="s">
        <v>1867</v>
      </c>
      <c r="D35" t="str">
        <f t="shared" si="0"/>
        <v>小活络丸3g*10丸</v>
      </c>
    </row>
    <row r="36" spans="1:4" x14ac:dyDescent="0.15">
      <c r="A36" t="s">
        <v>498</v>
      </c>
      <c r="B36" t="s">
        <v>1868</v>
      </c>
      <c r="C36" t="s">
        <v>1869</v>
      </c>
      <c r="D36" t="str">
        <f t="shared" si="0"/>
        <v>罗红霉素分散片/大严迪75mg*12片</v>
      </c>
    </row>
    <row r="37" spans="1:4" x14ac:dyDescent="0.15">
      <c r="A37" t="s">
        <v>396</v>
      </c>
      <c r="B37" t="s">
        <v>1870</v>
      </c>
      <c r="C37" t="s">
        <v>1871</v>
      </c>
      <c r="D37" t="str">
        <f t="shared" si="0"/>
        <v>复方铝酸铋片/新胃必治50片</v>
      </c>
    </row>
    <row r="38" spans="1:4" x14ac:dyDescent="0.15">
      <c r="A38" t="s">
        <v>478</v>
      </c>
      <c r="B38" t="s">
        <v>1872</v>
      </c>
      <c r="C38" t="s">
        <v>1873</v>
      </c>
      <c r="D38" t="str">
        <f t="shared" si="0"/>
        <v>拉西地平片/司乐平4mg*15片</v>
      </c>
    </row>
    <row r="39" spans="1:4" x14ac:dyDescent="0.15">
      <c r="A39" t="s">
        <v>305</v>
      </c>
      <c r="B39" t="s">
        <v>306</v>
      </c>
      <c r="C39" t="s">
        <v>1874</v>
      </c>
      <c r="D39" t="str">
        <f t="shared" si="0"/>
        <v>氨金黄敏颗粒6g*10袋</v>
      </c>
    </row>
    <row r="40" spans="1:4" x14ac:dyDescent="0.15">
      <c r="A40" t="s">
        <v>917</v>
      </c>
      <c r="B40" t="s">
        <v>911</v>
      </c>
      <c r="C40" t="s">
        <v>914</v>
      </c>
      <c r="D40" t="str">
        <f t="shared" si="0"/>
        <v>注射用乳糖酸阿奇霉素0.25g</v>
      </c>
    </row>
    <row r="41" spans="1:4" x14ac:dyDescent="0.15">
      <c r="A41" t="s">
        <v>772</v>
      </c>
      <c r="B41" t="s">
        <v>1875</v>
      </c>
      <c r="C41" t="s">
        <v>444</v>
      </c>
      <c r="D41" t="str">
        <f t="shared" si="0"/>
        <v>益母丸9g*10丸</v>
      </c>
    </row>
    <row r="42" spans="1:4" x14ac:dyDescent="0.15">
      <c r="A42" t="s">
        <v>631</v>
      </c>
      <c r="B42" t="s">
        <v>630</v>
      </c>
      <c r="C42" t="s">
        <v>1876</v>
      </c>
      <c r="D42" t="str">
        <f t="shared" si="0"/>
        <v>双黄连口服液10ml*10z</v>
      </c>
    </row>
    <row r="43" spans="1:4" x14ac:dyDescent="0.15">
      <c r="A43" t="s">
        <v>345</v>
      </c>
      <c r="B43" t="s">
        <v>1877</v>
      </c>
      <c r="C43" t="s">
        <v>1878</v>
      </c>
      <c r="D43" t="str">
        <f t="shared" si="0"/>
        <v xml:space="preserve">泻利停/颠茄磺苄啶片0.48g*10片 </v>
      </c>
    </row>
    <row r="44" spans="1:4" x14ac:dyDescent="0.15">
      <c r="A44" t="s">
        <v>521</v>
      </c>
      <c r="B44" t="s">
        <v>522</v>
      </c>
      <c r="C44" t="s">
        <v>1867</v>
      </c>
      <c r="D44" t="str">
        <f t="shared" si="0"/>
        <v>牛黄解毒丸3g*10丸</v>
      </c>
    </row>
    <row r="45" spans="1:4" x14ac:dyDescent="0.15">
      <c r="A45" t="s">
        <v>406</v>
      </c>
      <c r="B45" t="s">
        <v>1849</v>
      </c>
      <c r="C45" t="s">
        <v>411</v>
      </c>
      <c r="D45" t="str">
        <f t="shared" si="0"/>
        <v>哈药牌钙铁锌口服液10ml*12支</v>
      </c>
    </row>
    <row r="46" spans="1:4" x14ac:dyDescent="0.15">
      <c r="A46" t="s">
        <v>278</v>
      </c>
      <c r="B46" t="s">
        <v>1879</v>
      </c>
      <c r="C46" t="s">
        <v>279</v>
      </c>
      <c r="D46" t="str">
        <f t="shared" si="0"/>
        <v>阿莫西林克拉维酸钾7:1分散片（胜艾）0.2285g*12片</v>
      </c>
    </row>
    <row r="47" spans="1:4" x14ac:dyDescent="0.15">
      <c r="A47" t="s">
        <v>681</v>
      </c>
      <c r="B47" t="s">
        <v>1880</v>
      </c>
      <c r="C47" t="s">
        <v>1881</v>
      </c>
      <c r="D47" t="str">
        <f t="shared" si="0"/>
        <v>*维生素C咀嚼片/VC片0.1g*30片</v>
      </c>
    </row>
    <row r="48" spans="1:4" x14ac:dyDescent="0.15">
      <c r="A48" t="s">
        <v>676</v>
      </c>
      <c r="B48" t="s">
        <v>677</v>
      </c>
      <c r="C48" t="s">
        <v>1882</v>
      </c>
      <c r="D48" t="str">
        <f t="shared" si="0"/>
        <v>维D2磷酸氢钙片60片</v>
      </c>
    </row>
    <row r="49" spans="1:4" x14ac:dyDescent="0.15">
      <c r="A49" t="s">
        <v>593</v>
      </c>
      <c r="B49" t="s">
        <v>1883</v>
      </c>
      <c r="C49" t="s">
        <v>1839</v>
      </c>
      <c r="D49" t="str">
        <f t="shared" si="0"/>
        <v>“为消”牌乳酸菌素片0.4g*36片</v>
      </c>
    </row>
    <row r="50" spans="1:4" x14ac:dyDescent="0.15">
      <c r="A50" t="s">
        <v>577</v>
      </c>
      <c r="B50" t="s">
        <v>578</v>
      </c>
      <c r="C50" t="s">
        <v>1860</v>
      </c>
      <c r="D50" t="str">
        <f t="shared" si="0"/>
        <v>青霉素V钾片（仙芬）0.236g*24片</v>
      </c>
    </row>
    <row r="51" spans="1:4" x14ac:dyDescent="0.15">
      <c r="A51" t="s">
        <v>767</v>
      </c>
      <c r="B51" t="s">
        <v>672</v>
      </c>
      <c r="C51" t="s">
        <v>1884</v>
      </c>
      <c r="D51" t="str">
        <f t="shared" si="0"/>
        <v>退热贴40mm*110mm*2贴</v>
      </c>
    </row>
    <row r="52" spans="1:4" x14ac:dyDescent="0.15">
      <c r="A52" t="s">
        <v>724</v>
      </c>
      <c r="B52" t="s">
        <v>1885</v>
      </c>
      <c r="C52" t="s">
        <v>1886</v>
      </c>
      <c r="D52" t="str">
        <f t="shared" si="0"/>
        <v>新盖中盖高钙片2.5g*36P</v>
      </c>
    </row>
    <row r="53" spans="1:4" x14ac:dyDescent="0.15">
      <c r="A53" t="s">
        <v>407</v>
      </c>
      <c r="B53" t="s">
        <v>1849</v>
      </c>
      <c r="C53" t="s">
        <v>1887</v>
      </c>
      <c r="D53" t="str">
        <f t="shared" si="0"/>
        <v>哈药牌钙铁锌口服液10ml*15支</v>
      </c>
    </row>
    <row r="54" spans="1:4" x14ac:dyDescent="0.15">
      <c r="A54" t="s">
        <v>319</v>
      </c>
      <c r="B54" t="s">
        <v>317</v>
      </c>
      <c r="C54" t="s">
        <v>1848</v>
      </c>
      <c r="D54" t="str">
        <f t="shared" si="0"/>
        <v>布洛芬颗粒0.2g*12袋</v>
      </c>
    </row>
    <row r="55" spans="1:4" x14ac:dyDescent="0.15">
      <c r="A55" t="s">
        <v>550</v>
      </c>
      <c r="B55" t="s">
        <v>1888</v>
      </c>
      <c r="C55" t="s">
        <v>411</v>
      </c>
      <c r="D55" t="str">
        <f t="shared" si="0"/>
        <v>葡萄糖酸钙口服溶液（含糖）10ml*12支</v>
      </c>
    </row>
    <row r="56" spans="1:4" x14ac:dyDescent="0.15">
      <c r="A56" t="s">
        <v>633</v>
      </c>
      <c r="B56" t="s">
        <v>630</v>
      </c>
      <c r="C56" t="s">
        <v>634</v>
      </c>
      <c r="D56" t="str">
        <f t="shared" si="0"/>
        <v>双黄连口服液20ml*9支</v>
      </c>
    </row>
    <row r="57" spans="1:4" x14ac:dyDescent="0.15">
      <c r="A57" t="s">
        <v>631</v>
      </c>
      <c r="B57" t="s">
        <v>630</v>
      </c>
      <c r="C57" t="s">
        <v>1850</v>
      </c>
      <c r="D57" t="str">
        <f t="shared" si="0"/>
        <v>双黄连口服液10ml*10支</v>
      </c>
    </row>
    <row r="58" spans="1:4" x14ac:dyDescent="0.15">
      <c r="A58" t="s">
        <v>493</v>
      </c>
      <c r="B58" t="s">
        <v>1889</v>
      </c>
      <c r="C58" t="s">
        <v>1890</v>
      </c>
      <c r="D58" t="str">
        <f t="shared" si="0"/>
        <v>严迪/罗红霉素分散片150mg*12片</v>
      </c>
    </row>
    <row r="59" spans="1:4" x14ac:dyDescent="0.15">
      <c r="A59" t="s">
        <v>755</v>
      </c>
      <c r="B59" t="s">
        <v>1891</v>
      </c>
      <c r="C59" t="s">
        <v>756</v>
      </c>
      <c r="D59" t="str">
        <f t="shared" si="0"/>
        <v>盐酸依托必利胶囊50mg*20粒</v>
      </c>
    </row>
    <row r="60" spans="1:4" x14ac:dyDescent="0.15">
      <c r="A60" t="s">
        <v>371</v>
      </c>
      <c r="B60" t="s">
        <v>1857</v>
      </c>
      <c r="C60" t="s">
        <v>1892</v>
      </c>
      <c r="D60" t="str">
        <f t="shared" si="0"/>
        <v>妇宁栓1.6g*8枚</v>
      </c>
    </row>
    <row r="61" spans="1:4" x14ac:dyDescent="0.15">
      <c r="A61" t="s">
        <v>253</v>
      </c>
      <c r="B61" t="s">
        <v>245</v>
      </c>
      <c r="C61" t="s">
        <v>254</v>
      </c>
      <c r="D61" t="str">
        <f t="shared" si="0"/>
        <v>阿莫西林胶囊0.5g*20粒</v>
      </c>
    </row>
    <row r="62" spans="1:4" x14ac:dyDescent="0.15">
      <c r="A62" t="s">
        <v>742</v>
      </c>
      <c r="B62" t="s">
        <v>1893</v>
      </c>
      <c r="C62" t="s">
        <v>1894</v>
      </c>
      <c r="D62" t="str">
        <f t="shared" si="0"/>
        <v>盐酸氟桂利嗪片/孚瑞尔40片</v>
      </c>
    </row>
    <row r="63" spans="1:4" x14ac:dyDescent="0.15">
      <c r="A63" t="s">
        <v>368</v>
      </c>
      <c r="B63" t="s">
        <v>1857</v>
      </c>
      <c r="C63" t="s">
        <v>1895</v>
      </c>
      <c r="D63" t="str">
        <f t="shared" si="0"/>
        <v>妇宁栓1.6g×7枚</v>
      </c>
    </row>
    <row r="64" spans="1:4" x14ac:dyDescent="0.15">
      <c r="A64" t="s">
        <v>819</v>
      </c>
      <c r="B64" t="s">
        <v>1896</v>
      </c>
      <c r="C64" t="s">
        <v>1897</v>
      </c>
      <c r="D64" t="str">
        <f t="shared" si="0"/>
        <v>注射用阿莫西林针/益萨林1g*10z</v>
      </c>
    </row>
    <row r="65" spans="1:4" x14ac:dyDescent="0.15">
      <c r="A65" t="s">
        <v>498</v>
      </c>
      <c r="B65" t="s">
        <v>1898</v>
      </c>
      <c r="C65" t="s">
        <v>1869</v>
      </c>
      <c r="D65" t="str">
        <f t="shared" si="0"/>
        <v>大严迪片/罗红霉素分散片75mg*12片</v>
      </c>
    </row>
    <row r="66" spans="1:4" x14ac:dyDescent="0.15">
      <c r="A66" t="s">
        <v>588</v>
      </c>
      <c r="B66" t="s">
        <v>1899</v>
      </c>
      <c r="C66" t="s">
        <v>1900</v>
      </c>
      <c r="D66" t="str">
        <f t="shared" si="0"/>
        <v>人工牛黄甲硝唑胶囊/牙疼安10粒*3板</v>
      </c>
    </row>
    <row r="67" spans="1:4" x14ac:dyDescent="0.15">
      <c r="A67" t="s">
        <v>681</v>
      </c>
      <c r="B67" t="s">
        <v>1901</v>
      </c>
      <c r="C67" t="s">
        <v>1881</v>
      </c>
      <c r="D67" t="str">
        <f t="shared" ref="D67:D130" si="1">B67&amp;C67</f>
        <v>维生素C咀嚼片/VC片0.1g*30片</v>
      </c>
    </row>
    <row r="68" spans="1:4" x14ac:dyDescent="0.15">
      <c r="A68" t="s">
        <v>593</v>
      </c>
      <c r="B68" t="s">
        <v>1902</v>
      </c>
      <c r="C68" t="s">
        <v>1839</v>
      </c>
      <c r="D68" t="str">
        <f t="shared" si="1"/>
        <v>乳酸菌素片/为消0.4g*36片</v>
      </c>
    </row>
    <row r="69" spans="1:4" x14ac:dyDescent="0.15">
      <c r="A69" t="s">
        <v>478</v>
      </c>
      <c r="B69" t="s">
        <v>1903</v>
      </c>
      <c r="C69" t="s">
        <v>1873</v>
      </c>
      <c r="D69" t="str">
        <f t="shared" si="1"/>
        <v>拉西地平片/三精司乐平片4mg*15片</v>
      </c>
    </row>
    <row r="70" spans="1:4" x14ac:dyDescent="0.15">
      <c r="A70" t="s">
        <v>409</v>
      </c>
      <c r="B70" t="s">
        <v>1904</v>
      </c>
      <c r="C70" t="s">
        <v>411</v>
      </c>
      <c r="D70" t="str">
        <f t="shared" si="1"/>
        <v>哈药六钙锌口服液10ml*12支</v>
      </c>
    </row>
    <row r="71" spans="1:4" x14ac:dyDescent="0.15">
      <c r="A71" t="s">
        <v>558</v>
      </c>
      <c r="B71" t="s">
        <v>1905</v>
      </c>
      <c r="C71" t="s">
        <v>411</v>
      </c>
      <c r="D71" t="str">
        <f t="shared" si="1"/>
        <v>朴血/乳酸亚铁口服液10ml*12支</v>
      </c>
    </row>
    <row r="72" spans="1:4" x14ac:dyDescent="0.15">
      <c r="A72" t="s">
        <v>396</v>
      </c>
      <c r="B72" t="s">
        <v>1906</v>
      </c>
      <c r="C72" t="s">
        <v>1871</v>
      </c>
      <c r="D72" t="str">
        <f t="shared" si="1"/>
        <v>胃必治/复方铝酸铋片50片</v>
      </c>
    </row>
    <row r="73" spans="1:4" x14ac:dyDescent="0.15">
      <c r="A73" t="s">
        <v>704</v>
      </c>
      <c r="B73" t="s">
        <v>705</v>
      </c>
      <c r="C73" t="s">
        <v>1907</v>
      </c>
      <c r="D73" t="str">
        <f t="shared" si="1"/>
        <v>小儿氨酚黄那敏片0.125g*20片</v>
      </c>
    </row>
    <row r="74" spans="1:4" x14ac:dyDescent="0.15">
      <c r="A74" t="s">
        <v>721</v>
      </c>
      <c r="B74" t="s">
        <v>722</v>
      </c>
      <c r="C74" t="s">
        <v>1908</v>
      </c>
      <c r="D74" t="str">
        <f t="shared" si="1"/>
        <v>新盖中盖牌儿童钙片1.75g*36p</v>
      </c>
    </row>
    <row r="75" spans="1:4" x14ac:dyDescent="0.15">
      <c r="A75" t="s">
        <v>483</v>
      </c>
      <c r="B75" t="s">
        <v>484</v>
      </c>
      <c r="C75" t="s">
        <v>1909</v>
      </c>
      <c r="D75" t="str">
        <f t="shared" si="1"/>
        <v>羚羊感冒片24片</v>
      </c>
    </row>
    <row r="76" spans="1:4" x14ac:dyDescent="0.15">
      <c r="A76" t="s">
        <v>536</v>
      </c>
      <c r="B76" t="s">
        <v>537</v>
      </c>
      <c r="C76" t="s">
        <v>1910</v>
      </c>
      <c r="D76" t="str">
        <f t="shared" si="1"/>
        <v>牛黄消炎片30片</v>
      </c>
    </row>
    <row r="77" spans="1:4" x14ac:dyDescent="0.15">
      <c r="A77" t="s">
        <v>426</v>
      </c>
      <c r="B77" t="s">
        <v>427</v>
      </c>
      <c r="C77" t="s">
        <v>1911</v>
      </c>
      <c r="D77" t="str">
        <f t="shared" si="1"/>
        <v>冠心苏合丸1.2g*30丸</v>
      </c>
    </row>
    <row r="78" spans="1:4" x14ac:dyDescent="0.15">
      <c r="A78" t="s">
        <v>747</v>
      </c>
      <c r="B78" t="s">
        <v>1912</v>
      </c>
      <c r="C78" t="s">
        <v>749</v>
      </c>
      <c r="D78" t="str">
        <f t="shared" si="1"/>
        <v>盐酸特拉唑嗪胶囊2mg*10粒</v>
      </c>
    </row>
    <row r="79" spans="1:4" x14ac:dyDescent="0.15">
      <c r="A79" t="s">
        <v>585</v>
      </c>
      <c r="B79" t="s">
        <v>1899</v>
      </c>
      <c r="C79" t="s">
        <v>1913</v>
      </c>
      <c r="D79" t="str">
        <f t="shared" si="1"/>
        <v>人工牛黄甲硝唑胶囊/牙疼安10粒*2板</v>
      </c>
    </row>
    <row r="80" spans="1:4" x14ac:dyDescent="0.15">
      <c r="A80" t="s">
        <v>314</v>
      </c>
      <c r="B80" t="s">
        <v>1914</v>
      </c>
      <c r="C80" t="s">
        <v>444</v>
      </c>
      <c r="D80" t="str">
        <f t="shared" si="1"/>
        <v>保和丸9g*10丸</v>
      </c>
    </row>
    <row r="81" spans="1:4" x14ac:dyDescent="0.15">
      <c r="A81" t="s">
        <v>468</v>
      </c>
      <c r="B81" t="s">
        <v>469</v>
      </c>
      <c r="C81" t="s">
        <v>1915</v>
      </c>
      <c r="D81" t="str">
        <f t="shared" si="1"/>
        <v>克拉霉素分散片0.125g*12片</v>
      </c>
    </row>
    <row r="82" spans="1:4" x14ac:dyDescent="0.15">
      <c r="A82" t="s">
        <v>460</v>
      </c>
      <c r="B82" t="s">
        <v>461</v>
      </c>
      <c r="C82" t="s">
        <v>1916</v>
      </c>
      <c r="D82" t="str">
        <f t="shared" si="1"/>
        <v>菊梅利咽含片1.2g*18片</v>
      </c>
    </row>
    <row r="83" spans="1:4" x14ac:dyDescent="0.15">
      <c r="A83" t="s">
        <v>765</v>
      </c>
      <c r="B83" t="s">
        <v>766</v>
      </c>
      <c r="C83" t="s">
        <v>1917</v>
      </c>
      <c r="D83" t="str">
        <f t="shared" si="1"/>
        <v>羊肝明目片0.35g*24片</v>
      </c>
    </row>
    <row r="84" spans="1:4" x14ac:dyDescent="0.15">
      <c r="A84" t="s">
        <v>351</v>
      </c>
      <c r="B84" t="s">
        <v>1877</v>
      </c>
      <c r="C84" t="s">
        <v>1918</v>
      </c>
      <c r="D84" t="str">
        <f t="shared" si="1"/>
        <v xml:space="preserve">泻利停/颠茄磺苄啶片0.12g*20片 </v>
      </c>
    </row>
    <row r="85" spans="1:4" x14ac:dyDescent="0.15">
      <c r="A85" t="s">
        <v>496</v>
      </c>
      <c r="B85" t="s">
        <v>1919</v>
      </c>
      <c r="C85" t="s">
        <v>1841</v>
      </c>
      <c r="D85" t="str">
        <f t="shared" si="1"/>
        <v>小儿严迪片/罗红霉素分散片50mg*12片</v>
      </c>
    </row>
    <row r="86" spans="1:4" x14ac:dyDescent="0.15">
      <c r="A86" t="s">
        <v>917</v>
      </c>
      <c r="B86" t="s">
        <v>1920</v>
      </c>
      <c r="C86" t="s">
        <v>914</v>
      </c>
      <c r="D86" t="str">
        <f t="shared" si="1"/>
        <v>阿奇针/注射用乳糖酸阿奇霉素针0.25g</v>
      </c>
    </row>
    <row r="87" spans="1:4" x14ac:dyDescent="0.15">
      <c r="A87" t="s">
        <v>312</v>
      </c>
      <c r="B87" t="s">
        <v>313</v>
      </c>
      <c r="C87" t="s">
        <v>444</v>
      </c>
      <c r="D87" t="str">
        <f t="shared" si="1"/>
        <v>柏子养心丸9g*10丸</v>
      </c>
    </row>
    <row r="88" spans="1:4" x14ac:dyDescent="0.15">
      <c r="A88" t="s">
        <v>693</v>
      </c>
      <c r="B88" t="s">
        <v>692</v>
      </c>
      <c r="C88" t="s">
        <v>1874</v>
      </c>
      <c r="D88" t="str">
        <f t="shared" si="1"/>
        <v>逍遥丸6g*10袋</v>
      </c>
    </row>
    <row r="89" spans="1:4" x14ac:dyDescent="0.15">
      <c r="A89" t="s">
        <v>323</v>
      </c>
      <c r="B89" t="s">
        <v>324</v>
      </c>
      <c r="C89" t="s">
        <v>1851</v>
      </c>
      <c r="D89" t="str">
        <f t="shared" si="1"/>
        <v>刺五加脑灵液100ml</v>
      </c>
    </row>
    <row r="90" spans="1:4" x14ac:dyDescent="0.15">
      <c r="A90" t="s">
        <v>526</v>
      </c>
      <c r="B90" t="s">
        <v>527</v>
      </c>
      <c r="C90" t="s">
        <v>1921</v>
      </c>
      <c r="D90" t="str">
        <f t="shared" si="1"/>
        <v>牛黄清胃丸6g*10w</v>
      </c>
    </row>
    <row r="91" spans="1:4" x14ac:dyDescent="0.15">
      <c r="A91" t="s">
        <v>491</v>
      </c>
      <c r="B91" t="s">
        <v>1922</v>
      </c>
      <c r="C91" t="s">
        <v>1923</v>
      </c>
      <c r="D91" t="str">
        <f t="shared" si="1"/>
        <v>龙胆泻肝丸6g*10丸</v>
      </c>
    </row>
    <row r="92" spans="1:4" x14ac:dyDescent="0.15">
      <c r="A92" t="s">
        <v>442</v>
      </c>
      <c r="B92" t="s">
        <v>443</v>
      </c>
      <c r="C92" t="s">
        <v>444</v>
      </c>
      <c r="D92" t="str">
        <f t="shared" si="1"/>
        <v>健脾丸9g*10丸</v>
      </c>
    </row>
    <row r="93" spans="1:4" x14ac:dyDescent="0.15">
      <c r="A93" t="s">
        <v>435</v>
      </c>
      <c r="B93" t="s">
        <v>436</v>
      </c>
      <c r="C93" t="s">
        <v>1924</v>
      </c>
      <c r="D93" t="str">
        <f t="shared" si="1"/>
        <v>护肝片0.36g*100片</v>
      </c>
    </row>
    <row r="94" spans="1:4" x14ac:dyDescent="0.15">
      <c r="A94" t="s">
        <v>471</v>
      </c>
      <c r="B94" t="s">
        <v>1925</v>
      </c>
      <c r="C94" t="s">
        <v>1926</v>
      </c>
      <c r="D94" t="str">
        <f t="shared" si="1"/>
        <v>克拉霉素分散片/长迪0.125g*24粒</v>
      </c>
    </row>
    <row r="95" spans="1:4" x14ac:dyDescent="0.15">
      <c r="A95" t="s">
        <v>908</v>
      </c>
      <c r="B95" t="s">
        <v>902</v>
      </c>
      <c r="C95" t="s">
        <v>1927</v>
      </c>
      <c r="D95" t="str">
        <f t="shared" si="1"/>
        <v>注射用青霉素钠0.48g（80万单位）1g</v>
      </c>
    </row>
    <row r="96" spans="1:4" x14ac:dyDescent="0.15">
      <c r="A96" t="s">
        <v>297</v>
      </c>
      <c r="B96" t="s">
        <v>1928</v>
      </c>
      <c r="C96" t="s">
        <v>444</v>
      </c>
      <c r="D96" t="str">
        <f t="shared" si="1"/>
        <v>艾附暖宫丸9g*10丸</v>
      </c>
    </row>
    <row r="97" spans="1:4" x14ac:dyDescent="0.15">
      <c r="A97" t="s">
        <v>379</v>
      </c>
      <c r="B97" t="s">
        <v>1929</v>
      </c>
      <c r="C97" t="s">
        <v>381</v>
      </c>
      <c r="D97" t="str">
        <f t="shared" si="1"/>
        <v>新迪/复方氨酚烷胺片12片</v>
      </c>
    </row>
    <row r="98" spans="1:4" x14ac:dyDescent="0.15">
      <c r="A98" t="s">
        <v>650</v>
      </c>
      <c r="B98" t="s">
        <v>648</v>
      </c>
      <c r="C98" t="s">
        <v>1930</v>
      </c>
      <c r="D98" t="str">
        <f t="shared" si="1"/>
        <v>头孢氨苄片0.25g*30片</v>
      </c>
    </row>
    <row r="99" spans="1:4" x14ac:dyDescent="0.15">
      <c r="A99" t="s">
        <v>731</v>
      </c>
      <c r="B99" t="s">
        <v>1931</v>
      </c>
      <c r="C99" t="s">
        <v>444</v>
      </c>
      <c r="D99" t="str">
        <f t="shared" si="1"/>
        <v>血府逐淤丸9g*10丸</v>
      </c>
    </row>
    <row r="100" spans="1:4" x14ac:dyDescent="0.15">
      <c r="A100" t="s">
        <v>701</v>
      </c>
      <c r="B100" t="s">
        <v>1932</v>
      </c>
      <c r="C100" t="s">
        <v>1853</v>
      </c>
      <c r="D100" t="str">
        <f t="shared" si="1"/>
        <v>护彤冲剂/小儿氨酚黄那敏颗粒2g*12袋</v>
      </c>
    </row>
    <row r="101" spans="1:4" x14ac:dyDescent="0.15">
      <c r="A101" t="s">
        <v>244</v>
      </c>
      <c r="B101" t="s">
        <v>245</v>
      </c>
      <c r="C101" t="s">
        <v>1933</v>
      </c>
      <c r="D101" t="str">
        <f t="shared" si="1"/>
        <v>阿莫西林胶囊0.25g*20s</v>
      </c>
    </row>
    <row r="102" spans="1:4" x14ac:dyDescent="0.15">
      <c r="A102" t="s">
        <v>539</v>
      </c>
      <c r="B102" t="s">
        <v>537</v>
      </c>
      <c r="C102" t="s">
        <v>1934</v>
      </c>
      <c r="D102" t="str">
        <f t="shared" si="1"/>
        <v>牛黄消炎片0.12g*24片</v>
      </c>
    </row>
    <row r="103" spans="1:4" x14ac:dyDescent="0.15">
      <c r="A103" t="s">
        <v>278</v>
      </c>
      <c r="B103" t="s">
        <v>1935</v>
      </c>
      <c r="C103" t="s">
        <v>279</v>
      </c>
      <c r="D103" t="str">
        <f t="shared" si="1"/>
        <v>阿莫西林克拉维酸钾分散片0.2285g*12片</v>
      </c>
    </row>
    <row r="104" spans="1:4" x14ac:dyDescent="0.15">
      <c r="A104" t="s">
        <v>698</v>
      </c>
      <c r="B104" t="s">
        <v>699</v>
      </c>
      <c r="C104" t="s">
        <v>1936</v>
      </c>
      <c r="D104" t="str">
        <f t="shared" si="1"/>
        <v>小檗碱甲氧苄啶胶囊30粒</v>
      </c>
    </row>
    <row r="105" spans="1:4" x14ac:dyDescent="0.15">
      <c r="A105" t="s">
        <v>660</v>
      </c>
      <c r="B105" t="s">
        <v>655</v>
      </c>
      <c r="C105" t="s">
        <v>1937</v>
      </c>
      <c r="D105" t="str">
        <f t="shared" si="1"/>
        <v>头孢拉定胶囊0.25g*24粒</v>
      </c>
    </row>
    <row r="106" spans="1:4" x14ac:dyDescent="0.15">
      <c r="A106" t="s">
        <v>295</v>
      </c>
      <c r="B106" t="s">
        <v>292</v>
      </c>
      <c r="C106" t="s">
        <v>1938</v>
      </c>
      <c r="D106" t="str">
        <f t="shared" si="1"/>
        <v>阿奇霉素分散片0.25*6片</v>
      </c>
    </row>
    <row r="107" spans="1:4" x14ac:dyDescent="0.15">
      <c r="A107" t="s">
        <v>348</v>
      </c>
      <c r="B107" t="s">
        <v>1939</v>
      </c>
      <c r="C107" t="s">
        <v>1940</v>
      </c>
      <c r="D107" t="str">
        <f t="shared" si="1"/>
        <v>泻立停片/颠茄磺苄啶片0.4g：80mg：8mg*12片</v>
      </c>
    </row>
    <row r="108" spans="1:4" x14ac:dyDescent="0.15">
      <c r="A108" t="s">
        <v>272</v>
      </c>
      <c r="B108" t="s">
        <v>1941</v>
      </c>
      <c r="C108" t="s">
        <v>1942</v>
      </c>
      <c r="D108" t="str">
        <f t="shared" si="1"/>
        <v>阿莫西林颗粒0.125g*12袋</v>
      </c>
    </row>
    <row r="109" spans="1:4" x14ac:dyDescent="0.15">
      <c r="A109" t="s">
        <v>398</v>
      </c>
      <c r="B109" t="s">
        <v>399</v>
      </c>
      <c r="C109" t="s">
        <v>1943</v>
      </c>
      <c r="D109" t="str">
        <f t="shared" si="1"/>
        <v>富马酸亚铁颗粒2g*6袋</v>
      </c>
    </row>
    <row r="110" spans="1:4" x14ac:dyDescent="0.15">
      <c r="A110" t="s">
        <v>454</v>
      </c>
      <c r="B110" t="s">
        <v>452</v>
      </c>
      <c r="C110" t="s">
        <v>1944</v>
      </c>
      <c r="D110" t="str">
        <f t="shared" si="1"/>
        <v>金匮肾气丸72g</v>
      </c>
    </row>
    <row r="111" spans="1:4" x14ac:dyDescent="0.15">
      <c r="A111" t="s">
        <v>1040</v>
      </c>
      <c r="B111" t="s">
        <v>1041</v>
      </c>
      <c r="C111" t="s">
        <v>1945</v>
      </c>
      <c r="D111" t="str">
        <f t="shared" si="1"/>
        <v>左羟丙哌嗪分散片60mg*12片</v>
      </c>
    </row>
    <row r="112" spans="1:4" x14ac:dyDescent="0.15">
      <c r="A112" t="s">
        <v>420</v>
      </c>
      <c r="B112" t="s">
        <v>421</v>
      </c>
      <c r="C112" t="s">
        <v>1946</v>
      </c>
      <c r="D112" t="str">
        <f t="shared" si="1"/>
        <v>宫血停颗粒10g*12袋</v>
      </c>
    </row>
    <row r="113" spans="1:4" x14ac:dyDescent="0.15">
      <c r="A113" t="s">
        <v>593</v>
      </c>
      <c r="B113" t="s">
        <v>591</v>
      </c>
      <c r="C113" t="s">
        <v>1947</v>
      </c>
      <c r="D113" t="str">
        <f t="shared" si="1"/>
        <v>乳酸菌素片0.4g*36片/小包</v>
      </c>
    </row>
    <row r="114" spans="1:4" x14ac:dyDescent="0.15">
      <c r="A114" t="s">
        <v>552</v>
      </c>
      <c r="B114" t="s">
        <v>1948</v>
      </c>
      <c r="C114" t="s">
        <v>411</v>
      </c>
      <c r="D114" t="str">
        <f t="shared" si="1"/>
        <v>葡萄糖酸锌口服溶液10ml*12支</v>
      </c>
    </row>
    <row r="115" spans="1:4" x14ac:dyDescent="0.15">
      <c r="A115" t="s">
        <v>498</v>
      </c>
      <c r="B115" t="s">
        <v>1949</v>
      </c>
      <c r="C115" t="s">
        <v>1869</v>
      </c>
      <c r="D115" t="str">
        <f t="shared" si="1"/>
        <v>罗红霉素分散片75mg*12片</v>
      </c>
    </row>
    <row r="116" spans="1:4" x14ac:dyDescent="0.15">
      <c r="A116" t="s">
        <v>496</v>
      </c>
      <c r="B116" t="s">
        <v>1949</v>
      </c>
      <c r="C116" t="s">
        <v>1841</v>
      </c>
      <c r="D116" t="str">
        <f t="shared" si="1"/>
        <v>罗红霉素分散片50mg*12片</v>
      </c>
    </row>
    <row r="117" spans="1:4" x14ac:dyDescent="0.15">
      <c r="A117" t="s">
        <v>590</v>
      </c>
      <c r="B117" t="s">
        <v>591</v>
      </c>
      <c r="C117" t="s">
        <v>1950</v>
      </c>
      <c r="D117" t="str">
        <f t="shared" si="1"/>
        <v>乳酸菌素片0.4g*12片*3板</v>
      </c>
    </row>
    <row r="118" spans="1:4" x14ac:dyDescent="0.15">
      <c r="A118" t="s">
        <v>259</v>
      </c>
      <c r="B118" t="s">
        <v>245</v>
      </c>
      <c r="C118" t="s">
        <v>1951</v>
      </c>
      <c r="D118" t="str">
        <f t="shared" si="1"/>
        <v>阿莫西林胶囊0.5g*36粒</v>
      </c>
    </row>
    <row r="119" spans="1:4" x14ac:dyDescent="0.15">
      <c r="A119" t="s">
        <v>558</v>
      </c>
      <c r="B119" t="s">
        <v>557</v>
      </c>
      <c r="C119" t="s">
        <v>411</v>
      </c>
      <c r="D119" t="str">
        <f t="shared" si="1"/>
        <v>朴雪乳酸亚铁口服液10ml*12支</v>
      </c>
    </row>
    <row r="120" spans="1:4" x14ac:dyDescent="0.15">
      <c r="A120" t="s">
        <v>396</v>
      </c>
      <c r="B120" t="s">
        <v>394</v>
      </c>
      <c r="C120" t="s">
        <v>1871</v>
      </c>
      <c r="D120" t="str">
        <f t="shared" si="1"/>
        <v>复方铝酸铋片50片</v>
      </c>
    </row>
    <row r="121" spans="1:4" x14ac:dyDescent="0.15">
      <c r="A121" t="s">
        <v>701</v>
      </c>
      <c r="B121" t="s">
        <v>1952</v>
      </c>
      <c r="C121" t="s">
        <v>1953</v>
      </c>
      <c r="D121" t="str">
        <f t="shared" si="1"/>
        <v>小儿氨酚黄那敏颗粒12袋</v>
      </c>
    </row>
    <row r="122" spans="1:4" x14ac:dyDescent="0.15">
      <c r="A122" t="s">
        <v>724</v>
      </c>
      <c r="B122" t="s">
        <v>725</v>
      </c>
      <c r="C122" t="s">
        <v>1838</v>
      </c>
      <c r="D122" t="str">
        <f t="shared" si="1"/>
        <v>新盖中盖牌高钙片2.5g*36片</v>
      </c>
    </row>
    <row r="123" spans="1:4" x14ac:dyDescent="0.15">
      <c r="A123" t="s">
        <v>721</v>
      </c>
      <c r="B123" t="s">
        <v>722</v>
      </c>
      <c r="C123" t="s">
        <v>1954</v>
      </c>
      <c r="D123" t="str">
        <f t="shared" si="1"/>
        <v>新盖中盖牌儿童钙片36片</v>
      </c>
    </row>
    <row r="124" spans="1:4" x14ac:dyDescent="0.15">
      <c r="A124" t="s">
        <v>371</v>
      </c>
      <c r="B124" t="s">
        <v>1857</v>
      </c>
      <c r="C124" t="s">
        <v>1955</v>
      </c>
      <c r="D124" t="str">
        <f t="shared" si="1"/>
        <v>妇宁栓1.6g*8粒</v>
      </c>
    </row>
    <row r="125" spans="1:4" x14ac:dyDescent="0.15">
      <c r="A125" t="s">
        <v>686</v>
      </c>
      <c r="B125" t="s">
        <v>687</v>
      </c>
      <c r="C125" t="s">
        <v>1936</v>
      </c>
      <c r="D125" t="str">
        <f t="shared" si="1"/>
        <v>维生素E软胶囊30粒</v>
      </c>
    </row>
    <row r="126" spans="1:4" x14ac:dyDescent="0.15">
      <c r="A126" t="s">
        <v>345</v>
      </c>
      <c r="B126" t="s">
        <v>1855</v>
      </c>
      <c r="C126" t="s">
        <v>1956</v>
      </c>
      <c r="D126" t="str">
        <f t="shared" si="1"/>
        <v>颠茄磺苄啶片10片/瓶</v>
      </c>
    </row>
    <row r="127" spans="1:4" x14ac:dyDescent="0.15">
      <c r="A127" t="s">
        <v>493</v>
      </c>
      <c r="B127" t="s">
        <v>1949</v>
      </c>
      <c r="C127" t="s">
        <v>1890</v>
      </c>
      <c r="D127" t="str">
        <f t="shared" si="1"/>
        <v>罗红霉素分散片150mg*12片</v>
      </c>
    </row>
    <row r="128" spans="1:4" x14ac:dyDescent="0.15">
      <c r="A128" t="s">
        <v>244</v>
      </c>
      <c r="B128" t="s">
        <v>245</v>
      </c>
      <c r="C128" t="s">
        <v>246</v>
      </c>
      <c r="D128" t="str">
        <f t="shared" si="1"/>
        <v>阿莫西林胶囊0.25g*20粒</v>
      </c>
    </row>
    <row r="129" spans="1:4" x14ac:dyDescent="0.15">
      <c r="A129" t="s">
        <v>471</v>
      </c>
      <c r="B129" t="s">
        <v>469</v>
      </c>
      <c r="C129" t="s">
        <v>1957</v>
      </c>
      <c r="D129" t="str">
        <f t="shared" si="1"/>
        <v>克拉霉素分散片0.125g*24片</v>
      </c>
    </row>
    <row r="130" spans="1:4" x14ac:dyDescent="0.15">
      <c r="A130" t="s">
        <v>539</v>
      </c>
      <c r="B130" t="s">
        <v>537</v>
      </c>
      <c r="C130" t="s">
        <v>1909</v>
      </c>
      <c r="D130" t="str">
        <f t="shared" si="1"/>
        <v>牛黄消炎片24片</v>
      </c>
    </row>
    <row r="131" spans="1:4" x14ac:dyDescent="0.15">
      <c r="A131" t="s">
        <v>478</v>
      </c>
      <c r="B131" t="s">
        <v>474</v>
      </c>
      <c r="C131" t="s">
        <v>1873</v>
      </c>
      <c r="D131" t="str">
        <f t="shared" ref="D131:D194" si="2">B131&amp;C131</f>
        <v>拉西地平片4mg*15片</v>
      </c>
    </row>
    <row r="132" spans="1:4" x14ac:dyDescent="0.15">
      <c r="A132" t="s">
        <v>588</v>
      </c>
      <c r="B132" t="s">
        <v>586</v>
      </c>
      <c r="C132" t="s">
        <v>1936</v>
      </c>
      <c r="D132" t="str">
        <f t="shared" si="2"/>
        <v>人工牛黄甲硝唑胶囊30粒</v>
      </c>
    </row>
    <row r="133" spans="1:4" x14ac:dyDescent="0.15">
      <c r="A133" t="s">
        <v>731</v>
      </c>
      <c r="B133" t="s">
        <v>732</v>
      </c>
      <c r="C133" t="s">
        <v>444</v>
      </c>
      <c r="D133" t="str">
        <f t="shared" si="2"/>
        <v>血府逐瘀丸9g*10丸</v>
      </c>
    </row>
    <row r="134" spans="1:4" x14ac:dyDescent="0.15">
      <c r="A134" t="s">
        <v>295</v>
      </c>
      <c r="B134" t="s">
        <v>292</v>
      </c>
      <c r="C134" t="s">
        <v>1958</v>
      </c>
      <c r="D134" t="str">
        <f t="shared" si="2"/>
        <v>阿奇霉素分散片0.25g*6片</v>
      </c>
    </row>
    <row r="135" spans="1:4" x14ac:dyDescent="0.15">
      <c r="A135" t="s">
        <v>305</v>
      </c>
      <c r="B135" t="s">
        <v>306</v>
      </c>
      <c r="C135" t="s">
        <v>1959</v>
      </c>
      <c r="D135" t="str">
        <f t="shared" si="2"/>
        <v>氨金黄敏颗粒6g*10袋/盒</v>
      </c>
    </row>
    <row r="136" spans="1:4" x14ac:dyDescent="0.15">
      <c r="A136" t="s">
        <v>550</v>
      </c>
      <c r="B136" t="s">
        <v>1960</v>
      </c>
      <c r="C136" t="s">
        <v>1961</v>
      </c>
      <c r="D136" t="str">
        <f t="shared" si="2"/>
        <v>葡萄糖酸钙口服液12支/盒</v>
      </c>
    </row>
    <row r="137" spans="1:4" x14ac:dyDescent="0.15">
      <c r="A137" t="s">
        <v>585</v>
      </c>
      <c r="B137" t="s">
        <v>586</v>
      </c>
      <c r="C137" t="s">
        <v>311</v>
      </c>
      <c r="D137" t="str">
        <f t="shared" si="2"/>
        <v>人工牛黄甲硝唑胶囊20粒</v>
      </c>
    </row>
    <row r="138" spans="1:4" x14ac:dyDescent="0.15">
      <c r="A138" t="s">
        <v>406</v>
      </c>
      <c r="B138" t="s">
        <v>1962</v>
      </c>
      <c r="C138" t="s">
        <v>411</v>
      </c>
      <c r="D138" t="str">
        <f t="shared" si="2"/>
        <v>哈药*钙铁锌口服液10ml*12支</v>
      </c>
    </row>
    <row r="139" spans="1:4" x14ac:dyDescent="0.15">
      <c r="A139" t="s">
        <v>552</v>
      </c>
      <c r="B139" t="s">
        <v>555</v>
      </c>
      <c r="C139" t="s">
        <v>1961</v>
      </c>
      <c r="D139" t="str">
        <f t="shared" si="2"/>
        <v>葡萄糖酸锌口服液12支/盒</v>
      </c>
    </row>
    <row r="140" spans="1:4" x14ac:dyDescent="0.15">
      <c r="A140" t="s">
        <v>401</v>
      </c>
      <c r="B140" t="s">
        <v>402</v>
      </c>
      <c r="C140" t="s">
        <v>411</v>
      </c>
      <c r="D140" t="str">
        <f t="shared" si="2"/>
        <v>钙加锌口服液10ml*12支</v>
      </c>
    </row>
    <row r="141" spans="1:4" x14ac:dyDescent="0.15">
      <c r="A141" t="s">
        <v>348</v>
      </c>
      <c r="B141" t="s">
        <v>1963</v>
      </c>
      <c r="C141" t="s">
        <v>381</v>
      </c>
      <c r="D141" t="str">
        <f t="shared" si="2"/>
        <v>泻利停*颠茄磺苄啶片12片</v>
      </c>
    </row>
    <row r="142" spans="1:4" x14ac:dyDescent="0.15">
      <c r="A142" t="s">
        <v>278</v>
      </c>
      <c r="B142" t="s">
        <v>1964</v>
      </c>
      <c r="C142" t="s">
        <v>1965</v>
      </c>
      <c r="D142" t="str">
        <f t="shared" si="2"/>
        <v>胜艾*阿莫西林克拉维酸钾分散片0.2285g*12pian</v>
      </c>
    </row>
    <row r="143" spans="1:4" x14ac:dyDescent="0.15">
      <c r="A143" t="s">
        <v>498</v>
      </c>
      <c r="B143" t="s">
        <v>1966</v>
      </c>
      <c r="C143" t="s">
        <v>1967</v>
      </c>
      <c r="D143" t="str">
        <f t="shared" si="2"/>
        <v>严迪*罗红霉素分散片75mg*12</v>
      </c>
    </row>
    <row r="144" spans="1:4" x14ac:dyDescent="0.15">
      <c r="A144" t="s">
        <v>396</v>
      </c>
      <c r="B144" t="s">
        <v>1968</v>
      </c>
      <c r="C144" t="s">
        <v>1871</v>
      </c>
      <c r="D144" t="str">
        <f t="shared" si="2"/>
        <v>胃必治*复方铝酸铋片50片</v>
      </c>
    </row>
    <row r="145" spans="1:4" x14ac:dyDescent="0.15">
      <c r="A145" t="s">
        <v>724</v>
      </c>
      <c r="B145" t="s">
        <v>1969</v>
      </c>
      <c r="C145" t="s">
        <v>1954</v>
      </c>
      <c r="D145" t="str">
        <f t="shared" si="2"/>
        <v>高钙片36片</v>
      </c>
    </row>
    <row r="146" spans="1:4" x14ac:dyDescent="0.15">
      <c r="A146" t="s">
        <v>686</v>
      </c>
      <c r="B146" t="s">
        <v>687</v>
      </c>
      <c r="C146" t="s">
        <v>1970</v>
      </c>
      <c r="D146" t="str">
        <f t="shared" si="2"/>
        <v>维生素E软胶囊100mg*30粒</v>
      </c>
    </row>
    <row r="147" spans="1:4" x14ac:dyDescent="0.15">
      <c r="A147" t="s">
        <v>631</v>
      </c>
      <c r="B147" t="s">
        <v>630</v>
      </c>
      <c r="C147" t="s">
        <v>1971</v>
      </c>
      <c r="D147" t="str">
        <f t="shared" si="2"/>
        <v>双黄连口服液10ml*10</v>
      </c>
    </row>
    <row r="148" spans="1:4" x14ac:dyDescent="0.15">
      <c r="A148" t="s">
        <v>503</v>
      </c>
      <c r="B148" t="s">
        <v>1972</v>
      </c>
      <c r="C148" t="s">
        <v>1973</v>
      </c>
      <c r="D148" t="str">
        <f t="shared" si="2"/>
        <v>蒙脱石散*泻利停3克*12袋</v>
      </c>
    </row>
    <row r="149" spans="1:4" x14ac:dyDescent="0.15">
      <c r="A149" t="s">
        <v>496</v>
      </c>
      <c r="B149" t="s">
        <v>1974</v>
      </c>
      <c r="C149" t="s">
        <v>1975</v>
      </c>
      <c r="D149" t="str">
        <f t="shared" si="2"/>
        <v>罗红霉素分散片-小严迪12片/盒</v>
      </c>
    </row>
    <row r="150" spans="1:4" x14ac:dyDescent="0.15">
      <c r="A150" t="s">
        <v>574</v>
      </c>
      <c r="B150" t="s">
        <v>575</v>
      </c>
      <c r="C150" t="s">
        <v>1976</v>
      </c>
      <c r="D150" t="str">
        <f t="shared" si="2"/>
        <v>青霉素V钾片0.236g*12片</v>
      </c>
    </row>
    <row r="151" spans="1:4" x14ac:dyDescent="0.15">
      <c r="A151" t="s">
        <v>681</v>
      </c>
      <c r="B151" t="s">
        <v>1977</v>
      </c>
      <c r="C151" t="s">
        <v>1881</v>
      </c>
      <c r="D151" t="str">
        <f t="shared" si="2"/>
        <v>维生素c咀嚼片0.1g*30片</v>
      </c>
    </row>
    <row r="152" spans="1:4" x14ac:dyDescent="0.15">
      <c r="A152" t="s">
        <v>345</v>
      </c>
      <c r="B152" t="s">
        <v>1963</v>
      </c>
      <c r="C152" t="s">
        <v>1978</v>
      </c>
      <c r="D152" t="str">
        <f t="shared" si="2"/>
        <v>泻利停*颠茄磺苄啶片10片</v>
      </c>
    </row>
    <row r="153" spans="1:4" x14ac:dyDescent="0.15">
      <c r="A153" t="s">
        <v>701</v>
      </c>
      <c r="B153" t="s">
        <v>1979</v>
      </c>
      <c r="C153" t="s">
        <v>1953</v>
      </c>
      <c r="D153" t="str">
        <f t="shared" si="2"/>
        <v>护彤*小儿氨酚黄那敏颗粒12袋</v>
      </c>
    </row>
    <row r="154" spans="1:4" x14ac:dyDescent="0.15">
      <c r="A154" t="s">
        <v>468</v>
      </c>
      <c r="B154" t="s">
        <v>1980</v>
      </c>
      <c r="C154" t="s">
        <v>381</v>
      </c>
      <c r="D154" t="str">
        <f t="shared" si="2"/>
        <v>长迪*克拉霉素分散片12片</v>
      </c>
    </row>
    <row r="155" spans="1:4" x14ac:dyDescent="0.15">
      <c r="A155" t="s">
        <v>850</v>
      </c>
      <c r="B155" t="s">
        <v>851</v>
      </c>
      <c r="C155" t="s">
        <v>852</v>
      </c>
      <c r="D155" t="str">
        <f t="shared" si="2"/>
        <v>注射用奥美拉唑钠40mg</v>
      </c>
    </row>
    <row r="156" spans="1:4" x14ac:dyDescent="0.15">
      <c r="A156" t="s">
        <v>701</v>
      </c>
      <c r="B156" t="s">
        <v>1981</v>
      </c>
      <c r="C156" t="s">
        <v>1853</v>
      </c>
      <c r="D156" t="str">
        <f t="shared" si="2"/>
        <v>小儿氨酚黄那敏颗粒 护彤 2g*12袋</v>
      </c>
    </row>
    <row r="157" spans="1:4" x14ac:dyDescent="0.15">
      <c r="A157" t="s">
        <v>345</v>
      </c>
      <c r="B157" t="s">
        <v>1982</v>
      </c>
      <c r="C157" t="s">
        <v>1956</v>
      </c>
      <c r="D157" t="str">
        <f t="shared" si="2"/>
        <v>颠茄磺苄啶片   泻痢停10片/瓶</v>
      </c>
    </row>
    <row r="158" spans="1:4" x14ac:dyDescent="0.15">
      <c r="A158" t="s">
        <v>401</v>
      </c>
      <c r="B158" t="s">
        <v>402</v>
      </c>
      <c r="C158" t="s">
        <v>327</v>
      </c>
      <c r="D158" t="str">
        <f t="shared" si="2"/>
        <v>钙加锌口服液12支</v>
      </c>
    </row>
    <row r="159" spans="1:4" x14ac:dyDescent="0.15">
      <c r="A159" t="s">
        <v>396</v>
      </c>
      <c r="B159" t="s">
        <v>1983</v>
      </c>
      <c r="C159" t="s">
        <v>1871</v>
      </c>
      <c r="D159" t="str">
        <f t="shared" si="2"/>
        <v>复方铝酸铋片  123450片</v>
      </c>
    </row>
    <row r="160" spans="1:4" x14ac:dyDescent="0.15">
      <c r="A160" t="s">
        <v>498</v>
      </c>
      <c r="B160" t="s">
        <v>1984</v>
      </c>
      <c r="C160" t="s">
        <v>1869</v>
      </c>
      <c r="D160" t="str">
        <f t="shared" si="2"/>
        <v>罗红霉素分散片 严迪75mg*12片</v>
      </c>
    </row>
    <row r="161" spans="1:4" x14ac:dyDescent="0.15">
      <c r="A161" t="s">
        <v>724</v>
      </c>
      <c r="B161" t="s">
        <v>1885</v>
      </c>
      <c r="C161" t="s">
        <v>1954</v>
      </c>
      <c r="D161" t="str">
        <f t="shared" si="2"/>
        <v>新盖中盖高钙片36片</v>
      </c>
    </row>
    <row r="162" spans="1:4" x14ac:dyDescent="0.15">
      <c r="A162" t="s">
        <v>552</v>
      </c>
      <c r="B162" t="s">
        <v>1985</v>
      </c>
      <c r="C162" t="s">
        <v>327</v>
      </c>
      <c r="D162" t="str">
        <f t="shared" si="2"/>
        <v>葡萄糖酸锌口服液 三精12支</v>
      </c>
    </row>
    <row r="163" spans="1:4" x14ac:dyDescent="0.15">
      <c r="A163" t="s">
        <v>558</v>
      </c>
      <c r="B163" t="s">
        <v>1986</v>
      </c>
      <c r="C163" t="s">
        <v>327</v>
      </c>
      <c r="D163" t="str">
        <f t="shared" si="2"/>
        <v>乳酸亚铁口服液（朴雪）12支</v>
      </c>
    </row>
    <row r="164" spans="1:4" x14ac:dyDescent="0.15">
      <c r="A164" t="s">
        <v>404</v>
      </c>
      <c r="B164" t="s">
        <v>1987</v>
      </c>
      <c r="C164" t="s">
        <v>1850</v>
      </c>
      <c r="D164" t="str">
        <f t="shared" si="2"/>
        <v>哈药牌   钙铁锌口服液10ml*10支</v>
      </c>
    </row>
    <row r="165" spans="1:4" x14ac:dyDescent="0.15">
      <c r="A165" t="s">
        <v>348</v>
      </c>
      <c r="B165" t="s">
        <v>1988</v>
      </c>
      <c r="C165" t="s">
        <v>1989</v>
      </c>
      <c r="D165" t="str">
        <f t="shared" si="2"/>
        <v>颠茄磺苄啶片 泻痢停12p</v>
      </c>
    </row>
    <row r="166" spans="1:4" x14ac:dyDescent="0.15">
      <c r="A166" t="s">
        <v>319</v>
      </c>
      <c r="B166" t="s">
        <v>1990</v>
      </c>
      <c r="C166" t="s">
        <v>1848</v>
      </c>
      <c r="D166" t="str">
        <f t="shared" si="2"/>
        <v>布洛芬颗粒 小安瑞克0.2g*12袋</v>
      </c>
    </row>
    <row r="167" spans="1:4" x14ac:dyDescent="0.15">
      <c r="A167" t="s">
        <v>721</v>
      </c>
      <c r="B167" t="s">
        <v>1991</v>
      </c>
      <c r="C167" t="s">
        <v>1992</v>
      </c>
      <c r="D167" t="str">
        <f t="shared" si="2"/>
        <v>新盖中盖牌（儿童钙片）1.75g*36片</v>
      </c>
    </row>
    <row r="168" spans="1:4" x14ac:dyDescent="0.15">
      <c r="A168" t="s">
        <v>577</v>
      </c>
      <c r="B168" t="s">
        <v>575</v>
      </c>
      <c r="C168" t="s">
        <v>1993</v>
      </c>
      <c r="D168" t="str">
        <f t="shared" si="2"/>
        <v>青霉素V钾片0.236g*24p</v>
      </c>
    </row>
    <row r="169" spans="1:4" x14ac:dyDescent="0.15">
      <c r="A169" t="s">
        <v>278</v>
      </c>
      <c r="B169" t="s">
        <v>1935</v>
      </c>
      <c r="C169" t="s">
        <v>1994</v>
      </c>
      <c r="D169" t="str">
        <f t="shared" si="2"/>
        <v>阿莫西林克拉维酸钾分散片2285mg*12p</v>
      </c>
    </row>
    <row r="170" spans="1:4" x14ac:dyDescent="0.15">
      <c r="A170" t="s">
        <v>660</v>
      </c>
      <c r="B170" t="s">
        <v>655</v>
      </c>
      <c r="C170" t="s">
        <v>1995</v>
      </c>
      <c r="D170" t="str">
        <f t="shared" si="2"/>
        <v>头孢拉定胶囊0.25*24粒</v>
      </c>
    </row>
    <row r="171" spans="1:4" x14ac:dyDescent="0.15">
      <c r="A171" t="s">
        <v>600</v>
      </c>
      <c r="B171" t="s">
        <v>601</v>
      </c>
      <c r="C171" t="s">
        <v>1996</v>
      </c>
      <c r="D171" t="str">
        <f t="shared" si="2"/>
        <v>麝香接骨胶囊0.3g*40粒</v>
      </c>
    </row>
    <row r="172" spans="1:4" x14ac:dyDescent="0.15">
      <c r="A172" t="s">
        <v>451</v>
      </c>
      <c r="B172" t="s">
        <v>452</v>
      </c>
      <c r="C172" t="s">
        <v>1923</v>
      </c>
      <c r="D172" t="str">
        <f t="shared" si="2"/>
        <v>金匮肾气丸6g*10丸</v>
      </c>
    </row>
    <row r="173" spans="1:4" x14ac:dyDescent="0.15">
      <c r="A173" t="s">
        <v>251</v>
      </c>
      <c r="B173" t="s">
        <v>245</v>
      </c>
      <c r="C173" t="s">
        <v>1997</v>
      </c>
      <c r="D173" t="str">
        <f t="shared" si="2"/>
        <v>阿莫西林胶囊0.5g*20s</v>
      </c>
    </row>
    <row r="174" spans="1:4" x14ac:dyDescent="0.15">
      <c r="A174" t="s">
        <v>301</v>
      </c>
      <c r="B174" t="s">
        <v>302</v>
      </c>
      <c r="C174" t="s">
        <v>1998</v>
      </c>
      <c r="D174" t="str">
        <f t="shared" si="2"/>
        <v>安宫牛黄丸 3g*2丸</v>
      </c>
    </row>
    <row r="175" spans="1:4" x14ac:dyDescent="0.15">
      <c r="A175" t="s">
        <v>779</v>
      </c>
      <c r="B175" t="s">
        <v>1999</v>
      </c>
      <c r="C175" t="s">
        <v>444</v>
      </c>
      <c r="D175" t="str">
        <f t="shared" si="2"/>
        <v>知柏地黄丸9g*10丸</v>
      </c>
    </row>
    <row r="176" spans="1:4" x14ac:dyDescent="0.15">
      <c r="A176" t="s">
        <v>351</v>
      </c>
      <c r="B176" t="s">
        <v>1855</v>
      </c>
      <c r="C176" t="s">
        <v>1863</v>
      </c>
      <c r="D176" t="str">
        <f t="shared" si="2"/>
        <v>颠茄磺苄啶片0.122g*20片</v>
      </c>
    </row>
    <row r="177" spans="1:4" x14ac:dyDescent="0.15">
      <c r="A177" t="s">
        <v>442</v>
      </c>
      <c r="B177" t="s">
        <v>443</v>
      </c>
      <c r="C177" t="s">
        <v>2000</v>
      </c>
      <c r="D177" t="str">
        <f t="shared" si="2"/>
        <v>健脾丸9g*10丸/盒</v>
      </c>
    </row>
    <row r="178" spans="1:4" x14ac:dyDescent="0.15">
      <c r="A178" t="s">
        <v>348</v>
      </c>
      <c r="B178" t="s">
        <v>1855</v>
      </c>
      <c r="C178" t="s">
        <v>2001</v>
      </c>
      <c r="D178" t="str">
        <f t="shared" si="2"/>
        <v>颠茄磺苄啶片0.4g:80mg:8mg*12片</v>
      </c>
    </row>
    <row r="179" spans="1:4" x14ac:dyDescent="0.15">
      <c r="A179" t="s">
        <v>556</v>
      </c>
      <c r="B179" t="s">
        <v>557</v>
      </c>
      <c r="C179" t="s">
        <v>411</v>
      </c>
      <c r="D179" t="str">
        <f t="shared" si="2"/>
        <v>朴雪乳酸亚铁口服液10ml*12支</v>
      </c>
    </row>
    <row r="180" spans="1:4" x14ac:dyDescent="0.15">
      <c r="A180" t="s">
        <v>454</v>
      </c>
      <c r="B180" t="s">
        <v>452</v>
      </c>
      <c r="C180" t="s">
        <v>2002</v>
      </c>
      <c r="D180" t="str">
        <f t="shared" si="2"/>
        <v>金匮肾气丸72g/瓶</v>
      </c>
    </row>
    <row r="181" spans="1:4" x14ac:dyDescent="0.15">
      <c r="A181" t="s">
        <v>674</v>
      </c>
      <c r="B181" t="s">
        <v>672</v>
      </c>
      <c r="C181" t="s">
        <v>2003</v>
      </c>
      <c r="D181" t="str">
        <f t="shared" si="2"/>
        <v>退热贴40mmx110mmx2贴</v>
      </c>
    </row>
    <row r="182" spans="1:4" x14ac:dyDescent="0.15">
      <c r="A182" t="s">
        <v>486</v>
      </c>
      <c r="B182" t="s">
        <v>2004</v>
      </c>
      <c r="C182" t="s">
        <v>444</v>
      </c>
      <c r="D182" t="str">
        <f t="shared" si="2"/>
        <v>六味地黄丸9g*10丸</v>
      </c>
    </row>
    <row r="183" spans="1:4" x14ac:dyDescent="0.15">
      <c r="A183" t="s">
        <v>368</v>
      </c>
      <c r="B183" t="s">
        <v>1857</v>
      </c>
      <c r="C183" t="s">
        <v>2005</v>
      </c>
      <c r="D183" t="str">
        <f t="shared" si="2"/>
        <v>妇宁栓1.6g*7粒</v>
      </c>
    </row>
    <row r="184" spans="1:4" x14ac:dyDescent="0.15">
      <c r="A184" t="s">
        <v>1034</v>
      </c>
      <c r="B184" t="s">
        <v>1035</v>
      </c>
      <c r="C184" t="s">
        <v>2006</v>
      </c>
      <c r="D184" t="str">
        <f t="shared" si="2"/>
        <v>紫桔止咳糖浆100ml/瓶</v>
      </c>
    </row>
    <row r="185" spans="1:4" x14ac:dyDescent="0.15">
      <c r="A185" t="s">
        <v>345</v>
      </c>
      <c r="B185" t="s">
        <v>1855</v>
      </c>
      <c r="C185" t="s">
        <v>2007</v>
      </c>
      <c r="D185" t="str">
        <f t="shared" si="2"/>
        <v>颠茄磺苄啶片10*</v>
      </c>
    </row>
    <row r="186" spans="1:4" x14ac:dyDescent="0.15">
      <c r="A186" t="s">
        <v>312</v>
      </c>
      <c r="B186" t="s">
        <v>313</v>
      </c>
      <c r="C186" t="s">
        <v>2000</v>
      </c>
      <c r="D186" t="str">
        <f t="shared" si="2"/>
        <v>柏子养心丸9g*10丸/盒</v>
      </c>
    </row>
    <row r="187" spans="1:4" x14ac:dyDescent="0.15">
      <c r="A187" t="s">
        <v>647</v>
      </c>
      <c r="B187" t="s">
        <v>648</v>
      </c>
      <c r="C187" t="s">
        <v>649</v>
      </c>
      <c r="D187" t="str">
        <f t="shared" si="2"/>
        <v>头孢氨苄片0.125g*30片</v>
      </c>
    </row>
    <row r="188" spans="1:4" x14ac:dyDescent="0.15">
      <c r="A188" t="s">
        <v>562</v>
      </c>
      <c r="B188" t="s">
        <v>2008</v>
      </c>
      <c r="C188" t="s">
        <v>2009</v>
      </c>
      <c r="D188" t="str">
        <f t="shared" si="2"/>
        <v>启脾丸3g*10</v>
      </c>
    </row>
    <row r="189" spans="1:4" x14ac:dyDescent="0.15">
      <c r="A189" t="s">
        <v>550</v>
      </c>
      <c r="B189" t="s">
        <v>1833</v>
      </c>
      <c r="C189" t="s">
        <v>2010</v>
      </c>
      <c r="D189" t="str">
        <f t="shared" si="2"/>
        <v>葡萄糖酸钙口服溶液10ml*12(含糖型)</v>
      </c>
    </row>
    <row r="190" spans="1:4" x14ac:dyDescent="0.15">
      <c r="A190" t="s">
        <v>556</v>
      </c>
      <c r="B190" t="s">
        <v>1842</v>
      </c>
      <c r="C190" t="s">
        <v>411</v>
      </c>
      <c r="D190" t="str">
        <f t="shared" si="2"/>
        <v>朴血乳酸亚铁口服液10ml*12支</v>
      </c>
    </row>
    <row r="191" spans="1:4" x14ac:dyDescent="0.15">
      <c r="A191" t="s">
        <v>554</v>
      </c>
      <c r="B191" t="s">
        <v>555</v>
      </c>
      <c r="C191" t="s">
        <v>411</v>
      </c>
      <c r="D191" t="str">
        <f t="shared" si="2"/>
        <v>葡萄糖酸锌口服液10ml*12支</v>
      </c>
    </row>
    <row r="192" spans="1:4" x14ac:dyDescent="0.15">
      <c r="A192" t="s">
        <v>363</v>
      </c>
      <c r="B192" t="s">
        <v>361</v>
      </c>
      <c r="C192" t="s">
        <v>2011</v>
      </c>
      <c r="D192" t="str">
        <f t="shared" si="2"/>
        <v>厄贝沙坦胶囊0.075g*24粒</v>
      </c>
    </row>
    <row r="193" spans="1:4" x14ac:dyDescent="0.15">
      <c r="A193" t="s">
        <v>253</v>
      </c>
      <c r="B193" t="s">
        <v>245</v>
      </c>
      <c r="C193" t="s">
        <v>1997</v>
      </c>
      <c r="D193" t="str">
        <f t="shared" si="2"/>
        <v>阿莫西林胶囊0.5g*20s</v>
      </c>
    </row>
    <row r="194" spans="1:4" x14ac:dyDescent="0.15">
      <c r="A194" t="s">
        <v>414</v>
      </c>
      <c r="B194" t="s">
        <v>1845</v>
      </c>
      <c r="C194" t="s">
        <v>2012</v>
      </c>
      <c r="D194" t="str">
        <f t="shared" si="2"/>
        <v>感冒解毒灵颗粒5g*10袋/盒</v>
      </c>
    </row>
    <row r="195" spans="1:4" x14ac:dyDescent="0.15">
      <c r="A195" t="s">
        <v>489</v>
      </c>
      <c r="B195" t="s">
        <v>2004</v>
      </c>
      <c r="C195" t="s">
        <v>2013</v>
      </c>
      <c r="D195" t="str">
        <f t="shared" ref="D195:D257" si="3">B195&amp;C195</f>
        <v>六味地黄丸72g(水蜜丸)</v>
      </c>
    </row>
    <row r="196" spans="1:4" x14ac:dyDescent="0.15">
      <c r="A196" t="s">
        <v>460</v>
      </c>
      <c r="B196" t="s">
        <v>461</v>
      </c>
      <c r="C196" t="s">
        <v>2014</v>
      </c>
      <c r="D196" t="str">
        <f t="shared" si="3"/>
        <v>菊梅利咽含片每片重1.2g*6片*3板</v>
      </c>
    </row>
    <row r="197" spans="1:4" x14ac:dyDescent="0.15">
      <c r="A197" t="s">
        <v>721</v>
      </c>
      <c r="B197" t="s">
        <v>722</v>
      </c>
      <c r="C197" t="s">
        <v>1992</v>
      </c>
      <c r="D197" t="str">
        <f t="shared" si="3"/>
        <v>新盖中盖牌儿童钙片1.75g*36片</v>
      </c>
    </row>
    <row r="198" spans="1:4" x14ac:dyDescent="0.15">
      <c r="A198" t="s">
        <v>426</v>
      </c>
      <c r="B198" t="s">
        <v>427</v>
      </c>
      <c r="C198" t="s">
        <v>2015</v>
      </c>
      <c r="D198" t="str">
        <f t="shared" si="3"/>
        <v>冠心苏合丸30丸</v>
      </c>
    </row>
    <row r="199" spans="1:4" x14ac:dyDescent="0.15">
      <c r="A199" t="s">
        <v>560</v>
      </c>
      <c r="B199" t="s">
        <v>2016</v>
      </c>
      <c r="C199" t="s">
        <v>2000</v>
      </c>
      <c r="D199" t="str">
        <f t="shared" si="3"/>
        <v>杞菊地黄丸9g*10丸/盒</v>
      </c>
    </row>
    <row r="200" spans="1:4" x14ac:dyDescent="0.15">
      <c r="A200" t="s">
        <v>772</v>
      </c>
      <c r="B200" t="s">
        <v>1875</v>
      </c>
      <c r="C200" t="s">
        <v>2000</v>
      </c>
      <c r="D200" t="str">
        <f t="shared" si="3"/>
        <v>益母丸9g*10丸/盒</v>
      </c>
    </row>
    <row r="201" spans="1:4" x14ac:dyDescent="0.15">
      <c r="A201" t="s">
        <v>609</v>
      </c>
      <c r="B201" t="s">
        <v>2017</v>
      </c>
      <c r="C201" t="s">
        <v>2018</v>
      </c>
      <c r="D201" t="str">
        <f t="shared" si="3"/>
        <v xml:space="preserve">十全大补丸9g*10   </v>
      </c>
    </row>
    <row r="202" spans="1:4" x14ac:dyDescent="0.15">
      <c r="A202" t="s">
        <v>652</v>
      </c>
      <c r="B202" t="s">
        <v>648</v>
      </c>
      <c r="C202" t="s">
        <v>1930</v>
      </c>
      <c r="D202" t="str">
        <f t="shared" si="3"/>
        <v>头孢氨苄片0.25g*30片</v>
      </c>
    </row>
    <row r="203" spans="1:4" x14ac:dyDescent="0.15">
      <c r="A203" t="s">
        <v>742</v>
      </c>
      <c r="B203" t="s">
        <v>2019</v>
      </c>
      <c r="C203" t="s">
        <v>2020</v>
      </c>
      <c r="D203" t="str">
        <f t="shared" si="3"/>
        <v>盐酸氟桂利嗪片5mg*40片</v>
      </c>
    </row>
    <row r="204" spans="1:4" x14ac:dyDescent="0.15">
      <c r="A204" t="s">
        <v>528</v>
      </c>
      <c r="B204" t="s">
        <v>527</v>
      </c>
      <c r="C204" t="s">
        <v>2021</v>
      </c>
      <c r="D204" t="str">
        <f t="shared" si="3"/>
        <v>牛黄清胃丸70g</v>
      </c>
    </row>
    <row r="205" spans="1:4" x14ac:dyDescent="0.15">
      <c r="A205" t="s">
        <v>593</v>
      </c>
      <c r="B205" t="s">
        <v>591</v>
      </c>
      <c r="C205" t="s">
        <v>1839</v>
      </c>
      <c r="D205" t="str">
        <f t="shared" si="3"/>
        <v>乳酸菌素片0.4g*36片</v>
      </c>
    </row>
    <row r="206" spans="1:4" x14ac:dyDescent="0.15">
      <c r="A206" t="s">
        <v>593</v>
      </c>
      <c r="B206" t="s">
        <v>591</v>
      </c>
      <c r="C206" t="s">
        <v>1950</v>
      </c>
      <c r="D206" t="str">
        <f t="shared" si="3"/>
        <v>乳酸菌素片0.4g*12片*3板</v>
      </c>
    </row>
    <row r="207" spans="1:4" x14ac:dyDescent="0.15">
      <c r="A207" t="s">
        <v>554</v>
      </c>
      <c r="B207" t="s">
        <v>1948</v>
      </c>
      <c r="C207" t="s">
        <v>411</v>
      </c>
      <c r="D207" t="str">
        <f t="shared" si="3"/>
        <v>葡萄糖酸锌口服溶液10ml*12支</v>
      </c>
    </row>
    <row r="208" spans="1:4" x14ac:dyDescent="0.15">
      <c r="A208" t="s">
        <v>590</v>
      </c>
      <c r="B208" t="s">
        <v>591</v>
      </c>
      <c r="C208" t="s">
        <v>1947</v>
      </c>
      <c r="D208" t="str">
        <f t="shared" si="3"/>
        <v>乳酸菌素片0.4g*36片/小包</v>
      </c>
    </row>
    <row r="209" spans="1:4" x14ac:dyDescent="0.15">
      <c r="A209" t="s">
        <v>360</v>
      </c>
      <c r="B209" t="s">
        <v>361</v>
      </c>
      <c r="C209" t="s">
        <v>2022</v>
      </c>
      <c r="D209" t="str">
        <f t="shared" si="3"/>
        <v>厄贝沙坦胶囊0.075g*12粒</v>
      </c>
    </row>
    <row r="210" spans="1:4" x14ac:dyDescent="0.15">
      <c r="A210" t="s">
        <v>590</v>
      </c>
      <c r="B210" t="s">
        <v>1883</v>
      </c>
      <c r="C210" t="s">
        <v>1839</v>
      </c>
      <c r="D210" t="str">
        <f t="shared" si="3"/>
        <v>“为消”牌乳酸菌素片0.4g*36片</v>
      </c>
    </row>
    <row r="211" spans="1:4" x14ac:dyDescent="0.15">
      <c r="A211" t="s">
        <v>606</v>
      </c>
      <c r="B211" t="s">
        <v>607</v>
      </c>
      <c r="C211" t="s">
        <v>1850</v>
      </c>
      <c r="D211" t="str">
        <f t="shared" si="3"/>
        <v>生脉饮（党参方）10ml*10支</v>
      </c>
    </row>
    <row r="212" spans="1:4" x14ac:dyDescent="0.15">
      <c r="A212" t="s">
        <v>556</v>
      </c>
      <c r="B212" t="s">
        <v>1905</v>
      </c>
      <c r="C212" t="s">
        <v>411</v>
      </c>
      <c r="D212" t="str">
        <f t="shared" si="3"/>
        <v>朴血/乳酸亚铁口服液10ml*12支</v>
      </c>
    </row>
    <row r="213" spans="1:4" x14ac:dyDescent="0.15">
      <c r="A213" t="s">
        <v>363</v>
      </c>
      <c r="B213" t="s">
        <v>361</v>
      </c>
      <c r="C213" t="s">
        <v>2023</v>
      </c>
      <c r="D213" t="str">
        <f t="shared" si="3"/>
        <v>厄贝沙坦胶囊75mg*24粒</v>
      </c>
    </row>
    <row r="214" spans="1:4" x14ac:dyDescent="0.15">
      <c r="A214" t="s">
        <v>626</v>
      </c>
      <c r="B214" t="s">
        <v>2024</v>
      </c>
      <c r="C214" t="s">
        <v>1846</v>
      </c>
      <c r="D214" t="str">
        <f t="shared" si="3"/>
        <v>双黄连颗粒（无蔗糖）5g*10袋</v>
      </c>
    </row>
    <row r="215" spans="1:4" x14ac:dyDescent="0.15">
      <c r="A215" t="s">
        <v>885</v>
      </c>
      <c r="B215" t="s">
        <v>883</v>
      </c>
      <c r="C215" t="s">
        <v>2025</v>
      </c>
      <c r="D215" t="str">
        <f t="shared" si="3"/>
        <v>注射用磷霉素钠2g</v>
      </c>
    </row>
    <row r="216" spans="1:4" x14ac:dyDescent="0.15">
      <c r="A216" t="s">
        <v>295</v>
      </c>
      <c r="B216" t="s">
        <v>292</v>
      </c>
      <c r="C216" t="s">
        <v>2026</v>
      </c>
      <c r="D216" t="str">
        <f t="shared" si="3"/>
        <v>阿奇霉素分散片0.25*6</v>
      </c>
    </row>
    <row r="217" spans="1:4" x14ac:dyDescent="0.15">
      <c r="A217" t="s">
        <v>763</v>
      </c>
      <c r="B217" t="s">
        <v>761</v>
      </c>
      <c r="C217" t="s">
        <v>2027</v>
      </c>
      <c r="D217" t="str">
        <f t="shared" si="3"/>
        <v>盐酸左氧氟沙星片0.1g*24片</v>
      </c>
    </row>
    <row r="218" spans="1:4" x14ac:dyDescent="0.15">
      <c r="A218" t="s">
        <v>360</v>
      </c>
      <c r="B218" t="s">
        <v>361</v>
      </c>
      <c r="C218" t="s">
        <v>2028</v>
      </c>
      <c r="D218" t="str">
        <f t="shared" si="3"/>
        <v>厄贝沙坦胶囊75mg*12粒</v>
      </c>
    </row>
    <row r="219" spans="1:4" x14ac:dyDescent="0.15">
      <c r="A219" t="s">
        <v>554</v>
      </c>
      <c r="B219" t="s">
        <v>555</v>
      </c>
      <c r="C219" t="s">
        <v>1961</v>
      </c>
      <c r="D219" t="str">
        <f t="shared" si="3"/>
        <v>葡萄糖酸锌口服液12支/盒</v>
      </c>
    </row>
    <row r="220" spans="1:4" x14ac:dyDescent="0.15">
      <c r="A220" t="s">
        <v>295</v>
      </c>
      <c r="B220" t="s">
        <v>2029</v>
      </c>
      <c r="C220" t="s">
        <v>1958</v>
      </c>
      <c r="D220" t="str">
        <f t="shared" si="3"/>
        <v>阿奇霉素分散片 三精0.25g*6片</v>
      </c>
    </row>
    <row r="221" spans="1:4" x14ac:dyDescent="0.15">
      <c r="A221" t="s">
        <v>554</v>
      </c>
      <c r="B221" t="s">
        <v>1985</v>
      </c>
      <c r="C221" t="s">
        <v>327</v>
      </c>
      <c r="D221" t="str">
        <f t="shared" si="3"/>
        <v>葡萄糖酸锌口服液 三精12支</v>
      </c>
    </row>
    <row r="222" spans="1:4" x14ac:dyDescent="0.15">
      <c r="A222" t="s">
        <v>556</v>
      </c>
      <c r="B222" t="s">
        <v>1986</v>
      </c>
      <c r="C222" t="s">
        <v>327</v>
      </c>
      <c r="D222" t="str">
        <f t="shared" si="3"/>
        <v>乳酸亚铁口服液（朴雪）12支</v>
      </c>
    </row>
    <row r="223" spans="1:4" x14ac:dyDescent="0.15">
      <c r="A223" t="s">
        <v>613</v>
      </c>
      <c r="B223" t="s">
        <v>2030</v>
      </c>
      <c r="C223" t="s">
        <v>2031</v>
      </c>
      <c r="D223" t="str">
        <f t="shared" si="3"/>
        <v>双黄连粉针剂600mg</v>
      </c>
    </row>
    <row r="224" spans="1:4" x14ac:dyDescent="0.15">
      <c r="A224" t="s">
        <v>679</v>
      </c>
      <c r="B224" t="s">
        <v>677</v>
      </c>
      <c r="C224" t="s">
        <v>2032</v>
      </c>
      <c r="D224" t="str">
        <f t="shared" si="3"/>
        <v>维D2磷酸氢钙片80片</v>
      </c>
    </row>
    <row r="225" spans="1:4" x14ac:dyDescent="0.15">
      <c r="A225" t="s">
        <v>417</v>
      </c>
      <c r="B225" t="s">
        <v>418</v>
      </c>
      <c r="C225" t="s">
        <v>419</v>
      </c>
      <c r="D225" t="str">
        <f t="shared" si="3"/>
        <v>格列齐特片80mg*60片</v>
      </c>
    </row>
    <row r="226" spans="1:4" x14ac:dyDescent="0.15">
      <c r="A226" t="s">
        <v>850</v>
      </c>
      <c r="B226" t="s">
        <v>851</v>
      </c>
      <c r="C226" t="s">
        <v>2033</v>
      </c>
      <c r="D226" t="str">
        <f t="shared" si="3"/>
        <v>注射用奥美拉唑钠40mg*10z</v>
      </c>
    </row>
    <row r="227" spans="1:4" x14ac:dyDescent="0.15">
      <c r="A227" t="s">
        <v>739</v>
      </c>
      <c r="B227" t="s">
        <v>2019</v>
      </c>
      <c r="C227" t="s">
        <v>2034</v>
      </c>
      <c r="D227" t="str">
        <f t="shared" si="3"/>
        <v>盐酸氟桂利嗪片20片</v>
      </c>
    </row>
    <row r="228" spans="1:4" x14ac:dyDescent="0.15">
      <c r="A228" t="s">
        <v>821</v>
      </c>
      <c r="B228" t="s">
        <v>2035</v>
      </c>
      <c r="C228" t="s">
        <v>845</v>
      </c>
      <c r="D228" t="str">
        <f t="shared" si="3"/>
        <v>注射用阿莫西林钠/益萨林2.0g</v>
      </c>
    </row>
    <row r="229" spans="1:4" x14ac:dyDescent="0.15">
      <c r="A229" t="s">
        <v>868</v>
      </c>
      <c r="B229" t="s">
        <v>2036</v>
      </c>
      <c r="C229" t="s">
        <v>2037</v>
      </c>
      <c r="D229" t="str">
        <f t="shared" si="3"/>
        <v>注射用更昔洛韦针0.25G</v>
      </c>
    </row>
    <row r="230" spans="1:4" x14ac:dyDescent="0.15">
      <c r="A230" t="s">
        <v>915</v>
      </c>
      <c r="B230" t="s">
        <v>1920</v>
      </c>
      <c r="C230" t="s">
        <v>912</v>
      </c>
      <c r="D230" t="str">
        <f t="shared" si="3"/>
        <v>阿奇针/注射用乳糖酸阿奇霉素针0.125g</v>
      </c>
    </row>
    <row r="231" spans="1:4" x14ac:dyDescent="0.15">
      <c r="A231" t="s">
        <v>765</v>
      </c>
      <c r="B231" t="s">
        <v>2038</v>
      </c>
      <c r="C231" t="s">
        <v>1917</v>
      </c>
      <c r="D231" t="str">
        <f t="shared" si="3"/>
        <v>养肝明目片0.35g*24片</v>
      </c>
    </row>
    <row r="232" spans="1:4" x14ac:dyDescent="0.15">
      <c r="A232" t="s">
        <v>611</v>
      </c>
      <c r="B232" t="s">
        <v>2039</v>
      </c>
      <c r="C232" t="s">
        <v>1923</v>
      </c>
      <c r="D232" t="str">
        <f t="shared" si="3"/>
        <v>舒肝丸(大蜜丸)6g*10丸</v>
      </c>
    </row>
    <row r="233" spans="1:4" x14ac:dyDescent="0.15">
      <c r="A233" t="s">
        <v>819</v>
      </c>
      <c r="B233" t="s">
        <v>2035</v>
      </c>
      <c r="C233" t="s">
        <v>843</v>
      </c>
      <c r="D233" t="str">
        <f t="shared" si="3"/>
        <v>注射用阿莫西林钠/益萨林1.0g</v>
      </c>
    </row>
    <row r="234" spans="1:4" x14ac:dyDescent="0.15">
      <c r="A234" t="s">
        <v>1032</v>
      </c>
      <c r="B234" t="s">
        <v>1030</v>
      </c>
      <c r="C234" t="s">
        <v>1865</v>
      </c>
      <c r="D234" t="str">
        <f t="shared" si="3"/>
        <v>壮肾安神片45片</v>
      </c>
    </row>
    <row r="235" spans="1:4" x14ac:dyDescent="0.15">
      <c r="A235" t="s">
        <v>468</v>
      </c>
      <c r="B235" t="s">
        <v>2040</v>
      </c>
      <c r="C235" t="s">
        <v>1915</v>
      </c>
      <c r="D235" t="str">
        <f t="shared" si="3"/>
        <v>克拉霉素分散片 哈药0.125g*12片</v>
      </c>
    </row>
    <row r="236" spans="1:4" x14ac:dyDescent="0.15">
      <c r="A236" t="s">
        <v>556</v>
      </c>
      <c r="B236" t="s">
        <v>1905</v>
      </c>
      <c r="C236" t="s">
        <v>2041</v>
      </c>
      <c r="D236" t="str">
        <f t="shared" si="3"/>
        <v>朴血/乳酸亚铁口服液12支*10ml</v>
      </c>
    </row>
    <row r="237" spans="1:4" x14ac:dyDescent="0.15">
      <c r="A237" t="s">
        <v>496</v>
      </c>
      <c r="B237" t="s">
        <v>1919</v>
      </c>
      <c r="C237" t="s">
        <v>2042</v>
      </c>
      <c r="D237" t="str">
        <f t="shared" si="3"/>
        <v>小儿严迪片/罗红霉素分散片12片*50mg</v>
      </c>
    </row>
    <row r="238" spans="1:4" x14ac:dyDescent="0.15">
      <c r="A238" t="s">
        <v>493</v>
      </c>
      <c r="B238" t="s">
        <v>1889</v>
      </c>
      <c r="C238" t="s">
        <v>2043</v>
      </c>
      <c r="D238" t="str">
        <f t="shared" si="3"/>
        <v>严迪/罗红霉素分散片150mg*12p</v>
      </c>
    </row>
    <row r="239" spans="1:4" x14ac:dyDescent="0.15">
      <c r="A239" t="s">
        <v>721</v>
      </c>
      <c r="B239" t="s">
        <v>2044</v>
      </c>
      <c r="C239" t="s">
        <v>1908</v>
      </c>
      <c r="D239" t="str">
        <f t="shared" si="3"/>
        <v>小儿/新盖中盖牌儿童钙片1.75g*36p</v>
      </c>
    </row>
    <row r="240" spans="1:4" x14ac:dyDescent="0.15">
      <c r="A240" t="s">
        <v>1001</v>
      </c>
      <c r="B240" t="s">
        <v>2045</v>
      </c>
      <c r="C240" t="s">
        <v>2046</v>
      </c>
      <c r="D240" t="str">
        <f t="shared" si="3"/>
        <v>注射用炎琥宁粉针80MG*12支</v>
      </c>
    </row>
    <row r="241" spans="1:4" x14ac:dyDescent="0.15">
      <c r="A241" t="s">
        <v>478</v>
      </c>
      <c r="B241" t="s">
        <v>1903</v>
      </c>
      <c r="C241" t="s">
        <v>2047</v>
      </c>
      <c r="D241" t="str">
        <f t="shared" si="3"/>
        <v>拉西地平片/三精司乐平片4mg*15s</v>
      </c>
    </row>
    <row r="242" spans="1:4" x14ac:dyDescent="0.15">
      <c r="A242" t="s">
        <v>368</v>
      </c>
      <c r="B242" t="s">
        <v>1857</v>
      </c>
      <c r="C242" t="s">
        <v>2048</v>
      </c>
      <c r="D242" t="str">
        <f t="shared" si="3"/>
        <v>妇宁栓7粒*1.6克</v>
      </c>
    </row>
    <row r="243" spans="1:4" x14ac:dyDescent="0.15">
      <c r="A243" t="s">
        <v>348</v>
      </c>
      <c r="B243" t="s">
        <v>2049</v>
      </c>
      <c r="C243" t="s">
        <v>1940</v>
      </c>
      <c r="D243" t="str">
        <f t="shared" si="3"/>
        <v>泻立停片/颠茄磺苄啶0.4g：80mg：8mg*12片</v>
      </c>
    </row>
    <row r="244" spans="1:4" x14ac:dyDescent="0.15">
      <c r="A244" t="s">
        <v>640</v>
      </c>
      <c r="B244" t="s">
        <v>641</v>
      </c>
      <c r="C244" t="s">
        <v>2050</v>
      </c>
      <c r="D244" t="str">
        <f t="shared" si="3"/>
        <v>头孢氨苄胶囊0.125g*20s</v>
      </c>
    </row>
    <row r="245" spans="1:4" x14ac:dyDescent="0.15">
      <c r="A245" s="1"/>
      <c r="B245" t="s">
        <v>2922</v>
      </c>
      <c r="C245" t="s">
        <v>2928</v>
      </c>
      <c r="D245" t="str">
        <f t="shared" si="3"/>
        <v>葡萄糖酸钙口服溶液(有糖)10% 10ml*12支</v>
      </c>
    </row>
    <row r="246" spans="1:4" x14ac:dyDescent="0.15">
      <c r="A246" s="1"/>
      <c r="B246" t="s">
        <v>1948</v>
      </c>
      <c r="C246" t="s">
        <v>2929</v>
      </c>
      <c r="D246" t="str">
        <f t="shared" si="3"/>
        <v>葡萄糖酸锌口服溶液10ml:35mg*12支</v>
      </c>
    </row>
    <row r="247" spans="1:4" x14ac:dyDescent="0.15">
      <c r="A247" s="1"/>
      <c r="B247" t="s">
        <v>1855</v>
      </c>
      <c r="C247" t="s">
        <v>2930</v>
      </c>
      <c r="D247" t="str">
        <f t="shared" si="3"/>
        <v>颠茄磺苄啶片12s</v>
      </c>
    </row>
    <row r="248" spans="1:4" x14ac:dyDescent="0.15">
      <c r="A248" s="1"/>
      <c r="B248" t="s">
        <v>494</v>
      </c>
      <c r="C248" t="s">
        <v>2931</v>
      </c>
      <c r="D248" t="str">
        <f t="shared" si="3"/>
        <v>罗红霉素分散片(严迪)75mg*12s</v>
      </c>
    </row>
    <row r="249" spans="1:4" x14ac:dyDescent="0.15">
      <c r="A249" s="1"/>
      <c r="B249" t="s">
        <v>1885</v>
      </c>
      <c r="C249" t="s">
        <v>2932</v>
      </c>
      <c r="D249" t="str">
        <f t="shared" si="3"/>
        <v>新盖中盖高钙片2.5g*36s</v>
      </c>
    </row>
    <row r="250" spans="1:4" x14ac:dyDescent="0.15">
      <c r="A250" s="1"/>
      <c r="B250" t="s">
        <v>2923</v>
      </c>
      <c r="C250" t="s">
        <v>2933</v>
      </c>
      <c r="D250" t="str">
        <f t="shared" si="3"/>
        <v>罗红霉素分散片(严迪)(儿)50mg*12s</v>
      </c>
    </row>
    <row r="251" spans="1:4" x14ac:dyDescent="0.15">
      <c r="A251" s="1"/>
      <c r="B251" t="s">
        <v>2924</v>
      </c>
      <c r="C251" t="s">
        <v>914</v>
      </c>
      <c r="D251" t="str">
        <f t="shared" si="3"/>
        <v>注射用乳糖酸阿奇霉素(齐宏)(精)0.25g</v>
      </c>
    </row>
    <row r="252" spans="1:4" x14ac:dyDescent="0.15">
      <c r="A252" s="1"/>
      <c r="B252" t="s">
        <v>2925</v>
      </c>
      <c r="C252" t="s">
        <v>2934</v>
      </c>
      <c r="D252" t="str">
        <f t="shared" si="3"/>
        <v>新盖中盖儿童钙片1.75g*36s</v>
      </c>
    </row>
    <row r="253" spans="1:4" x14ac:dyDescent="0.15">
      <c r="A253" s="1"/>
      <c r="B253" t="s">
        <v>702</v>
      </c>
      <c r="C253" t="s">
        <v>1853</v>
      </c>
      <c r="D253" t="str">
        <f t="shared" si="3"/>
        <v>小儿氨酚黄那敏颗粒(护彤)2g*12袋</v>
      </c>
    </row>
    <row r="254" spans="1:4" x14ac:dyDescent="0.15">
      <c r="A254" s="1"/>
      <c r="B254" t="s">
        <v>2926</v>
      </c>
      <c r="C254" t="s">
        <v>785</v>
      </c>
      <c r="D254" t="str">
        <f t="shared" si="3"/>
        <v>重组人促红素注射液(CHO细胞)(雪达升)3000IU</v>
      </c>
    </row>
    <row r="255" spans="1:4" x14ac:dyDescent="0.15">
      <c r="A255" s="1"/>
      <c r="B255" t="s">
        <v>2927</v>
      </c>
      <c r="C255" t="s">
        <v>2935</v>
      </c>
      <c r="D255" t="str">
        <f t="shared" si="3"/>
        <v>注射用丹参(冻干)0.4g</v>
      </c>
    </row>
    <row r="256" spans="1:4" x14ac:dyDescent="0.15">
      <c r="A256" s="1"/>
      <c r="B256" t="s">
        <v>857</v>
      </c>
      <c r="C256" t="s">
        <v>861</v>
      </c>
      <c r="D256" t="str">
        <f t="shared" si="3"/>
        <v>注射用奥扎格雷钠80mg</v>
      </c>
    </row>
    <row r="257" spans="1:4" x14ac:dyDescent="0.15">
      <c r="A257" s="1"/>
      <c r="B257" t="s">
        <v>2992</v>
      </c>
      <c r="C257" t="s">
        <v>2994</v>
      </c>
      <c r="D257" t="str">
        <f t="shared" si="3"/>
        <v>宫血停颗粒（无糖）10g*6d*60h</v>
      </c>
    </row>
    <row r="258" spans="1:4" x14ac:dyDescent="0.15">
      <c r="A258" s="1"/>
      <c r="B258" t="s">
        <v>2993</v>
      </c>
      <c r="C258" t="s">
        <v>2995</v>
      </c>
      <c r="D258" t="str">
        <f t="shared" ref="D258:D321" si="4">B258&amp;C258</f>
        <v>注射用双黄连粉针(冻干)600mg*12z/盒</v>
      </c>
    </row>
    <row r="259" spans="1:4" x14ac:dyDescent="0.15">
      <c r="A259" s="1"/>
      <c r="B259" t="s">
        <v>310</v>
      </c>
      <c r="C259" t="s">
        <v>311</v>
      </c>
      <c r="D259" t="str">
        <f t="shared" si="4"/>
        <v>氨咖黄敏胶囊20粒</v>
      </c>
    </row>
    <row r="260" spans="1:4" x14ac:dyDescent="0.15">
      <c r="A260" s="1"/>
      <c r="B260" t="s">
        <v>543</v>
      </c>
      <c r="C260" t="s">
        <v>2996</v>
      </c>
      <c r="D260" t="str">
        <f t="shared" si="4"/>
        <v>诺氟沙星胶囊0.1g*20s</v>
      </c>
    </row>
    <row r="261" spans="1:4" x14ac:dyDescent="0.15">
      <c r="A261" s="1"/>
      <c r="B261" t="s">
        <v>1872</v>
      </c>
      <c r="C261" t="s">
        <v>2999</v>
      </c>
      <c r="D261" t="str">
        <f t="shared" si="4"/>
        <v>拉西地平片/司乐平4mg*30片</v>
      </c>
    </row>
    <row r="262" spans="1:4" x14ac:dyDescent="0.15">
      <c r="A262" s="1"/>
      <c r="B262" t="s">
        <v>911</v>
      </c>
      <c r="C262" t="s">
        <v>912</v>
      </c>
      <c r="D262" t="str">
        <f t="shared" si="4"/>
        <v>注射用乳糖酸阿奇霉素0.125g</v>
      </c>
    </row>
    <row r="263" spans="1:4" x14ac:dyDescent="0.15">
      <c r="A263" s="1"/>
      <c r="B263" t="s">
        <v>2997</v>
      </c>
      <c r="C263" t="s">
        <v>2034</v>
      </c>
      <c r="D263" t="str">
        <f t="shared" si="4"/>
        <v>颠茄磺苄啶片/泻痢停20片</v>
      </c>
    </row>
    <row r="264" spans="1:4" x14ac:dyDescent="0.15">
      <c r="A264" s="1"/>
      <c r="B264" t="s">
        <v>2998</v>
      </c>
      <c r="C264" t="s">
        <v>1869</v>
      </c>
      <c r="D264" t="str">
        <f t="shared" si="4"/>
        <v>罗红霉素分散片/严迪75mg*12片</v>
      </c>
    </row>
    <row r="265" spans="1:4" x14ac:dyDescent="0.15">
      <c r="A265" s="1"/>
      <c r="B265" t="s">
        <v>405</v>
      </c>
      <c r="C265" t="s">
        <v>1850</v>
      </c>
      <c r="D265" t="str">
        <f t="shared" si="4"/>
        <v>钙铁锌口服液10ml*10支</v>
      </c>
    </row>
    <row r="266" spans="1:4" x14ac:dyDescent="0.15">
      <c r="A266" s="1"/>
      <c r="B266" t="s">
        <v>1885</v>
      </c>
      <c r="C266" t="s">
        <v>1838</v>
      </c>
      <c r="D266" t="str">
        <f t="shared" si="4"/>
        <v>新盖中盖高钙片2.5g*36片</v>
      </c>
    </row>
    <row r="267" spans="1:4" x14ac:dyDescent="0.15">
      <c r="A267" s="1"/>
      <c r="B267" t="s">
        <v>1857</v>
      </c>
      <c r="C267" t="s">
        <v>3005</v>
      </c>
      <c r="D267" t="str">
        <f t="shared" si="4"/>
        <v>妇宁栓7粒</v>
      </c>
    </row>
    <row r="268" spans="1:4" x14ac:dyDescent="0.15">
      <c r="A268" s="1"/>
      <c r="B268" t="s">
        <v>306</v>
      </c>
      <c r="C268" t="s">
        <v>3006</v>
      </c>
      <c r="D268" t="str">
        <f t="shared" si="4"/>
        <v>氨金黄敏颗粒10袋</v>
      </c>
    </row>
    <row r="269" spans="1:4" x14ac:dyDescent="0.15">
      <c r="A269" s="1"/>
      <c r="B269" t="s">
        <v>2019</v>
      </c>
      <c r="C269" t="s">
        <v>3007</v>
      </c>
      <c r="D269" t="str">
        <f t="shared" si="4"/>
        <v>盐酸氟桂利嗪片5mg*20片</v>
      </c>
    </row>
    <row r="270" spans="1:4" x14ac:dyDescent="0.15">
      <c r="A270" s="1"/>
      <c r="B270" t="s">
        <v>317</v>
      </c>
      <c r="C270" t="s">
        <v>3008</v>
      </c>
      <c r="D270" t="str">
        <f t="shared" si="4"/>
        <v>布洛芬颗粒0.2g*12包</v>
      </c>
    </row>
    <row r="271" spans="1:4" x14ac:dyDescent="0.15">
      <c r="A271" s="1"/>
      <c r="B271" t="s">
        <v>705</v>
      </c>
      <c r="C271" t="s">
        <v>2034</v>
      </c>
      <c r="D271" t="str">
        <f t="shared" si="4"/>
        <v>小儿氨酚黄那敏片20片</v>
      </c>
    </row>
    <row r="272" spans="1:4" x14ac:dyDescent="0.15">
      <c r="A272" s="1"/>
      <c r="B272" t="s">
        <v>1986</v>
      </c>
      <c r="C272" t="s">
        <v>411</v>
      </c>
      <c r="D272" t="str">
        <f t="shared" si="4"/>
        <v>乳酸亚铁口服液（朴雪）10ml*12支</v>
      </c>
    </row>
    <row r="273" spans="1:4" x14ac:dyDescent="0.15">
      <c r="A273" s="1"/>
      <c r="B273" t="s">
        <v>3000</v>
      </c>
      <c r="C273" t="s">
        <v>1944</v>
      </c>
      <c r="D273" t="str">
        <f t="shared" si="4"/>
        <v>六味地黄丸(水蜜丸)72g</v>
      </c>
    </row>
    <row r="274" spans="1:4" x14ac:dyDescent="0.15">
      <c r="A274" s="1"/>
      <c r="B274" t="s">
        <v>1835</v>
      </c>
      <c r="C274" t="s">
        <v>1953</v>
      </c>
      <c r="D274" t="str">
        <f t="shared" si="4"/>
        <v>蒙脱石散12袋</v>
      </c>
    </row>
    <row r="275" spans="1:4" x14ac:dyDescent="0.15">
      <c r="A275" s="1"/>
      <c r="B275" t="s">
        <v>380</v>
      </c>
      <c r="C275" t="s">
        <v>3009</v>
      </c>
      <c r="D275" t="str">
        <f t="shared" si="4"/>
        <v>复方氨酚烷胺片12粒</v>
      </c>
    </row>
    <row r="276" spans="1:4" x14ac:dyDescent="0.15">
      <c r="A276" s="1"/>
      <c r="B276" t="s">
        <v>3001</v>
      </c>
      <c r="C276" t="s">
        <v>411</v>
      </c>
      <c r="D276" t="str">
        <f t="shared" si="4"/>
        <v>葡糖糖酸锌口服溶液10ml*12支</v>
      </c>
    </row>
    <row r="277" spans="1:4" x14ac:dyDescent="0.15">
      <c r="A277" s="1"/>
      <c r="B277" t="s">
        <v>3002</v>
      </c>
      <c r="C277" t="s">
        <v>1839</v>
      </c>
      <c r="D277" t="str">
        <f t="shared" si="4"/>
        <v>乳酸菌素片(精）0.4g*36片</v>
      </c>
    </row>
    <row r="278" spans="1:4" x14ac:dyDescent="0.15">
      <c r="A278" s="1"/>
      <c r="B278" t="s">
        <v>768</v>
      </c>
      <c r="C278" t="s">
        <v>3010</v>
      </c>
      <c r="D278" t="str">
        <f t="shared" si="4"/>
        <v>医用退热贴40*110mm*2贴</v>
      </c>
    </row>
    <row r="279" spans="1:4" x14ac:dyDescent="0.15">
      <c r="A279" s="1"/>
      <c r="B279" t="s">
        <v>338</v>
      </c>
      <c r="C279" t="s">
        <v>341</v>
      </c>
      <c r="D279" t="str">
        <f t="shared" si="4"/>
        <v>丹佛胃尔康颗粒10g*8袋</v>
      </c>
    </row>
    <row r="280" spans="1:4" x14ac:dyDescent="0.15">
      <c r="A280" s="1"/>
      <c r="B280" t="s">
        <v>672</v>
      </c>
      <c r="C280" t="s">
        <v>1843</v>
      </c>
      <c r="D280" t="str">
        <f t="shared" si="4"/>
        <v>退热贴2贴</v>
      </c>
    </row>
    <row r="281" spans="1:4" x14ac:dyDescent="0.15">
      <c r="A281" s="1"/>
      <c r="B281" t="s">
        <v>1845</v>
      </c>
      <c r="C281" t="s">
        <v>3011</v>
      </c>
      <c r="D281" t="str">
        <f t="shared" si="4"/>
        <v>感冒解毒灵颗粒5克*10袋</v>
      </c>
    </row>
    <row r="282" spans="1:4" x14ac:dyDescent="0.15">
      <c r="A282" s="1"/>
      <c r="B282" t="s">
        <v>682</v>
      </c>
      <c r="C282" t="s">
        <v>3012</v>
      </c>
      <c r="D282" t="str">
        <f t="shared" si="4"/>
        <v>维生素C咀嚼片100mg*30片</v>
      </c>
    </row>
    <row r="283" spans="1:4" x14ac:dyDescent="0.15">
      <c r="A283" s="1"/>
      <c r="B283" t="s">
        <v>3003</v>
      </c>
      <c r="C283" t="s">
        <v>3013</v>
      </c>
      <c r="D283" t="str">
        <f t="shared" si="4"/>
        <v>拉西地平片（司乐平）4mg*15粒</v>
      </c>
    </row>
    <row r="284" spans="1:4" x14ac:dyDescent="0.15">
      <c r="A284" s="1"/>
      <c r="B284" t="s">
        <v>3004</v>
      </c>
      <c r="C284" t="s">
        <v>3014</v>
      </c>
      <c r="D284" t="str">
        <f t="shared" si="4"/>
        <v>*新贝增盖牌硒加钙咀嚼片1.75g*30片</v>
      </c>
    </row>
    <row r="285" spans="1:4" x14ac:dyDescent="0.15">
      <c r="A285" s="1"/>
      <c r="B285" t="s">
        <v>3004</v>
      </c>
      <c r="C285" t="s">
        <v>3015</v>
      </c>
      <c r="D285" t="str">
        <f t="shared" si="4"/>
        <v>*新贝增盖牌硒加钙咀嚼片1.75g*60片</v>
      </c>
    </row>
    <row r="286" spans="1:4" x14ac:dyDescent="0.15">
      <c r="A286" s="1"/>
      <c r="B286" t="s">
        <v>3016</v>
      </c>
      <c r="C286" t="s">
        <v>3017</v>
      </c>
      <c r="D286" t="str">
        <f t="shared" si="4"/>
        <v>注射用丹参（冻干）400mg</v>
      </c>
    </row>
    <row r="287" spans="1:4" x14ac:dyDescent="0.15">
      <c r="A287" s="1"/>
      <c r="B287" t="s">
        <v>394</v>
      </c>
      <c r="C287" t="s">
        <v>3018</v>
      </c>
      <c r="D287" t="str">
        <f t="shared" si="4"/>
        <v>复方铝酸铋片10片*5板</v>
      </c>
    </row>
    <row r="288" spans="1:4" x14ac:dyDescent="0.15">
      <c r="A288" s="1"/>
      <c r="B288" t="s">
        <v>474</v>
      </c>
      <c r="C288" t="s">
        <v>2999</v>
      </c>
      <c r="D288" t="str">
        <f t="shared" si="4"/>
        <v>拉西地平片4mg*30片</v>
      </c>
    </row>
    <row r="289" spans="1:4" x14ac:dyDescent="0.15">
      <c r="A289" s="1"/>
      <c r="B289" t="s">
        <v>1833</v>
      </c>
      <c r="C289" t="s">
        <v>3019</v>
      </c>
      <c r="D289" t="str">
        <f t="shared" si="4"/>
        <v>葡萄糖酸钙口服溶液10毫升*12支（含糖型）</v>
      </c>
    </row>
    <row r="290" spans="1:4" x14ac:dyDescent="0.15">
      <c r="A290" s="1"/>
      <c r="B290" t="s">
        <v>768</v>
      </c>
      <c r="C290" t="s">
        <v>1884</v>
      </c>
      <c r="D290" t="str">
        <f t="shared" si="4"/>
        <v>医用退热贴40mm*110mm*2贴</v>
      </c>
    </row>
    <row r="291" spans="1:4" x14ac:dyDescent="0.15">
      <c r="A291" s="1"/>
      <c r="B291" t="s">
        <v>1952</v>
      </c>
      <c r="C291" t="s">
        <v>1853</v>
      </c>
      <c r="D291" t="str">
        <f t="shared" si="4"/>
        <v>小儿氨酚黄那敏颗粒2g*12袋</v>
      </c>
    </row>
    <row r="292" spans="1:4" x14ac:dyDescent="0.15">
      <c r="A292" s="1"/>
      <c r="B292" t="s">
        <v>586</v>
      </c>
      <c r="C292" t="s">
        <v>1900</v>
      </c>
      <c r="D292" t="str">
        <f t="shared" si="4"/>
        <v>人工牛黄甲硝唑胶囊10粒*3板</v>
      </c>
    </row>
    <row r="293" spans="1:4" x14ac:dyDescent="0.15">
      <c r="A293" s="1"/>
      <c r="B293" t="s">
        <v>1864</v>
      </c>
      <c r="C293" t="s">
        <v>3020</v>
      </c>
      <c r="D293" t="str">
        <f t="shared" si="4"/>
        <v>复方金银花颗粒10克*10袋</v>
      </c>
    </row>
    <row r="294" spans="1:4" x14ac:dyDescent="0.15">
      <c r="A294" s="1"/>
      <c r="B294" t="s">
        <v>3021</v>
      </c>
      <c r="C294" t="s">
        <v>1838</v>
      </c>
      <c r="D294" t="str">
        <f t="shared" si="4"/>
        <v>新盖中盖高钙片/成人2.5g*36片</v>
      </c>
    </row>
    <row r="295" spans="1:4" x14ac:dyDescent="0.15">
      <c r="A295" s="1"/>
      <c r="B295" t="s">
        <v>3022</v>
      </c>
      <c r="C295" t="s">
        <v>411</v>
      </c>
      <c r="D295" t="str">
        <f t="shared" si="4"/>
        <v>葡萄糖酸钙口服溶液（含糖型）10ml*12支</v>
      </c>
    </row>
    <row r="296" spans="1:4" x14ac:dyDescent="0.15">
      <c r="A296" s="1"/>
      <c r="B296" t="s">
        <v>3023</v>
      </c>
      <c r="C296" t="s">
        <v>3027</v>
      </c>
      <c r="D296" t="str">
        <f t="shared" si="4"/>
        <v>注射用乳糖酸阿奇霉素/齐宏0.25g*10支</v>
      </c>
    </row>
    <row r="297" spans="1:4" x14ac:dyDescent="0.15">
      <c r="A297" s="1"/>
      <c r="B297" t="s">
        <v>3024</v>
      </c>
      <c r="C297" t="s">
        <v>1871</v>
      </c>
      <c r="D297" t="str">
        <f t="shared" si="4"/>
        <v>复方铝酸铋片/胃必治50片</v>
      </c>
    </row>
    <row r="298" spans="1:4" x14ac:dyDescent="0.15">
      <c r="A298" s="1"/>
      <c r="B298" t="s">
        <v>1857</v>
      </c>
      <c r="C298" t="s">
        <v>3028</v>
      </c>
      <c r="D298" t="str">
        <f t="shared" si="4"/>
        <v>妇宁栓7枚</v>
      </c>
    </row>
    <row r="299" spans="1:4" x14ac:dyDescent="0.15">
      <c r="A299" s="1"/>
      <c r="B299" t="s">
        <v>3025</v>
      </c>
      <c r="C299" t="s">
        <v>381</v>
      </c>
      <c r="D299" t="str">
        <f t="shared" si="4"/>
        <v>颠茄磺苄啶片/泻利停12片</v>
      </c>
    </row>
    <row r="300" spans="1:4" x14ac:dyDescent="0.15">
      <c r="A300" s="1"/>
      <c r="B300" t="s">
        <v>3026</v>
      </c>
      <c r="C300" t="s">
        <v>3029</v>
      </c>
      <c r="D300" t="str">
        <f t="shared" si="4"/>
        <v>阿莫西林胶囊 益萨林0.5g*12粒*3板</v>
      </c>
    </row>
    <row r="301" spans="1:4" x14ac:dyDescent="0.15">
      <c r="A301" s="1"/>
      <c r="B301" t="s">
        <v>1935</v>
      </c>
      <c r="C301" t="s">
        <v>3030</v>
      </c>
      <c r="D301" t="str">
        <f t="shared" si="4"/>
        <v>阿莫西林克拉维酸钾分散片228.5mg*12片</v>
      </c>
    </row>
    <row r="302" spans="1:4" x14ac:dyDescent="0.15">
      <c r="A302" s="1"/>
      <c r="B302" t="s">
        <v>1857</v>
      </c>
      <c r="C302" t="s">
        <v>3031</v>
      </c>
      <c r="D302" t="str">
        <f t="shared" si="4"/>
        <v>妇宁栓8粒</v>
      </c>
    </row>
    <row r="303" spans="1:4" x14ac:dyDescent="0.15">
      <c r="A303" s="1"/>
      <c r="B303" t="s">
        <v>575</v>
      </c>
      <c r="C303" t="s">
        <v>1909</v>
      </c>
      <c r="D303" t="str">
        <f t="shared" si="4"/>
        <v>青霉素V钾片24片</v>
      </c>
    </row>
    <row r="304" spans="1:4" x14ac:dyDescent="0.15">
      <c r="A304" s="1"/>
      <c r="B304" t="s">
        <v>911</v>
      </c>
      <c r="C304" t="s">
        <v>3027</v>
      </c>
      <c r="D304" t="str">
        <f t="shared" si="4"/>
        <v>注射用乳糖酸阿奇霉素0.25g*10支</v>
      </c>
    </row>
    <row r="305" spans="1:4" x14ac:dyDescent="0.15">
      <c r="A305" s="1"/>
      <c r="B305" t="s">
        <v>630</v>
      </c>
      <c r="C305" t="s">
        <v>3032</v>
      </c>
      <c r="D305" t="str">
        <f t="shared" si="4"/>
        <v>双黄连口服液10ml*10支（1ml相当于1.5g）</v>
      </c>
    </row>
    <row r="306" spans="1:4" x14ac:dyDescent="0.15">
      <c r="A306" s="1"/>
      <c r="B306" t="s">
        <v>1833</v>
      </c>
      <c r="C306" t="s">
        <v>3033</v>
      </c>
      <c r="D306" t="str">
        <f t="shared" si="4"/>
        <v>葡萄糖酸钙口服溶液10ml*12支（含糖型）</v>
      </c>
    </row>
    <row r="307" spans="1:4" x14ac:dyDescent="0.15">
      <c r="A307" s="1"/>
      <c r="B307" t="s">
        <v>722</v>
      </c>
      <c r="C307" t="s">
        <v>3034</v>
      </c>
      <c r="D307" t="str">
        <f t="shared" si="4"/>
        <v>新盖中盖牌儿童钙片63g(1.75g*36片)</v>
      </c>
    </row>
    <row r="308" spans="1:4" x14ac:dyDescent="0.15">
      <c r="A308" s="1"/>
      <c r="B308" t="s">
        <v>3035</v>
      </c>
      <c r="C308" t="s">
        <v>3027</v>
      </c>
      <c r="D308" t="str">
        <f t="shared" si="4"/>
        <v>(精)注射用乳糖酸阿奇霉素0.25g*10支</v>
      </c>
    </row>
    <row r="309" spans="1:4" x14ac:dyDescent="0.15">
      <c r="A309" s="1"/>
      <c r="B309" t="s">
        <v>245</v>
      </c>
      <c r="C309" t="s">
        <v>3039</v>
      </c>
      <c r="D309" t="str">
        <f t="shared" si="4"/>
        <v>阿莫西林胶囊0.5g*10粒*2板</v>
      </c>
    </row>
    <row r="310" spans="1:4" x14ac:dyDescent="0.15">
      <c r="A310" s="1"/>
      <c r="B310" t="s">
        <v>3036</v>
      </c>
      <c r="C310" t="s">
        <v>381</v>
      </c>
      <c r="D310" t="str">
        <f t="shared" si="4"/>
        <v>颠茄磺苄啶片(泻利停)12片</v>
      </c>
    </row>
    <row r="311" spans="1:4" x14ac:dyDescent="0.15">
      <c r="A311" s="1"/>
      <c r="B311" t="s">
        <v>380</v>
      </c>
      <c r="C311" t="s">
        <v>3040</v>
      </c>
      <c r="D311" t="str">
        <f t="shared" si="4"/>
        <v>复方氨酚烷胺片12片*1板</v>
      </c>
    </row>
    <row r="312" spans="1:4" x14ac:dyDescent="0.15">
      <c r="A312" s="1"/>
      <c r="B312" t="s">
        <v>494</v>
      </c>
      <c r="C312" t="s">
        <v>1841</v>
      </c>
      <c r="D312" t="str">
        <f t="shared" si="4"/>
        <v>罗红霉素分散片(严迪)50mg*12片</v>
      </c>
    </row>
    <row r="313" spans="1:4" x14ac:dyDescent="0.15">
      <c r="A313" s="1"/>
      <c r="B313" t="s">
        <v>494</v>
      </c>
      <c r="C313" t="s">
        <v>1869</v>
      </c>
      <c r="D313" t="str">
        <f t="shared" si="4"/>
        <v>罗红霉素分散片(严迪)75mg*12片</v>
      </c>
    </row>
    <row r="314" spans="1:4" x14ac:dyDescent="0.15">
      <c r="A314" s="1"/>
      <c r="B314" t="s">
        <v>3037</v>
      </c>
      <c r="C314" t="s">
        <v>411</v>
      </c>
      <c r="D314" t="str">
        <f t="shared" si="4"/>
        <v>葡萄糖酸钙口服溶液10%10ml*12支</v>
      </c>
    </row>
    <row r="315" spans="1:4" x14ac:dyDescent="0.15">
      <c r="A315" s="1"/>
      <c r="B315" t="s">
        <v>586</v>
      </c>
      <c r="C315" t="s">
        <v>3041</v>
      </c>
      <c r="D315" t="str">
        <f t="shared" si="4"/>
        <v>人工牛黄甲硝唑胶囊0.2g*10粒*3板</v>
      </c>
    </row>
    <row r="316" spans="1:4" x14ac:dyDescent="0.15">
      <c r="A316" s="1"/>
      <c r="B316" t="s">
        <v>702</v>
      </c>
      <c r="C316" t="s">
        <v>1953</v>
      </c>
      <c r="D316" t="str">
        <f t="shared" si="4"/>
        <v>小儿氨酚黄那敏颗粒(护彤)12袋</v>
      </c>
    </row>
    <row r="317" spans="1:4" x14ac:dyDescent="0.15">
      <c r="A317" s="1"/>
      <c r="B317" t="s">
        <v>3038</v>
      </c>
      <c r="C317" t="s">
        <v>444</v>
      </c>
      <c r="D317" t="str">
        <f t="shared" si="4"/>
        <v>血府逐瘀丸(大蜜丸)9g*10丸</v>
      </c>
    </row>
    <row r="318" spans="1:4" x14ac:dyDescent="0.15">
      <c r="A318" s="1"/>
      <c r="B318" t="s">
        <v>911</v>
      </c>
      <c r="C318" t="s">
        <v>3042</v>
      </c>
      <c r="D318" t="str">
        <f t="shared" si="4"/>
        <v>注射用乳糖酸阿奇霉素0.125g*10支</v>
      </c>
    </row>
    <row r="319" spans="1:4" x14ac:dyDescent="0.15">
      <c r="A319" s="1"/>
      <c r="B319" t="s">
        <v>3043</v>
      </c>
      <c r="C319" t="s">
        <v>1909</v>
      </c>
      <c r="D319" t="str">
        <f t="shared" si="4"/>
        <v>牛黄消炎片 24片</v>
      </c>
    </row>
    <row r="320" spans="1:4" x14ac:dyDescent="0.15">
      <c r="A320" s="1"/>
      <c r="B320" t="s">
        <v>3044</v>
      </c>
      <c r="C320" t="s">
        <v>3055</v>
      </c>
      <c r="D320" t="str">
        <f t="shared" si="4"/>
        <v>逐瘀通脉胶囊0.2g*18粒</v>
      </c>
    </row>
    <row r="321" spans="1:4" x14ac:dyDescent="0.15">
      <c r="A321" s="1"/>
      <c r="B321" t="s">
        <v>3045</v>
      </c>
      <c r="C321" t="s">
        <v>3056</v>
      </c>
      <c r="D321" t="str">
        <f t="shared" si="4"/>
        <v>哈药痛可贴跌打损伤型4贴</v>
      </c>
    </row>
    <row r="322" spans="1:4" x14ac:dyDescent="0.15">
      <c r="A322" s="1"/>
      <c r="B322" t="s">
        <v>3046</v>
      </c>
      <c r="C322" t="s">
        <v>3056</v>
      </c>
      <c r="D322" t="str">
        <f t="shared" ref="D322:D341" si="5">B322&amp;C322</f>
        <v>哈药痛可贴骨质增生型4贴</v>
      </c>
    </row>
    <row r="323" spans="1:4" x14ac:dyDescent="0.15">
      <c r="A323" s="1"/>
      <c r="B323" t="s">
        <v>3047</v>
      </c>
      <c r="C323" t="s">
        <v>3056</v>
      </c>
      <c r="D323" t="str">
        <f t="shared" si="5"/>
        <v>哈药痛可贴颈椎型4贴</v>
      </c>
    </row>
    <row r="324" spans="1:4" x14ac:dyDescent="0.15">
      <c r="A324" s="1"/>
      <c r="B324" t="s">
        <v>3048</v>
      </c>
      <c r="C324" t="s">
        <v>3056</v>
      </c>
      <c r="D324" t="str">
        <f t="shared" si="5"/>
        <v>哈药痛可贴腰椎型4贴</v>
      </c>
    </row>
    <row r="325" spans="1:4" x14ac:dyDescent="0.15">
      <c r="A325" s="1"/>
      <c r="B325" t="s">
        <v>527</v>
      </c>
      <c r="C325" t="s">
        <v>1923</v>
      </c>
      <c r="D325" t="str">
        <f t="shared" si="5"/>
        <v>牛黄清胃丸6g*10丸</v>
      </c>
    </row>
    <row r="326" spans="1:4" x14ac:dyDescent="0.15">
      <c r="A326" s="1"/>
      <c r="B326" t="s">
        <v>3049</v>
      </c>
      <c r="C326" t="s">
        <v>1869</v>
      </c>
      <c r="D326" t="str">
        <f t="shared" si="5"/>
        <v>罗红霉素分散片（成人）75mg*12片</v>
      </c>
    </row>
    <row r="327" spans="1:4" x14ac:dyDescent="0.15">
      <c r="A327" s="1"/>
      <c r="B327" t="s">
        <v>3050</v>
      </c>
      <c r="C327" t="s">
        <v>1841</v>
      </c>
      <c r="D327" t="str">
        <f t="shared" si="5"/>
        <v>罗红霉素分散片（儿童）50mg*12片</v>
      </c>
    </row>
    <row r="328" spans="1:4" x14ac:dyDescent="0.15">
      <c r="A328" s="1"/>
      <c r="B328" t="s">
        <v>3051</v>
      </c>
      <c r="C328" t="s">
        <v>381</v>
      </c>
      <c r="D328" t="str">
        <f t="shared" si="5"/>
        <v>颠茄磺苄啶片（成人）12片</v>
      </c>
    </row>
    <row r="329" spans="1:4" x14ac:dyDescent="0.15">
      <c r="A329" s="1"/>
      <c r="B329" t="s">
        <v>245</v>
      </c>
      <c r="C329" t="s">
        <v>250</v>
      </c>
      <c r="D329" t="str">
        <f t="shared" si="5"/>
        <v>阿莫西林胶囊0.25g*50粒</v>
      </c>
    </row>
    <row r="330" spans="1:4" x14ac:dyDescent="0.15">
      <c r="A330" s="1"/>
      <c r="B330" t="s">
        <v>3052</v>
      </c>
      <c r="C330" t="s">
        <v>3056</v>
      </c>
      <c r="D330" t="str">
        <f t="shared" si="5"/>
        <v>哈药痛可贴关节炎型4贴</v>
      </c>
    </row>
    <row r="331" spans="1:4" x14ac:dyDescent="0.15">
      <c r="A331" s="1"/>
      <c r="B331" t="s">
        <v>3053</v>
      </c>
      <c r="C331" t="s">
        <v>3056</v>
      </c>
      <c r="D331" t="str">
        <f t="shared" si="5"/>
        <v>哈药痛可贴肩周型4贴</v>
      </c>
    </row>
    <row r="332" spans="1:4" x14ac:dyDescent="0.15">
      <c r="A332" s="1"/>
      <c r="B332" t="s">
        <v>2925</v>
      </c>
      <c r="C332" t="s">
        <v>1992</v>
      </c>
      <c r="D332" t="str">
        <f t="shared" si="5"/>
        <v>新盖中盖儿童钙片1.75g*36片</v>
      </c>
    </row>
    <row r="333" spans="1:4" x14ac:dyDescent="0.15">
      <c r="A333" s="1"/>
      <c r="B333" t="s">
        <v>3054</v>
      </c>
      <c r="C333" t="s">
        <v>2034</v>
      </c>
      <c r="D333" t="str">
        <f t="shared" si="5"/>
        <v>颠茄磺苄啶片（儿童型）20片</v>
      </c>
    </row>
    <row r="334" spans="1:4" x14ac:dyDescent="0.15">
      <c r="A334" s="1"/>
      <c r="B334" t="s">
        <v>2016</v>
      </c>
      <c r="C334" t="s">
        <v>444</v>
      </c>
      <c r="D334" t="str">
        <f t="shared" si="5"/>
        <v>杞菊地黄丸9g*10丸</v>
      </c>
    </row>
    <row r="335" spans="1:4" x14ac:dyDescent="0.15">
      <c r="A335" s="1"/>
      <c r="B335" t="s">
        <v>2008</v>
      </c>
      <c r="C335" t="s">
        <v>1867</v>
      </c>
      <c r="D335" t="str">
        <f t="shared" si="5"/>
        <v>启脾丸3g*10丸</v>
      </c>
    </row>
    <row r="336" spans="1:4" x14ac:dyDescent="0.15">
      <c r="A336" s="1"/>
      <c r="B336" t="s">
        <v>2004</v>
      </c>
      <c r="C336" t="s">
        <v>1944</v>
      </c>
      <c r="D336" t="str">
        <f t="shared" si="5"/>
        <v>六味地黄丸72g</v>
      </c>
    </row>
    <row r="337" spans="1:4" x14ac:dyDescent="0.15">
      <c r="A337" s="1"/>
      <c r="B337" t="s">
        <v>461</v>
      </c>
      <c r="C337" t="s">
        <v>3057</v>
      </c>
      <c r="D337" t="str">
        <f t="shared" si="5"/>
        <v xml:space="preserve">菊梅利咽含片1.2g*18片 </v>
      </c>
    </row>
    <row r="338" spans="1:4" x14ac:dyDescent="0.15">
      <c r="A338" s="1"/>
      <c r="B338" t="s">
        <v>3058</v>
      </c>
      <c r="D338" t="str">
        <f t="shared" si="5"/>
        <v>注射用丹参（冻干）400mg哈药集团中药二厂</v>
      </c>
    </row>
    <row r="339" spans="1:4" x14ac:dyDescent="0.15">
      <c r="A339" s="1"/>
      <c r="B339" t="s">
        <v>3059</v>
      </c>
      <c r="D339" t="str">
        <f t="shared" si="5"/>
        <v>注射用丹参400mg哈药集团中药二厂</v>
      </c>
    </row>
    <row r="340" spans="1:4" x14ac:dyDescent="0.15">
      <c r="A340" s="1"/>
      <c r="B340" t="s">
        <v>3060</v>
      </c>
      <c r="D340" t="str">
        <f t="shared" si="5"/>
        <v>注射用双黄连(冻干)600mg哈药集团中药二厂</v>
      </c>
    </row>
    <row r="341" spans="1:4" x14ac:dyDescent="0.15">
      <c r="A341" s="1"/>
      <c r="B341" t="s">
        <v>3061</v>
      </c>
      <c r="D341" t="str">
        <f t="shared" si="5"/>
        <v>注射用奥美拉唑钠40mg哈药集团生物工程</v>
      </c>
    </row>
  </sheetData>
  <phoneticPr fontId="5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DF148-04E8-4D25-A99E-594FEBFE0100}">
  <sheetPr codeName="Sheet7"/>
  <dimension ref="A1:I18"/>
  <sheetViews>
    <sheetView workbookViewId="0">
      <selection activeCell="C11" sqref="C11"/>
    </sheetView>
  </sheetViews>
  <sheetFormatPr defaultRowHeight="13.5" x14ac:dyDescent="0.15"/>
  <cols>
    <col min="2" max="2" width="11" bestFit="1" customWidth="1"/>
    <col min="4" max="4" width="13" bestFit="1" customWidth="1"/>
    <col min="5" max="5" width="17.25" bestFit="1" customWidth="1"/>
    <col min="7" max="7" width="12.25" bestFit="1" customWidth="1"/>
    <col min="9" max="9" width="20.5" bestFit="1" customWidth="1"/>
  </cols>
  <sheetData>
    <row r="1" spans="1:9" x14ac:dyDescent="0.15">
      <c r="A1" t="s">
        <v>2869</v>
      </c>
      <c r="B1" t="s">
        <v>3</v>
      </c>
      <c r="C1" t="s">
        <v>4</v>
      </c>
      <c r="D1" t="s">
        <v>5</v>
      </c>
      <c r="E1" t="s">
        <v>8</v>
      </c>
      <c r="F1" t="s">
        <v>9</v>
      </c>
      <c r="G1" t="s">
        <v>10</v>
      </c>
      <c r="H1" t="s">
        <v>11</v>
      </c>
      <c r="I1" t="s">
        <v>13</v>
      </c>
    </row>
    <row r="2" spans="1:9" x14ac:dyDescent="0.15">
      <c r="A2" t="s">
        <v>2870</v>
      </c>
      <c r="B2" t="s">
        <v>2871</v>
      </c>
      <c r="C2" t="s">
        <v>4</v>
      </c>
      <c r="D2" t="s">
        <v>2872</v>
      </c>
      <c r="E2" t="s">
        <v>2873</v>
      </c>
      <c r="F2" t="s">
        <v>2874</v>
      </c>
      <c r="G2" t="s">
        <v>2875</v>
      </c>
      <c r="H2" t="s">
        <v>2876</v>
      </c>
      <c r="I2" t="s">
        <v>2877</v>
      </c>
    </row>
    <row r="3" spans="1:9" x14ac:dyDescent="0.15">
      <c r="A3" t="s">
        <v>2878</v>
      </c>
      <c r="B3" t="s">
        <v>2879</v>
      </c>
      <c r="C3" t="s">
        <v>4</v>
      </c>
      <c r="D3" t="s">
        <v>2872</v>
      </c>
      <c r="E3" t="s">
        <v>2880</v>
      </c>
      <c r="F3" t="s">
        <v>2881</v>
      </c>
      <c r="G3" t="s">
        <v>2882</v>
      </c>
      <c r="H3" t="s">
        <v>2883</v>
      </c>
      <c r="I3" t="s">
        <v>2884</v>
      </c>
    </row>
    <row r="4" spans="1:9" x14ac:dyDescent="0.15">
      <c r="A4" t="s">
        <v>2885</v>
      </c>
      <c r="B4" t="s">
        <v>2879</v>
      </c>
      <c r="C4" t="s">
        <v>2886</v>
      </c>
      <c r="D4" t="s">
        <v>2887</v>
      </c>
      <c r="E4" t="s">
        <v>2880</v>
      </c>
      <c r="F4" t="s">
        <v>2888</v>
      </c>
      <c r="G4" t="s">
        <v>2882</v>
      </c>
      <c r="H4" t="s">
        <v>2883</v>
      </c>
      <c r="I4" t="s">
        <v>2884</v>
      </c>
    </row>
    <row r="5" spans="1:9" x14ac:dyDescent="0.15">
      <c r="A5" t="s">
        <v>2889</v>
      </c>
      <c r="B5" t="s">
        <v>2879</v>
      </c>
      <c r="C5" t="s">
        <v>4</v>
      </c>
      <c r="D5" t="s">
        <v>5</v>
      </c>
      <c r="E5" t="s">
        <v>2890</v>
      </c>
      <c r="F5" t="s">
        <v>2881</v>
      </c>
      <c r="G5" t="s">
        <v>2891</v>
      </c>
      <c r="H5" t="s">
        <v>2883</v>
      </c>
      <c r="I5" t="s">
        <v>2884</v>
      </c>
    </row>
    <row r="6" spans="1:9" x14ac:dyDescent="0.15">
      <c r="A6" t="s">
        <v>2892</v>
      </c>
      <c r="B6" t="s">
        <v>2893</v>
      </c>
      <c r="C6" t="s">
        <v>4</v>
      </c>
      <c r="D6" t="s">
        <v>2894</v>
      </c>
      <c r="E6" t="s">
        <v>2895</v>
      </c>
      <c r="F6" t="s">
        <v>2881</v>
      </c>
      <c r="G6" t="s">
        <v>2896</v>
      </c>
      <c r="H6" t="s">
        <v>2883</v>
      </c>
      <c r="I6" t="s">
        <v>2884</v>
      </c>
    </row>
    <row r="7" spans="1:9" x14ac:dyDescent="0.15">
      <c r="A7" t="s">
        <v>2897</v>
      </c>
      <c r="B7" t="s">
        <v>2898</v>
      </c>
      <c r="C7" t="s">
        <v>4</v>
      </c>
      <c r="D7" t="s">
        <v>5</v>
      </c>
      <c r="E7" t="s">
        <v>2895</v>
      </c>
      <c r="F7" t="s">
        <v>2881</v>
      </c>
      <c r="G7" t="s">
        <v>2891</v>
      </c>
      <c r="H7" t="s">
        <v>2883</v>
      </c>
      <c r="I7" t="s">
        <v>2884</v>
      </c>
    </row>
    <row r="8" spans="1:9" x14ac:dyDescent="0.15">
      <c r="A8" t="s">
        <v>2899</v>
      </c>
      <c r="B8" t="s">
        <v>2898</v>
      </c>
      <c r="C8" t="s">
        <v>4</v>
      </c>
      <c r="D8" t="s">
        <v>5</v>
      </c>
      <c r="E8" t="s">
        <v>2895</v>
      </c>
      <c r="F8" t="s">
        <v>2881</v>
      </c>
      <c r="G8" t="s">
        <v>2891</v>
      </c>
      <c r="H8" t="s">
        <v>2883</v>
      </c>
      <c r="I8" t="s">
        <v>2884</v>
      </c>
    </row>
    <row r="9" spans="1:9" x14ac:dyDescent="0.15">
      <c r="A9" t="s">
        <v>2900</v>
      </c>
      <c r="B9" t="s">
        <v>2893</v>
      </c>
      <c r="C9" t="s">
        <v>4</v>
      </c>
      <c r="D9" t="s">
        <v>2901</v>
      </c>
      <c r="E9" t="s">
        <v>2895</v>
      </c>
      <c r="F9" t="s">
        <v>2881</v>
      </c>
      <c r="G9" t="s">
        <v>2902</v>
      </c>
      <c r="H9" t="s">
        <v>2883</v>
      </c>
      <c r="I9" t="s">
        <v>2884</v>
      </c>
    </row>
    <row r="10" spans="1:9" x14ac:dyDescent="0.15">
      <c r="A10" t="s">
        <v>2903</v>
      </c>
      <c r="B10" t="s">
        <v>2871</v>
      </c>
      <c r="C10" t="s">
        <v>4</v>
      </c>
      <c r="D10" t="s">
        <v>2902</v>
      </c>
      <c r="E10" t="s">
        <v>2904</v>
      </c>
      <c r="F10" t="s">
        <v>2881</v>
      </c>
      <c r="G10" t="s">
        <v>2902</v>
      </c>
      <c r="H10" s="13" t="s">
        <v>3063</v>
      </c>
      <c r="I10" t="s">
        <v>2877</v>
      </c>
    </row>
    <row r="11" spans="1:9" x14ac:dyDescent="0.15">
      <c r="A11" t="s">
        <v>2905</v>
      </c>
      <c r="B11" t="s">
        <v>2879</v>
      </c>
      <c r="C11" t="s">
        <v>2886</v>
      </c>
      <c r="D11" t="s">
        <v>2902</v>
      </c>
      <c r="E11" t="s">
        <v>2873</v>
      </c>
      <c r="F11" t="s">
        <v>2881</v>
      </c>
      <c r="G11" t="s">
        <v>2875</v>
      </c>
      <c r="H11" t="s">
        <v>2883</v>
      </c>
      <c r="I11" t="s">
        <v>2884</v>
      </c>
    </row>
    <row r="12" spans="1:9" x14ac:dyDescent="0.15">
      <c r="A12" t="s">
        <v>2906</v>
      </c>
      <c r="B12" t="s">
        <v>2871</v>
      </c>
      <c r="C12" t="s">
        <v>4</v>
      </c>
      <c r="D12" t="s">
        <v>2872</v>
      </c>
      <c r="E12" t="s">
        <v>2873</v>
      </c>
      <c r="F12" t="s">
        <v>2881</v>
      </c>
      <c r="G12" t="s">
        <v>2902</v>
      </c>
      <c r="H12" t="s">
        <v>2907</v>
      </c>
      <c r="I12" t="s">
        <v>2877</v>
      </c>
    </row>
    <row r="13" spans="1:9" x14ac:dyDescent="0.15">
      <c r="A13" t="s">
        <v>2908</v>
      </c>
      <c r="B13" t="s">
        <v>2909</v>
      </c>
      <c r="C13" t="s">
        <v>2886</v>
      </c>
      <c r="D13" t="s">
        <v>2872</v>
      </c>
      <c r="E13" t="s">
        <v>2910</v>
      </c>
      <c r="F13" t="s">
        <v>2881</v>
      </c>
      <c r="G13" t="s">
        <v>2882</v>
      </c>
      <c r="H13" t="s">
        <v>2883</v>
      </c>
      <c r="I13" t="s">
        <v>2877</v>
      </c>
    </row>
    <row r="14" spans="1:9" x14ac:dyDescent="0.15">
      <c r="A14" t="s">
        <v>2911</v>
      </c>
      <c r="B14" t="s">
        <v>2912</v>
      </c>
      <c r="C14" t="s">
        <v>2902</v>
      </c>
      <c r="D14" t="s">
        <v>2902</v>
      </c>
      <c r="E14" t="s">
        <v>2913</v>
      </c>
      <c r="F14" t="s">
        <v>2914</v>
      </c>
      <c r="G14" t="s">
        <v>2915</v>
      </c>
      <c r="H14" t="s">
        <v>2916</v>
      </c>
      <c r="I14" t="s">
        <v>2917</v>
      </c>
    </row>
    <row r="15" spans="1:9" x14ac:dyDescent="0.15">
      <c r="A15" t="s">
        <v>2918</v>
      </c>
      <c r="B15" t="s">
        <v>2871</v>
      </c>
      <c r="C15" t="s">
        <v>4</v>
      </c>
      <c r="D15" t="s">
        <v>2894</v>
      </c>
      <c r="E15" t="s">
        <v>2910</v>
      </c>
      <c r="F15" t="s">
        <v>2881</v>
      </c>
      <c r="G15" t="s">
        <v>2875</v>
      </c>
      <c r="H15" t="s">
        <v>2883</v>
      </c>
      <c r="I15" t="s">
        <v>2877</v>
      </c>
    </row>
    <row r="16" spans="1:9" x14ac:dyDescent="0.15">
      <c r="A16" t="s">
        <v>2919</v>
      </c>
      <c r="B16" t="s">
        <v>241</v>
      </c>
      <c r="C16" t="s">
        <v>4</v>
      </c>
      <c r="D16" t="s">
        <v>2902</v>
      </c>
      <c r="E16" t="s">
        <v>2873</v>
      </c>
      <c r="F16" t="s">
        <v>2881</v>
      </c>
      <c r="G16" t="s">
        <v>2902</v>
      </c>
      <c r="H16" t="s">
        <v>2883</v>
      </c>
      <c r="I16" t="s">
        <v>2884</v>
      </c>
    </row>
    <row r="17" spans="1:9" x14ac:dyDescent="0.15">
      <c r="A17" t="s">
        <v>2920</v>
      </c>
      <c r="B17" t="s">
        <v>2871</v>
      </c>
      <c r="C17" t="s">
        <v>4</v>
      </c>
      <c r="D17" t="s">
        <v>2894</v>
      </c>
      <c r="E17" t="s">
        <v>2873</v>
      </c>
      <c r="F17" t="s">
        <v>2874</v>
      </c>
      <c r="G17" t="s">
        <v>2902</v>
      </c>
      <c r="H17" t="s">
        <v>2883</v>
      </c>
      <c r="I17" t="s">
        <v>2877</v>
      </c>
    </row>
    <row r="18" spans="1:9" x14ac:dyDescent="0.15">
      <c r="A18" t="s">
        <v>2921</v>
      </c>
      <c r="B18" t="s">
        <v>2871</v>
      </c>
      <c r="C18" t="s">
        <v>4</v>
      </c>
      <c r="D18" t="s">
        <v>2894</v>
      </c>
      <c r="E18" t="s">
        <v>2873</v>
      </c>
      <c r="F18" t="s">
        <v>2874</v>
      </c>
      <c r="G18" t="s">
        <v>2902</v>
      </c>
      <c r="H18" t="s">
        <v>2883</v>
      </c>
      <c r="I18" t="s">
        <v>2877</v>
      </c>
    </row>
  </sheetData>
  <phoneticPr fontId="5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FD0CE-32DA-4208-8000-78EC6A58BA77}">
  <sheetPr codeName="Sheet3"/>
  <dimension ref="A1:Z330"/>
  <sheetViews>
    <sheetView topLeftCell="A7" workbookViewId="0">
      <selection activeCell="F2" sqref="F2"/>
    </sheetView>
  </sheetViews>
  <sheetFormatPr defaultRowHeight="13.5" x14ac:dyDescent="0.15"/>
  <cols>
    <col min="1" max="1" width="17.25" bestFit="1" customWidth="1"/>
    <col min="2" max="2" width="44.25" bestFit="1" customWidth="1"/>
    <col min="3" max="3" width="13" bestFit="1" customWidth="1"/>
    <col min="6" max="6" width="20.5" bestFit="1" customWidth="1"/>
    <col min="7" max="7" width="7.25" customWidth="1"/>
    <col min="8" max="8" width="6.75" customWidth="1"/>
    <col min="9" max="9" width="4.5" customWidth="1"/>
    <col min="10" max="10" width="15.375" customWidth="1"/>
    <col min="11" max="11" width="22.25" customWidth="1"/>
    <col min="12" max="12" width="18.875" customWidth="1"/>
    <col min="13" max="13" width="11.125" bestFit="1" customWidth="1"/>
    <col min="14" max="14" width="5.25" bestFit="1" customWidth="1"/>
  </cols>
  <sheetData>
    <row r="1" spans="1:26" ht="27" x14ac:dyDescent="0.15">
      <c r="A1" s="1" t="s">
        <v>21</v>
      </c>
      <c r="B1" s="1" t="s">
        <v>22</v>
      </c>
      <c r="C1" s="1" t="s">
        <v>21</v>
      </c>
      <c r="D1" s="1"/>
      <c r="F1" t="s">
        <v>240</v>
      </c>
      <c r="G1" t="s">
        <v>1816</v>
      </c>
      <c r="H1" t="s">
        <v>238</v>
      </c>
      <c r="I1" t="s">
        <v>239</v>
      </c>
      <c r="J1" t="s">
        <v>240</v>
      </c>
      <c r="K1" t="s">
        <v>241</v>
      </c>
      <c r="L1" t="s">
        <v>4</v>
      </c>
      <c r="M1" t="s">
        <v>5</v>
      </c>
      <c r="N1" t="s">
        <v>242</v>
      </c>
      <c r="O1" t="s">
        <v>243</v>
      </c>
      <c r="R1" s="3" t="s">
        <v>1043</v>
      </c>
      <c r="S1" s="3" t="s">
        <v>1044</v>
      </c>
      <c r="T1" s="3" t="s">
        <v>1045</v>
      </c>
      <c r="U1" s="3" t="s">
        <v>1044</v>
      </c>
      <c r="W1" s="4" t="s">
        <v>1519</v>
      </c>
      <c r="X1" s="4" t="s">
        <v>1520</v>
      </c>
      <c r="Y1" s="4" t="s">
        <v>1521</v>
      </c>
      <c r="Z1" s="4" t="s">
        <v>1522</v>
      </c>
    </row>
    <row r="2" spans="1:26" x14ac:dyDescent="0.15">
      <c r="A2" s="1" t="s">
        <v>23</v>
      </c>
      <c r="B2" s="1" t="s">
        <v>24</v>
      </c>
      <c r="C2" s="1" t="s">
        <v>23</v>
      </c>
      <c r="D2" s="2" t="s">
        <v>226</v>
      </c>
      <c r="F2" t="s">
        <v>244</v>
      </c>
      <c r="G2">
        <v>2.2000000000000002</v>
      </c>
      <c r="J2" t="s">
        <v>244</v>
      </c>
      <c r="K2" t="s">
        <v>245</v>
      </c>
      <c r="L2" t="s">
        <v>246</v>
      </c>
      <c r="M2" t="s">
        <v>247</v>
      </c>
      <c r="N2" t="s">
        <v>248</v>
      </c>
      <c r="O2">
        <v>800</v>
      </c>
      <c r="P2" t="str">
        <f>K2&amp;L2</f>
        <v>阿莫西林胶囊0.25g*20粒</v>
      </c>
      <c r="R2" s="3" t="s">
        <v>1046</v>
      </c>
      <c r="S2" s="3" t="s">
        <v>1047</v>
      </c>
      <c r="T2" s="3" t="s">
        <v>1048</v>
      </c>
      <c r="U2" s="3" t="s">
        <v>1047</v>
      </c>
      <c r="W2" s="5" t="s">
        <v>1523</v>
      </c>
      <c r="X2" s="5" t="s">
        <v>1524</v>
      </c>
      <c r="Y2" s="5" t="s">
        <v>1525</v>
      </c>
      <c r="Z2" s="5" t="s">
        <v>1526</v>
      </c>
    </row>
    <row r="3" spans="1:26" x14ac:dyDescent="0.15">
      <c r="A3" s="1" t="s">
        <v>25</v>
      </c>
      <c r="B3" s="1" t="s">
        <v>26</v>
      </c>
      <c r="C3" s="1" t="s">
        <v>25</v>
      </c>
      <c r="D3" s="1"/>
      <c r="F3" t="s">
        <v>249</v>
      </c>
      <c r="G3">
        <v>5.5</v>
      </c>
      <c r="J3" t="s">
        <v>249</v>
      </c>
      <c r="K3" t="s">
        <v>245</v>
      </c>
      <c r="L3" t="s">
        <v>250</v>
      </c>
      <c r="M3" t="s">
        <v>247</v>
      </c>
      <c r="N3" t="s">
        <v>248</v>
      </c>
      <c r="O3">
        <v>400</v>
      </c>
      <c r="P3" t="str">
        <f t="shared" ref="P3:P66" si="0">K3&amp;L3</f>
        <v>阿莫西林胶囊0.25g*50粒</v>
      </c>
      <c r="R3" s="3" t="s">
        <v>1046</v>
      </c>
      <c r="S3" s="3" t="s">
        <v>1049</v>
      </c>
      <c r="T3" s="3" t="s">
        <v>1050</v>
      </c>
      <c r="U3" s="3" t="s">
        <v>1049</v>
      </c>
      <c r="W3" s="5" t="s">
        <v>1523</v>
      </c>
      <c r="X3" s="5" t="s">
        <v>1524</v>
      </c>
      <c r="Y3" s="5" t="s">
        <v>1527</v>
      </c>
      <c r="Z3" s="5" t="s">
        <v>1528</v>
      </c>
    </row>
    <row r="4" spans="1:26" x14ac:dyDescent="0.15">
      <c r="A4" s="1" t="s">
        <v>27</v>
      </c>
      <c r="B4" s="1" t="s">
        <v>28</v>
      </c>
      <c r="C4" s="1" t="s">
        <v>27</v>
      </c>
      <c r="D4" s="2" t="s">
        <v>227</v>
      </c>
      <c r="F4" t="s">
        <v>251</v>
      </c>
      <c r="G4">
        <v>2.4500000000000002</v>
      </c>
      <c r="J4" t="s">
        <v>251</v>
      </c>
      <c r="K4" t="s">
        <v>245</v>
      </c>
      <c r="L4" t="s">
        <v>252</v>
      </c>
      <c r="M4" t="s">
        <v>247</v>
      </c>
      <c r="N4" t="s">
        <v>248</v>
      </c>
      <c r="O4">
        <v>500</v>
      </c>
      <c r="P4" t="str">
        <f t="shared" si="0"/>
        <v>阿莫西林胶囊0.5g*10粒</v>
      </c>
      <c r="R4" s="3" t="s">
        <v>1046</v>
      </c>
      <c r="S4" s="3" t="s">
        <v>1051</v>
      </c>
      <c r="T4" s="3" t="s">
        <v>1052</v>
      </c>
      <c r="U4" s="3" t="s">
        <v>1051</v>
      </c>
      <c r="W4" s="5" t="s">
        <v>1523</v>
      </c>
      <c r="X4" s="5" t="s">
        <v>1524</v>
      </c>
      <c r="Y4" s="5" t="s">
        <v>1529</v>
      </c>
      <c r="Z4" s="5" t="s">
        <v>1530</v>
      </c>
    </row>
    <row r="5" spans="1:26" x14ac:dyDescent="0.15">
      <c r="A5" s="1" t="s">
        <v>29</v>
      </c>
      <c r="B5" s="1" t="s">
        <v>30</v>
      </c>
      <c r="C5" s="1" t="s">
        <v>29</v>
      </c>
      <c r="D5" s="1"/>
      <c r="F5" t="s">
        <v>253</v>
      </c>
      <c r="G5">
        <v>5</v>
      </c>
      <c r="J5" t="s">
        <v>253</v>
      </c>
      <c r="K5" t="s">
        <v>245</v>
      </c>
      <c r="L5" t="s">
        <v>254</v>
      </c>
      <c r="M5" t="s">
        <v>247</v>
      </c>
      <c r="N5" t="s">
        <v>248</v>
      </c>
      <c r="O5">
        <v>500</v>
      </c>
      <c r="P5" t="str">
        <f t="shared" si="0"/>
        <v>阿莫西林胶囊0.5g*20粒</v>
      </c>
      <c r="R5" s="3" t="s">
        <v>1046</v>
      </c>
      <c r="S5" s="3" t="s">
        <v>1053</v>
      </c>
      <c r="T5" s="3" t="s">
        <v>1054</v>
      </c>
      <c r="U5" s="3" t="s">
        <v>1053</v>
      </c>
      <c r="W5" s="5" t="s">
        <v>1523</v>
      </c>
      <c r="X5" s="5" t="s">
        <v>1524</v>
      </c>
      <c r="Y5" s="5" t="s">
        <v>1531</v>
      </c>
      <c r="Z5" s="5" t="s">
        <v>1532</v>
      </c>
    </row>
    <row r="6" spans="1:26" x14ac:dyDescent="0.15">
      <c r="A6" s="1" t="s">
        <v>31</v>
      </c>
      <c r="B6" s="1" t="s">
        <v>32</v>
      </c>
      <c r="C6" s="1" t="s">
        <v>31</v>
      </c>
      <c r="D6" s="1"/>
      <c r="F6" t="s">
        <v>255</v>
      </c>
      <c r="G6">
        <v>5.0999999999999996</v>
      </c>
      <c r="J6" t="s">
        <v>255</v>
      </c>
      <c r="K6" t="s">
        <v>245</v>
      </c>
      <c r="L6" t="s">
        <v>256</v>
      </c>
      <c r="M6" t="s">
        <v>247</v>
      </c>
      <c r="N6" t="s">
        <v>248</v>
      </c>
      <c r="O6">
        <v>500</v>
      </c>
      <c r="P6" t="str">
        <f t="shared" si="0"/>
        <v>阿莫西林胶囊0.5g*24s*500盒</v>
      </c>
      <c r="R6" s="3" t="s">
        <v>1046</v>
      </c>
      <c r="S6" s="3" t="s">
        <v>1055</v>
      </c>
      <c r="T6" s="3" t="s">
        <v>1056</v>
      </c>
      <c r="U6" s="3" t="s">
        <v>1055</v>
      </c>
      <c r="W6" s="5" t="s">
        <v>1523</v>
      </c>
      <c r="X6" s="5" t="s">
        <v>1524</v>
      </c>
      <c r="Y6" s="5" t="s">
        <v>1533</v>
      </c>
      <c r="Z6" s="5" t="s">
        <v>1534</v>
      </c>
    </row>
    <row r="7" spans="1:26" x14ac:dyDescent="0.15">
      <c r="A7" s="1" t="s">
        <v>33</v>
      </c>
      <c r="B7" s="1" t="s">
        <v>34</v>
      </c>
      <c r="C7" s="1" t="s">
        <v>33</v>
      </c>
      <c r="D7" s="1"/>
      <c r="F7" t="s">
        <v>257</v>
      </c>
      <c r="G7">
        <v>7.4</v>
      </c>
      <c r="J7" t="s">
        <v>257</v>
      </c>
      <c r="K7" t="s">
        <v>245</v>
      </c>
      <c r="L7" t="s">
        <v>258</v>
      </c>
      <c r="M7" t="s">
        <v>247</v>
      </c>
      <c r="N7" t="s">
        <v>248</v>
      </c>
      <c r="O7">
        <v>300</v>
      </c>
      <c r="P7" t="str">
        <f t="shared" si="0"/>
        <v>阿莫西林胶囊0.5g*30s</v>
      </c>
      <c r="R7" s="3" t="s">
        <v>1046</v>
      </c>
      <c r="S7" s="3" t="s">
        <v>1057</v>
      </c>
      <c r="T7" s="3" t="s">
        <v>1058</v>
      </c>
      <c r="U7" s="3" t="s">
        <v>1057</v>
      </c>
      <c r="W7" s="5" t="s">
        <v>1523</v>
      </c>
      <c r="X7" s="5" t="s">
        <v>1524</v>
      </c>
      <c r="Y7" s="5" t="s">
        <v>1535</v>
      </c>
      <c r="Z7" s="5" t="s">
        <v>1536</v>
      </c>
    </row>
    <row r="8" spans="1:26" x14ac:dyDescent="0.15">
      <c r="A8" s="1" t="s">
        <v>35</v>
      </c>
      <c r="B8" s="1" t="s">
        <v>36</v>
      </c>
      <c r="C8" s="1" t="s">
        <v>35</v>
      </c>
      <c r="D8" s="2" t="s">
        <v>228</v>
      </c>
      <c r="F8" t="s">
        <v>259</v>
      </c>
      <c r="G8">
        <v>8.1</v>
      </c>
      <c r="J8" t="s">
        <v>259</v>
      </c>
      <c r="K8" t="s">
        <v>245</v>
      </c>
      <c r="L8" t="s">
        <v>260</v>
      </c>
      <c r="M8" t="s">
        <v>247</v>
      </c>
      <c r="N8" t="s">
        <v>248</v>
      </c>
      <c r="O8">
        <v>200</v>
      </c>
      <c r="P8" t="str">
        <f t="shared" si="0"/>
        <v>阿莫西林胶囊0.5g*36s</v>
      </c>
      <c r="R8" s="3" t="s">
        <v>1046</v>
      </c>
      <c r="S8" s="3" t="s">
        <v>1059</v>
      </c>
      <c r="T8" s="3" t="s">
        <v>1060</v>
      </c>
      <c r="U8" s="3" t="s">
        <v>1059</v>
      </c>
      <c r="W8" s="5" t="s">
        <v>1523</v>
      </c>
      <c r="X8" s="5" t="s">
        <v>1524</v>
      </c>
      <c r="Y8" s="5" t="s">
        <v>1537</v>
      </c>
      <c r="Z8" s="5" t="s">
        <v>1538</v>
      </c>
    </row>
    <row r="9" spans="1:26" x14ac:dyDescent="0.15">
      <c r="A9" s="1" t="s">
        <v>37</v>
      </c>
      <c r="B9" s="1" t="s">
        <v>38</v>
      </c>
      <c r="C9" s="1" t="s">
        <v>37</v>
      </c>
      <c r="D9" s="2" t="s">
        <v>1819</v>
      </c>
      <c r="F9" t="s">
        <v>261</v>
      </c>
      <c r="G9">
        <v>2</v>
      </c>
      <c r="J9" t="s">
        <v>261</v>
      </c>
      <c r="K9" t="s">
        <v>245</v>
      </c>
      <c r="L9" t="s">
        <v>262</v>
      </c>
      <c r="M9" t="s">
        <v>263</v>
      </c>
      <c r="N9" t="s">
        <v>264</v>
      </c>
      <c r="O9">
        <v>800</v>
      </c>
      <c r="P9" t="str">
        <f t="shared" si="0"/>
        <v>阿莫西林胶囊0.25*10*2</v>
      </c>
      <c r="R9" s="3" t="s">
        <v>1061</v>
      </c>
      <c r="S9" s="3" t="s">
        <v>1062</v>
      </c>
      <c r="T9" s="3" t="s">
        <v>1063</v>
      </c>
      <c r="U9" s="3" t="s">
        <v>1062</v>
      </c>
      <c r="W9" s="5" t="s">
        <v>1523</v>
      </c>
      <c r="X9" s="5" t="s">
        <v>1539</v>
      </c>
      <c r="Y9" s="5" t="s">
        <v>1540</v>
      </c>
      <c r="Z9" s="5" t="s">
        <v>1541</v>
      </c>
    </row>
    <row r="10" spans="1:26" x14ac:dyDescent="0.15">
      <c r="A10" s="1" t="s">
        <v>39</v>
      </c>
      <c r="B10" s="1" t="s">
        <v>40</v>
      </c>
      <c r="C10" s="1" t="s">
        <v>39</v>
      </c>
      <c r="D10" s="1"/>
      <c r="F10" t="s">
        <v>265</v>
      </c>
      <c r="G10">
        <v>4.9000000000000004</v>
      </c>
      <c r="J10" t="s">
        <v>265</v>
      </c>
      <c r="K10" t="s">
        <v>245</v>
      </c>
      <c r="L10" t="s">
        <v>266</v>
      </c>
      <c r="M10" t="s">
        <v>263</v>
      </c>
      <c r="N10" t="s">
        <v>248</v>
      </c>
      <c r="O10">
        <v>400</v>
      </c>
      <c r="P10" t="str">
        <f t="shared" si="0"/>
        <v>阿莫西林胶囊0.25g*50s</v>
      </c>
      <c r="R10" s="3" t="s">
        <v>1046</v>
      </c>
      <c r="S10" s="3" t="s">
        <v>1064</v>
      </c>
      <c r="T10" s="3" t="s">
        <v>1065</v>
      </c>
      <c r="U10" s="3" t="s">
        <v>1064</v>
      </c>
      <c r="W10" s="5" t="s">
        <v>1523</v>
      </c>
      <c r="X10" s="5" t="s">
        <v>1539</v>
      </c>
      <c r="Y10" s="5" t="s">
        <v>1542</v>
      </c>
      <c r="Z10" s="5" t="s">
        <v>1543</v>
      </c>
    </row>
    <row r="11" spans="1:26" x14ac:dyDescent="0.15">
      <c r="A11" s="1" t="s">
        <v>41</v>
      </c>
      <c r="B11" s="1" t="s">
        <v>42</v>
      </c>
      <c r="C11" s="1" t="s">
        <v>41</v>
      </c>
      <c r="D11" s="1"/>
      <c r="F11" t="s">
        <v>267</v>
      </c>
      <c r="G11">
        <v>2.9</v>
      </c>
      <c r="J11" t="s">
        <v>267</v>
      </c>
      <c r="K11" t="s">
        <v>268</v>
      </c>
      <c r="L11" t="s">
        <v>269</v>
      </c>
      <c r="M11" t="s">
        <v>263</v>
      </c>
      <c r="N11" t="s">
        <v>264</v>
      </c>
      <c r="O11">
        <v>480</v>
      </c>
      <c r="P11" t="str">
        <f t="shared" si="0"/>
        <v>阿莫西林胶囊0.25g×30粒×480盒0.25g×30粒×480盒</v>
      </c>
      <c r="R11" s="3" t="s">
        <v>1046</v>
      </c>
      <c r="S11" s="3" t="s">
        <v>1066</v>
      </c>
      <c r="T11" s="3" t="s">
        <v>1067</v>
      </c>
      <c r="U11" s="3" t="s">
        <v>1066</v>
      </c>
      <c r="W11" s="5" t="s">
        <v>1523</v>
      </c>
      <c r="X11" s="5" t="s">
        <v>1539</v>
      </c>
      <c r="Y11" s="5" t="s">
        <v>1544</v>
      </c>
      <c r="Z11" s="5" t="s">
        <v>1545</v>
      </c>
    </row>
    <row r="12" spans="1:26" x14ac:dyDescent="0.15">
      <c r="A12" s="1" t="s">
        <v>43</v>
      </c>
      <c r="B12" s="1" t="s">
        <v>44</v>
      </c>
      <c r="C12" s="1" t="s">
        <v>43</v>
      </c>
      <c r="D12" s="1"/>
      <c r="F12" t="s">
        <v>270</v>
      </c>
      <c r="G12">
        <v>2</v>
      </c>
      <c r="J12" t="s">
        <v>270</v>
      </c>
      <c r="K12" t="s">
        <v>271</v>
      </c>
      <c r="L12" t="s">
        <v>254</v>
      </c>
      <c r="M12" t="s">
        <v>263</v>
      </c>
      <c r="N12" t="s">
        <v>264</v>
      </c>
      <c r="O12">
        <v>400</v>
      </c>
      <c r="P12" t="str">
        <f t="shared" si="0"/>
        <v>阿莫西林胶囊20粒0.5g×10粒×2板×400盒/8000粒0.5g*20粒</v>
      </c>
      <c r="R12" s="3" t="s">
        <v>1046</v>
      </c>
      <c r="S12" s="3" t="s">
        <v>1068</v>
      </c>
      <c r="T12" s="3" t="s">
        <v>1069</v>
      </c>
      <c r="U12" s="3" t="s">
        <v>1068</v>
      </c>
      <c r="W12" s="5" t="s">
        <v>1523</v>
      </c>
      <c r="X12" s="5" t="s">
        <v>1539</v>
      </c>
      <c r="Y12" s="5" t="s">
        <v>1546</v>
      </c>
      <c r="Z12" s="5" t="s">
        <v>1547</v>
      </c>
    </row>
    <row r="13" spans="1:26" x14ac:dyDescent="0.15">
      <c r="A13" s="1" t="s">
        <v>45</v>
      </c>
      <c r="B13" s="1" t="s">
        <v>46</v>
      </c>
      <c r="C13" s="1" t="s">
        <v>45</v>
      </c>
      <c r="D13" s="1"/>
      <c r="F13" t="s">
        <v>272</v>
      </c>
      <c r="G13">
        <v>3.9</v>
      </c>
      <c r="J13" t="s">
        <v>272</v>
      </c>
      <c r="K13" t="s">
        <v>273</v>
      </c>
      <c r="L13" t="s">
        <v>274</v>
      </c>
      <c r="M13" t="s">
        <v>247</v>
      </c>
      <c r="N13" t="s">
        <v>248</v>
      </c>
      <c r="O13">
        <v>200</v>
      </c>
      <c r="P13" t="str">
        <f t="shared" si="0"/>
        <v>阿莫西林颗粒(益萨林)0.125g*12袋*200盒</v>
      </c>
      <c r="R13" s="3" t="s">
        <v>1061</v>
      </c>
      <c r="S13" s="3" t="s">
        <v>1070</v>
      </c>
      <c r="T13" s="3" t="s">
        <v>1071</v>
      </c>
      <c r="U13" s="3" t="s">
        <v>1070</v>
      </c>
      <c r="W13" s="5" t="s">
        <v>1523</v>
      </c>
      <c r="X13" s="5" t="s">
        <v>1539</v>
      </c>
      <c r="Y13" s="5" t="s">
        <v>1548</v>
      </c>
      <c r="Z13" s="5" t="s">
        <v>1549</v>
      </c>
    </row>
    <row r="14" spans="1:26" x14ac:dyDescent="0.15">
      <c r="A14" s="1" t="s">
        <v>47</v>
      </c>
      <c r="B14" s="1" t="s">
        <v>48</v>
      </c>
      <c r="C14" s="1" t="s">
        <v>47</v>
      </c>
      <c r="D14" s="1"/>
      <c r="F14" t="s">
        <v>275</v>
      </c>
      <c r="G14">
        <v>4.5</v>
      </c>
      <c r="J14" t="s">
        <v>275</v>
      </c>
      <c r="K14" t="s">
        <v>276</v>
      </c>
      <c r="L14" t="s">
        <v>277</v>
      </c>
      <c r="M14" t="s">
        <v>247</v>
      </c>
      <c r="N14" t="s">
        <v>248</v>
      </c>
      <c r="O14">
        <v>300</v>
      </c>
      <c r="P14" t="str">
        <f t="shared" si="0"/>
        <v>阿莫西林克拉维酸钾(7:1)分散片0.2285g*10片</v>
      </c>
      <c r="R14" s="3" t="s">
        <v>1046</v>
      </c>
      <c r="S14" s="3" t="s">
        <v>1072</v>
      </c>
      <c r="T14" s="3" t="s">
        <v>1073</v>
      </c>
      <c r="U14" s="3" t="s">
        <v>1072</v>
      </c>
      <c r="W14" s="5" t="s">
        <v>1523</v>
      </c>
      <c r="X14" s="5" t="s">
        <v>1539</v>
      </c>
      <c r="Y14" s="5" t="s">
        <v>1550</v>
      </c>
      <c r="Z14" s="5" t="s">
        <v>1551</v>
      </c>
    </row>
    <row r="15" spans="1:26" x14ac:dyDescent="0.15">
      <c r="A15" s="1" t="s">
        <v>49</v>
      </c>
      <c r="B15" s="1" t="s">
        <v>50</v>
      </c>
      <c r="C15" s="1" t="s">
        <v>49</v>
      </c>
      <c r="D15" s="1"/>
      <c r="F15" t="s">
        <v>278</v>
      </c>
      <c r="G15">
        <v>6</v>
      </c>
      <c r="J15" t="s">
        <v>278</v>
      </c>
      <c r="K15" t="s">
        <v>276</v>
      </c>
      <c r="L15" t="s">
        <v>279</v>
      </c>
      <c r="M15" t="s">
        <v>247</v>
      </c>
      <c r="N15" t="s">
        <v>248</v>
      </c>
      <c r="O15">
        <v>300</v>
      </c>
      <c r="P15" t="str">
        <f t="shared" si="0"/>
        <v>阿莫西林克拉维酸钾(7:1)分散片0.2285g*12片</v>
      </c>
      <c r="R15" s="3" t="s">
        <v>1046</v>
      </c>
      <c r="S15" s="3" t="s">
        <v>1074</v>
      </c>
      <c r="T15" s="3" t="s">
        <v>1075</v>
      </c>
      <c r="U15" s="3" t="s">
        <v>1074</v>
      </c>
      <c r="W15" s="5" t="s">
        <v>1523</v>
      </c>
      <c r="X15" s="5" t="s">
        <v>1539</v>
      </c>
      <c r="Y15" s="5" t="s">
        <v>1552</v>
      </c>
      <c r="Z15" s="5" t="s">
        <v>1553</v>
      </c>
    </row>
    <row r="16" spans="1:26" x14ac:dyDescent="0.15">
      <c r="A16" s="1" t="s">
        <v>51</v>
      </c>
      <c r="B16" s="1" t="s">
        <v>52</v>
      </c>
      <c r="C16" s="1" t="s">
        <v>51</v>
      </c>
      <c r="D16" s="1"/>
      <c r="F16" t="s">
        <v>280</v>
      </c>
      <c r="G16">
        <v>7</v>
      </c>
      <c r="J16" t="s">
        <v>280</v>
      </c>
      <c r="K16" t="s">
        <v>276</v>
      </c>
      <c r="L16" t="s">
        <v>281</v>
      </c>
      <c r="M16" t="s">
        <v>247</v>
      </c>
      <c r="N16" t="s">
        <v>248</v>
      </c>
      <c r="O16">
        <v>300</v>
      </c>
      <c r="P16" t="str">
        <f t="shared" si="0"/>
        <v>阿莫西林克拉维酸钾(7:1)分散片0.2285g*15片*300盒</v>
      </c>
      <c r="R16" s="3" t="s">
        <v>1046</v>
      </c>
      <c r="S16" s="3" t="s">
        <v>1076</v>
      </c>
      <c r="T16" s="3" t="s">
        <v>1077</v>
      </c>
      <c r="U16" s="3" t="s">
        <v>1076</v>
      </c>
      <c r="W16" s="5" t="s">
        <v>1523</v>
      </c>
      <c r="X16" s="5" t="s">
        <v>1539</v>
      </c>
      <c r="Y16" s="5" t="s">
        <v>1554</v>
      </c>
      <c r="Z16" s="5" t="s">
        <v>1555</v>
      </c>
    </row>
    <row r="17" spans="1:26" x14ac:dyDescent="0.15">
      <c r="A17" s="1" t="s">
        <v>53</v>
      </c>
      <c r="B17" s="1" t="s">
        <v>54</v>
      </c>
      <c r="C17" s="1" t="s">
        <v>53</v>
      </c>
      <c r="D17" s="2" t="s">
        <v>229</v>
      </c>
      <c r="F17" t="s">
        <v>282</v>
      </c>
      <c r="G17">
        <v>8</v>
      </c>
      <c r="J17" t="s">
        <v>282</v>
      </c>
      <c r="K17" t="s">
        <v>276</v>
      </c>
      <c r="L17" t="s">
        <v>283</v>
      </c>
      <c r="M17" t="s">
        <v>247</v>
      </c>
      <c r="N17" t="s">
        <v>248</v>
      </c>
      <c r="O17">
        <v>300</v>
      </c>
      <c r="P17" t="str">
        <f t="shared" si="0"/>
        <v>阿莫西林克拉维酸钾(7:1)分散片0.2285g*18片</v>
      </c>
      <c r="R17" s="3" t="s">
        <v>1046</v>
      </c>
      <c r="S17" s="3" t="s">
        <v>1078</v>
      </c>
      <c r="T17" s="3" t="s">
        <v>1079</v>
      </c>
      <c r="U17" s="3" t="s">
        <v>1078</v>
      </c>
      <c r="W17" s="5" t="s">
        <v>1523</v>
      </c>
      <c r="X17" s="5" t="s">
        <v>1539</v>
      </c>
      <c r="Y17" s="5" t="s">
        <v>1556</v>
      </c>
      <c r="Z17" s="5" t="s">
        <v>1557</v>
      </c>
    </row>
    <row r="18" spans="1:26" x14ac:dyDescent="0.15">
      <c r="A18" s="1" t="s">
        <v>55</v>
      </c>
      <c r="B18" s="1" t="s">
        <v>56</v>
      </c>
      <c r="C18" s="1" t="s">
        <v>55</v>
      </c>
      <c r="D18" s="1"/>
      <c r="F18" t="s">
        <v>284</v>
      </c>
      <c r="G18">
        <v>10.5</v>
      </c>
      <c r="J18" t="s">
        <v>284</v>
      </c>
      <c r="K18" t="s">
        <v>276</v>
      </c>
      <c r="L18" t="s">
        <v>285</v>
      </c>
      <c r="M18" t="s">
        <v>247</v>
      </c>
      <c r="N18" t="s">
        <v>248</v>
      </c>
      <c r="O18">
        <v>300</v>
      </c>
      <c r="P18" t="str">
        <f t="shared" si="0"/>
        <v>阿莫西林克拉维酸钾(7:1)分散片0.2285g*24片</v>
      </c>
      <c r="R18" s="3" t="s">
        <v>1046</v>
      </c>
      <c r="S18" s="3" t="s">
        <v>1080</v>
      </c>
      <c r="T18" s="3" t="s">
        <v>1081</v>
      </c>
      <c r="U18" s="3" t="s">
        <v>1080</v>
      </c>
      <c r="W18" s="5" t="s">
        <v>1523</v>
      </c>
      <c r="X18" s="5" t="s">
        <v>1539</v>
      </c>
      <c r="Y18" s="5" t="s">
        <v>1558</v>
      </c>
      <c r="Z18" s="5" t="s">
        <v>1559</v>
      </c>
    </row>
    <row r="19" spans="1:26" x14ac:dyDescent="0.15">
      <c r="A19" s="1" t="s">
        <v>57</v>
      </c>
      <c r="B19" s="1" t="s">
        <v>58</v>
      </c>
      <c r="C19" s="1" t="s">
        <v>57</v>
      </c>
      <c r="D19" s="1"/>
      <c r="F19" t="s">
        <v>286</v>
      </c>
      <c r="G19">
        <v>4</v>
      </c>
      <c r="J19" t="s">
        <v>286</v>
      </c>
      <c r="K19" t="s">
        <v>276</v>
      </c>
      <c r="L19" t="s">
        <v>287</v>
      </c>
      <c r="M19" t="s">
        <v>247</v>
      </c>
      <c r="N19" t="s">
        <v>248</v>
      </c>
      <c r="O19">
        <v>300</v>
      </c>
      <c r="P19" t="str">
        <f t="shared" si="0"/>
        <v>阿莫西林克拉维酸钾(7:1)分散片0.2285g*8片</v>
      </c>
      <c r="R19" s="3" t="s">
        <v>1061</v>
      </c>
      <c r="S19" s="3" t="s">
        <v>1082</v>
      </c>
      <c r="T19" s="3" t="s">
        <v>1083</v>
      </c>
      <c r="U19" s="3" t="s">
        <v>1082</v>
      </c>
      <c r="W19" s="5" t="s">
        <v>1523</v>
      </c>
      <c r="X19" s="5" t="s">
        <v>1539</v>
      </c>
      <c r="Y19" s="5" t="s">
        <v>1560</v>
      </c>
      <c r="Z19" s="5" t="s">
        <v>1561</v>
      </c>
    </row>
    <row r="20" spans="1:26" x14ac:dyDescent="0.15">
      <c r="A20" s="1" t="s">
        <v>59</v>
      </c>
      <c r="B20" s="1" t="s">
        <v>60</v>
      </c>
      <c r="C20" s="1" t="s">
        <v>59</v>
      </c>
      <c r="D20" s="2" t="s">
        <v>230</v>
      </c>
      <c r="F20" t="s">
        <v>288</v>
      </c>
      <c r="G20">
        <v>2.4</v>
      </c>
      <c r="J20" t="s">
        <v>288</v>
      </c>
      <c r="K20" t="s">
        <v>289</v>
      </c>
      <c r="L20" t="s">
        <v>290</v>
      </c>
      <c r="M20" t="s">
        <v>247</v>
      </c>
      <c r="N20" t="s">
        <v>248</v>
      </c>
      <c r="O20">
        <v>600</v>
      </c>
      <c r="P20" t="str">
        <f t="shared" si="0"/>
        <v>阿莫西林片(益萨林)0.25g*12片</v>
      </c>
      <c r="R20" s="3" t="s">
        <v>1046</v>
      </c>
      <c r="S20" s="3" t="s">
        <v>1084</v>
      </c>
      <c r="T20" s="3" t="s">
        <v>1085</v>
      </c>
      <c r="U20" s="3" t="s">
        <v>1084</v>
      </c>
      <c r="W20" s="5" t="s">
        <v>1523</v>
      </c>
      <c r="X20" s="5" t="s">
        <v>1562</v>
      </c>
      <c r="Y20" s="5" t="s">
        <v>1563</v>
      </c>
      <c r="Z20" s="5" t="s">
        <v>1564</v>
      </c>
    </row>
    <row r="21" spans="1:26" x14ac:dyDescent="0.15">
      <c r="A21" s="1" t="s">
        <v>61</v>
      </c>
      <c r="B21" s="1" t="s">
        <v>62</v>
      </c>
      <c r="C21" s="1" t="s">
        <v>61</v>
      </c>
      <c r="D21" s="1"/>
      <c r="F21" t="s">
        <v>291</v>
      </c>
      <c r="G21">
        <v>3.4</v>
      </c>
      <c r="J21" t="s">
        <v>291</v>
      </c>
      <c r="K21" t="s">
        <v>292</v>
      </c>
      <c r="L21" t="s">
        <v>293</v>
      </c>
      <c r="M21" t="s">
        <v>294</v>
      </c>
      <c r="N21" t="s">
        <v>264</v>
      </c>
      <c r="O21">
        <v>400</v>
      </c>
      <c r="P21" t="str">
        <f t="shared" si="0"/>
        <v>阿奇霉素分散片0.1g*6片</v>
      </c>
      <c r="R21" s="3" t="s">
        <v>1046</v>
      </c>
      <c r="S21" s="3" t="s">
        <v>1086</v>
      </c>
      <c r="T21" s="3" t="s">
        <v>1087</v>
      </c>
      <c r="U21" s="3" t="s">
        <v>1086</v>
      </c>
      <c r="W21" s="5" t="s">
        <v>1523</v>
      </c>
      <c r="X21" s="5" t="s">
        <v>1562</v>
      </c>
      <c r="Y21" s="5" t="s">
        <v>1565</v>
      </c>
      <c r="Z21" s="5" t="s">
        <v>1566</v>
      </c>
    </row>
    <row r="22" spans="1:26" x14ac:dyDescent="0.15">
      <c r="A22" s="1" t="s">
        <v>63</v>
      </c>
      <c r="B22" s="1" t="s">
        <v>64</v>
      </c>
      <c r="C22" s="1" t="s">
        <v>63</v>
      </c>
      <c r="D22" s="1"/>
      <c r="F22" t="s">
        <v>295</v>
      </c>
      <c r="G22">
        <v>3.8</v>
      </c>
      <c r="J22" t="s">
        <v>295</v>
      </c>
      <c r="K22" t="s">
        <v>292</v>
      </c>
      <c r="L22" t="s">
        <v>296</v>
      </c>
      <c r="M22" t="s">
        <v>294</v>
      </c>
      <c r="N22" t="s">
        <v>248</v>
      </c>
      <c r="O22">
        <v>400</v>
      </c>
      <c r="P22" t="str">
        <f t="shared" si="0"/>
        <v>阿奇霉素分散片0.25g×6片×400盒</v>
      </c>
      <c r="R22" s="3" t="s">
        <v>1088</v>
      </c>
      <c r="S22" s="3" t="s">
        <v>1089</v>
      </c>
      <c r="T22" s="3" t="s">
        <v>1090</v>
      </c>
      <c r="U22" s="3" t="s">
        <v>1089</v>
      </c>
      <c r="W22" s="5" t="s">
        <v>1523</v>
      </c>
      <c r="X22" s="5" t="s">
        <v>1562</v>
      </c>
      <c r="Y22" s="5" t="s">
        <v>1567</v>
      </c>
      <c r="Z22" s="5" t="s">
        <v>1568</v>
      </c>
    </row>
    <row r="23" spans="1:26" x14ac:dyDescent="0.15">
      <c r="A23" s="1" t="s">
        <v>65</v>
      </c>
      <c r="B23" s="1" t="s">
        <v>66</v>
      </c>
      <c r="C23" s="1" t="s">
        <v>65</v>
      </c>
      <c r="D23" s="1"/>
      <c r="F23" t="s">
        <v>297</v>
      </c>
      <c r="G23">
        <v>6.8</v>
      </c>
      <c r="J23" t="s">
        <v>297</v>
      </c>
      <c r="K23" t="s">
        <v>298</v>
      </c>
      <c r="L23" t="s">
        <v>299</v>
      </c>
      <c r="M23" t="s">
        <v>300</v>
      </c>
      <c r="N23" t="s">
        <v>264</v>
      </c>
      <c r="O23">
        <v>100</v>
      </c>
      <c r="P23" t="str">
        <f t="shared" si="0"/>
        <v>艾附暖宫丸（OTC）9g×10丸×100盒</v>
      </c>
      <c r="R23" s="3" t="s">
        <v>1088</v>
      </c>
      <c r="S23" s="3" t="s">
        <v>1091</v>
      </c>
      <c r="T23" s="3" t="s">
        <v>1092</v>
      </c>
      <c r="U23" s="3" t="s">
        <v>1091</v>
      </c>
      <c r="W23" s="5" t="s">
        <v>1523</v>
      </c>
      <c r="X23" s="5" t="s">
        <v>1562</v>
      </c>
      <c r="Y23" s="5" t="s">
        <v>1569</v>
      </c>
      <c r="Z23" s="5" t="s">
        <v>1570</v>
      </c>
    </row>
    <row r="24" spans="1:26" x14ac:dyDescent="0.15">
      <c r="A24" s="1" t="s">
        <v>67</v>
      </c>
      <c r="B24" s="1" t="s">
        <v>68</v>
      </c>
      <c r="C24" s="1" t="s">
        <v>67</v>
      </c>
      <c r="D24" s="1"/>
      <c r="F24" t="s">
        <v>301</v>
      </c>
      <c r="G24">
        <v>108</v>
      </c>
      <c r="J24" t="s">
        <v>301</v>
      </c>
      <c r="K24" t="s">
        <v>302</v>
      </c>
      <c r="L24" t="s">
        <v>303</v>
      </c>
      <c r="M24" t="s">
        <v>300</v>
      </c>
      <c r="N24" t="s">
        <v>304</v>
      </c>
      <c r="O24">
        <v>80</v>
      </c>
      <c r="P24" t="str">
        <f t="shared" si="0"/>
        <v>安宫牛黄丸3g×2丸×40盒</v>
      </c>
      <c r="R24" s="3" t="s">
        <v>1093</v>
      </c>
      <c r="S24" s="3" t="s">
        <v>1094</v>
      </c>
      <c r="T24" s="3" t="s">
        <v>1095</v>
      </c>
      <c r="U24" s="3" t="s">
        <v>1094</v>
      </c>
      <c r="W24" s="5" t="s">
        <v>1523</v>
      </c>
      <c r="X24" s="5" t="s">
        <v>1562</v>
      </c>
      <c r="Y24" s="5" t="s">
        <v>1571</v>
      </c>
      <c r="Z24" s="5" t="s">
        <v>1572</v>
      </c>
    </row>
    <row r="25" spans="1:26" x14ac:dyDescent="0.15">
      <c r="A25" s="1" t="s">
        <v>69</v>
      </c>
      <c r="B25" s="1" t="s">
        <v>70</v>
      </c>
      <c r="C25" s="1" t="s">
        <v>69</v>
      </c>
      <c r="D25" s="1"/>
      <c r="F25" t="s">
        <v>305</v>
      </c>
      <c r="G25">
        <v>5.15</v>
      </c>
      <c r="J25" t="s">
        <v>305</v>
      </c>
      <c r="K25" t="s">
        <v>306</v>
      </c>
      <c r="L25" t="s">
        <v>307</v>
      </c>
      <c r="M25" t="s">
        <v>308</v>
      </c>
      <c r="N25" t="s">
        <v>248</v>
      </c>
      <c r="O25">
        <v>160</v>
      </c>
      <c r="P25" t="str">
        <f t="shared" si="0"/>
        <v>氨金黄敏颗粒6g×10袋×160盒</v>
      </c>
      <c r="R25" s="3" t="s">
        <v>1046</v>
      </c>
      <c r="S25" s="3" t="s">
        <v>1096</v>
      </c>
      <c r="T25" s="3" t="s">
        <v>1097</v>
      </c>
      <c r="U25" s="3" t="s">
        <v>1096</v>
      </c>
      <c r="W25" s="5" t="s">
        <v>1523</v>
      </c>
      <c r="X25" s="5" t="s">
        <v>1573</v>
      </c>
      <c r="Y25" s="5" t="s">
        <v>1574</v>
      </c>
      <c r="Z25" s="5" t="s">
        <v>1575</v>
      </c>
    </row>
    <row r="26" spans="1:26" x14ac:dyDescent="0.15">
      <c r="A26" s="1" t="s">
        <v>71</v>
      </c>
      <c r="B26" s="1" t="s">
        <v>72</v>
      </c>
      <c r="C26" s="1" t="s">
        <v>71</v>
      </c>
      <c r="D26" s="1"/>
      <c r="F26" t="s">
        <v>309</v>
      </c>
      <c r="G26">
        <v>1.65</v>
      </c>
      <c r="J26" t="s">
        <v>309</v>
      </c>
      <c r="K26" t="s">
        <v>310</v>
      </c>
      <c r="L26" t="s">
        <v>311</v>
      </c>
      <c r="M26" t="s">
        <v>294</v>
      </c>
      <c r="N26" t="s">
        <v>264</v>
      </c>
      <c r="O26">
        <v>400</v>
      </c>
      <c r="P26" t="str">
        <f t="shared" si="0"/>
        <v>氨咖黄敏胶囊20粒</v>
      </c>
      <c r="R26" s="3" t="s">
        <v>1046</v>
      </c>
      <c r="S26" s="3" t="s">
        <v>1098</v>
      </c>
      <c r="T26" s="3" t="s">
        <v>1099</v>
      </c>
      <c r="U26" s="3" t="s">
        <v>1098</v>
      </c>
      <c r="W26" s="5" t="s">
        <v>1523</v>
      </c>
      <c r="X26" s="5" t="s">
        <v>1573</v>
      </c>
      <c r="Y26" s="5" t="s">
        <v>1576</v>
      </c>
      <c r="Z26" s="5" t="s">
        <v>1577</v>
      </c>
    </row>
    <row r="27" spans="1:26" x14ac:dyDescent="0.15">
      <c r="A27" s="1" t="s">
        <v>73</v>
      </c>
      <c r="B27" s="1" t="s">
        <v>74</v>
      </c>
      <c r="C27" s="1" t="s">
        <v>73</v>
      </c>
      <c r="D27" s="1"/>
      <c r="F27" t="s">
        <v>312</v>
      </c>
      <c r="G27">
        <v>9.5</v>
      </c>
      <c r="J27" t="s">
        <v>312</v>
      </c>
      <c r="K27" t="s">
        <v>313</v>
      </c>
      <c r="L27" t="s">
        <v>299</v>
      </c>
      <c r="M27" t="s">
        <v>300</v>
      </c>
      <c r="N27" t="s">
        <v>264</v>
      </c>
      <c r="O27">
        <v>100</v>
      </c>
      <c r="P27" t="str">
        <f t="shared" si="0"/>
        <v>柏子养心丸9g×10丸×100盒</v>
      </c>
      <c r="R27" s="3" t="s">
        <v>1061</v>
      </c>
      <c r="S27" s="3" t="s">
        <v>1100</v>
      </c>
      <c r="T27" s="3" t="s">
        <v>1101</v>
      </c>
      <c r="U27" s="3" t="s">
        <v>1100</v>
      </c>
      <c r="W27" s="5" t="s">
        <v>1523</v>
      </c>
      <c r="X27" s="5" t="s">
        <v>1573</v>
      </c>
      <c r="Y27" s="5" t="s">
        <v>1578</v>
      </c>
      <c r="Z27" s="5" t="s">
        <v>1579</v>
      </c>
    </row>
    <row r="28" spans="1:26" x14ac:dyDescent="0.15">
      <c r="A28" s="1" t="s">
        <v>75</v>
      </c>
      <c r="B28" s="1" t="s">
        <v>76</v>
      </c>
      <c r="C28" s="1" t="s">
        <v>75</v>
      </c>
      <c r="D28" s="1"/>
      <c r="F28" t="s">
        <v>314</v>
      </c>
      <c r="G28">
        <v>5.29</v>
      </c>
      <c r="J28" t="s">
        <v>314</v>
      </c>
      <c r="K28" t="s">
        <v>315</v>
      </c>
      <c r="L28" t="s">
        <v>299</v>
      </c>
      <c r="M28" t="s">
        <v>300</v>
      </c>
      <c r="N28" t="s">
        <v>264</v>
      </c>
      <c r="O28">
        <v>100</v>
      </c>
      <c r="P28" t="str">
        <f t="shared" si="0"/>
        <v>保和丸(OTC)9g×10丸×100盒</v>
      </c>
      <c r="R28" s="3" t="s">
        <v>1088</v>
      </c>
      <c r="S28" s="3" t="s">
        <v>1102</v>
      </c>
      <c r="T28" s="3" t="s">
        <v>1103</v>
      </c>
      <c r="U28" s="3" t="s">
        <v>1102</v>
      </c>
      <c r="W28" s="5" t="s">
        <v>1523</v>
      </c>
      <c r="X28" s="5" t="s">
        <v>1573</v>
      </c>
      <c r="Y28" s="5" t="s">
        <v>1580</v>
      </c>
      <c r="Z28" s="5" t="s">
        <v>1581</v>
      </c>
    </row>
    <row r="29" spans="1:26" x14ac:dyDescent="0.15">
      <c r="A29" s="1" t="s">
        <v>77</v>
      </c>
      <c r="B29" s="1" t="s">
        <v>78</v>
      </c>
      <c r="C29" s="1" t="s">
        <v>77</v>
      </c>
      <c r="D29" s="1"/>
      <c r="F29" t="s">
        <v>316</v>
      </c>
      <c r="G29">
        <v>8.8000000000000007</v>
      </c>
      <c r="J29" t="s">
        <v>316</v>
      </c>
      <c r="K29" t="s">
        <v>317</v>
      </c>
      <c r="L29" t="s">
        <v>318</v>
      </c>
      <c r="M29" t="s">
        <v>300</v>
      </c>
      <c r="N29" t="s">
        <v>264</v>
      </c>
      <c r="O29">
        <v>300</v>
      </c>
      <c r="P29" t="str">
        <f t="shared" si="0"/>
        <v>布洛芬颗粒0.2*10袋*300盒</v>
      </c>
      <c r="R29" s="3" t="s">
        <v>1046</v>
      </c>
      <c r="S29" s="3" t="s">
        <v>1104</v>
      </c>
      <c r="T29" s="3" t="s">
        <v>1105</v>
      </c>
      <c r="U29" s="3" t="s">
        <v>1104</v>
      </c>
      <c r="W29" s="5" t="s">
        <v>1523</v>
      </c>
      <c r="X29" s="5" t="s">
        <v>1573</v>
      </c>
      <c r="Y29" s="5" t="s">
        <v>1582</v>
      </c>
      <c r="Z29" s="5" t="s">
        <v>1583</v>
      </c>
    </row>
    <row r="30" spans="1:26" x14ac:dyDescent="0.15">
      <c r="A30" s="1" t="s">
        <v>79</v>
      </c>
      <c r="B30" s="1" t="s">
        <v>80</v>
      </c>
      <c r="C30" s="1" t="s">
        <v>79</v>
      </c>
      <c r="D30" s="1"/>
      <c r="F30" t="s">
        <v>319</v>
      </c>
      <c r="G30">
        <v>9.1999999999999993</v>
      </c>
      <c r="J30" t="s">
        <v>319</v>
      </c>
      <c r="K30" t="s">
        <v>317</v>
      </c>
      <c r="L30" t="s">
        <v>320</v>
      </c>
      <c r="M30" t="s">
        <v>300</v>
      </c>
      <c r="N30" t="s">
        <v>264</v>
      </c>
      <c r="O30">
        <v>300</v>
      </c>
      <c r="P30" t="str">
        <f t="shared" si="0"/>
        <v>布洛芬颗粒0.2*12袋*300盒</v>
      </c>
      <c r="R30" s="3" t="s">
        <v>1061</v>
      </c>
      <c r="S30" s="3" t="s">
        <v>1106</v>
      </c>
      <c r="T30" s="3" t="s">
        <v>1107</v>
      </c>
      <c r="U30" s="3" t="s">
        <v>1106</v>
      </c>
      <c r="W30" s="5" t="s">
        <v>1523</v>
      </c>
      <c r="X30" s="5" t="s">
        <v>1573</v>
      </c>
      <c r="Y30" s="5" t="s">
        <v>1584</v>
      </c>
      <c r="Z30" s="5" t="s">
        <v>1585</v>
      </c>
    </row>
    <row r="31" spans="1:26" x14ac:dyDescent="0.15">
      <c r="A31" s="1" t="s">
        <v>81</v>
      </c>
      <c r="B31" s="1" t="s">
        <v>82</v>
      </c>
      <c r="C31" s="1" t="s">
        <v>81</v>
      </c>
      <c r="D31" s="1"/>
      <c r="F31" t="s">
        <v>321</v>
      </c>
      <c r="G31">
        <v>11.4</v>
      </c>
      <c r="J31" t="s">
        <v>321</v>
      </c>
      <c r="K31" t="s">
        <v>317</v>
      </c>
      <c r="L31" t="s">
        <v>322</v>
      </c>
      <c r="M31" t="s">
        <v>300</v>
      </c>
      <c r="N31" t="s">
        <v>264</v>
      </c>
      <c r="O31">
        <v>300</v>
      </c>
      <c r="P31" t="str">
        <f t="shared" si="0"/>
        <v>布洛芬颗粒0.2*20袋*300盒</v>
      </c>
      <c r="R31" s="3" t="s">
        <v>1046</v>
      </c>
      <c r="S31" s="3" t="s">
        <v>1108</v>
      </c>
      <c r="T31" s="3" t="s">
        <v>1109</v>
      </c>
      <c r="U31" s="3" t="s">
        <v>1108</v>
      </c>
      <c r="W31" s="5" t="s">
        <v>1523</v>
      </c>
      <c r="X31" s="5" t="s">
        <v>1573</v>
      </c>
      <c r="Y31" s="5" t="s">
        <v>1586</v>
      </c>
      <c r="Z31" s="5" t="s">
        <v>1587</v>
      </c>
    </row>
    <row r="32" spans="1:26" x14ac:dyDescent="0.15">
      <c r="A32" s="1" t="s">
        <v>83</v>
      </c>
      <c r="B32" s="1" t="s">
        <v>84</v>
      </c>
      <c r="C32" s="1" t="s">
        <v>83</v>
      </c>
      <c r="D32" s="1"/>
      <c r="F32" t="s">
        <v>323</v>
      </c>
      <c r="G32">
        <v>10.5</v>
      </c>
      <c r="J32" t="s">
        <v>323</v>
      </c>
      <c r="K32" t="s">
        <v>324</v>
      </c>
      <c r="L32" t="s">
        <v>325</v>
      </c>
      <c r="M32" t="s">
        <v>326</v>
      </c>
      <c r="N32" t="s">
        <v>248</v>
      </c>
      <c r="O32">
        <v>60</v>
      </c>
      <c r="P32" t="str">
        <f t="shared" si="0"/>
        <v>刺五加脑灵液100ml×60瓶</v>
      </c>
      <c r="R32" s="3" t="s">
        <v>1046</v>
      </c>
      <c r="S32" s="3" t="s">
        <v>1110</v>
      </c>
      <c r="T32" s="3" t="s">
        <v>1111</v>
      </c>
      <c r="U32" s="3" t="s">
        <v>1110</v>
      </c>
      <c r="W32" s="5" t="s">
        <v>1523</v>
      </c>
      <c r="X32" s="5" t="s">
        <v>1573</v>
      </c>
      <c r="Y32" s="5" t="s">
        <v>1588</v>
      </c>
      <c r="Z32" s="5" t="s">
        <v>1589</v>
      </c>
    </row>
    <row r="33" spans="1:26" x14ac:dyDescent="0.15">
      <c r="A33" s="1" t="s">
        <v>85</v>
      </c>
      <c r="B33" s="1" t="s">
        <v>86</v>
      </c>
      <c r="C33" s="1" t="s">
        <v>85</v>
      </c>
      <c r="D33" s="1"/>
      <c r="G33">
        <v>10.5</v>
      </c>
      <c r="K33" t="s">
        <v>324</v>
      </c>
      <c r="L33" t="s">
        <v>327</v>
      </c>
      <c r="M33" t="s">
        <v>326</v>
      </c>
      <c r="N33" t="s">
        <v>264</v>
      </c>
      <c r="P33" t="str">
        <f t="shared" si="0"/>
        <v>刺五加脑灵液12支</v>
      </c>
      <c r="R33" s="3" t="s">
        <v>1046</v>
      </c>
      <c r="S33" s="3" t="s">
        <v>1112</v>
      </c>
      <c r="T33" s="3" t="s">
        <v>1113</v>
      </c>
      <c r="U33" s="3" t="s">
        <v>1112</v>
      </c>
      <c r="W33" s="5" t="s">
        <v>1523</v>
      </c>
      <c r="X33" s="5" t="s">
        <v>1573</v>
      </c>
      <c r="Y33" s="5" t="s">
        <v>1590</v>
      </c>
      <c r="Z33" s="5" t="s">
        <v>1591</v>
      </c>
    </row>
    <row r="34" spans="1:26" x14ac:dyDescent="0.15">
      <c r="A34" s="1" t="s">
        <v>87</v>
      </c>
      <c r="B34" s="1" t="s">
        <v>88</v>
      </c>
      <c r="C34" s="1" t="s">
        <v>87</v>
      </c>
      <c r="D34" s="1"/>
      <c r="F34" t="s">
        <v>328</v>
      </c>
      <c r="G34">
        <v>8</v>
      </c>
      <c r="J34" t="s">
        <v>328</v>
      </c>
      <c r="K34" t="s">
        <v>329</v>
      </c>
      <c r="L34" t="s">
        <v>330</v>
      </c>
      <c r="M34" t="s">
        <v>326</v>
      </c>
      <c r="N34" t="s">
        <v>264</v>
      </c>
      <c r="O34">
        <v>80</v>
      </c>
      <c r="P34" t="str">
        <f t="shared" si="0"/>
        <v>刺五加脑灵液（10ml）10ml×10支×80盒</v>
      </c>
      <c r="R34" s="3" t="s">
        <v>1046</v>
      </c>
      <c r="S34" s="3" t="s">
        <v>1114</v>
      </c>
      <c r="T34" s="3" t="s">
        <v>1115</v>
      </c>
      <c r="U34" s="3" t="s">
        <v>1114</v>
      </c>
      <c r="W34" s="5" t="s">
        <v>1523</v>
      </c>
      <c r="X34" s="5" t="s">
        <v>1592</v>
      </c>
      <c r="Y34" s="5" t="s">
        <v>1593</v>
      </c>
      <c r="Z34" s="5" t="s">
        <v>1594</v>
      </c>
    </row>
    <row r="35" spans="1:26" x14ac:dyDescent="0.15">
      <c r="A35" s="1" t="s">
        <v>89</v>
      </c>
      <c r="B35" s="1" t="s">
        <v>90</v>
      </c>
      <c r="C35" s="1" t="s">
        <v>89</v>
      </c>
      <c r="D35" s="1"/>
      <c r="F35" t="s">
        <v>331</v>
      </c>
      <c r="G35">
        <v>24.5</v>
      </c>
      <c r="H35">
        <v>27.2</v>
      </c>
      <c r="I35">
        <v>68</v>
      </c>
      <c r="J35" t="s">
        <v>331</v>
      </c>
      <c r="K35" t="s">
        <v>332</v>
      </c>
      <c r="L35" t="s">
        <v>333</v>
      </c>
      <c r="M35" t="s">
        <v>334</v>
      </c>
      <c r="N35" t="s">
        <v>264</v>
      </c>
      <c r="O35">
        <v>60</v>
      </c>
      <c r="P35" t="str">
        <f t="shared" si="0"/>
        <v>刺五加王浆口服液10ml×12支×60盒</v>
      </c>
      <c r="R35" s="3" t="s">
        <v>1088</v>
      </c>
      <c r="S35" s="3" t="s">
        <v>1116</v>
      </c>
      <c r="T35" s="3" t="s">
        <v>1117</v>
      </c>
      <c r="U35" s="3" t="s">
        <v>1116</v>
      </c>
      <c r="W35" s="5" t="s">
        <v>1523</v>
      </c>
      <c r="X35" s="5" t="s">
        <v>1592</v>
      </c>
      <c r="Y35" s="5" t="s">
        <v>1595</v>
      </c>
      <c r="Z35" s="5" t="s">
        <v>1596</v>
      </c>
    </row>
    <row r="36" spans="1:26" x14ac:dyDescent="0.15">
      <c r="A36" s="1" t="s">
        <v>91</v>
      </c>
      <c r="B36" s="1" t="s">
        <v>92</v>
      </c>
      <c r="C36" s="1" t="s">
        <v>91</v>
      </c>
      <c r="D36" s="1"/>
      <c r="F36" t="s">
        <v>335</v>
      </c>
      <c r="G36">
        <v>3.51</v>
      </c>
      <c r="J36" t="s">
        <v>335</v>
      </c>
      <c r="K36" t="s">
        <v>336</v>
      </c>
      <c r="L36" t="s">
        <v>299</v>
      </c>
      <c r="M36" t="s">
        <v>300</v>
      </c>
      <c r="N36" t="s">
        <v>264</v>
      </c>
      <c r="O36">
        <v>100</v>
      </c>
      <c r="P36" t="str">
        <f t="shared" si="0"/>
        <v>大山楂丸(OTC)9g×10丸×100盒</v>
      </c>
      <c r="R36" s="3" t="s">
        <v>1061</v>
      </c>
      <c r="S36" s="3" t="s">
        <v>1118</v>
      </c>
      <c r="T36" s="3" t="s">
        <v>1119</v>
      </c>
      <c r="U36" s="3" t="s">
        <v>1118</v>
      </c>
      <c r="W36" s="5" t="s">
        <v>1523</v>
      </c>
      <c r="X36" s="5" t="s">
        <v>1592</v>
      </c>
      <c r="Y36" s="5" t="s">
        <v>1597</v>
      </c>
      <c r="Z36" s="5" t="s">
        <v>1598</v>
      </c>
    </row>
    <row r="37" spans="1:26" x14ac:dyDescent="0.15">
      <c r="A37" s="1" t="s">
        <v>93</v>
      </c>
      <c r="B37" s="1" t="s">
        <v>94</v>
      </c>
      <c r="C37" s="1" t="s">
        <v>93</v>
      </c>
      <c r="D37" s="1"/>
      <c r="F37" t="s">
        <v>337</v>
      </c>
      <c r="G37">
        <v>16.43</v>
      </c>
      <c r="J37" t="s">
        <v>337</v>
      </c>
      <c r="K37" t="s">
        <v>338</v>
      </c>
      <c r="L37" t="s">
        <v>339</v>
      </c>
      <c r="M37" t="s">
        <v>300</v>
      </c>
      <c r="N37" t="s">
        <v>264</v>
      </c>
      <c r="O37">
        <v>60</v>
      </c>
      <c r="P37" t="str">
        <f t="shared" si="0"/>
        <v>丹佛胃尔康颗粒10g*10袋</v>
      </c>
      <c r="R37" s="3" t="s">
        <v>1061</v>
      </c>
      <c r="S37" s="3" t="s">
        <v>1120</v>
      </c>
      <c r="T37" s="3" t="s">
        <v>1121</v>
      </c>
      <c r="U37" s="3" t="s">
        <v>1120</v>
      </c>
      <c r="W37" s="5" t="s">
        <v>1523</v>
      </c>
      <c r="X37" s="5" t="s">
        <v>1592</v>
      </c>
      <c r="Y37" s="5" t="s">
        <v>1599</v>
      </c>
      <c r="Z37" s="5" t="s">
        <v>1600</v>
      </c>
    </row>
    <row r="38" spans="1:26" x14ac:dyDescent="0.15">
      <c r="A38" s="1" t="s">
        <v>95</v>
      </c>
      <c r="B38" s="1" t="s">
        <v>96</v>
      </c>
      <c r="C38" s="1" t="s">
        <v>95</v>
      </c>
      <c r="D38" s="1"/>
      <c r="F38" t="s">
        <v>340</v>
      </c>
      <c r="G38">
        <v>14.5</v>
      </c>
      <c r="J38" t="s">
        <v>340</v>
      </c>
      <c r="K38" t="s">
        <v>338</v>
      </c>
      <c r="L38" t="s">
        <v>341</v>
      </c>
      <c r="M38" t="s">
        <v>300</v>
      </c>
      <c r="N38" t="s">
        <v>264</v>
      </c>
      <c r="O38">
        <v>60</v>
      </c>
      <c r="P38" t="str">
        <f t="shared" si="0"/>
        <v>丹佛胃尔康颗粒10g*8袋</v>
      </c>
      <c r="R38" s="3" t="s">
        <v>1046</v>
      </c>
      <c r="S38" s="3" t="s">
        <v>1122</v>
      </c>
      <c r="T38" s="3" t="s">
        <v>1123</v>
      </c>
      <c r="U38" s="3" t="s">
        <v>1122</v>
      </c>
      <c r="W38" s="5" t="s">
        <v>1523</v>
      </c>
      <c r="X38" s="5" t="s">
        <v>1592</v>
      </c>
      <c r="Y38" s="5" t="s">
        <v>1601</v>
      </c>
      <c r="Z38" s="5" t="s">
        <v>1602</v>
      </c>
    </row>
    <row r="39" spans="1:26" x14ac:dyDescent="0.15">
      <c r="A39" s="1" t="s">
        <v>97</v>
      </c>
      <c r="B39" s="1" t="s">
        <v>98</v>
      </c>
      <c r="C39" s="1" t="s">
        <v>97</v>
      </c>
      <c r="D39" s="1"/>
      <c r="F39" t="s">
        <v>342</v>
      </c>
      <c r="G39">
        <v>16.600000000000001</v>
      </c>
      <c r="J39" t="s">
        <v>342</v>
      </c>
      <c r="K39" t="s">
        <v>343</v>
      </c>
      <c r="L39" t="s">
        <v>344</v>
      </c>
      <c r="M39" t="s">
        <v>300</v>
      </c>
      <c r="N39" t="s">
        <v>264</v>
      </c>
      <c r="O39">
        <v>120</v>
      </c>
      <c r="P39" t="str">
        <f t="shared" si="0"/>
        <v>丹佛胃尔康颗粒(6袋)6袋×10g6袋×10g</v>
      </c>
      <c r="R39" s="3" t="s">
        <v>1046</v>
      </c>
      <c r="S39" s="3" t="s">
        <v>1124</v>
      </c>
      <c r="T39" s="3" t="s">
        <v>1125</v>
      </c>
      <c r="U39" s="3" t="s">
        <v>1124</v>
      </c>
      <c r="W39" s="5" t="s">
        <v>1523</v>
      </c>
      <c r="X39" s="5" t="s">
        <v>1592</v>
      </c>
      <c r="Y39" s="5" t="s">
        <v>1603</v>
      </c>
      <c r="Z39" s="5" t="s">
        <v>1604</v>
      </c>
    </row>
    <row r="40" spans="1:26" x14ac:dyDescent="0.15">
      <c r="A40" s="1" t="s">
        <v>99</v>
      </c>
      <c r="B40" s="1" t="s">
        <v>100</v>
      </c>
      <c r="C40" s="1" t="s">
        <v>99</v>
      </c>
      <c r="D40" s="2" t="s">
        <v>1820</v>
      </c>
      <c r="F40" t="s">
        <v>345</v>
      </c>
      <c r="G40">
        <v>3</v>
      </c>
      <c r="J40" t="s">
        <v>345</v>
      </c>
      <c r="K40" t="s">
        <v>346</v>
      </c>
      <c r="L40" t="s">
        <v>347</v>
      </c>
      <c r="M40" t="s">
        <v>294</v>
      </c>
      <c r="N40" t="s">
        <v>248</v>
      </c>
      <c r="O40">
        <v>600</v>
      </c>
      <c r="P40" t="str">
        <f t="shared" si="0"/>
        <v>颠茄磺苄啶片（成人10片）0.48g×10片×600盒</v>
      </c>
      <c r="R40" s="3" t="s">
        <v>1046</v>
      </c>
      <c r="S40" s="3" t="s">
        <v>1126</v>
      </c>
      <c r="T40" s="3" t="s">
        <v>1127</v>
      </c>
      <c r="U40" s="3" t="s">
        <v>1126</v>
      </c>
      <c r="W40" s="5" t="s">
        <v>1523</v>
      </c>
      <c r="X40" s="5" t="s">
        <v>1592</v>
      </c>
      <c r="Y40" s="5" t="s">
        <v>1605</v>
      </c>
      <c r="Z40" s="5" t="s">
        <v>1606</v>
      </c>
    </row>
    <row r="41" spans="1:26" x14ac:dyDescent="0.15">
      <c r="A41" s="1" t="s">
        <v>101</v>
      </c>
      <c r="B41" s="1" t="s">
        <v>102</v>
      </c>
      <c r="C41" s="1" t="s">
        <v>101</v>
      </c>
      <c r="D41" s="1"/>
      <c r="F41" t="s">
        <v>348</v>
      </c>
      <c r="G41">
        <v>3.5</v>
      </c>
      <c r="J41" t="s">
        <v>348</v>
      </c>
      <c r="K41" t="s">
        <v>349</v>
      </c>
      <c r="L41" t="s">
        <v>350</v>
      </c>
      <c r="M41" t="s">
        <v>294</v>
      </c>
      <c r="N41" t="s">
        <v>248</v>
      </c>
      <c r="O41">
        <v>400</v>
      </c>
      <c r="P41" t="str">
        <f t="shared" si="0"/>
        <v>颠茄磺苄啶片(成人12片盒装)0.48g×12片×400盒</v>
      </c>
      <c r="R41" s="3" t="s">
        <v>1046</v>
      </c>
      <c r="S41" s="3" t="s">
        <v>1128</v>
      </c>
      <c r="T41" s="3" t="s">
        <v>1129</v>
      </c>
      <c r="U41" s="3" t="s">
        <v>1128</v>
      </c>
      <c r="W41" s="5" t="s">
        <v>1523</v>
      </c>
      <c r="X41" s="5" t="s">
        <v>1592</v>
      </c>
      <c r="Y41" s="5" t="s">
        <v>1607</v>
      </c>
      <c r="Z41" s="5" t="s">
        <v>1608</v>
      </c>
    </row>
    <row r="42" spans="1:26" x14ac:dyDescent="0.15">
      <c r="A42" s="1" t="s">
        <v>103</v>
      </c>
      <c r="B42" s="1" t="s">
        <v>104</v>
      </c>
      <c r="C42" s="1" t="s">
        <v>103</v>
      </c>
      <c r="D42" s="1"/>
      <c r="F42" t="s">
        <v>351</v>
      </c>
      <c r="G42">
        <v>1.96</v>
      </c>
      <c r="J42" t="s">
        <v>351</v>
      </c>
      <c r="K42" t="s">
        <v>352</v>
      </c>
      <c r="L42" t="s">
        <v>353</v>
      </c>
      <c r="M42" t="s">
        <v>294</v>
      </c>
      <c r="N42" t="s">
        <v>248</v>
      </c>
      <c r="O42">
        <v>600</v>
      </c>
      <c r="P42" t="str">
        <f t="shared" si="0"/>
        <v>颠茄磺苄啶片(小儿)0.12g×20片×600盒</v>
      </c>
      <c r="R42" s="3" t="s">
        <v>1061</v>
      </c>
      <c r="S42" s="3" t="s">
        <v>1130</v>
      </c>
      <c r="T42" s="3" t="s">
        <v>1131</v>
      </c>
      <c r="U42" s="3" t="s">
        <v>1130</v>
      </c>
      <c r="W42" s="5" t="s">
        <v>1523</v>
      </c>
      <c r="X42" s="5" t="s">
        <v>1592</v>
      </c>
      <c r="Y42" s="5" t="s">
        <v>1609</v>
      </c>
      <c r="Z42" s="5" t="s">
        <v>1610</v>
      </c>
    </row>
    <row r="43" spans="1:26" x14ac:dyDescent="0.15">
      <c r="A43" s="1" t="s">
        <v>105</v>
      </c>
      <c r="B43" s="1" t="s">
        <v>106</v>
      </c>
      <c r="C43" s="1" t="s">
        <v>105</v>
      </c>
      <c r="D43" s="1"/>
      <c r="F43" t="s">
        <v>354</v>
      </c>
      <c r="G43">
        <v>6.07</v>
      </c>
      <c r="J43" t="s">
        <v>354</v>
      </c>
      <c r="K43" t="s">
        <v>355</v>
      </c>
      <c r="L43" t="s">
        <v>356</v>
      </c>
      <c r="M43" t="s">
        <v>300</v>
      </c>
      <c r="N43" t="s">
        <v>264</v>
      </c>
      <c r="O43">
        <v>100</v>
      </c>
      <c r="P43" t="str">
        <f t="shared" si="0"/>
        <v>跌打丸（OTC）3g×10丸×100盒</v>
      </c>
      <c r="R43" s="3" t="s">
        <v>1046</v>
      </c>
      <c r="S43" s="3" t="s">
        <v>1132</v>
      </c>
      <c r="T43" s="3" t="s">
        <v>1133</v>
      </c>
      <c r="U43" s="3" t="s">
        <v>1132</v>
      </c>
      <c r="W43" s="5" t="s">
        <v>1523</v>
      </c>
      <c r="X43" s="5" t="s">
        <v>1592</v>
      </c>
      <c r="Y43" s="5" t="s">
        <v>1611</v>
      </c>
      <c r="Z43" s="5" t="s">
        <v>1612</v>
      </c>
    </row>
    <row r="44" spans="1:26" x14ac:dyDescent="0.15">
      <c r="A44" s="1" t="s">
        <v>107</v>
      </c>
      <c r="B44" s="1" t="s">
        <v>108</v>
      </c>
      <c r="C44" s="1" t="s">
        <v>107</v>
      </c>
      <c r="D44" s="1"/>
      <c r="F44" t="s">
        <v>357</v>
      </c>
      <c r="G44">
        <v>29</v>
      </c>
      <c r="J44" t="s">
        <v>357</v>
      </c>
      <c r="K44" t="s">
        <v>358</v>
      </c>
      <c r="L44" t="s">
        <v>359</v>
      </c>
      <c r="M44" t="s">
        <v>300</v>
      </c>
      <c r="N44" t="s">
        <v>264</v>
      </c>
      <c r="O44">
        <v>80</v>
      </c>
      <c r="P44" t="str">
        <f t="shared" si="0"/>
        <v>定坤丸12g×10丸×80盒</v>
      </c>
      <c r="R44" s="3" t="s">
        <v>1088</v>
      </c>
      <c r="S44" s="3" t="s">
        <v>1134</v>
      </c>
      <c r="T44" s="3" t="s">
        <v>1135</v>
      </c>
      <c r="U44" s="3" t="s">
        <v>1134</v>
      </c>
      <c r="W44" s="5" t="s">
        <v>1523</v>
      </c>
      <c r="X44" s="5" t="s">
        <v>1613</v>
      </c>
      <c r="Y44" s="5" t="s">
        <v>1614</v>
      </c>
      <c r="Z44" s="5" t="s">
        <v>1615</v>
      </c>
    </row>
    <row r="45" spans="1:26" x14ac:dyDescent="0.15">
      <c r="A45" s="1" t="s">
        <v>109</v>
      </c>
      <c r="B45" s="1" t="s">
        <v>110</v>
      </c>
      <c r="C45" s="1" t="s">
        <v>109</v>
      </c>
      <c r="D45" s="1"/>
      <c r="F45" t="s">
        <v>360</v>
      </c>
      <c r="G45">
        <v>4</v>
      </c>
      <c r="J45" t="s">
        <v>360</v>
      </c>
      <c r="K45" t="s">
        <v>361</v>
      </c>
      <c r="L45" t="s">
        <v>362</v>
      </c>
      <c r="M45" t="s">
        <v>294</v>
      </c>
      <c r="N45" t="s">
        <v>248</v>
      </c>
      <c r="O45">
        <v>300</v>
      </c>
      <c r="P45" t="str">
        <f t="shared" si="0"/>
        <v>厄贝沙坦胶囊75mg×12粒×300盒</v>
      </c>
      <c r="R45" s="3" t="s">
        <v>1046</v>
      </c>
      <c r="S45" s="3" t="s">
        <v>1136</v>
      </c>
      <c r="T45" s="3" t="s">
        <v>1137</v>
      </c>
      <c r="U45" s="3" t="s">
        <v>1136</v>
      </c>
      <c r="W45" s="5" t="s">
        <v>1523</v>
      </c>
      <c r="X45" s="5" t="s">
        <v>1613</v>
      </c>
      <c r="Y45" s="5" t="s">
        <v>1616</v>
      </c>
      <c r="Z45" s="5" t="s">
        <v>1617</v>
      </c>
    </row>
    <row r="46" spans="1:26" x14ac:dyDescent="0.15">
      <c r="A46" s="1" t="s">
        <v>111</v>
      </c>
      <c r="B46" s="1" t="s">
        <v>112</v>
      </c>
      <c r="C46" s="1" t="s">
        <v>111</v>
      </c>
      <c r="D46" s="1"/>
      <c r="F46" t="s">
        <v>363</v>
      </c>
      <c r="G46">
        <v>6</v>
      </c>
      <c r="J46" t="s">
        <v>363</v>
      </c>
      <c r="K46" t="s">
        <v>361</v>
      </c>
      <c r="L46" t="s">
        <v>364</v>
      </c>
      <c r="M46" t="s">
        <v>294</v>
      </c>
      <c r="N46" t="s">
        <v>248</v>
      </c>
      <c r="O46">
        <v>300</v>
      </c>
      <c r="P46" t="str">
        <f t="shared" si="0"/>
        <v>厄贝沙坦胶囊75mg×24粒×300盒</v>
      </c>
      <c r="R46" s="3" t="s">
        <v>1046</v>
      </c>
      <c r="S46" s="3" t="s">
        <v>1138</v>
      </c>
      <c r="T46" s="3" t="s">
        <v>1139</v>
      </c>
      <c r="U46" s="3" t="s">
        <v>1138</v>
      </c>
      <c r="W46" s="5" t="s">
        <v>1523</v>
      </c>
      <c r="X46" s="5" t="s">
        <v>1613</v>
      </c>
      <c r="Y46" s="5" t="s">
        <v>1618</v>
      </c>
      <c r="Z46" s="5" t="s">
        <v>1619</v>
      </c>
    </row>
    <row r="47" spans="1:26" x14ac:dyDescent="0.15">
      <c r="A47" s="1" t="s">
        <v>113</v>
      </c>
      <c r="B47" s="1" t="s">
        <v>114</v>
      </c>
      <c r="C47" s="1" t="s">
        <v>113</v>
      </c>
      <c r="D47" s="1"/>
      <c r="F47" t="s">
        <v>365</v>
      </c>
      <c r="G47">
        <v>6.18</v>
      </c>
      <c r="J47" t="s">
        <v>365</v>
      </c>
      <c r="K47" t="s">
        <v>366</v>
      </c>
      <c r="L47" t="s">
        <v>367</v>
      </c>
      <c r="M47" t="s">
        <v>300</v>
      </c>
      <c r="N47" t="s">
        <v>264</v>
      </c>
      <c r="O47">
        <v>100</v>
      </c>
      <c r="P47" t="str">
        <f t="shared" si="0"/>
        <v>妇宁栓(4粒)1.6g×4枚×100盒</v>
      </c>
      <c r="R47" s="3" t="s">
        <v>1046</v>
      </c>
      <c r="S47" s="3" t="s">
        <v>1140</v>
      </c>
      <c r="T47" s="3" t="s">
        <v>1141</v>
      </c>
      <c r="U47" s="3" t="s">
        <v>1140</v>
      </c>
      <c r="W47" s="5" t="s">
        <v>1523</v>
      </c>
      <c r="X47" s="5" t="s">
        <v>1613</v>
      </c>
      <c r="Y47" s="5" t="s">
        <v>1620</v>
      </c>
      <c r="Z47" s="5" t="s">
        <v>1621</v>
      </c>
    </row>
    <row r="48" spans="1:26" x14ac:dyDescent="0.15">
      <c r="A48" s="1" t="s">
        <v>115</v>
      </c>
      <c r="B48" s="1" t="s">
        <v>116</v>
      </c>
      <c r="C48" s="1" t="s">
        <v>115</v>
      </c>
      <c r="D48" s="1"/>
      <c r="F48" t="s">
        <v>368</v>
      </c>
      <c r="G48">
        <v>10.3</v>
      </c>
      <c r="J48" t="s">
        <v>368</v>
      </c>
      <c r="K48" t="s">
        <v>369</v>
      </c>
      <c r="L48" t="s">
        <v>370</v>
      </c>
      <c r="M48" t="s">
        <v>300</v>
      </c>
      <c r="N48" t="s">
        <v>264</v>
      </c>
      <c r="O48">
        <v>100</v>
      </c>
      <c r="P48" t="str">
        <f t="shared" si="0"/>
        <v>妇宁栓(7粒)1.6g×7枚×100盒</v>
      </c>
      <c r="R48" s="3" t="s">
        <v>1061</v>
      </c>
      <c r="S48" s="3" t="s">
        <v>1142</v>
      </c>
      <c r="T48" s="3" t="s">
        <v>1143</v>
      </c>
      <c r="U48" s="3" t="s">
        <v>1142</v>
      </c>
      <c r="W48" s="5" t="s">
        <v>1523</v>
      </c>
      <c r="X48" s="5" t="s">
        <v>1613</v>
      </c>
      <c r="Y48" s="5" t="s">
        <v>1622</v>
      </c>
      <c r="Z48" s="5" t="s">
        <v>1623</v>
      </c>
    </row>
    <row r="49" spans="1:26" x14ac:dyDescent="0.15">
      <c r="A49" s="1" t="s">
        <v>117</v>
      </c>
      <c r="B49" s="1" t="s">
        <v>118</v>
      </c>
      <c r="C49" s="1" t="s">
        <v>117</v>
      </c>
      <c r="D49" s="1"/>
      <c r="F49" t="s">
        <v>371</v>
      </c>
      <c r="G49">
        <v>11.3</v>
      </c>
      <c r="J49" t="s">
        <v>371</v>
      </c>
      <c r="K49" t="s">
        <v>372</v>
      </c>
      <c r="L49" t="s">
        <v>373</v>
      </c>
      <c r="M49" t="s">
        <v>300</v>
      </c>
      <c r="N49" t="s">
        <v>264</v>
      </c>
      <c r="O49">
        <v>100</v>
      </c>
      <c r="P49" t="str">
        <f t="shared" si="0"/>
        <v>妇宁栓(8粒)1.6g×8枚×100盒</v>
      </c>
      <c r="R49" s="3" t="s">
        <v>1061</v>
      </c>
      <c r="S49" s="3" t="s">
        <v>1144</v>
      </c>
      <c r="T49" s="3" t="s">
        <v>1145</v>
      </c>
      <c r="U49" s="3" t="s">
        <v>1144</v>
      </c>
      <c r="W49" s="5" t="s">
        <v>1523</v>
      </c>
      <c r="X49" s="5" t="s">
        <v>1613</v>
      </c>
      <c r="Y49" s="5" t="s">
        <v>1624</v>
      </c>
      <c r="Z49" s="5" t="s">
        <v>1625</v>
      </c>
    </row>
    <row r="50" spans="1:26" x14ac:dyDescent="0.15">
      <c r="A50" s="1" t="s">
        <v>119</v>
      </c>
      <c r="B50" s="1" t="s">
        <v>120</v>
      </c>
      <c r="C50" s="1" t="s">
        <v>119</v>
      </c>
      <c r="D50" s="1"/>
      <c r="F50" t="s">
        <v>374</v>
      </c>
      <c r="G50">
        <v>11.89</v>
      </c>
      <c r="J50" t="s">
        <v>374</v>
      </c>
      <c r="K50" t="s">
        <v>375</v>
      </c>
      <c r="L50" t="s">
        <v>376</v>
      </c>
      <c r="M50" t="s">
        <v>300</v>
      </c>
      <c r="N50" t="s">
        <v>264</v>
      </c>
      <c r="O50">
        <v>180</v>
      </c>
      <c r="P50" t="str">
        <f t="shared" si="0"/>
        <v>附桂骨痛胶囊0.33g×48粒×180盒</v>
      </c>
      <c r="R50" s="3" t="s">
        <v>1046</v>
      </c>
      <c r="S50" s="3" t="s">
        <v>1146</v>
      </c>
      <c r="T50" s="3" t="s">
        <v>1147</v>
      </c>
      <c r="U50" s="3" t="s">
        <v>1146</v>
      </c>
      <c r="W50" s="5" t="s">
        <v>1523</v>
      </c>
      <c r="X50" s="5" t="s">
        <v>1613</v>
      </c>
      <c r="Y50" s="5" t="s">
        <v>1626</v>
      </c>
      <c r="Z50" s="5" t="s">
        <v>1627</v>
      </c>
    </row>
    <row r="51" spans="1:26" x14ac:dyDescent="0.15">
      <c r="A51" s="1" t="s">
        <v>121</v>
      </c>
      <c r="B51" s="1" t="s">
        <v>122</v>
      </c>
      <c r="C51" s="1" t="s">
        <v>121</v>
      </c>
      <c r="D51" s="1"/>
      <c r="F51" t="s">
        <v>377</v>
      </c>
      <c r="G51">
        <v>9.1999999999999993</v>
      </c>
      <c r="J51" t="s">
        <v>377</v>
      </c>
      <c r="K51" t="s">
        <v>378</v>
      </c>
      <c r="L51" t="s">
        <v>299</v>
      </c>
      <c r="M51" t="s">
        <v>300</v>
      </c>
      <c r="N51" t="s">
        <v>264</v>
      </c>
      <c r="O51">
        <v>100</v>
      </c>
      <c r="P51" t="str">
        <f t="shared" si="0"/>
        <v>附子理中丸(OTC)9g×10丸×100盒</v>
      </c>
      <c r="R51" s="3" t="s">
        <v>1046</v>
      </c>
      <c r="S51" s="3" t="s">
        <v>1148</v>
      </c>
      <c r="T51" s="3" t="s">
        <v>1149</v>
      </c>
      <c r="U51" s="3" t="s">
        <v>1148</v>
      </c>
      <c r="W51" s="5" t="s">
        <v>1523</v>
      </c>
      <c r="X51" s="5" t="s">
        <v>1613</v>
      </c>
      <c r="Y51" s="5" t="s">
        <v>1628</v>
      </c>
      <c r="Z51" s="5" t="s">
        <v>1629</v>
      </c>
    </row>
    <row r="52" spans="1:26" x14ac:dyDescent="0.15">
      <c r="A52" s="1" t="s">
        <v>123</v>
      </c>
      <c r="B52" s="1" t="s">
        <v>124</v>
      </c>
      <c r="C52" s="1" t="s">
        <v>123</v>
      </c>
      <c r="D52" s="1"/>
      <c r="F52" t="s">
        <v>379</v>
      </c>
      <c r="G52">
        <v>2.4</v>
      </c>
      <c r="J52" t="s">
        <v>379</v>
      </c>
      <c r="K52" t="s">
        <v>380</v>
      </c>
      <c r="L52" t="s">
        <v>381</v>
      </c>
      <c r="M52" t="s">
        <v>294</v>
      </c>
      <c r="N52" t="s">
        <v>264</v>
      </c>
      <c r="O52">
        <v>400</v>
      </c>
      <c r="P52" t="str">
        <f t="shared" si="0"/>
        <v>复方氨酚烷胺片12片</v>
      </c>
      <c r="R52" s="3" t="s">
        <v>1046</v>
      </c>
      <c r="S52" s="3" t="s">
        <v>1150</v>
      </c>
      <c r="T52" s="3" t="s">
        <v>1151</v>
      </c>
      <c r="U52" s="3" t="s">
        <v>1150</v>
      </c>
      <c r="W52" s="5" t="s">
        <v>1523</v>
      </c>
      <c r="X52" s="5" t="s">
        <v>1613</v>
      </c>
      <c r="Y52" s="5" t="s">
        <v>1630</v>
      </c>
      <c r="Z52" s="5" t="s">
        <v>1631</v>
      </c>
    </row>
    <row r="53" spans="1:26" x14ac:dyDescent="0.15">
      <c r="A53" s="1" t="s">
        <v>125</v>
      </c>
      <c r="B53" s="1" t="s">
        <v>126</v>
      </c>
      <c r="C53" s="1" t="s">
        <v>125</v>
      </c>
      <c r="D53" s="1"/>
      <c r="F53" t="s">
        <v>382</v>
      </c>
      <c r="G53">
        <v>2</v>
      </c>
      <c r="J53" t="s">
        <v>382</v>
      </c>
      <c r="K53" t="s">
        <v>380</v>
      </c>
      <c r="L53" t="s">
        <v>383</v>
      </c>
      <c r="M53" t="s">
        <v>247</v>
      </c>
      <c r="N53" t="s">
        <v>248</v>
      </c>
      <c r="O53">
        <v>400</v>
      </c>
      <c r="P53" t="str">
        <f t="shared" si="0"/>
        <v>复方氨酚烷胺片12片×400盒</v>
      </c>
      <c r="R53" s="3" t="s">
        <v>1061</v>
      </c>
      <c r="S53" s="3" t="s">
        <v>1152</v>
      </c>
      <c r="T53" s="3" t="s">
        <v>1153</v>
      </c>
      <c r="U53" s="3" t="s">
        <v>1152</v>
      </c>
      <c r="W53" s="5" t="s">
        <v>1523</v>
      </c>
      <c r="X53" s="5" t="s">
        <v>1613</v>
      </c>
      <c r="Y53" s="5" t="s">
        <v>1632</v>
      </c>
      <c r="Z53" s="5" t="s">
        <v>1633</v>
      </c>
    </row>
    <row r="54" spans="1:26" x14ac:dyDescent="0.15">
      <c r="A54" s="1" t="s">
        <v>127</v>
      </c>
      <c r="B54" s="1" t="s">
        <v>128</v>
      </c>
      <c r="C54" s="1" t="s">
        <v>127</v>
      </c>
      <c r="D54" s="1"/>
      <c r="F54" t="s">
        <v>384</v>
      </c>
      <c r="G54">
        <v>1.71</v>
      </c>
      <c r="J54" t="s">
        <v>384</v>
      </c>
      <c r="K54" t="s">
        <v>380</v>
      </c>
      <c r="L54" t="s">
        <v>385</v>
      </c>
      <c r="M54" t="s">
        <v>386</v>
      </c>
      <c r="N54" t="s">
        <v>264</v>
      </c>
      <c r="O54">
        <v>400</v>
      </c>
      <c r="P54" t="str">
        <f t="shared" si="0"/>
        <v>复方氨酚烷胺片12*</v>
      </c>
      <c r="R54" s="3" t="s">
        <v>1046</v>
      </c>
      <c r="S54" s="3" t="s">
        <v>1154</v>
      </c>
      <c r="T54" s="3" t="s">
        <v>1155</v>
      </c>
      <c r="U54" s="3" t="s">
        <v>1154</v>
      </c>
      <c r="W54" s="5" t="s">
        <v>1523</v>
      </c>
      <c r="X54" s="5" t="s">
        <v>1613</v>
      </c>
      <c r="Y54" s="5" t="s">
        <v>1634</v>
      </c>
      <c r="Z54" s="5" t="s">
        <v>1635</v>
      </c>
    </row>
    <row r="55" spans="1:26" x14ac:dyDescent="0.15">
      <c r="A55" s="1" t="s">
        <v>129</v>
      </c>
      <c r="B55" s="1" t="s">
        <v>130</v>
      </c>
      <c r="C55" s="1" t="s">
        <v>129</v>
      </c>
      <c r="D55" s="1"/>
      <c r="F55" t="s">
        <v>387</v>
      </c>
      <c r="G55">
        <v>2.4</v>
      </c>
      <c r="J55" t="s">
        <v>387</v>
      </c>
      <c r="K55" t="s">
        <v>380</v>
      </c>
      <c r="L55" t="s">
        <v>388</v>
      </c>
      <c r="M55" t="s">
        <v>389</v>
      </c>
      <c r="N55" t="s">
        <v>248</v>
      </c>
      <c r="O55">
        <v>300</v>
      </c>
      <c r="P55" t="str">
        <f t="shared" si="0"/>
        <v>复方氨酚烷胺片12片×300盒</v>
      </c>
      <c r="R55" s="3" t="s">
        <v>1088</v>
      </c>
      <c r="S55" s="3" t="s">
        <v>1156</v>
      </c>
      <c r="T55" s="3" t="s">
        <v>1157</v>
      </c>
      <c r="U55" s="3" t="s">
        <v>1156</v>
      </c>
      <c r="W55" s="5" t="s">
        <v>1523</v>
      </c>
      <c r="X55" s="5" t="s">
        <v>1636</v>
      </c>
      <c r="Y55" s="5" t="s">
        <v>1637</v>
      </c>
      <c r="Z55" s="5" t="s">
        <v>1638</v>
      </c>
    </row>
    <row r="56" spans="1:26" x14ac:dyDescent="0.15">
      <c r="A56" s="1" t="s">
        <v>131</v>
      </c>
      <c r="B56" s="1" t="s">
        <v>132</v>
      </c>
      <c r="C56" s="1" t="s">
        <v>131</v>
      </c>
      <c r="D56" s="1"/>
      <c r="F56" t="s">
        <v>390</v>
      </c>
      <c r="G56">
        <v>13</v>
      </c>
      <c r="J56" t="s">
        <v>390</v>
      </c>
      <c r="K56" t="s">
        <v>391</v>
      </c>
      <c r="L56" t="s">
        <v>392</v>
      </c>
      <c r="M56" t="s">
        <v>300</v>
      </c>
      <c r="N56" t="s">
        <v>264</v>
      </c>
      <c r="O56">
        <v>60</v>
      </c>
      <c r="P56" t="str">
        <f t="shared" si="0"/>
        <v>复方金银花颗粒（OTC）10g×10袋×60盒</v>
      </c>
      <c r="R56" s="3" t="s">
        <v>1088</v>
      </c>
      <c r="S56" s="3" t="s">
        <v>1158</v>
      </c>
      <c r="T56" s="3" t="s">
        <v>1159</v>
      </c>
      <c r="U56" s="3" t="s">
        <v>1158</v>
      </c>
      <c r="W56" s="5" t="s">
        <v>1523</v>
      </c>
      <c r="X56" s="5" t="s">
        <v>1636</v>
      </c>
      <c r="Y56" s="5" t="s">
        <v>1639</v>
      </c>
      <c r="Z56" s="5" t="s">
        <v>1640</v>
      </c>
    </row>
    <row r="57" spans="1:26" x14ac:dyDescent="0.15">
      <c r="A57" s="1" t="s">
        <v>133</v>
      </c>
      <c r="B57" s="1" t="s">
        <v>134</v>
      </c>
      <c r="C57" s="1" t="s">
        <v>133</v>
      </c>
      <c r="D57" s="1"/>
      <c r="F57" t="s">
        <v>393</v>
      </c>
      <c r="G57">
        <v>5.3</v>
      </c>
      <c r="J57" t="s">
        <v>393</v>
      </c>
      <c r="K57" t="s">
        <v>394</v>
      </c>
      <c r="L57" t="s">
        <v>395</v>
      </c>
      <c r="M57" t="s">
        <v>389</v>
      </c>
      <c r="N57" t="s">
        <v>264</v>
      </c>
      <c r="O57">
        <v>300</v>
      </c>
      <c r="P57" t="str">
        <f t="shared" si="0"/>
        <v>复方铝酸铋片30片×300盒</v>
      </c>
      <c r="R57" s="3" t="s">
        <v>1046</v>
      </c>
      <c r="S57" s="3" t="s">
        <v>1160</v>
      </c>
      <c r="T57" s="3" t="s">
        <v>1161</v>
      </c>
      <c r="U57" s="3" t="s">
        <v>1160</v>
      </c>
      <c r="W57" s="5" t="s">
        <v>1523</v>
      </c>
      <c r="X57" s="5" t="s">
        <v>1641</v>
      </c>
      <c r="Y57" s="5" t="s">
        <v>1642</v>
      </c>
      <c r="Z57" s="5" t="s">
        <v>1643</v>
      </c>
    </row>
    <row r="58" spans="1:26" x14ac:dyDescent="0.15">
      <c r="A58" s="1" t="s">
        <v>135</v>
      </c>
      <c r="B58" s="1" t="s">
        <v>136</v>
      </c>
      <c r="C58" s="1" t="s">
        <v>135</v>
      </c>
      <c r="D58" s="1"/>
      <c r="F58" t="s">
        <v>396</v>
      </c>
      <c r="G58">
        <v>8.3000000000000007</v>
      </c>
      <c r="J58" t="s">
        <v>396</v>
      </c>
      <c r="K58" t="s">
        <v>394</v>
      </c>
      <c r="L58" t="s">
        <v>397</v>
      </c>
      <c r="M58" t="s">
        <v>389</v>
      </c>
      <c r="N58" t="s">
        <v>248</v>
      </c>
      <c r="O58">
        <v>300</v>
      </c>
      <c r="P58" t="str">
        <f t="shared" si="0"/>
        <v>复方铝酸铋片50片×300盒</v>
      </c>
      <c r="R58" s="3" t="s">
        <v>1046</v>
      </c>
      <c r="S58" s="3" t="s">
        <v>1162</v>
      </c>
      <c r="T58" s="3" t="s">
        <v>1163</v>
      </c>
      <c r="U58" s="3" t="s">
        <v>1162</v>
      </c>
      <c r="W58" s="5" t="s">
        <v>1523</v>
      </c>
      <c r="X58" s="5" t="s">
        <v>1641</v>
      </c>
      <c r="Y58" s="5" t="s">
        <v>1644</v>
      </c>
      <c r="Z58" s="5" t="s">
        <v>1645</v>
      </c>
    </row>
    <row r="59" spans="1:26" x14ac:dyDescent="0.15">
      <c r="A59" s="1" t="s">
        <v>137</v>
      </c>
      <c r="B59" s="1" t="s">
        <v>138</v>
      </c>
      <c r="C59" s="1" t="s">
        <v>137</v>
      </c>
      <c r="D59" s="1"/>
      <c r="F59" t="s">
        <v>398</v>
      </c>
      <c r="G59">
        <v>3</v>
      </c>
      <c r="J59" t="s">
        <v>398</v>
      </c>
      <c r="K59" t="s">
        <v>399</v>
      </c>
      <c r="L59" t="s">
        <v>400</v>
      </c>
      <c r="M59" t="s">
        <v>247</v>
      </c>
      <c r="N59" t="s">
        <v>264</v>
      </c>
      <c r="O59">
        <v>200</v>
      </c>
      <c r="P59" t="str">
        <f t="shared" si="0"/>
        <v>富马酸亚铁颗粒2g*0.2g*6袋</v>
      </c>
      <c r="R59" s="3" t="s">
        <v>1046</v>
      </c>
      <c r="S59" s="3" t="s">
        <v>1164</v>
      </c>
      <c r="T59" s="3" t="s">
        <v>1165</v>
      </c>
      <c r="U59" s="3" t="s">
        <v>1164</v>
      </c>
      <c r="W59" s="5" t="s">
        <v>1523</v>
      </c>
      <c r="X59" s="5" t="s">
        <v>1641</v>
      </c>
      <c r="Y59" s="5" t="s">
        <v>1646</v>
      </c>
      <c r="Z59" s="5" t="s">
        <v>1647</v>
      </c>
    </row>
    <row r="60" spans="1:26" x14ac:dyDescent="0.15">
      <c r="A60" s="1" t="s">
        <v>139</v>
      </c>
      <c r="B60" s="1" t="s">
        <v>140</v>
      </c>
      <c r="C60" s="1" t="s">
        <v>139</v>
      </c>
      <c r="D60" s="1"/>
      <c r="F60" t="s">
        <v>401</v>
      </c>
      <c r="G60">
        <v>14</v>
      </c>
      <c r="I60">
        <v>25.8</v>
      </c>
      <c r="J60" t="s">
        <v>401</v>
      </c>
      <c r="K60" t="s">
        <v>402</v>
      </c>
      <c r="L60" t="s">
        <v>403</v>
      </c>
      <c r="M60" t="s">
        <v>294</v>
      </c>
      <c r="N60" t="s">
        <v>248</v>
      </c>
      <c r="O60">
        <v>80</v>
      </c>
      <c r="P60" t="str">
        <f t="shared" si="0"/>
        <v>钙加锌口服液10ml×12支×80盒</v>
      </c>
      <c r="R60" s="3" t="s">
        <v>1046</v>
      </c>
      <c r="S60" s="3" t="s">
        <v>1166</v>
      </c>
      <c r="T60" s="3" t="s">
        <v>1167</v>
      </c>
      <c r="U60" s="3" t="s">
        <v>1166</v>
      </c>
      <c r="W60" s="5" t="s">
        <v>1523</v>
      </c>
      <c r="X60" s="5" t="s">
        <v>1641</v>
      </c>
      <c r="Y60" s="5" t="s">
        <v>1648</v>
      </c>
      <c r="Z60" s="5" t="s">
        <v>1649</v>
      </c>
    </row>
    <row r="61" spans="1:26" x14ac:dyDescent="0.15">
      <c r="A61" s="1" t="s">
        <v>141</v>
      </c>
      <c r="B61" s="1" t="s">
        <v>142</v>
      </c>
      <c r="C61" s="1" t="s">
        <v>141</v>
      </c>
      <c r="D61" s="1"/>
      <c r="F61" t="s">
        <v>404</v>
      </c>
      <c r="G61">
        <v>10.5</v>
      </c>
      <c r="J61" t="s">
        <v>404</v>
      </c>
      <c r="K61" t="s">
        <v>405</v>
      </c>
      <c r="L61" t="s">
        <v>330</v>
      </c>
      <c r="M61" t="s">
        <v>247</v>
      </c>
      <c r="N61" t="s">
        <v>248</v>
      </c>
      <c r="O61">
        <v>80</v>
      </c>
      <c r="P61" t="str">
        <f t="shared" si="0"/>
        <v>钙铁锌口服液10ml×10支×80盒</v>
      </c>
      <c r="R61" s="3" t="s">
        <v>1046</v>
      </c>
      <c r="S61" s="3" t="s">
        <v>1168</v>
      </c>
      <c r="T61" s="3" t="s">
        <v>1169</v>
      </c>
      <c r="U61" s="3" t="s">
        <v>1168</v>
      </c>
      <c r="W61" s="5" t="s">
        <v>1523</v>
      </c>
      <c r="X61" s="5" t="s">
        <v>1641</v>
      </c>
      <c r="Y61" s="5" t="s">
        <v>1650</v>
      </c>
      <c r="Z61" s="5" t="s">
        <v>1651</v>
      </c>
    </row>
    <row r="62" spans="1:26" x14ac:dyDescent="0.15">
      <c r="A62" s="1" t="s">
        <v>143</v>
      </c>
      <c r="B62" s="1" t="s">
        <v>144</v>
      </c>
      <c r="C62" s="1" t="s">
        <v>143</v>
      </c>
      <c r="D62" s="1"/>
      <c r="F62" t="s">
        <v>406</v>
      </c>
      <c r="G62">
        <v>12</v>
      </c>
      <c r="J62" t="s">
        <v>406</v>
      </c>
      <c r="K62" t="s">
        <v>405</v>
      </c>
      <c r="L62" t="s">
        <v>333</v>
      </c>
      <c r="M62" t="s">
        <v>247</v>
      </c>
      <c r="N62" t="s">
        <v>248</v>
      </c>
      <c r="O62">
        <v>60</v>
      </c>
      <c r="P62" t="str">
        <f t="shared" si="0"/>
        <v>钙铁锌口服液10ml×12支×60盒</v>
      </c>
      <c r="R62" s="3" t="s">
        <v>1046</v>
      </c>
      <c r="S62" s="3" t="s">
        <v>1170</v>
      </c>
      <c r="T62" s="3" t="s">
        <v>1171</v>
      </c>
      <c r="U62" s="3" t="s">
        <v>1170</v>
      </c>
      <c r="W62" s="5" t="s">
        <v>1523</v>
      </c>
      <c r="X62" s="5" t="s">
        <v>1641</v>
      </c>
      <c r="Y62" s="5" t="s">
        <v>1652</v>
      </c>
      <c r="Z62" s="5" t="s">
        <v>1653</v>
      </c>
    </row>
    <row r="63" spans="1:26" x14ac:dyDescent="0.15">
      <c r="A63" s="1" t="s">
        <v>145</v>
      </c>
      <c r="B63" s="1" t="s">
        <v>146</v>
      </c>
      <c r="C63" s="1" t="s">
        <v>145</v>
      </c>
      <c r="D63" s="1"/>
      <c r="F63" t="s">
        <v>407</v>
      </c>
      <c r="G63">
        <v>14.5</v>
      </c>
      <c r="J63" t="s">
        <v>407</v>
      </c>
      <c r="K63" t="s">
        <v>405</v>
      </c>
      <c r="L63" t="s">
        <v>408</v>
      </c>
      <c r="M63" t="s">
        <v>247</v>
      </c>
      <c r="N63" t="s">
        <v>248</v>
      </c>
      <c r="O63">
        <v>48</v>
      </c>
      <c r="P63" t="str">
        <f t="shared" si="0"/>
        <v>钙铁锌口服液10ml×15支×48盒</v>
      </c>
      <c r="R63" s="3" t="s">
        <v>1061</v>
      </c>
      <c r="S63" s="3" t="s">
        <v>1172</v>
      </c>
      <c r="T63" s="3" t="s">
        <v>1173</v>
      </c>
      <c r="U63" s="3" t="s">
        <v>1172</v>
      </c>
      <c r="W63" s="5" t="s">
        <v>1523</v>
      </c>
      <c r="X63" s="5" t="s">
        <v>1641</v>
      </c>
      <c r="Y63" s="5" t="s">
        <v>1654</v>
      </c>
      <c r="Z63" s="5" t="s">
        <v>1655</v>
      </c>
    </row>
    <row r="64" spans="1:26" x14ac:dyDescent="0.15">
      <c r="A64" s="1" t="s">
        <v>147</v>
      </c>
      <c r="B64" s="1" t="s">
        <v>148</v>
      </c>
      <c r="C64" s="1" t="s">
        <v>147</v>
      </c>
      <c r="D64" s="1"/>
      <c r="F64" t="s">
        <v>409</v>
      </c>
      <c r="G64">
        <v>14</v>
      </c>
      <c r="J64" t="s">
        <v>409</v>
      </c>
      <c r="K64" t="s">
        <v>410</v>
      </c>
      <c r="L64" t="s">
        <v>411</v>
      </c>
      <c r="M64" t="s">
        <v>294</v>
      </c>
      <c r="N64" t="s">
        <v>264</v>
      </c>
      <c r="O64">
        <v>80</v>
      </c>
      <c r="P64" t="str">
        <f t="shared" si="0"/>
        <v>钙锌口服液10ml*12支</v>
      </c>
      <c r="R64" s="3" t="s">
        <v>1088</v>
      </c>
      <c r="S64" s="3" t="s">
        <v>1174</v>
      </c>
      <c r="T64" s="3" t="s">
        <v>1175</v>
      </c>
      <c r="U64" s="3" t="s">
        <v>1174</v>
      </c>
      <c r="W64" s="5" t="s">
        <v>1523</v>
      </c>
      <c r="X64" s="5" t="s">
        <v>1641</v>
      </c>
      <c r="Y64" s="5" t="s">
        <v>1656</v>
      </c>
      <c r="Z64" s="5" t="s">
        <v>1657</v>
      </c>
    </row>
    <row r="65" spans="1:26" x14ac:dyDescent="0.15">
      <c r="A65" s="1" t="s">
        <v>149</v>
      </c>
      <c r="B65" s="1" t="s">
        <v>150</v>
      </c>
      <c r="C65" s="1" t="s">
        <v>149</v>
      </c>
      <c r="D65" s="1"/>
      <c r="F65" t="s">
        <v>412</v>
      </c>
      <c r="G65">
        <v>24</v>
      </c>
      <c r="J65" t="s">
        <v>412</v>
      </c>
      <c r="K65" t="s">
        <v>410</v>
      </c>
      <c r="L65" t="s">
        <v>413</v>
      </c>
      <c r="M65" t="s">
        <v>294</v>
      </c>
      <c r="N65" t="s">
        <v>264</v>
      </c>
      <c r="O65">
        <v>24</v>
      </c>
      <c r="P65" t="str">
        <f t="shared" si="0"/>
        <v>钙锌口服液10ml*24支</v>
      </c>
      <c r="R65" s="3" t="s">
        <v>1046</v>
      </c>
      <c r="S65" s="3" t="s">
        <v>1176</v>
      </c>
      <c r="T65" s="3" t="s">
        <v>1177</v>
      </c>
      <c r="U65" s="3" t="s">
        <v>1176</v>
      </c>
      <c r="W65" s="5" t="s">
        <v>1523</v>
      </c>
      <c r="X65" s="5" t="s">
        <v>1658</v>
      </c>
      <c r="Y65" s="5" t="s">
        <v>1659</v>
      </c>
      <c r="Z65" s="5" t="s">
        <v>1660</v>
      </c>
    </row>
    <row r="66" spans="1:26" x14ac:dyDescent="0.15">
      <c r="A66" s="1" t="s">
        <v>151</v>
      </c>
      <c r="B66" s="1" t="s">
        <v>152</v>
      </c>
      <c r="C66" s="1" t="s">
        <v>151</v>
      </c>
      <c r="D66" s="2" t="s">
        <v>1821</v>
      </c>
      <c r="F66" t="s">
        <v>414</v>
      </c>
      <c r="G66">
        <v>10.199999999999999</v>
      </c>
      <c r="J66" t="s">
        <v>414</v>
      </c>
      <c r="K66" t="s">
        <v>415</v>
      </c>
      <c r="L66" t="s">
        <v>416</v>
      </c>
      <c r="M66" t="s">
        <v>326</v>
      </c>
      <c r="N66" t="s">
        <v>248</v>
      </c>
      <c r="O66">
        <v>120</v>
      </c>
      <c r="P66" t="str">
        <f t="shared" si="0"/>
        <v>感冒解毒灵颗粒（10袋）5g×10袋×120盒</v>
      </c>
      <c r="R66" s="3" t="s">
        <v>1046</v>
      </c>
      <c r="S66" s="3" t="s">
        <v>1178</v>
      </c>
      <c r="T66" s="3" t="s">
        <v>1179</v>
      </c>
      <c r="U66" s="3" t="s">
        <v>1178</v>
      </c>
      <c r="W66" s="5" t="s">
        <v>1523</v>
      </c>
      <c r="X66" s="5" t="s">
        <v>1658</v>
      </c>
      <c r="Y66" s="5" t="s">
        <v>1661</v>
      </c>
      <c r="Z66" s="5" t="s">
        <v>1662</v>
      </c>
    </row>
    <row r="67" spans="1:26" x14ac:dyDescent="0.15">
      <c r="A67" s="1" t="s">
        <v>153</v>
      </c>
      <c r="B67" s="1" t="s">
        <v>154</v>
      </c>
      <c r="C67" s="1" t="s">
        <v>153</v>
      </c>
      <c r="D67" s="1"/>
      <c r="F67" t="s">
        <v>417</v>
      </c>
      <c r="G67">
        <v>10</v>
      </c>
      <c r="J67" t="s">
        <v>417</v>
      </c>
      <c r="K67" t="s">
        <v>418</v>
      </c>
      <c r="L67" t="s">
        <v>419</v>
      </c>
      <c r="M67" t="s">
        <v>247</v>
      </c>
      <c r="N67" t="s">
        <v>248</v>
      </c>
      <c r="O67">
        <v>400</v>
      </c>
      <c r="P67" t="str">
        <f t="shared" ref="P67:P130" si="1">K67&amp;L67</f>
        <v>格列齐特片80mg*60片</v>
      </c>
      <c r="R67" s="3" t="s">
        <v>1046</v>
      </c>
      <c r="S67" s="3" t="s">
        <v>1180</v>
      </c>
      <c r="T67" s="3" t="s">
        <v>1181</v>
      </c>
      <c r="U67" s="3" t="s">
        <v>1180</v>
      </c>
      <c r="W67" s="5" t="s">
        <v>1523</v>
      </c>
      <c r="X67" s="5" t="s">
        <v>1658</v>
      </c>
      <c r="Y67" s="5" t="s">
        <v>1663</v>
      </c>
      <c r="Z67" s="5" t="s">
        <v>1664</v>
      </c>
    </row>
    <row r="68" spans="1:26" x14ac:dyDescent="0.15">
      <c r="A68" s="1" t="s">
        <v>155</v>
      </c>
      <c r="B68" s="1" t="s">
        <v>156</v>
      </c>
      <c r="C68" s="1" t="s">
        <v>155</v>
      </c>
      <c r="D68" s="1"/>
      <c r="F68" t="s">
        <v>420</v>
      </c>
      <c r="G68">
        <v>15.5</v>
      </c>
      <c r="J68" t="s">
        <v>420</v>
      </c>
      <c r="K68" t="s">
        <v>421</v>
      </c>
      <c r="L68" t="s">
        <v>422</v>
      </c>
      <c r="M68" t="s">
        <v>300</v>
      </c>
      <c r="N68" t="s">
        <v>264</v>
      </c>
      <c r="O68">
        <v>60</v>
      </c>
      <c r="P68" t="str">
        <f t="shared" si="1"/>
        <v>宫血停颗粒10g×12袋×60盒</v>
      </c>
      <c r="R68" s="3" t="s">
        <v>1046</v>
      </c>
      <c r="S68" s="3" t="s">
        <v>1182</v>
      </c>
      <c r="T68" s="3" t="s">
        <v>1183</v>
      </c>
      <c r="U68" s="3" t="s">
        <v>1182</v>
      </c>
      <c r="W68" s="5" t="s">
        <v>1523</v>
      </c>
      <c r="X68" s="5" t="s">
        <v>1658</v>
      </c>
      <c r="Y68" s="5" t="s">
        <v>1665</v>
      </c>
      <c r="Z68" s="5" t="s">
        <v>1666</v>
      </c>
    </row>
    <row r="69" spans="1:26" x14ac:dyDescent="0.15">
      <c r="A69" s="1" t="s">
        <v>157</v>
      </c>
      <c r="B69" s="1" t="s">
        <v>158</v>
      </c>
      <c r="C69" s="1" t="s">
        <v>157</v>
      </c>
      <c r="D69" s="1"/>
      <c r="F69" t="s">
        <v>423</v>
      </c>
      <c r="G69">
        <v>11.12</v>
      </c>
      <c r="J69" t="s">
        <v>423</v>
      </c>
      <c r="K69" t="s">
        <v>424</v>
      </c>
      <c r="L69" t="s">
        <v>425</v>
      </c>
      <c r="M69" t="s">
        <v>300</v>
      </c>
      <c r="N69" t="s">
        <v>264</v>
      </c>
      <c r="O69">
        <v>60</v>
      </c>
      <c r="P69" t="str">
        <f t="shared" si="1"/>
        <v>宫血停颗粒(无糖型)6袋×10g10g×6袋×60盒</v>
      </c>
      <c r="R69" s="3" t="s">
        <v>1046</v>
      </c>
      <c r="S69" s="3" t="s">
        <v>1184</v>
      </c>
      <c r="T69" s="3" t="s">
        <v>1185</v>
      </c>
      <c r="U69" s="3" t="s">
        <v>1184</v>
      </c>
      <c r="W69" s="5" t="s">
        <v>1523</v>
      </c>
      <c r="X69" s="5" t="s">
        <v>1658</v>
      </c>
      <c r="Y69" s="5" t="s">
        <v>1667</v>
      </c>
      <c r="Z69" s="5" t="s">
        <v>1668</v>
      </c>
    </row>
    <row r="70" spans="1:26" x14ac:dyDescent="0.15">
      <c r="A70" s="1" t="s">
        <v>159</v>
      </c>
      <c r="B70" s="1" t="s">
        <v>160</v>
      </c>
      <c r="C70" s="1" t="s">
        <v>159</v>
      </c>
      <c r="D70" s="1"/>
      <c r="F70" t="s">
        <v>426</v>
      </c>
      <c r="G70">
        <v>13.8</v>
      </c>
      <c r="J70" t="s">
        <v>426</v>
      </c>
      <c r="K70" t="s">
        <v>427</v>
      </c>
      <c r="L70" t="s">
        <v>428</v>
      </c>
      <c r="M70" t="s">
        <v>300</v>
      </c>
      <c r="N70" t="s">
        <v>264</v>
      </c>
      <c r="O70">
        <v>180</v>
      </c>
      <c r="P70" t="str">
        <f t="shared" si="1"/>
        <v>冠心苏合丸1.2g×30丸×180盒</v>
      </c>
      <c r="R70" s="3" t="s">
        <v>1046</v>
      </c>
      <c r="S70" s="3" t="s">
        <v>1186</v>
      </c>
      <c r="T70" s="3" t="s">
        <v>1187</v>
      </c>
      <c r="U70" s="3" t="s">
        <v>1186</v>
      </c>
      <c r="W70" s="5" t="s">
        <v>1523</v>
      </c>
      <c r="X70" s="5" t="s">
        <v>1658</v>
      </c>
      <c r="Y70" s="5" t="s">
        <v>1669</v>
      </c>
      <c r="Z70" s="5" t="s">
        <v>1670</v>
      </c>
    </row>
    <row r="71" spans="1:26" x14ac:dyDescent="0.15">
      <c r="A71" s="1" t="s">
        <v>161</v>
      </c>
      <c r="B71" s="1" t="s">
        <v>162</v>
      </c>
      <c r="C71" s="1" t="s">
        <v>161</v>
      </c>
      <c r="D71" s="1"/>
      <c r="F71" t="s">
        <v>429</v>
      </c>
      <c r="G71">
        <v>10</v>
      </c>
      <c r="J71" t="s">
        <v>429</v>
      </c>
      <c r="K71" t="s">
        <v>430</v>
      </c>
      <c r="L71" t="s">
        <v>431</v>
      </c>
      <c r="M71" t="s">
        <v>300</v>
      </c>
      <c r="N71" t="s">
        <v>264</v>
      </c>
      <c r="O71">
        <v>180</v>
      </c>
      <c r="P71" t="str">
        <f t="shared" si="1"/>
        <v>冠心泰丸6g×6袋×180小盒</v>
      </c>
      <c r="R71" s="3" t="s">
        <v>1046</v>
      </c>
      <c r="S71" s="3" t="s">
        <v>1188</v>
      </c>
      <c r="T71" s="3" t="s">
        <v>1189</v>
      </c>
      <c r="U71" s="3" t="s">
        <v>1188</v>
      </c>
      <c r="W71" s="5" t="s">
        <v>1523</v>
      </c>
      <c r="X71" s="5" t="s">
        <v>1658</v>
      </c>
      <c r="Y71" s="5" t="s">
        <v>1671</v>
      </c>
      <c r="Z71" s="5" t="s">
        <v>1672</v>
      </c>
    </row>
    <row r="72" spans="1:26" x14ac:dyDescent="0.15">
      <c r="A72" s="1" t="s">
        <v>163</v>
      </c>
      <c r="B72" s="1" t="s">
        <v>164</v>
      </c>
      <c r="C72" s="1" t="s">
        <v>163</v>
      </c>
      <c r="D72" s="1"/>
      <c r="F72" t="s">
        <v>432</v>
      </c>
      <c r="G72">
        <v>5.5</v>
      </c>
      <c r="J72" t="s">
        <v>432</v>
      </c>
      <c r="K72" t="s">
        <v>433</v>
      </c>
      <c r="L72" t="s">
        <v>434</v>
      </c>
      <c r="M72" t="s">
        <v>247</v>
      </c>
      <c r="N72" t="s">
        <v>248</v>
      </c>
      <c r="O72">
        <v>300</v>
      </c>
      <c r="P72" t="str">
        <f t="shared" si="1"/>
        <v>红霉素肠溶胶囊（尚宏）0.125g*20粒</v>
      </c>
      <c r="R72" s="3" t="s">
        <v>1046</v>
      </c>
      <c r="S72" s="3" t="s">
        <v>1190</v>
      </c>
      <c r="T72" s="3" t="s">
        <v>1191</v>
      </c>
      <c r="U72" s="3" t="s">
        <v>1190</v>
      </c>
      <c r="W72" s="5" t="s">
        <v>1523</v>
      </c>
      <c r="X72" s="5" t="s">
        <v>1658</v>
      </c>
      <c r="Y72" s="5" t="s">
        <v>1673</v>
      </c>
      <c r="Z72" s="5" t="s">
        <v>1674</v>
      </c>
    </row>
    <row r="73" spans="1:26" x14ac:dyDescent="0.15">
      <c r="A73" s="1" t="s">
        <v>165</v>
      </c>
      <c r="B73" s="1" t="s">
        <v>166</v>
      </c>
      <c r="C73" s="1" t="s">
        <v>165</v>
      </c>
      <c r="D73" s="1"/>
      <c r="F73" t="s">
        <v>435</v>
      </c>
      <c r="G73">
        <v>17</v>
      </c>
      <c r="J73" t="s">
        <v>435</v>
      </c>
      <c r="K73" t="s">
        <v>436</v>
      </c>
      <c r="L73" t="s">
        <v>437</v>
      </c>
      <c r="M73" t="s">
        <v>389</v>
      </c>
      <c r="N73" t="s">
        <v>264</v>
      </c>
      <c r="O73">
        <v>300</v>
      </c>
      <c r="P73" t="str">
        <f t="shared" si="1"/>
        <v>护肝片100片×300盒</v>
      </c>
      <c r="R73" s="3" t="s">
        <v>1046</v>
      </c>
      <c r="S73" s="3" t="s">
        <v>1192</v>
      </c>
      <c r="T73" s="3" t="s">
        <v>1193</v>
      </c>
      <c r="U73" s="3" t="s">
        <v>1192</v>
      </c>
      <c r="W73" s="5" t="s">
        <v>1523</v>
      </c>
      <c r="X73" s="5" t="s">
        <v>1658</v>
      </c>
      <c r="Y73" s="5" t="s">
        <v>1675</v>
      </c>
      <c r="Z73" s="5" t="s">
        <v>1676</v>
      </c>
    </row>
    <row r="74" spans="1:26" x14ac:dyDescent="0.15">
      <c r="A74" s="1" t="s">
        <v>167</v>
      </c>
      <c r="B74" s="1" t="s">
        <v>168</v>
      </c>
      <c r="C74" s="1" t="s">
        <v>167</v>
      </c>
      <c r="D74" s="2" t="s">
        <v>231</v>
      </c>
      <c r="G74">
        <v>29</v>
      </c>
      <c r="K74" t="s">
        <v>436</v>
      </c>
      <c r="L74" t="s">
        <v>438</v>
      </c>
      <c r="N74" t="s">
        <v>264</v>
      </c>
      <c r="P74" t="str">
        <f t="shared" si="1"/>
        <v>护肝片180片</v>
      </c>
      <c r="R74" s="3" t="s">
        <v>1046</v>
      </c>
      <c r="S74" s="3" t="s">
        <v>1194</v>
      </c>
      <c r="T74" s="3" t="s">
        <v>1195</v>
      </c>
      <c r="U74" s="3" t="s">
        <v>1194</v>
      </c>
      <c r="W74" s="5" t="s">
        <v>1523</v>
      </c>
      <c r="X74" s="5" t="s">
        <v>1658</v>
      </c>
      <c r="Y74" s="5" t="s">
        <v>1677</v>
      </c>
      <c r="Z74" s="5" t="s">
        <v>1678</v>
      </c>
    </row>
    <row r="75" spans="1:26" x14ac:dyDescent="0.15">
      <c r="A75" s="1" t="s">
        <v>169</v>
      </c>
      <c r="B75" s="1" t="s">
        <v>170</v>
      </c>
      <c r="C75" s="1" t="s">
        <v>169</v>
      </c>
      <c r="D75" s="1"/>
      <c r="F75" t="s">
        <v>439</v>
      </c>
      <c r="G75">
        <v>7</v>
      </c>
      <c r="J75" t="s">
        <v>439</v>
      </c>
      <c r="K75" t="s">
        <v>440</v>
      </c>
      <c r="L75" t="s">
        <v>441</v>
      </c>
      <c r="M75" t="s">
        <v>247</v>
      </c>
      <c r="N75" t="s">
        <v>248</v>
      </c>
      <c r="O75">
        <v>200</v>
      </c>
      <c r="P75" t="str">
        <f t="shared" si="1"/>
        <v>吉非罗齐胶囊0.3g*20粒</v>
      </c>
      <c r="R75" s="3" t="s">
        <v>1046</v>
      </c>
      <c r="S75" s="3" t="s">
        <v>1196</v>
      </c>
      <c r="T75" s="3" t="s">
        <v>1197</v>
      </c>
      <c r="U75" s="3" t="s">
        <v>1196</v>
      </c>
      <c r="W75" s="5" t="s">
        <v>1523</v>
      </c>
      <c r="X75" s="5" t="s">
        <v>1658</v>
      </c>
      <c r="Y75" s="5" t="s">
        <v>1679</v>
      </c>
      <c r="Z75" s="5" t="s">
        <v>1680</v>
      </c>
    </row>
    <row r="76" spans="1:26" x14ac:dyDescent="0.15">
      <c r="A76" s="1" t="s">
        <v>171</v>
      </c>
      <c r="B76" s="1" t="s">
        <v>172</v>
      </c>
      <c r="C76" s="1" t="s">
        <v>171</v>
      </c>
      <c r="D76" s="1"/>
      <c r="F76" t="s">
        <v>442</v>
      </c>
      <c r="G76">
        <v>7.3</v>
      </c>
      <c r="J76" t="s">
        <v>442</v>
      </c>
      <c r="K76" t="s">
        <v>443</v>
      </c>
      <c r="L76" t="s">
        <v>444</v>
      </c>
      <c r="M76" t="s">
        <v>300</v>
      </c>
      <c r="N76" t="s">
        <v>264</v>
      </c>
      <c r="O76">
        <v>100</v>
      </c>
      <c r="P76" t="str">
        <f t="shared" si="1"/>
        <v>健脾丸9g*10丸</v>
      </c>
      <c r="R76" s="3" t="s">
        <v>1046</v>
      </c>
      <c r="S76" s="3" t="s">
        <v>1198</v>
      </c>
      <c r="T76" s="3" t="s">
        <v>1199</v>
      </c>
      <c r="U76" s="3" t="s">
        <v>1198</v>
      </c>
      <c r="W76" s="5" t="s">
        <v>1523</v>
      </c>
      <c r="X76" s="5" t="s">
        <v>1658</v>
      </c>
      <c r="Y76" s="5" t="s">
        <v>1681</v>
      </c>
      <c r="Z76" s="5" t="s">
        <v>1682</v>
      </c>
    </row>
    <row r="77" spans="1:26" x14ac:dyDescent="0.15">
      <c r="A77" s="1" t="s">
        <v>173</v>
      </c>
      <c r="B77" s="1" t="s">
        <v>174</v>
      </c>
      <c r="C77" s="1" t="s">
        <v>173</v>
      </c>
      <c r="D77" s="1"/>
      <c r="F77" t="s">
        <v>445</v>
      </c>
      <c r="G77">
        <v>3.78</v>
      </c>
      <c r="I77">
        <v>19.8</v>
      </c>
      <c r="J77" t="s">
        <v>445</v>
      </c>
      <c r="K77" t="s">
        <v>446</v>
      </c>
      <c r="L77" t="s">
        <v>447</v>
      </c>
      <c r="M77" t="s">
        <v>263</v>
      </c>
      <c r="N77" t="s">
        <v>264</v>
      </c>
      <c r="O77">
        <v>480</v>
      </c>
      <c r="P77" t="str">
        <f t="shared" si="1"/>
        <v>胶体果胶铋胶囊50mg*24粒*480盒50mg*12粒*2板*480盒</v>
      </c>
      <c r="R77" s="3" t="s">
        <v>1046</v>
      </c>
      <c r="S77" s="3" t="s">
        <v>1200</v>
      </c>
      <c r="T77" s="3" t="s">
        <v>1201</v>
      </c>
      <c r="U77" s="3" t="s">
        <v>1200</v>
      </c>
      <c r="W77" s="5" t="s">
        <v>1523</v>
      </c>
      <c r="X77" s="5" t="s">
        <v>1683</v>
      </c>
      <c r="Y77" s="5" t="s">
        <v>1684</v>
      </c>
      <c r="Z77" s="5" t="s">
        <v>1685</v>
      </c>
    </row>
    <row r="78" spans="1:26" x14ac:dyDescent="0.15">
      <c r="A78" s="1" t="s">
        <v>175</v>
      </c>
      <c r="B78" s="1" t="s">
        <v>176</v>
      </c>
      <c r="C78" s="1" t="s">
        <v>175</v>
      </c>
      <c r="D78" s="1"/>
      <c r="F78" t="s">
        <v>448</v>
      </c>
      <c r="G78">
        <v>5.51</v>
      </c>
      <c r="I78">
        <v>29.8</v>
      </c>
      <c r="J78" t="s">
        <v>448</v>
      </c>
      <c r="K78" t="s">
        <v>449</v>
      </c>
      <c r="L78" t="s">
        <v>450</v>
      </c>
      <c r="M78" t="s">
        <v>263</v>
      </c>
      <c r="N78" t="s">
        <v>264</v>
      </c>
      <c r="O78">
        <v>480</v>
      </c>
      <c r="P78" t="str">
        <f t="shared" si="1"/>
        <v>胶体果胶铋胶囊50mg*36粒*480盒50mg*12粒*3板*480盒</v>
      </c>
      <c r="R78" s="3" t="s">
        <v>1046</v>
      </c>
      <c r="S78" s="3" t="s">
        <v>1202</v>
      </c>
      <c r="T78" s="3" t="s">
        <v>1203</v>
      </c>
      <c r="U78" s="3" t="s">
        <v>1202</v>
      </c>
      <c r="W78" s="5" t="s">
        <v>1523</v>
      </c>
      <c r="X78" s="5" t="s">
        <v>1683</v>
      </c>
      <c r="Y78" s="5" t="s">
        <v>1686</v>
      </c>
      <c r="Z78" s="5" t="s">
        <v>1687</v>
      </c>
    </row>
    <row r="79" spans="1:26" x14ac:dyDescent="0.15">
      <c r="A79" s="1" t="s">
        <v>177</v>
      </c>
      <c r="B79" s="1" t="s">
        <v>178</v>
      </c>
      <c r="C79" s="1" t="s">
        <v>177</v>
      </c>
      <c r="D79" s="1"/>
      <c r="F79" t="s">
        <v>451</v>
      </c>
      <c r="G79">
        <v>8.6</v>
      </c>
      <c r="J79" t="s">
        <v>451</v>
      </c>
      <c r="K79" t="s">
        <v>452</v>
      </c>
      <c r="L79" t="s">
        <v>453</v>
      </c>
      <c r="M79" t="s">
        <v>300</v>
      </c>
      <c r="N79" t="s">
        <v>264</v>
      </c>
      <c r="O79">
        <v>100</v>
      </c>
      <c r="P79" t="str">
        <f t="shared" si="1"/>
        <v>金匮肾气丸6g×10丸×100中盒</v>
      </c>
      <c r="R79" s="3" t="s">
        <v>1046</v>
      </c>
      <c r="S79" s="3" t="s">
        <v>1204</v>
      </c>
      <c r="T79" s="3" t="s">
        <v>1205</v>
      </c>
      <c r="U79" s="3" t="s">
        <v>1204</v>
      </c>
      <c r="W79" s="5" t="s">
        <v>1523</v>
      </c>
      <c r="X79" s="5" t="s">
        <v>1683</v>
      </c>
      <c r="Y79" s="5" t="s">
        <v>1688</v>
      </c>
      <c r="Z79" s="5" t="s">
        <v>1689</v>
      </c>
    </row>
    <row r="80" spans="1:26" x14ac:dyDescent="0.15">
      <c r="A80" s="1" t="s">
        <v>179</v>
      </c>
      <c r="B80" s="1" t="s">
        <v>180</v>
      </c>
      <c r="C80" s="1" t="s">
        <v>179</v>
      </c>
      <c r="D80" s="1"/>
      <c r="F80" t="s">
        <v>454</v>
      </c>
      <c r="G80">
        <v>9.3000000000000007</v>
      </c>
      <c r="J80" t="s">
        <v>454</v>
      </c>
      <c r="K80" t="s">
        <v>455</v>
      </c>
      <c r="L80" t="s">
        <v>456</v>
      </c>
      <c r="M80" t="s">
        <v>300</v>
      </c>
      <c r="N80" t="s">
        <v>264</v>
      </c>
      <c r="O80">
        <v>120</v>
      </c>
      <c r="P80" t="str">
        <f t="shared" si="1"/>
        <v>金匮肾气丸(水蜜丸)72g72g×120盒</v>
      </c>
      <c r="R80" s="3" t="s">
        <v>1046</v>
      </c>
      <c r="S80" s="3" t="s">
        <v>1206</v>
      </c>
      <c r="T80" s="3" t="s">
        <v>1207</v>
      </c>
      <c r="U80" s="3" t="s">
        <v>1206</v>
      </c>
      <c r="W80" s="5" t="s">
        <v>1523</v>
      </c>
      <c r="X80" s="5" t="s">
        <v>1683</v>
      </c>
      <c r="Y80" s="5" t="s">
        <v>1690</v>
      </c>
      <c r="Z80" s="5" t="s">
        <v>1691</v>
      </c>
    </row>
    <row r="81" spans="1:26" x14ac:dyDescent="0.15">
      <c r="A81" s="1" t="s">
        <v>181</v>
      </c>
      <c r="B81" s="1" t="s">
        <v>182</v>
      </c>
      <c r="C81" s="1" t="s">
        <v>181</v>
      </c>
      <c r="D81" s="1"/>
      <c r="F81" t="s">
        <v>457</v>
      </c>
      <c r="G81">
        <v>1.08</v>
      </c>
      <c r="J81" t="s">
        <v>457</v>
      </c>
      <c r="K81" t="s">
        <v>458</v>
      </c>
      <c r="L81" t="s">
        <v>459</v>
      </c>
      <c r="M81" t="s">
        <v>294</v>
      </c>
      <c r="N81" t="s">
        <v>264</v>
      </c>
      <c r="O81">
        <v>40</v>
      </c>
      <c r="P81" t="str">
        <f t="shared" si="1"/>
        <v>精制狗皮膏7*10cm*4</v>
      </c>
      <c r="R81" s="3" t="s">
        <v>1046</v>
      </c>
      <c r="S81" s="3" t="s">
        <v>1208</v>
      </c>
      <c r="T81" s="3" t="s">
        <v>1209</v>
      </c>
      <c r="U81" s="3" t="s">
        <v>1208</v>
      </c>
      <c r="W81" s="5" t="s">
        <v>1523</v>
      </c>
      <c r="X81" s="5" t="s">
        <v>1683</v>
      </c>
      <c r="Y81" s="5" t="s">
        <v>1692</v>
      </c>
      <c r="Z81" s="5" t="s">
        <v>1693</v>
      </c>
    </row>
    <row r="82" spans="1:26" x14ac:dyDescent="0.15">
      <c r="A82" s="1" t="s">
        <v>183</v>
      </c>
      <c r="B82" s="2" t="s">
        <v>232</v>
      </c>
      <c r="C82" s="1" t="s">
        <v>183</v>
      </c>
      <c r="D82" s="2" t="s">
        <v>233</v>
      </c>
      <c r="F82" t="s">
        <v>460</v>
      </c>
      <c r="G82">
        <v>7.5</v>
      </c>
      <c r="J82" t="s">
        <v>460</v>
      </c>
      <c r="K82" t="s">
        <v>461</v>
      </c>
      <c r="L82" t="s">
        <v>462</v>
      </c>
      <c r="M82" t="s">
        <v>389</v>
      </c>
      <c r="N82" t="s">
        <v>248</v>
      </c>
      <c r="O82">
        <v>300</v>
      </c>
      <c r="P82" t="str">
        <f t="shared" si="1"/>
        <v>菊梅利咽含片18片×300盒</v>
      </c>
      <c r="R82" s="3" t="s">
        <v>1046</v>
      </c>
      <c r="S82" s="3" t="s">
        <v>1210</v>
      </c>
      <c r="T82" s="3" t="s">
        <v>1211</v>
      </c>
      <c r="U82" s="3" t="s">
        <v>1210</v>
      </c>
      <c r="W82" s="5" t="s">
        <v>1523</v>
      </c>
      <c r="X82" s="5" t="s">
        <v>1683</v>
      </c>
      <c r="Y82" s="5" t="s">
        <v>1694</v>
      </c>
      <c r="Z82" s="5" t="s">
        <v>1695</v>
      </c>
    </row>
    <row r="83" spans="1:26" x14ac:dyDescent="0.15">
      <c r="A83" s="1" t="s">
        <v>185</v>
      </c>
      <c r="B83" s="1" t="s">
        <v>186</v>
      </c>
      <c r="C83" s="1" t="s">
        <v>185</v>
      </c>
      <c r="D83" s="1"/>
      <c r="F83" t="s">
        <v>463</v>
      </c>
      <c r="G83">
        <v>5.22</v>
      </c>
      <c r="J83" t="s">
        <v>463</v>
      </c>
      <c r="K83" t="s">
        <v>464</v>
      </c>
      <c r="L83" t="s">
        <v>465</v>
      </c>
      <c r="M83" t="s">
        <v>300</v>
      </c>
      <c r="N83" t="s">
        <v>264</v>
      </c>
      <c r="O83">
        <v>100</v>
      </c>
      <c r="P83" t="str">
        <f t="shared" si="1"/>
        <v>橘红丸(OTC)6g×10丸×100盒</v>
      </c>
      <c r="R83" s="3" t="s">
        <v>1046</v>
      </c>
      <c r="S83" s="3" t="s">
        <v>1212</v>
      </c>
      <c r="T83" s="3" t="s">
        <v>1213</v>
      </c>
      <c r="U83" s="3" t="s">
        <v>1212</v>
      </c>
      <c r="W83" s="5" t="s">
        <v>1523</v>
      </c>
      <c r="X83" s="5" t="s">
        <v>1683</v>
      </c>
      <c r="Y83" s="5" t="s">
        <v>1696</v>
      </c>
      <c r="Z83" s="5" t="s">
        <v>1697</v>
      </c>
    </row>
    <row r="84" spans="1:26" x14ac:dyDescent="0.15">
      <c r="A84" s="1" t="s">
        <v>187</v>
      </c>
      <c r="B84" s="1" t="s">
        <v>188</v>
      </c>
      <c r="C84" s="1" t="s">
        <v>187</v>
      </c>
      <c r="D84" s="1"/>
      <c r="F84" t="s">
        <v>466</v>
      </c>
      <c r="G84">
        <v>5.77</v>
      </c>
      <c r="J84" t="s">
        <v>466</v>
      </c>
      <c r="K84" t="s">
        <v>467</v>
      </c>
      <c r="L84" t="s">
        <v>299</v>
      </c>
      <c r="M84" t="s">
        <v>300</v>
      </c>
      <c r="N84" t="s">
        <v>264</v>
      </c>
      <c r="O84">
        <v>100</v>
      </c>
      <c r="P84" t="str">
        <f t="shared" si="1"/>
        <v>开郁老蔻丸(OTC)9g×10丸×100盒</v>
      </c>
      <c r="R84" s="3" t="s">
        <v>1046</v>
      </c>
      <c r="S84" s="3" t="s">
        <v>1214</v>
      </c>
      <c r="T84" s="3" t="s">
        <v>1215</v>
      </c>
      <c r="U84" s="3" t="s">
        <v>1214</v>
      </c>
      <c r="W84" s="5" t="s">
        <v>1523</v>
      </c>
      <c r="X84" s="5" t="s">
        <v>1683</v>
      </c>
      <c r="Y84" s="5" t="s">
        <v>1698</v>
      </c>
      <c r="Z84" s="5" t="s">
        <v>1699</v>
      </c>
    </row>
    <row r="85" spans="1:26" x14ac:dyDescent="0.15">
      <c r="A85" s="1" t="s">
        <v>189</v>
      </c>
      <c r="B85" s="1" t="s">
        <v>190</v>
      </c>
      <c r="C85" s="1" t="s">
        <v>189</v>
      </c>
      <c r="D85" s="1"/>
      <c r="F85" t="s">
        <v>468</v>
      </c>
      <c r="G85">
        <v>4.4000000000000004</v>
      </c>
      <c r="J85" t="s">
        <v>468</v>
      </c>
      <c r="K85" t="s">
        <v>469</v>
      </c>
      <c r="L85" t="s">
        <v>470</v>
      </c>
      <c r="M85" t="s">
        <v>294</v>
      </c>
      <c r="N85" t="s">
        <v>248</v>
      </c>
      <c r="O85">
        <v>400</v>
      </c>
      <c r="P85" t="str">
        <f t="shared" si="1"/>
        <v>克拉霉素分散片0.125g×12片×400盒</v>
      </c>
      <c r="R85" s="3" t="s">
        <v>1046</v>
      </c>
      <c r="S85" s="3" t="s">
        <v>1216</v>
      </c>
      <c r="T85" s="3" t="s">
        <v>1217</v>
      </c>
      <c r="U85" s="3" t="s">
        <v>1216</v>
      </c>
      <c r="W85" s="5" t="s">
        <v>1523</v>
      </c>
      <c r="X85" s="5" t="s">
        <v>1683</v>
      </c>
      <c r="Y85" s="5" t="s">
        <v>1700</v>
      </c>
      <c r="Z85" s="5" t="s">
        <v>1701</v>
      </c>
    </row>
    <row r="86" spans="1:26" x14ac:dyDescent="0.15">
      <c r="A86" s="1" t="s">
        <v>191</v>
      </c>
      <c r="B86" s="1" t="s">
        <v>192</v>
      </c>
      <c r="C86" s="1" t="s">
        <v>191</v>
      </c>
      <c r="D86" s="1"/>
      <c r="F86" t="s">
        <v>471</v>
      </c>
      <c r="G86">
        <v>7</v>
      </c>
      <c r="J86" t="s">
        <v>471</v>
      </c>
      <c r="K86" t="s">
        <v>469</v>
      </c>
      <c r="L86" t="s">
        <v>472</v>
      </c>
      <c r="M86" t="s">
        <v>294</v>
      </c>
      <c r="N86" t="s">
        <v>248</v>
      </c>
      <c r="O86">
        <v>300</v>
      </c>
      <c r="P86" t="str">
        <f t="shared" si="1"/>
        <v>克拉霉素分散片0.125g×24片×300盒</v>
      </c>
      <c r="R86" s="3" t="s">
        <v>1046</v>
      </c>
      <c r="S86" s="3" t="s">
        <v>1218</v>
      </c>
      <c r="T86" s="3" t="s">
        <v>1219</v>
      </c>
      <c r="U86" s="3" t="s">
        <v>1218</v>
      </c>
      <c r="W86" s="5" t="s">
        <v>1523</v>
      </c>
      <c r="X86" s="5" t="s">
        <v>1683</v>
      </c>
      <c r="Y86" s="5" t="s">
        <v>1702</v>
      </c>
      <c r="Z86" s="5" t="s">
        <v>1703</v>
      </c>
    </row>
    <row r="87" spans="1:26" x14ac:dyDescent="0.15">
      <c r="A87" s="1" t="s">
        <v>193</v>
      </c>
      <c r="B87" s="1" t="s">
        <v>194</v>
      </c>
      <c r="C87" s="1" t="s">
        <v>193</v>
      </c>
      <c r="D87" s="1"/>
      <c r="F87" t="s">
        <v>473</v>
      </c>
      <c r="G87">
        <v>23</v>
      </c>
      <c r="J87" t="s">
        <v>473</v>
      </c>
      <c r="K87" t="s">
        <v>474</v>
      </c>
      <c r="L87" t="s">
        <v>475</v>
      </c>
      <c r="M87" t="s">
        <v>263</v>
      </c>
      <c r="N87" t="s">
        <v>264</v>
      </c>
      <c r="O87">
        <v>120</v>
      </c>
      <c r="P87" t="str">
        <f t="shared" si="1"/>
        <v>拉西地平片4mg*21片*120盒</v>
      </c>
      <c r="R87" s="3" t="s">
        <v>1046</v>
      </c>
      <c r="S87" s="3" t="s">
        <v>1220</v>
      </c>
      <c r="T87" s="3" t="s">
        <v>1221</v>
      </c>
      <c r="U87" s="3" t="s">
        <v>1220</v>
      </c>
      <c r="W87" s="5" t="s">
        <v>1523</v>
      </c>
      <c r="X87" s="5" t="s">
        <v>1704</v>
      </c>
      <c r="Y87" s="5" t="s">
        <v>1705</v>
      </c>
      <c r="Z87" s="5" t="s">
        <v>1706</v>
      </c>
    </row>
    <row r="88" spans="1:26" x14ac:dyDescent="0.15">
      <c r="A88" s="1" t="s">
        <v>195</v>
      </c>
      <c r="B88" s="1" t="s">
        <v>196</v>
      </c>
      <c r="C88" s="1" t="s">
        <v>195</v>
      </c>
      <c r="D88" s="1"/>
      <c r="F88" t="s">
        <v>476</v>
      </c>
      <c r="G88">
        <v>25</v>
      </c>
      <c r="J88" t="s">
        <v>476</v>
      </c>
      <c r="K88" t="s">
        <v>474</v>
      </c>
      <c r="L88" t="s">
        <v>477</v>
      </c>
      <c r="M88" t="s">
        <v>263</v>
      </c>
      <c r="N88" t="s">
        <v>248</v>
      </c>
      <c r="O88">
        <v>160</v>
      </c>
      <c r="P88" t="str">
        <f t="shared" si="1"/>
        <v>拉西地平片4mg*30片*160盒</v>
      </c>
      <c r="R88" s="3" t="s">
        <v>1046</v>
      </c>
      <c r="S88" s="3" t="s">
        <v>1222</v>
      </c>
      <c r="T88" s="3" t="s">
        <v>1223</v>
      </c>
      <c r="U88" s="3" t="s">
        <v>1222</v>
      </c>
      <c r="W88" s="5" t="s">
        <v>1523</v>
      </c>
      <c r="X88" s="5" t="s">
        <v>1704</v>
      </c>
      <c r="Y88" s="5" t="s">
        <v>1707</v>
      </c>
      <c r="Z88" s="5" t="s">
        <v>1708</v>
      </c>
    </row>
    <row r="89" spans="1:26" x14ac:dyDescent="0.15">
      <c r="A89" s="1" t="s">
        <v>197</v>
      </c>
      <c r="B89" s="1" t="s">
        <v>198</v>
      </c>
      <c r="C89" s="1" t="s">
        <v>197</v>
      </c>
      <c r="D89" s="1"/>
      <c r="F89" t="s">
        <v>478</v>
      </c>
      <c r="G89">
        <v>21.5</v>
      </c>
      <c r="J89" t="s">
        <v>478</v>
      </c>
      <c r="K89" t="s">
        <v>474</v>
      </c>
      <c r="L89" t="s">
        <v>479</v>
      </c>
      <c r="M89" t="s">
        <v>263</v>
      </c>
      <c r="N89" t="s">
        <v>248</v>
      </c>
      <c r="O89">
        <v>160</v>
      </c>
      <c r="P89" t="str">
        <f t="shared" si="1"/>
        <v>拉西地平片4mg×15片×160盒</v>
      </c>
      <c r="R89" s="3" t="s">
        <v>1046</v>
      </c>
      <c r="S89" s="3" t="s">
        <v>1224</v>
      </c>
      <c r="T89" s="3" t="s">
        <v>1225</v>
      </c>
      <c r="U89" s="3" t="s">
        <v>1224</v>
      </c>
      <c r="W89" s="5" t="s">
        <v>1523</v>
      </c>
      <c r="X89" s="5" t="s">
        <v>1704</v>
      </c>
      <c r="Y89" s="5" t="s">
        <v>1709</v>
      </c>
      <c r="Z89" s="5" t="s">
        <v>1710</v>
      </c>
    </row>
    <row r="90" spans="1:26" x14ac:dyDescent="0.15">
      <c r="A90" s="1" t="s">
        <v>199</v>
      </c>
      <c r="B90" s="1" t="s">
        <v>200</v>
      </c>
      <c r="C90" s="1" t="s">
        <v>199</v>
      </c>
      <c r="D90" s="1"/>
      <c r="F90" t="s">
        <v>480</v>
      </c>
      <c r="G90">
        <v>16</v>
      </c>
      <c r="J90" t="s">
        <v>480</v>
      </c>
      <c r="K90" t="s">
        <v>481</v>
      </c>
      <c r="L90" t="s">
        <v>482</v>
      </c>
      <c r="M90" t="s">
        <v>247</v>
      </c>
      <c r="N90" t="s">
        <v>248</v>
      </c>
      <c r="O90">
        <v>200</v>
      </c>
      <c r="P90" t="str">
        <f t="shared" si="1"/>
        <v>利福平胶囊0.15g*100粒</v>
      </c>
      <c r="R90" s="3" t="s">
        <v>1061</v>
      </c>
      <c r="S90" s="3" t="s">
        <v>1226</v>
      </c>
      <c r="T90" s="3" t="s">
        <v>1227</v>
      </c>
      <c r="U90" s="3" t="s">
        <v>1226</v>
      </c>
      <c r="W90" s="5" t="s">
        <v>1523</v>
      </c>
      <c r="X90" s="5" t="s">
        <v>1704</v>
      </c>
      <c r="Y90" s="5" t="s">
        <v>1711</v>
      </c>
      <c r="Z90" s="5" t="s">
        <v>1712</v>
      </c>
    </row>
    <row r="91" spans="1:26" x14ac:dyDescent="0.15">
      <c r="A91" s="1" t="s">
        <v>201</v>
      </c>
      <c r="B91" s="1" t="s">
        <v>202</v>
      </c>
      <c r="C91" s="1" t="s">
        <v>201</v>
      </c>
      <c r="D91" s="1"/>
      <c r="F91" t="s">
        <v>483</v>
      </c>
      <c r="G91">
        <v>3.6</v>
      </c>
      <c r="J91" t="s">
        <v>483</v>
      </c>
      <c r="K91" t="s">
        <v>484</v>
      </c>
      <c r="L91" t="s">
        <v>485</v>
      </c>
      <c r="M91" t="s">
        <v>300</v>
      </c>
      <c r="N91" t="s">
        <v>264</v>
      </c>
      <c r="O91">
        <v>300</v>
      </c>
      <c r="P91" t="str">
        <f t="shared" si="1"/>
        <v>羚羊感冒片12片*2板</v>
      </c>
      <c r="R91" s="3" t="s">
        <v>1046</v>
      </c>
      <c r="S91" s="3" t="s">
        <v>1228</v>
      </c>
      <c r="T91" s="3" t="s">
        <v>1229</v>
      </c>
      <c r="U91" s="3" t="s">
        <v>1228</v>
      </c>
      <c r="W91" s="5" t="s">
        <v>1523</v>
      </c>
      <c r="X91" s="5" t="s">
        <v>1713</v>
      </c>
      <c r="Y91" s="5" t="s">
        <v>1714</v>
      </c>
      <c r="Z91" s="5" t="s">
        <v>1715</v>
      </c>
    </row>
    <row r="92" spans="1:26" x14ac:dyDescent="0.15">
      <c r="A92" s="1" t="s">
        <v>203</v>
      </c>
      <c r="B92" s="1" t="s">
        <v>204</v>
      </c>
      <c r="C92" s="1" t="s">
        <v>203</v>
      </c>
      <c r="D92" s="2" t="s">
        <v>234</v>
      </c>
      <c r="F92" t="s">
        <v>486</v>
      </c>
      <c r="G92">
        <v>10</v>
      </c>
      <c r="J92" t="s">
        <v>486</v>
      </c>
      <c r="K92" t="s">
        <v>487</v>
      </c>
      <c r="L92" t="s">
        <v>488</v>
      </c>
      <c r="M92" t="s">
        <v>300</v>
      </c>
      <c r="N92" t="s">
        <v>264</v>
      </c>
      <c r="O92">
        <v>120</v>
      </c>
      <c r="P92" t="str">
        <f t="shared" si="1"/>
        <v>六味地黄丸（OTC）9g×10丸×120中盒</v>
      </c>
      <c r="R92" s="3" t="s">
        <v>1061</v>
      </c>
      <c r="S92" s="3" t="s">
        <v>1230</v>
      </c>
      <c r="T92" s="3" t="s">
        <v>1231</v>
      </c>
      <c r="U92" s="3" t="s">
        <v>1230</v>
      </c>
      <c r="W92" s="5" t="s">
        <v>1523</v>
      </c>
      <c r="X92" s="5" t="s">
        <v>1713</v>
      </c>
      <c r="Y92" s="5" t="s">
        <v>1716</v>
      </c>
      <c r="Z92" s="5" t="s">
        <v>1717</v>
      </c>
    </row>
    <row r="93" spans="1:26" x14ac:dyDescent="0.15">
      <c r="A93" s="1" t="s">
        <v>205</v>
      </c>
      <c r="B93" s="1" t="s">
        <v>206</v>
      </c>
      <c r="C93" s="1" t="s">
        <v>205</v>
      </c>
      <c r="D93" s="1"/>
      <c r="F93" t="s">
        <v>489</v>
      </c>
      <c r="G93">
        <v>10.199999999999999</v>
      </c>
      <c r="J93" t="s">
        <v>489</v>
      </c>
      <c r="K93" t="s">
        <v>490</v>
      </c>
      <c r="L93" t="s">
        <v>456</v>
      </c>
      <c r="M93" t="s">
        <v>300</v>
      </c>
      <c r="N93" t="s">
        <v>264</v>
      </c>
      <c r="O93">
        <v>120</v>
      </c>
      <c r="P93" t="str">
        <f t="shared" si="1"/>
        <v>六味地黄丸(水蜜丸72gOTC)72g×120盒</v>
      </c>
      <c r="R93" s="3" t="s">
        <v>1046</v>
      </c>
      <c r="S93" s="3" t="s">
        <v>1232</v>
      </c>
      <c r="T93" s="3" t="s">
        <v>1233</v>
      </c>
      <c r="U93" s="3" t="s">
        <v>1232</v>
      </c>
      <c r="W93" s="5" t="s">
        <v>1523</v>
      </c>
      <c r="X93" s="5" t="s">
        <v>1713</v>
      </c>
      <c r="Y93" s="5" t="s">
        <v>1718</v>
      </c>
      <c r="Z93" s="5" t="s">
        <v>1719</v>
      </c>
    </row>
    <row r="94" spans="1:26" x14ac:dyDescent="0.15">
      <c r="A94" s="1" t="s">
        <v>207</v>
      </c>
      <c r="B94" s="1" t="s">
        <v>208</v>
      </c>
      <c r="C94" s="1" t="s">
        <v>207</v>
      </c>
      <c r="D94" s="1"/>
      <c r="F94" t="s">
        <v>491</v>
      </c>
      <c r="G94">
        <v>5.6</v>
      </c>
      <c r="J94" t="s">
        <v>491</v>
      </c>
      <c r="K94" t="s">
        <v>492</v>
      </c>
      <c r="L94" t="s">
        <v>465</v>
      </c>
      <c r="M94" t="s">
        <v>300</v>
      </c>
      <c r="N94" t="s">
        <v>264</v>
      </c>
      <c r="O94">
        <v>100</v>
      </c>
      <c r="P94" t="str">
        <f t="shared" si="1"/>
        <v>龙胆泻肝丸(OTC)6g×10丸×100盒</v>
      </c>
      <c r="R94" s="3" t="s">
        <v>1046</v>
      </c>
      <c r="S94" s="3" t="s">
        <v>1234</v>
      </c>
      <c r="T94" s="3" t="s">
        <v>1235</v>
      </c>
      <c r="U94" s="3" t="s">
        <v>1234</v>
      </c>
      <c r="W94" s="5" t="s">
        <v>1523</v>
      </c>
      <c r="X94" s="5" t="s">
        <v>1713</v>
      </c>
      <c r="Y94" s="5" t="s">
        <v>1720</v>
      </c>
      <c r="Z94" s="5" t="s">
        <v>1721</v>
      </c>
    </row>
    <row r="95" spans="1:26" x14ac:dyDescent="0.15">
      <c r="A95" s="1" t="s">
        <v>209</v>
      </c>
      <c r="B95" s="1" t="s">
        <v>210</v>
      </c>
      <c r="C95" s="1" t="s">
        <v>209</v>
      </c>
      <c r="D95" s="1"/>
      <c r="F95" t="s">
        <v>493</v>
      </c>
      <c r="G95">
        <v>10.8</v>
      </c>
      <c r="J95" t="s">
        <v>493</v>
      </c>
      <c r="K95" t="s">
        <v>494</v>
      </c>
      <c r="L95" t="s">
        <v>495</v>
      </c>
      <c r="M95" t="s">
        <v>294</v>
      </c>
      <c r="N95" t="s">
        <v>248</v>
      </c>
      <c r="O95">
        <v>400</v>
      </c>
      <c r="P95" t="str">
        <f t="shared" si="1"/>
        <v>罗红霉素分散片(严迪)150mg×12片×400盒</v>
      </c>
      <c r="R95" s="3" t="s">
        <v>1046</v>
      </c>
      <c r="S95" s="3" t="s">
        <v>1236</v>
      </c>
      <c r="T95" s="3" t="s">
        <v>1237</v>
      </c>
      <c r="U95" s="3" t="s">
        <v>1236</v>
      </c>
      <c r="W95" s="5" t="s">
        <v>1523</v>
      </c>
      <c r="X95" s="5" t="s">
        <v>1713</v>
      </c>
      <c r="Y95" s="5" t="s">
        <v>1722</v>
      </c>
      <c r="Z95" s="5" t="s">
        <v>1723</v>
      </c>
    </row>
    <row r="96" spans="1:26" x14ac:dyDescent="0.15">
      <c r="A96" s="1" t="s">
        <v>211</v>
      </c>
      <c r="B96" s="1" t="s">
        <v>212</v>
      </c>
      <c r="C96" s="1" t="s">
        <v>211</v>
      </c>
      <c r="D96" s="2" t="s">
        <v>1822</v>
      </c>
      <c r="F96" t="s">
        <v>496</v>
      </c>
      <c r="G96">
        <v>3.1</v>
      </c>
      <c r="J96" t="s">
        <v>496</v>
      </c>
      <c r="K96" t="s">
        <v>494</v>
      </c>
      <c r="L96" t="s">
        <v>497</v>
      </c>
      <c r="M96" t="s">
        <v>294</v>
      </c>
      <c r="N96" t="s">
        <v>248</v>
      </c>
      <c r="O96">
        <v>400</v>
      </c>
      <c r="P96" t="str">
        <f t="shared" si="1"/>
        <v>罗红霉素分散片(严迪)50mg×12片×400盒</v>
      </c>
      <c r="R96" s="3" t="s">
        <v>1046</v>
      </c>
      <c r="S96" s="3" t="s">
        <v>1238</v>
      </c>
      <c r="T96" s="3" t="s">
        <v>1239</v>
      </c>
      <c r="U96" s="3" t="s">
        <v>1238</v>
      </c>
      <c r="W96" s="5" t="s">
        <v>1523</v>
      </c>
      <c r="X96" s="5" t="s">
        <v>1713</v>
      </c>
      <c r="Y96" s="5" t="s">
        <v>1724</v>
      </c>
      <c r="Z96" s="5" t="s">
        <v>1725</v>
      </c>
    </row>
    <row r="97" spans="1:26" x14ac:dyDescent="0.15">
      <c r="A97" s="1" t="s">
        <v>213</v>
      </c>
      <c r="B97" s="1" t="s">
        <v>214</v>
      </c>
      <c r="C97" s="1" t="s">
        <v>213</v>
      </c>
      <c r="D97" s="1"/>
      <c r="F97" t="s">
        <v>498</v>
      </c>
      <c r="G97">
        <v>6.3</v>
      </c>
      <c r="J97" t="s">
        <v>498</v>
      </c>
      <c r="K97" t="s">
        <v>494</v>
      </c>
      <c r="L97" t="s">
        <v>499</v>
      </c>
      <c r="M97" t="s">
        <v>294</v>
      </c>
      <c r="N97" t="s">
        <v>248</v>
      </c>
      <c r="O97">
        <v>400</v>
      </c>
      <c r="P97" t="str">
        <f t="shared" si="1"/>
        <v>罗红霉素分散片(严迪)75mg×12片×400盒</v>
      </c>
      <c r="R97" s="3" t="s">
        <v>1046</v>
      </c>
      <c r="S97" s="3" t="s">
        <v>1240</v>
      </c>
      <c r="T97" s="3" t="s">
        <v>1241</v>
      </c>
      <c r="U97" s="3" t="s">
        <v>1240</v>
      </c>
      <c r="W97" s="5" t="s">
        <v>1523</v>
      </c>
      <c r="X97" s="5" t="s">
        <v>1726</v>
      </c>
      <c r="Y97" s="5" t="s">
        <v>1727</v>
      </c>
      <c r="Z97" s="5" t="s">
        <v>1728</v>
      </c>
    </row>
    <row r="98" spans="1:26" x14ac:dyDescent="0.15">
      <c r="A98" s="1" t="s">
        <v>215</v>
      </c>
      <c r="B98" s="1" t="s">
        <v>216</v>
      </c>
      <c r="C98" s="1" t="s">
        <v>215</v>
      </c>
      <c r="D98" s="1"/>
      <c r="F98" t="s">
        <v>500</v>
      </c>
      <c r="G98">
        <v>2.2999999999999998</v>
      </c>
      <c r="J98" t="s">
        <v>500</v>
      </c>
      <c r="K98" t="s">
        <v>501</v>
      </c>
      <c r="L98" t="s">
        <v>502</v>
      </c>
      <c r="M98" t="s">
        <v>247</v>
      </c>
      <c r="N98" t="s">
        <v>248</v>
      </c>
      <c r="O98">
        <v>400</v>
      </c>
      <c r="P98" t="str">
        <f t="shared" si="1"/>
        <v>罗红霉素颗粒50mg*10袋</v>
      </c>
      <c r="R98" s="3" t="s">
        <v>1046</v>
      </c>
      <c r="S98" s="3" t="s">
        <v>1242</v>
      </c>
      <c r="T98" s="3" t="s">
        <v>1243</v>
      </c>
      <c r="U98" s="3" t="s">
        <v>1242</v>
      </c>
      <c r="W98" s="5" t="s">
        <v>1523</v>
      </c>
      <c r="X98" s="5" t="s">
        <v>1726</v>
      </c>
      <c r="Y98" s="5" t="s">
        <v>1729</v>
      </c>
      <c r="Z98" s="5" t="s">
        <v>1730</v>
      </c>
    </row>
    <row r="99" spans="1:26" x14ac:dyDescent="0.15">
      <c r="A99" s="1" t="s">
        <v>183</v>
      </c>
      <c r="B99" s="1" t="s">
        <v>184</v>
      </c>
      <c r="C99" s="1" t="s">
        <v>183</v>
      </c>
      <c r="D99" s="2" t="s">
        <v>235</v>
      </c>
      <c r="F99" t="s">
        <v>503</v>
      </c>
      <c r="G99">
        <v>10.199999999999999</v>
      </c>
      <c r="J99" t="s">
        <v>503</v>
      </c>
      <c r="K99" t="s">
        <v>504</v>
      </c>
      <c r="L99" t="s">
        <v>505</v>
      </c>
      <c r="M99" t="s">
        <v>326</v>
      </c>
      <c r="N99" t="s">
        <v>248</v>
      </c>
      <c r="O99">
        <v>150</v>
      </c>
      <c r="P99" t="str">
        <f t="shared" si="1"/>
        <v>蒙脱石散(12袋)3g×12袋×150盒</v>
      </c>
      <c r="R99" s="3" t="s">
        <v>1046</v>
      </c>
      <c r="S99" s="3" t="s">
        <v>1244</v>
      </c>
      <c r="T99" s="3" t="s">
        <v>1245</v>
      </c>
      <c r="U99" s="3" t="s">
        <v>1244</v>
      </c>
      <c r="W99" s="5" t="s">
        <v>1523</v>
      </c>
      <c r="X99" s="5" t="s">
        <v>1726</v>
      </c>
      <c r="Y99" s="5" t="s">
        <v>1731</v>
      </c>
      <c r="Z99" s="5" t="s">
        <v>1732</v>
      </c>
    </row>
    <row r="100" spans="1:26" x14ac:dyDescent="0.15">
      <c r="A100" s="1" t="s">
        <v>217</v>
      </c>
      <c r="B100" s="1" t="s">
        <v>218</v>
      </c>
      <c r="C100" s="1" t="s">
        <v>217</v>
      </c>
      <c r="D100" s="1"/>
      <c r="F100" t="s">
        <v>506</v>
      </c>
      <c r="G100">
        <v>6.8</v>
      </c>
      <c r="H100">
        <v>7.6</v>
      </c>
      <c r="I100">
        <v>19</v>
      </c>
      <c r="J100" t="s">
        <v>506</v>
      </c>
      <c r="K100" t="s">
        <v>507</v>
      </c>
      <c r="L100" t="s">
        <v>508</v>
      </c>
      <c r="M100" t="s">
        <v>326</v>
      </c>
      <c r="N100" t="s">
        <v>264</v>
      </c>
      <c r="O100">
        <v>300</v>
      </c>
      <c r="P100" t="str">
        <f t="shared" si="1"/>
        <v>蒙脱石散(6袋)6袋</v>
      </c>
      <c r="R100" s="3" t="s">
        <v>1046</v>
      </c>
      <c r="S100" s="3" t="s">
        <v>1246</v>
      </c>
      <c r="T100" s="3" t="s">
        <v>1247</v>
      </c>
      <c r="U100" s="3" t="s">
        <v>1246</v>
      </c>
      <c r="W100" s="5" t="s">
        <v>1523</v>
      </c>
      <c r="X100" s="5" t="s">
        <v>1726</v>
      </c>
      <c r="Y100" s="5" t="s">
        <v>1733</v>
      </c>
      <c r="Z100" s="5" t="s">
        <v>1734</v>
      </c>
    </row>
    <row r="101" spans="1:26" x14ac:dyDescent="0.15">
      <c r="A101" s="1" t="s">
        <v>219</v>
      </c>
      <c r="B101" s="1" t="s">
        <v>220</v>
      </c>
      <c r="C101" s="1" t="s">
        <v>219</v>
      </c>
      <c r="D101" s="1"/>
      <c r="F101" t="s">
        <v>509</v>
      </c>
      <c r="G101">
        <v>15</v>
      </c>
      <c r="J101" t="s">
        <v>509</v>
      </c>
      <c r="K101" t="s">
        <v>510</v>
      </c>
      <c r="L101" t="s">
        <v>511</v>
      </c>
      <c r="M101" t="s">
        <v>300</v>
      </c>
      <c r="N101" t="s">
        <v>248</v>
      </c>
      <c r="O101">
        <v>100</v>
      </c>
      <c r="P101" t="str">
        <f t="shared" si="1"/>
        <v>明目羊肝丸9g×10丸×100中盒</v>
      </c>
      <c r="R101" s="3" t="s">
        <v>1046</v>
      </c>
      <c r="S101" s="3" t="s">
        <v>1248</v>
      </c>
      <c r="T101" s="3" t="s">
        <v>1249</v>
      </c>
      <c r="U101" s="3" t="s">
        <v>1248</v>
      </c>
      <c r="W101" s="5" t="s">
        <v>1523</v>
      </c>
      <c r="X101" s="5" t="s">
        <v>1735</v>
      </c>
      <c r="Y101" s="5" t="s">
        <v>1736</v>
      </c>
      <c r="Z101" s="5" t="s">
        <v>1737</v>
      </c>
    </row>
    <row r="102" spans="1:26" x14ac:dyDescent="0.15">
      <c r="A102" s="1" t="s">
        <v>221</v>
      </c>
      <c r="B102" s="1" t="s">
        <v>222</v>
      </c>
      <c r="C102" s="1" t="s">
        <v>221</v>
      </c>
      <c r="D102" s="2" t="s">
        <v>1823</v>
      </c>
      <c r="F102" t="s">
        <v>512</v>
      </c>
      <c r="G102">
        <v>11.86</v>
      </c>
      <c r="J102" t="s">
        <v>512</v>
      </c>
      <c r="K102" t="s">
        <v>513</v>
      </c>
      <c r="L102" t="s">
        <v>514</v>
      </c>
      <c r="M102" t="s">
        <v>389</v>
      </c>
      <c r="N102" t="s">
        <v>248</v>
      </c>
      <c r="O102">
        <v>300</v>
      </c>
      <c r="P102" t="str">
        <f t="shared" si="1"/>
        <v>脑安片0.53g*24片*300盒</v>
      </c>
      <c r="R102" s="3" t="s">
        <v>1061</v>
      </c>
      <c r="S102" s="3" t="s">
        <v>1250</v>
      </c>
      <c r="T102" s="3" t="s">
        <v>1251</v>
      </c>
      <c r="U102" s="3" t="s">
        <v>1250</v>
      </c>
      <c r="W102" s="5" t="s">
        <v>1523</v>
      </c>
      <c r="X102" s="5" t="s">
        <v>1735</v>
      </c>
      <c r="Y102" s="5" t="s">
        <v>1738</v>
      </c>
      <c r="Z102" s="5" t="s">
        <v>1739</v>
      </c>
    </row>
    <row r="103" spans="1:26" x14ac:dyDescent="0.15">
      <c r="A103" s="1" t="s">
        <v>223</v>
      </c>
      <c r="B103" s="1" t="s">
        <v>224</v>
      </c>
      <c r="C103" s="1" t="s">
        <v>223</v>
      </c>
      <c r="D103" s="2" t="s">
        <v>1824</v>
      </c>
      <c r="F103" t="s">
        <v>515</v>
      </c>
      <c r="G103">
        <v>1.32</v>
      </c>
      <c r="J103" t="s">
        <v>515</v>
      </c>
      <c r="K103" t="s">
        <v>516</v>
      </c>
      <c r="L103" t="s">
        <v>517</v>
      </c>
      <c r="M103" t="s">
        <v>263</v>
      </c>
      <c r="N103" t="s">
        <v>264</v>
      </c>
      <c r="O103">
        <v>600</v>
      </c>
      <c r="P103" t="str">
        <f t="shared" si="1"/>
        <v>尼莫地平片20mg*50片素片</v>
      </c>
      <c r="R103" s="3" t="s">
        <v>1046</v>
      </c>
      <c r="S103" s="3" t="s">
        <v>1252</v>
      </c>
      <c r="T103" s="3" t="s">
        <v>1253</v>
      </c>
      <c r="U103" s="3" t="s">
        <v>1252</v>
      </c>
      <c r="W103" s="5" t="s">
        <v>1523</v>
      </c>
      <c r="X103" s="5" t="s">
        <v>1735</v>
      </c>
      <c r="Y103" s="5" t="s">
        <v>1740</v>
      </c>
      <c r="Z103" s="5" t="s">
        <v>1741</v>
      </c>
    </row>
    <row r="104" spans="1:26" x14ac:dyDescent="0.15">
      <c r="A104" s="1" t="s">
        <v>217</v>
      </c>
      <c r="B104" s="1" t="s">
        <v>225</v>
      </c>
      <c r="C104" s="1" t="s">
        <v>217</v>
      </c>
      <c r="D104" s="1"/>
      <c r="F104" t="s">
        <v>518</v>
      </c>
      <c r="G104">
        <v>7.6</v>
      </c>
      <c r="J104" t="s">
        <v>518</v>
      </c>
      <c r="K104" t="s">
        <v>519</v>
      </c>
      <c r="L104" t="s">
        <v>520</v>
      </c>
      <c r="M104" t="s">
        <v>300</v>
      </c>
      <c r="N104" t="s">
        <v>264</v>
      </c>
      <c r="O104">
        <v>200</v>
      </c>
      <c r="P104" t="str">
        <f t="shared" si="1"/>
        <v>牛黄降压片(200盒)20片×200盒</v>
      </c>
      <c r="R104" s="3" t="s">
        <v>1046</v>
      </c>
      <c r="S104" s="3" t="s">
        <v>1254</v>
      </c>
      <c r="T104" s="3" t="s">
        <v>1255</v>
      </c>
      <c r="U104" s="3" t="s">
        <v>1254</v>
      </c>
      <c r="W104" s="5" t="s">
        <v>1523</v>
      </c>
      <c r="X104" s="5" t="s">
        <v>1735</v>
      </c>
      <c r="Y104" s="5" t="s">
        <v>1742</v>
      </c>
      <c r="Z104" s="5" t="s">
        <v>1743</v>
      </c>
    </row>
    <row r="105" spans="1:26" x14ac:dyDescent="0.15">
      <c r="A105" s="1" t="s">
        <v>167</v>
      </c>
      <c r="B105" s="1" t="s">
        <v>1814</v>
      </c>
      <c r="C105" s="1" t="s">
        <v>167</v>
      </c>
      <c r="D105" s="2" t="s">
        <v>236</v>
      </c>
      <c r="F105" t="s">
        <v>521</v>
      </c>
      <c r="G105">
        <v>4.5999999999999996</v>
      </c>
      <c r="J105" t="s">
        <v>521</v>
      </c>
      <c r="K105" t="s">
        <v>522</v>
      </c>
      <c r="L105" t="s">
        <v>356</v>
      </c>
      <c r="M105" t="s">
        <v>300</v>
      </c>
      <c r="N105" t="s">
        <v>264</v>
      </c>
      <c r="O105">
        <v>100</v>
      </c>
      <c r="P105" t="str">
        <f t="shared" si="1"/>
        <v>牛黄解毒丸3g×10丸×100盒</v>
      </c>
      <c r="R105" s="3" t="s">
        <v>1061</v>
      </c>
      <c r="S105" s="3" t="s">
        <v>1256</v>
      </c>
      <c r="T105" s="3" t="s">
        <v>1257</v>
      </c>
      <c r="U105" s="3" t="s">
        <v>1256</v>
      </c>
      <c r="W105" s="5" t="s">
        <v>1523</v>
      </c>
      <c r="X105" s="5" t="s">
        <v>1735</v>
      </c>
      <c r="Y105" s="5" t="s">
        <v>1744</v>
      </c>
      <c r="Z105" s="5" t="s">
        <v>1745</v>
      </c>
    </row>
    <row r="106" spans="1:26" x14ac:dyDescent="0.15">
      <c r="A106" s="1" t="s">
        <v>35</v>
      </c>
      <c r="B106" s="1" t="s">
        <v>1815</v>
      </c>
      <c r="C106" s="1" t="s">
        <v>35</v>
      </c>
      <c r="D106" s="2" t="s">
        <v>237</v>
      </c>
      <c r="F106" t="s">
        <v>523</v>
      </c>
      <c r="G106">
        <v>4.3499999999999996</v>
      </c>
      <c r="J106" t="s">
        <v>523</v>
      </c>
      <c r="K106" t="s">
        <v>524</v>
      </c>
      <c r="L106" t="s">
        <v>525</v>
      </c>
      <c r="M106" t="s">
        <v>300</v>
      </c>
      <c r="N106" t="s">
        <v>264</v>
      </c>
      <c r="O106">
        <v>100</v>
      </c>
      <c r="P106" t="str">
        <f t="shared" si="1"/>
        <v>牛黄清火丸3g×10丸×100中盒</v>
      </c>
      <c r="R106" s="3" t="s">
        <v>1046</v>
      </c>
      <c r="S106" s="3" t="s">
        <v>1258</v>
      </c>
      <c r="T106" s="3" t="s">
        <v>1259</v>
      </c>
      <c r="U106" s="3" t="s">
        <v>1258</v>
      </c>
      <c r="W106" s="5" t="s">
        <v>1523</v>
      </c>
      <c r="X106" s="5" t="s">
        <v>1735</v>
      </c>
      <c r="Y106" s="5" t="s">
        <v>1746</v>
      </c>
      <c r="Z106" s="5" t="s">
        <v>1747</v>
      </c>
    </row>
    <row r="107" spans="1:26" x14ac:dyDescent="0.15">
      <c r="A107" t="s">
        <v>1825</v>
      </c>
      <c r="B107" t="s">
        <v>1826</v>
      </c>
      <c r="C107" t="s">
        <v>1825</v>
      </c>
      <c r="D107" s="13" t="s">
        <v>1827</v>
      </c>
      <c r="F107" t="s">
        <v>526</v>
      </c>
      <c r="G107">
        <v>5.0999999999999996</v>
      </c>
      <c r="J107" t="s">
        <v>526</v>
      </c>
      <c r="K107" t="s">
        <v>527</v>
      </c>
      <c r="L107" t="s">
        <v>453</v>
      </c>
      <c r="M107" t="s">
        <v>300</v>
      </c>
      <c r="N107" t="s">
        <v>264</v>
      </c>
      <c r="O107">
        <v>100</v>
      </c>
      <c r="P107" t="str">
        <f t="shared" si="1"/>
        <v>牛黄清胃丸6g×10丸×100中盒</v>
      </c>
      <c r="R107" s="3" t="s">
        <v>1061</v>
      </c>
      <c r="S107" s="3" t="s">
        <v>1260</v>
      </c>
      <c r="T107" s="3" t="s">
        <v>1261</v>
      </c>
      <c r="U107" s="3" t="s">
        <v>1260</v>
      </c>
      <c r="W107" s="5" t="s">
        <v>1523</v>
      </c>
      <c r="X107" s="5" t="s">
        <v>1735</v>
      </c>
      <c r="Y107" s="5" t="s">
        <v>1748</v>
      </c>
      <c r="Z107" s="5" t="s">
        <v>1749</v>
      </c>
    </row>
    <row r="108" spans="1:26" x14ac:dyDescent="0.15">
      <c r="A108" t="s">
        <v>219</v>
      </c>
      <c r="B108" t="s">
        <v>220</v>
      </c>
      <c r="C108" t="s">
        <v>219</v>
      </c>
      <c r="D108" s="2" t="s">
        <v>1828</v>
      </c>
      <c r="F108" t="s">
        <v>528</v>
      </c>
      <c r="G108">
        <v>8.8000000000000007</v>
      </c>
      <c r="J108" t="s">
        <v>528</v>
      </c>
      <c r="K108" t="s">
        <v>529</v>
      </c>
      <c r="L108" t="s">
        <v>530</v>
      </c>
      <c r="M108" t="s">
        <v>300</v>
      </c>
      <c r="N108" t="s">
        <v>264</v>
      </c>
      <c r="O108">
        <v>120</v>
      </c>
      <c r="P108" t="str">
        <f t="shared" si="1"/>
        <v>牛黄清胃丸（水蜜丸）70g×120盒</v>
      </c>
      <c r="R108" s="3" t="s">
        <v>1046</v>
      </c>
      <c r="S108" s="3" t="s">
        <v>1262</v>
      </c>
      <c r="T108" s="3" t="s">
        <v>1263</v>
      </c>
      <c r="U108" s="3" t="s">
        <v>1262</v>
      </c>
      <c r="W108" s="5" t="s">
        <v>1523</v>
      </c>
      <c r="X108" s="5" t="s">
        <v>1735</v>
      </c>
      <c r="Y108" s="5" t="s">
        <v>1750</v>
      </c>
      <c r="Z108" s="5" t="s">
        <v>1751</v>
      </c>
    </row>
    <row r="109" spans="1:26" x14ac:dyDescent="0.15">
      <c r="B109" s="14" t="s">
        <v>1829</v>
      </c>
      <c r="D109" s="2" t="s">
        <v>1830</v>
      </c>
      <c r="F109" t="s">
        <v>531</v>
      </c>
      <c r="G109">
        <v>28.8</v>
      </c>
      <c r="J109" t="s">
        <v>531</v>
      </c>
      <c r="K109" t="s">
        <v>532</v>
      </c>
      <c r="L109" t="s">
        <v>533</v>
      </c>
      <c r="M109" t="s">
        <v>300</v>
      </c>
      <c r="N109" t="s">
        <v>264</v>
      </c>
      <c r="O109">
        <v>80</v>
      </c>
      <c r="P109" t="str">
        <f t="shared" si="1"/>
        <v>牛黄清心丸3g×6丸×80盒</v>
      </c>
      <c r="R109" s="3" t="s">
        <v>1046</v>
      </c>
      <c r="S109" s="3" t="s">
        <v>1264</v>
      </c>
      <c r="T109" s="3" t="s">
        <v>1265</v>
      </c>
      <c r="U109" s="3" t="s">
        <v>1264</v>
      </c>
      <c r="W109" s="5" t="s">
        <v>1523</v>
      </c>
      <c r="X109" s="5" t="s">
        <v>1735</v>
      </c>
      <c r="Y109" s="5" t="s">
        <v>1752</v>
      </c>
      <c r="Z109" s="5" t="s">
        <v>1753</v>
      </c>
    </row>
    <row r="110" spans="1:26" x14ac:dyDescent="0.15">
      <c r="B110" s="14" t="s">
        <v>1831</v>
      </c>
      <c r="D110" s="2" t="s">
        <v>1832</v>
      </c>
      <c r="F110" t="s">
        <v>534</v>
      </c>
      <c r="G110">
        <v>6.45</v>
      </c>
      <c r="J110" t="s">
        <v>534</v>
      </c>
      <c r="K110" t="s">
        <v>535</v>
      </c>
      <c r="L110" t="s">
        <v>465</v>
      </c>
      <c r="M110" t="s">
        <v>300</v>
      </c>
      <c r="N110" t="s">
        <v>264</v>
      </c>
      <c r="O110">
        <v>100</v>
      </c>
      <c r="P110" t="str">
        <f t="shared" si="1"/>
        <v>牛黄上清丸(OTC)6g×10丸×100盒</v>
      </c>
      <c r="R110" s="3" t="s">
        <v>1046</v>
      </c>
      <c r="S110" s="3" t="s">
        <v>1266</v>
      </c>
      <c r="T110" s="3" t="s">
        <v>1267</v>
      </c>
      <c r="U110" s="3" t="s">
        <v>1266</v>
      </c>
      <c r="W110" s="5" t="s">
        <v>1523</v>
      </c>
      <c r="X110" s="5" t="s">
        <v>1735</v>
      </c>
      <c r="Y110" s="5" t="s">
        <v>1754</v>
      </c>
      <c r="Z110" s="5" t="s">
        <v>1755</v>
      </c>
    </row>
    <row r="111" spans="1:26" x14ac:dyDescent="0.15">
      <c r="F111" t="s">
        <v>536</v>
      </c>
      <c r="G111">
        <v>4.95</v>
      </c>
      <c r="J111" t="s">
        <v>536</v>
      </c>
      <c r="K111" t="s">
        <v>537</v>
      </c>
      <c r="L111" t="s">
        <v>538</v>
      </c>
      <c r="M111" t="s">
        <v>300</v>
      </c>
      <c r="N111" t="s">
        <v>264</v>
      </c>
      <c r="O111">
        <v>400</v>
      </c>
      <c r="P111" t="str">
        <f t="shared" si="1"/>
        <v>牛黄消炎片0.05g*30</v>
      </c>
      <c r="R111" s="3" t="s">
        <v>1046</v>
      </c>
      <c r="S111" s="3" t="s">
        <v>1268</v>
      </c>
      <c r="T111" s="3" t="s">
        <v>1269</v>
      </c>
      <c r="U111" s="3" t="s">
        <v>1268</v>
      </c>
      <c r="W111" s="5" t="s">
        <v>1523</v>
      </c>
      <c r="X111" s="5" t="s">
        <v>1735</v>
      </c>
      <c r="Y111" s="5" t="s">
        <v>1756</v>
      </c>
      <c r="Z111" s="5" t="s">
        <v>1757</v>
      </c>
    </row>
    <row r="112" spans="1:26" x14ac:dyDescent="0.15">
      <c r="F112" t="s">
        <v>539</v>
      </c>
      <c r="G112">
        <v>5.6</v>
      </c>
      <c r="J112" t="s">
        <v>539</v>
      </c>
      <c r="K112" t="s">
        <v>540</v>
      </c>
      <c r="L112" t="s">
        <v>541</v>
      </c>
      <c r="M112" t="s">
        <v>300</v>
      </c>
      <c r="N112" t="s">
        <v>264</v>
      </c>
      <c r="O112">
        <v>400</v>
      </c>
      <c r="P112" t="str">
        <f t="shared" si="1"/>
        <v>牛黄消炎片（24片）24片×400盒</v>
      </c>
      <c r="R112" s="3" t="s">
        <v>1046</v>
      </c>
      <c r="S112" s="3" t="s">
        <v>1270</v>
      </c>
      <c r="T112" s="3" t="s">
        <v>1271</v>
      </c>
      <c r="U112" s="3" t="s">
        <v>1270</v>
      </c>
      <c r="W112" s="5" t="s">
        <v>1523</v>
      </c>
      <c r="X112" s="5" t="s">
        <v>1735</v>
      </c>
      <c r="Y112" s="5" t="s">
        <v>1758</v>
      </c>
      <c r="Z112" s="5" t="s">
        <v>1759</v>
      </c>
    </row>
    <row r="113" spans="6:26" x14ac:dyDescent="0.15">
      <c r="F113" t="s">
        <v>542</v>
      </c>
      <c r="G113">
        <v>1.5</v>
      </c>
      <c r="J113" t="s">
        <v>542</v>
      </c>
      <c r="K113" t="s">
        <v>543</v>
      </c>
      <c r="L113" t="s">
        <v>544</v>
      </c>
      <c r="M113" t="s">
        <v>247</v>
      </c>
      <c r="N113" t="s">
        <v>248</v>
      </c>
      <c r="O113">
        <v>800</v>
      </c>
      <c r="P113" t="str">
        <f t="shared" si="1"/>
        <v>诺氟沙星胶囊0.1g*20s*800盒</v>
      </c>
      <c r="R113" s="3" t="s">
        <v>1046</v>
      </c>
      <c r="S113" s="3" t="s">
        <v>1272</v>
      </c>
      <c r="T113" s="3" t="s">
        <v>1273</v>
      </c>
      <c r="U113" s="3" t="s">
        <v>1272</v>
      </c>
      <c r="W113" s="5" t="s">
        <v>1523</v>
      </c>
      <c r="X113" s="5" t="s">
        <v>1760</v>
      </c>
      <c r="Y113" s="5" t="s">
        <v>1761</v>
      </c>
      <c r="Z113" s="5" t="s">
        <v>1762</v>
      </c>
    </row>
    <row r="114" spans="6:26" x14ac:dyDescent="0.15">
      <c r="F114" t="s">
        <v>545</v>
      </c>
      <c r="G114">
        <v>2.1</v>
      </c>
      <c r="J114" t="s">
        <v>545</v>
      </c>
      <c r="K114" t="s">
        <v>543</v>
      </c>
      <c r="L114" t="s">
        <v>546</v>
      </c>
      <c r="M114" t="s">
        <v>247</v>
      </c>
      <c r="N114" t="s">
        <v>248</v>
      </c>
      <c r="O114">
        <v>500</v>
      </c>
      <c r="P114" t="str">
        <f t="shared" si="1"/>
        <v>诺氟沙星胶囊0.1g*30粒</v>
      </c>
      <c r="R114" s="3" t="s">
        <v>1274</v>
      </c>
      <c r="S114" s="3" t="s">
        <v>1275</v>
      </c>
      <c r="T114" s="3" t="s">
        <v>1276</v>
      </c>
      <c r="U114" s="3" t="s">
        <v>1275</v>
      </c>
      <c r="W114" s="5" t="s">
        <v>1523</v>
      </c>
      <c r="X114" s="5" t="s">
        <v>1760</v>
      </c>
      <c r="Y114" s="5" t="s">
        <v>1763</v>
      </c>
      <c r="Z114" s="5" t="s">
        <v>1764</v>
      </c>
    </row>
    <row r="115" spans="6:26" x14ac:dyDescent="0.15">
      <c r="F115" t="s">
        <v>547</v>
      </c>
      <c r="G115">
        <v>2.6</v>
      </c>
      <c r="J115" t="s">
        <v>547</v>
      </c>
      <c r="K115" t="s">
        <v>548</v>
      </c>
      <c r="L115" t="s">
        <v>549</v>
      </c>
      <c r="M115" t="s">
        <v>294</v>
      </c>
      <c r="N115" t="s">
        <v>264</v>
      </c>
      <c r="O115">
        <v>200</v>
      </c>
      <c r="P115" t="str">
        <f t="shared" si="1"/>
        <v>诺氟沙星胶囊(委托)0.1g×48粒×200盒</v>
      </c>
      <c r="R115" s="3" t="s">
        <v>1046</v>
      </c>
      <c r="S115" s="3" t="s">
        <v>1277</v>
      </c>
      <c r="T115" s="3" t="s">
        <v>1278</v>
      </c>
      <c r="U115" s="3" t="s">
        <v>1277</v>
      </c>
      <c r="W115" s="5" t="s">
        <v>1523</v>
      </c>
      <c r="X115" s="5" t="s">
        <v>1760</v>
      </c>
      <c r="Y115" s="5" t="s">
        <v>1765</v>
      </c>
      <c r="Z115" s="5" t="s">
        <v>1766</v>
      </c>
    </row>
    <row r="116" spans="6:26" x14ac:dyDescent="0.15">
      <c r="F116" t="s">
        <v>550</v>
      </c>
      <c r="G116">
        <v>16.600000000000001</v>
      </c>
      <c r="J116" t="s">
        <v>550</v>
      </c>
      <c r="K116" t="s">
        <v>551</v>
      </c>
      <c r="L116" t="s">
        <v>403</v>
      </c>
      <c r="M116" t="s">
        <v>334</v>
      </c>
      <c r="N116" t="s">
        <v>248</v>
      </c>
      <c r="O116">
        <v>80</v>
      </c>
      <c r="P116" t="str">
        <f t="shared" si="1"/>
        <v>葡萄糖酸钙口服溶液（有糖）10ml×12支×80盒</v>
      </c>
      <c r="R116" s="3" t="s">
        <v>1046</v>
      </c>
      <c r="S116" s="3" t="s">
        <v>1279</v>
      </c>
      <c r="T116" s="3" t="s">
        <v>1280</v>
      </c>
      <c r="U116" s="3" t="s">
        <v>1279</v>
      </c>
      <c r="W116" s="5" t="s">
        <v>1523</v>
      </c>
      <c r="X116" s="5" t="s">
        <v>1760</v>
      </c>
      <c r="Y116" s="5" t="s">
        <v>1767</v>
      </c>
      <c r="Z116" s="5" t="s">
        <v>1768</v>
      </c>
    </row>
    <row r="117" spans="6:26" x14ac:dyDescent="0.15">
      <c r="F117" t="s">
        <v>552</v>
      </c>
      <c r="G117">
        <v>17.3</v>
      </c>
      <c r="J117" t="s">
        <v>552</v>
      </c>
      <c r="K117" t="s">
        <v>553</v>
      </c>
      <c r="L117" t="s">
        <v>403</v>
      </c>
      <c r="M117" t="s">
        <v>334</v>
      </c>
      <c r="N117" t="s">
        <v>264</v>
      </c>
      <c r="O117">
        <v>80</v>
      </c>
      <c r="P117" t="str">
        <f t="shared" si="1"/>
        <v>葡萄糖酸锌口服溶液（药字号）10ml×12支×80盒</v>
      </c>
      <c r="R117" s="3" t="s">
        <v>1046</v>
      </c>
      <c r="S117" s="3" t="s">
        <v>1281</v>
      </c>
      <c r="T117" s="3" t="s">
        <v>1282</v>
      </c>
      <c r="U117" s="3" t="s">
        <v>1281</v>
      </c>
      <c r="W117" s="5" t="s">
        <v>1523</v>
      </c>
      <c r="X117" s="5" t="s">
        <v>1760</v>
      </c>
      <c r="Y117" s="5" t="s">
        <v>1769</v>
      </c>
      <c r="Z117" s="5" t="s">
        <v>1770</v>
      </c>
    </row>
    <row r="118" spans="6:26" x14ac:dyDescent="0.15">
      <c r="F118" t="s">
        <v>554</v>
      </c>
      <c r="G118">
        <v>17.3</v>
      </c>
      <c r="J118" t="s">
        <v>554</v>
      </c>
      <c r="K118" t="s">
        <v>555</v>
      </c>
      <c r="L118" t="s">
        <v>403</v>
      </c>
      <c r="M118" t="s">
        <v>334</v>
      </c>
      <c r="N118" t="s">
        <v>248</v>
      </c>
      <c r="O118">
        <v>80</v>
      </c>
      <c r="P118" t="str">
        <f t="shared" si="1"/>
        <v>葡萄糖酸锌口服液10ml×12支×80盒</v>
      </c>
      <c r="R118" s="3" t="s">
        <v>1046</v>
      </c>
      <c r="S118" s="3" t="s">
        <v>1283</v>
      </c>
      <c r="T118" s="3" t="s">
        <v>1284</v>
      </c>
      <c r="U118" s="3" t="s">
        <v>1283</v>
      </c>
      <c r="W118" s="5" t="s">
        <v>1523</v>
      </c>
      <c r="X118" s="5" t="s">
        <v>1760</v>
      </c>
      <c r="Y118" s="5" t="s">
        <v>1771</v>
      </c>
      <c r="Z118" s="5" t="s">
        <v>1772</v>
      </c>
    </row>
    <row r="119" spans="6:26" x14ac:dyDescent="0.15">
      <c r="F119" t="s">
        <v>556</v>
      </c>
      <c r="G119">
        <v>12.6</v>
      </c>
      <c r="J119" t="s">
        <v>556</v>
      </c>
      <c r="K119" t="s">
        <v>557</v>
      </c>
      <c r="L119" t="s">
        <v>403</v>
      </c>
      <c r="M119" t="s">
        <v>294</v>
      </c>
      <c r="N119" t="s">
        <v>248</v>
      </c>
      <c r="O119">
        <v>80</v>
      </c>
      <c r="P119" t="str">
        <f t="shared" si="1"/>
        <v>朴雪乳酸亚铁口服液10ml×12支×80盒</v>
      </c>
      <c r="R119" s="3" t="s">
        <v>1046</v>
      </c>
      <c r="S119" s="3" t="s">
        <v>1285</v>
      </c>
      <c r="T119" s="3" t="s">
        <v>1286</v>
      </c>
      <c r="U119" s="3" t="s">
        <v>1285</v>
      </c>
      <c r="W119" s="5" t="s">
        <v>1523</v>
      </c>
      <c r="X119" s="5" t="s">
        <v>1760</v>
      </c>
      <c r="Y119" s="5" t="s">
        <v>1773</v>
      </c>
      <c r="Z119" s="5" t="s">
        <v>1774</v>
      </c>
    </row>
    <row r="120" spans="6:26" x14ac:dyDescent="0.15">
      <c r="F120" t="s">
        <v>558</v>
      </c>
      <c r="G120">
        <v>20.2</v>
      </c>
      <c r="J120" t="s">
        <v>558</v>
      </c>
      <c r="K120" t="s">
        <v>557</v>
      </c>
      <c r="L120" t="s">
        <v>559</v>
      </c>
      <c r="M120" t="s">
        <v>294</v>
      </c>
      <c r="N120" t="s">
        <v>248</v>
      </c>
      <c r="O120">
        <v>30</v>
      </c>
      <c r="P120" t="str">
        <f t="shared" si="1"/>
        <v>朴雪乳酸亚铁口服液20ml×10支×30盒</v>
      </c>
      <c r="R120" s="3" t="s">
        <v>1046</v>
      </c>
      <c r="S120" s="3" t="s">
        <v>1287</v>
      </c>
      <c r="T120" s="3" t="s">
        <v>1288</v>
      </c>
      <c r="U120" s="3" t="s">
        <v>1287</v>
      </c>
      <c r="W120" s="5" t="s">
        <v>1523</v>
      </c>
      <c r="X120" s="5" t="s">
        <v>1760</v>
      </c>
      <c r="Y120" s="5" t="s">
        <v>1775</v>
      </c>
      <c r="Z120" s="5" t="s">
        <v>1776</v>
      </c>
    </row>
    <row r="121" spans="6:26" x14ac:dyDescent="0.15">
      <c r="F121" t="s">
        <v>560</v>
      </c>
      <c r="G121">
        <v>7</v>
      </c>
      <c r="J121" t="s">
        <v>560</v>
      </c>
      <c r="K121" t="s">
        <v>561</v>
      </c>
      <c r="L121" t="s">
        <v>299</v>
      </c>
      <c r="M121" t="s">
        <v>300</v>
      </c>
      <c r="N121" t="s">
        <v>264</v>
      </c>
      <c r="O121">
        <v>100</v>
      </c>
      <c r="P121" t="str">
        <f t="shared" si="1"/>
        <v>杞菊地黄丸(OTC)9g×10丸×100盒</v>
      </c>
      <c r="R121" s="3" t="s">
        <v>1046</v>
      </c>
      <c r="S121" s="3" t="s">
        <v>1289</v>
      </c>
      <c r="T121" s="3" t="s">
        <v>1290</v>
      </c>
      <c r="U121" s="3" t="s">
        <v>1289</v>
      </c>
      <c r="W121" s="5" t="s">
        <v>1523</v>
      </c>
      <c r="X121" s="5" t="s">
        <v>1760</v>
      </c>
      <c r="Y121" s="5" t="s">
        <v>1777</v>
      </c>
      <c r="Z121" s="5" t="s">
        <v>1778</v>
      </c>
    </row>
    <row r="122" spans="6:26" x14ac:dyDescent="0.15">
      <c r="F122" t="s">
        <v>562</v>
      </c>
      <c r="G122">
        <v>4.54</v>
      </c>
      <c r="J122" t="s">
        <v>562</v>
      </c>
      <c r="K122" t="s">
        <v>563</v>
      </c>
      <c r="L122" t="s">
        <v>356</v>
      </c>
      <c r="M122" t="s">
        <v>300</v>
      </c>
      <c r="N122" t="s">
        <v>264</v>
      </c>
      <c r="O122">
        <v>100</v>
      </c>
      <c r="P122" t="str">
        <f t="shared" si="1"/>
        <v>启脾丸（OTC）3g×10丸×100盒</v>
      </c>
      <c r="R122" s="3" t="s">
        <v>1046</v>
      </c>
      <c r="S122" s="3" t="s">
        <v>1291</v>
      </c>
      <c r="T122" s="3" t="s">
        <v>1292</v>
      </c>
      <c r="U122" s="3" t="s">
        <v>1291</v>
      </c>
      <c r="W122" s="5" t="s">
        <v>1523</v>
      </c>
      <c r="X122" s="5" t="s">
        <v>1760</v>
      </c>
      <c r="Y122" s="5" t="s">
        <v>1779</v>
      </c>
      <c r="Z122" s="5" t="s">
        <v>1780</v>
      </c>
    </row>
    <row r="123" spans="6:26" x14ac:dyDescent="0.15">
      <c r="F123" t="s">
        <v>564</v>
      </c>
      <c r="G123">
        <v>11</v>
      </c>
      <c r="J123" t="s">
        <v>564</v>
      </c>
      <c r="K123" t="s">
        <v>565</v>
      </c>
      <c r="L123" t="s">
        <v>566</v>
      </c>
      <c r="M123" t="s">
        <v>567</v>
      </c>
      <c r="N123" t="s">
        <v>568</v>
      </c>
      <c r="O123">
        <v>300</v>
      </c>
      <c r="P123" t="str">
        <f t="shared" si="1"/>
        <v>前列地尔注射液1ml：5ug</v>
      </c>
      <c r="R123" s="3" t="s">
        <v>1046</v>
      </c>
      <c r="S123" s="3" t="s">
        <v>1293</v>
      </c>
      <c r="T123" s="3" t="s">
        <v>1294</v>
      </c>
      <c r="U123" s="3" t="s">
        <v>1293</v>
      </c>
      <c r="W123" s="5" t="s">
        <v>1523</v>
      </c>
      <c r="X123" s="5" t="s">
        <v>1760</v>
      </c>
      <c r="Y123" s="5" t="s">
        <v>1781</v>
      </c>
      <c r="Z123" s="5" t="s">
        <v>1782</v>
      </c>
    </row>
    <row r="124" spans="6:26" x14ac:dyDescent="0.15">
      <c r="F124" t="s">
        <v>569</v>
      </c>
      <c r="G124">
        <v>21</v>
      </c>
      <c r="J124" t="s">
        <v>569</v>
      </c>
      <c r="K124" t="s">
        <v>565</v>
      </c>
      <c r="L124" t="s">
        <v>570</v>
      </c>
      <c r="M124" t="s">
        <v>567</v>
      </c>
      <c r="N124" t="s">
        <v>568</v>
      </c>
      <c r="O124">
        <v>300</v>
      </c>
      <c r="P124" t="str">
        <f t="shared" si="1"/>
        <v>前列地尔注射液2ml：10ug</v>
      </c>
      <c r="R124" s="3" t="s">
        <v>1046</v>
      </c>
      <c r="S124" s="3" t="s">
        <v>1295</v>
      </c>
      <c r="T124" s="3" t="s">
        <v>1296</v>
      </c>
      <c r="U124" s="3" t="s">
        <v>1295</v>
      </c>
      <c r="W124" s="5" t="s">
        <v>1523</v>
      </c>
      <c r="X124" s="5" t="s">
        <v>1760</v>
      </c>
      <c r="Y124" s="5" t="s">
        <v>1783</v>
      </c>
      <c r="Z124" s="5" t="s">
        <v>1784</v>
      </c>
    </row>
    <row r="125" spans="6:26" x14ac:dyDescent="0.15">
      <c r="F125" t="s">
        <v>571</v>
      </c>
      <c r="G125">
        <v>9.5</v>
      </c>
      <c r="J125" t="s">
        <v>571</v>
      </c>
      <c r="K125" t="s">
        <v>572</v>
      </c>
      <c r="L125" t="s">
        <v>573</v>
      </c>
      <c r="M125" t="s">
        <v>389</v>
      </c>
      <c r="N125" t="s">
        <v>248</v>
      </c>
      <c r="O125">
        <v>180</v>
      </c>
      <c r="P125" t="str">
        <f t="shared" si="1"/>
        <v>强力脑清素片60片*180盒</v>
      </c>
      <c r="R125" s="3" t="s">
        <v>1046</v>
      </c>
      <c r="S125" s="3" t="s">
        <v>1297</v>
      </c>
      <c r="T125" s="3" t="s">
        <v>1298</v>
      </c>
      <c r="U125" s="3" t="s">
        <v>1297</v>
      </c>
      <c r="W125" s="5" t="s">
        <v>1523</v>
      </c>
      <c r="X125" s="5" t="s">
        <v>1785</v>
      </c>
      <c r="Y125" s="5" t="s">
        <v>1786</v>
      </c>
      <c r="Z125" s="5" t="s">
        <v>1787</v>
      </c>
    </row>
    <row r="126" spans="6:26" x14ac:dyDescent="0.15">
      <c r="F126" t="s">
        <v>574</v>
      </c>
      <c r="G126">
        <v>1.65</v>
      </c>
      <c r="J126" t="s">
        <v>574</v>
      </c>
      <c r="K126" t="s">
        <v>575</v>
      </c>
      <c r="L126" t="s">
        <v>576</v>
      </c>
      <c r="M126" t="s">
        <v>247</v>
      </c>
      <c r="N126" t="s">
        <v>248</v>
      </c>
      <c r="O126">
        <v>600</v>
      </c>
      <c r="P126" t="str">
        <f t="shared" si="1"/>
        <v>青霉素V钾片0.236g*12t*600盒</v>
      </c>
      <c r="R126" s="3" t="s">
        <v>1046</v>
      </c>
      <c r="S126" s="3" t="s">
        <v>1299</v>
      </c>
      <c r="T126" s="3" t="s">
        <v>1300</v>
      </c>
      <c r="U126" s="3" t="s">
        <v>1299</v>
      </c>
      <c r="W126" s="5" t="s">
        <v>1523</v>
      </c>
      <c r="X126" s="5" t="s">
        <v>1785</v>
      </c>
      <c r="Y126" s="5" t="s">
        <v>1605</v>
      </c>
      <c r="Z126" s="5" t="s">
        <v>1788</v>
      </c>
    </row>
    <row r="127" spans="6:26" x14ac:dyDescent="0.15">
      <c r="F127" t="s">
        <v>577</v>
      </c>
      <c r="G127">
        <v>2.6</v>
      </c>
      <c r="J127" t="s">
        <v>577</v>
      </c>
      <c r="K127" t="s">
        <v>578</v>
      </c>
      <c r="L127" t="s">
        <v>579</v>
      </c>
      <c r="M127" t="s">
        <v>247</v>
      </c>
      <c r="N127" t="s">
        <v>248</v>
      </c>
      <c r="O127">
        <v>600</v>
      </c>
      <c r="P127" t="str">
        <f t="shared" si="1"/>
        <v>青霉素V钾片（仙芬）0.236g*24t*600盒</v>
      </c>
      <c r="R127" s="3" t="s">
        <v>1046</v>
      </c>
      <c r="S127" s="3" t="s">
        <v>1301</v>
      </c>
      <c r="T127" s="3" t="s">
        <v>1302</v>
      </c>
      <c r="U127" s="3" t="s">
        <v>1301</v>
      </c>
      <c r="W127" s="5" t="s">
        <v>1523</v>
      </c>
      <c r="X127" s="5" t="s">
        <v>1785</v>
      </c>
      <c r="Y127" s="5" t="s">
        <v>1789</v>
      </c>
      <c r="Z127" s="5" t="s">
        <v>1790</v>
      </c>
    </row>
    <row r="128" spans="6:26" x14ac:dyDescent="0.15">
      <c r="F128" t="s">
        <v>580</v>
      </c>
      <c r="G128">
        <v>11.3</v>
      </c>
      <c r="J128" t="s">
        <v>580</v>
      </c>
      <c r="K128" t="s">
        <v>581</v>
      </c>
      <c r="L128" t="s">
        <v>330</v>
      </c>
      <c r="M128" t="s">
        <v>326</v>
      </c>
      <c r="N128" t="s">
        <v>248</v>
      </c>
      <c r="O128">
        <v>80</v>
      </c>
      <c r="P128" t="str">
        <f t="shared" si="1"/>
        <v>清热解毒口服液10ml×10支×80盒</v>
      </c>
      <c r="R128" s="3" t="s">
        <v>1046</v>
      </c>
      <c r="S128" s="3" t="s">
        <v>1303</v>
      </c>
      <c r="T128" s="3" t="s">
        <v>1304</v>
      </c>
      <c r="U128" s="3" t="s">
        <v>1303</v>
      </c>
      <c r="W128" s="5" t="s">
        <v>1523</v>
      </c>
      <c r="X128" s="5" t="s">
        <v>1785</v>
      </c>
      <c r="Y128" s="5" t="s">
        <v>1791</v>
      </c>
      <c r="Z128" s="5" t="s">
        <v>1792</v>
      </c>
    </row>
    <row r="129" spans="6:26" x14ac:dyDescent="0.15">
      <c r="F129" t="s">
        <v>582</v>
      </c>
      <c r="G129">
        <v>24.5</v>
      </c>
      <c r="H129">
        <v>27.2</v>
      </c>
      <c r="I129">
        <v>68</v>
      </c>
      <c r="J129" t="s">
        <v>582</v>
      </c>
      <c r="K129" t="s">
        <v>583</v>
      </c>
      <c r="L129" t="s">
        <v>584</v>
      </c>
      <c r="M129" t="s">
        <v>334</v>
      </c>
      <c r="N129" t="s">
        <v>264</v>
      </c>
      <c r="O129">
        <v>60</v>
      </c>
      <c r="P129" t="str">
        <f t="shared" si="1"/>
        <v>人参蜂王浆口服液12支*60盒</v>
      </c>
      <c r="R129" s="3" t="s">
        <v>1046</v>
      </c>
      <c r="S129" s="3" t="s">
        <v>1305</v>
      </c>
      <c r="T129" s="3" t="s">
        <v>1306</v>
      </c>
      <c r="U129" s="3" t="s">
        <v>1305</v>
      </c>
      <c r="W129" s="5" t="s">
        <v>1523</v>
      </c>
      <c r="X129" s="5" t="s">
        <v>1785</v>
      </c>
      <c r="Y129" s="5" t="s">
        <v>1793</v>
      </c>
      <c r="Z129" s="5" t="s">
        <v>1794</v>
      </c>
    </row>
    <row r="130" spans="6:26" x14ac:dyDescent="0.15">
      <c r="F130" t="s">
        <v>585</v>
      </c>
      <c r="G130">
        <v>1.76</v>
      </c>
      <c r="J130" t="s">
        <v>585</v>
      </c>
      <c r="K130" t="s">
        <v>586</v>
      </c>
      <c r="L130" t="s">
        <v>587</v>
      </c>
      <c r="M130" t="s">
        <v>263</v>
      </c>
      <c r="N130" t="s">
        <v>248</v>
      </c>
      <c r="O130">
        <v>480</v>
      </c>
      <c r="P130" t="str">
        <f t="shared" si="1"/>
        <v>人工牛黄甲硝唑胶囊10粒×2板×480盒</v>
      </c>
      <c r="R130" s="3" t="s">
        <v>1046</v>
      </c>
      <c r="S130" s="3" t="s">
        <v>1307</v>
      </c>
      <c r="T130" s="3" t="s">
        <v>1308</v>
      </c>
      <c r="U130" s="3" t="s">
        <v>1307</v>
      </c>
      <c r="W130" s="5" t="s">
        <v>1523</v>
      </c>
      <c r="X130" s="5" t="s">
        <v>1785</v>
      </c>
      <c r="Y130" s="5" t="s">
        <v>1795</v>
      </c>
      <c r="Z130" s="5" t="s">
        <v>1796</v>
      </c>
    </row>
    <row r="131" spans="6:26" x14ac:dyDescent="0.15">
      <c r="F131" t="s">
        <v>588</v>
      </c>
      <c r="G131">
        <v>2.63</v>
      </c>
      <c r="J131" t="s">
        <v>588</v>
      </c>
      <c r="K131" t="s">
        <v>586</v>
      </c>
      <c r="L131" t="s">
        <v>589</v>
      </c>
      <c r="M131" t="s">
        <v>263</v>
      </c>
      <c r="N131" t="s">
        <v>248</v>
      </c>
      <c r="O131">
        <v>480</v>
      </c>
      <c r="P131" t="str">
        <f t="shared" ref="P131:P194" si="2">K131&amp;L131</f>
        <v>人工牛黄甲硝唑胶囊10粒×3板×480盒</v>
      </c>
      <c r="R131" s="3" t="s">
        <v>1046</v>
      </c>
      <c r="S131" s="3" t="s">
        <v>1309</v>
      </c>
      <c r="T131" s="3" t="s">
        <v>1310</v>
      </c>
      <c r="U131" s="3" t="s">
        <v>1309</v>
      </c>
      <c r="W131" s="5" t="s">
        <v>1523</v>
      </c>
      <c r="X131" s="5" t="s">
        <v>1797</v>
      </c>
      <c r="Y131" s="5" t="s">
        <v>1798</v>
      </c>
      <c r="Z131" s="5" t="s">
        <v>1799</v>
      </c>
    </row>
    <row r="132" spans="6:26" x14ac:dyDescent="0.15">
      <c r="F132" t="s">
        <v>590</v>
      </c>
      <c r="G132">
        <v>3.2</v>
      </c>
      <c r="J132" t="s">
        <v>590</v>
      </c>
      <c r="K132" t="s">
        <v>591</v>
      </c>
      <c r="L132" t="s">
        <v>592</v>
      </c>
      <c r="M132" t="s">
        <v>294</v>
      </c>
      <c r="N132" t="s">
        <v>248</v>
      </c>
      <c r="O132">
        <v>400</v>
      </c>
      <c r="P132" t="str">
        <f t="shared" si="2"/>
        <v>乳酸菌素片0.4g×36片×10袋×40中盒</v>
      </c>
      <c r="R132" s="3" t="s">
        <v>1046</v>
      </c>
      <c r="S132" s="3" t="s">
        <v>1311</v>
      </c>
      <c r="T132" s="3" t="s">
        <v>1312</v>
      </c>
      <c r="U132" s="3" t="s">
        <v>1311</v>
      </c>
      <c r="W132" s="5" t="s">
        <v>1523</v>
      </c>
      <c r="X132" s="5" t="s">
        <v>1797</v>
      </c>
      <c r="Y132" s="5" t="s">
        <v>1800</v>
      </c>
      <c r="Z132" s="5" t="s">
        <v>1801</v>
      </c>
    </row>
    <row r="133" spans="6:26" x14ac:dyDescent="0.15">
      <c r="F133" t="s">
        <v>593</v>
      </c>
      <c r="G133">
        <v>5.5</v>
      </c>
      <c r="J133" t="s">
        <v>593</v>
      </c>
      <c r="K133" t="s">
        <v>594</v>
      </c>
      <c r="L133" t="s">
        <v>595</v>
      </c>
      <c r="M133" t="s">
        <v>294</v>
      </c>
      <c r="N133" t="s">
        <v>248</v>
      </c>
      <c r="O133">
        <v>200</v>
      </c>
      <c r="P133" t="str">
        <f t="shared" si="2"/>
        <v>乳酸菌素片“为消”牌0.4g×36片×200盒</v>
      </c>
      <c r="R133" s="3" t="s">
        <v>1046</v>
      </c>
      <c r="S133" s="3" t="s">
        <v>1313</v>
      </c>
      <c r="T133" s="3" t="s">
        <v>1314</v>
      </c>
      <c r="U133" s="3" t="s">
        <v>1313</v>
      </c>
      <c r="W133" s="5" t="s">
        <v>1523</v>
      </c>
      <c r="X133" s="5" t="s">
        <v>1797</v>
      </c>
      <c r="Y133" s="5" t="s">
        <v>1802</v>
      </c>
      <c r="Z133" s="5" t="s">
        <v>1803</v>
      </c>
    </row>
    <row r="134" spans="6:26" x14ac:dyDescent="0.15">
      <c r="F134" t="s">
        <v>596</v>
      </c>
      <c r="G134">
        <v>6</v>
      </c>
      <c r="H134">
        <v>6.6</v>
      </c>
      <c r="I134">
        <v>14.8</v>
      </c>
      <c r="J134" t="s">
        <v>596</v>
      </c>
      <c r="K134" t="s">
        <v>597</v>
      </c>
      <c r="L134" t="s">
        <v>598</v>
      </c>
      <c r="M134" t="s">
        <v>599</v>
      </c>
      <c r="N134" t="s">
        <v>264</v>
      </c>
      <c r="O134">
        <v>48</v>
      </c>
      <c r="P134" t="str">
        <f t="shared" si="2"/>
        <v>三精双黄连植物精华皂102×48块102g*48盒</v>
      </c>
      <c r="R134" s="3" t="s">
        <v>1046</v>
      </c>
      <c r="S134" s="3" t="s">
        <v>1315</v>
      </c>
      <c r="T134" s="3" t="s">
        <v>1316</v>
      </c>
      <c r="U134" s="3" t="s">
        <v>1315</v>
      </c>
      <c r="W134" s="5" t="s">
        <v>1523</v>
      </c>
      <c r="X134" s="5" t="s">
        <v>1797</v>
      </c>
      <c r="Y134" s="5" t="s">
        <v>1804</v>
      </c>
      <c r="Z134" s="5" t="s">
        <v>1805</v>
      </c>
    </row>
    <row r="135" spans="6:26" x14ac:dyDescent="0.15">
      <c r="F135" t="s">
        <v>600</v>
      </c>
      <c r="G135">
        <v>9.8000000000000007</v>
      </c>
      <c r="J135" t="s">
        <v>600</v>
      </c>
      <c r="K135" t="s">
        <v>601</v>
      </c>
      <c r="L135" t="s">
        <v>602</v>
      </c>
      <c r="M135" t="s">
        <v>300</v>
      </c>
      <c r="N135" t="s">
        <v>264</v>
      </c>
      <c r="O135">
        <v>120</v>
      </c>
      <c r="P135" t="str">
        <f t="shared" si="2"/>
        <v>麝香接骨胶囊0.3g×40粒×120盒</v>
      </c>
      <c r="R135" s="3" t="s">
        <v>1046</v>
      </c>
      <c r="S135" s="3" t="s">
        <v>1317</v>
      </c>
      <c r="T135" s="3" t="s">
        <v>1318</v>
      </c>
      <c r="U135" s="3" t="s">
        <v>1317</v>
      </c>
      <c r="W135" s="5" t="s">
        <v>1523</v>
      </c>
      <c r="X135" s="5" t="s">
        <v>1797</v>
      </c>
      <c r="Y135" s="5" t="s">
        <v>1806</v>
      </c>
      <c r="Z135" s="5" t="s">
        <v>1807</v>
      </c>
    </row>
    <row r="136" spans="6:26" x14ac:dyDescent="0.15">
      <c r="F136" t="s">
        <v>603</v>
      </c>
      <c r="G136">
        <v>4.2</v>
      </c>
      <c r="J136" t="s">
        <v>603</v>
      </c>
      <c r="K136" t="s">
        <v>604</v>
      </c>
      <c r="L136" t="s">
        <v>605</v>
      </c>
      <c r="M136" t="s">
        <v>294</v>
      </c>
      <c r="N136" t="s">
        <v>264</v>
      </c>
      <c r="O136">
        <v>300</v>
      </c>
      <c r="P136" t="str">
        <f t="shared" si="2"/>
        <v>麝香壮骨膏2袋*6贴</v>
      </c>
      <c r="R136" s="3" t="s">
        <v>1046</v>
      </c>
      <c r="S136" s="3" t="s">
        <v>1319</v>
      </c>
      <c r="T136" s="3" t="s">
        <v>1320</v>
      </c>
      <c r="U136" s="3" t="s">
        <v>1319</v>
      </c>
      <c r="W136" s="5" t="s">
        <v>1523</v>
      </c>
      <c r="X136" s="5" t="s">
        <v>1797</v>
      </c>
      <c r="Y136" s="5" t="s">
        <v>1808</v>
      </c>
      <c r="Z136" s="5" t="s">
        <v>1809</v>
      </c>
    </row>
    <row r="137" spans="6:26" x14ac:dyDescent="0.15">
      <c r="F137" t="s">
        <v>606</v>
      </c>
      <c r="G137">
        <v>11.8</v>
      </c>
      <c r="J137" t="s">
        <v>606</v>
      </c>
      <c r="K137" t="s">
        <v>607</v>
      </c>
      <c r="L137" t="s">
        <v>608</v>
      </c>
      <c r="M137" t="s">
        <v>326</v>
      </c>
      <c r="N137" t="s">
        <v>248</v>
      </c>
      <c r="O137">
        <v>60</v>
      </c>
      <c r="P137" t="str">
        <f t="shared" si="2"/>
        <v>生脉饮（党参方）10ml×10支×60盒</v>
      </c>
      <c r="R137" s="3" t="s">
        <v>1046</v>
      </c>
      <c r="S137" s="3" t="s">
        <v>1321</v>
      </c>
      <c r="T137" s="3" t="s">
        <v>1322</v>
      </c>
      <c r="U137" s="3" t="s">
        <v>1321</v>
      </c>
      <c r="W137" s="5" t="s">
        <v>1523</v>
      </c>
      <c r="X137" s="5" t="s">
        <v>1797</v>
      </c>
      <c r="Y137" s="5" t="s">
        <v>1810</v>
      </c>
      <c r="Z137" s="5" t="s">
        <v>1811</v>
      </c>
    </row>
    <row r="138" spans="6:26" x14ac:dyDescent="0.15">
      <c r="F138" t="s">
        <v>609</v>
      </c>
      <c r="G138">
        <v>6.1</v>
      </c>
      <c r="J138" t="s">
        <v>609</v>
      </c>
      <c r="K138" t="s">
        <v>610</v>
      </c>
      <c r="L138" t="s">
        <v>299</v>
      </c>
      <c r="M138" t="s">
        <v>300</v>
      </c>
      <c r="N138" t="s">
        <v>264</v>
      </c>
      <c r="O138">
        <v>100</v>
      </c>
      <c r="P138" t="str">
        <f t="shared" si="2"/>
        <v>十全大补丸(OTC)9g×10丸×100盒</v>
      </c>
      <c r="R138" s="3" t="s">
        <v>1046</v>
      </c>
      <c r="S138" s="3" t="s">
        <v>1323</v>
      </c>
      <c r="T138" s="3" t="s">
        <v>1324</v>
      </c>
      <c r="U138" s="3" t="s">
        <v>1323</v>
      </c>
      <c r="W138" s="5" t="s">
        <v>1523</v>
      </c>
      <c r="X138" s="5" t="s">
        <v>1797</v>
      </c>
      <c r="Y138" s="5" t="s">
        <v>1812</v>
      </c>
      <c r="Z138" s="5" t="s">
        <v>1813</v>
      </c>
    </row>
    <row r="139" spans="6:26" x14ac:dyDescent="0.15">
      <c r="F139" t="s">
        <v>611</v>
      </c>
      <c r="G139">
        <v>8.5</v>
      </c>
      <c r="J139" t="s">
        <v>611</v>
      </c>
      <c r="K139" t="s">
        <v>612</v>
      </c>
      <c r="L139" t="s">
        <v>465</v>
      </c>
      <c r="M139" t="s">
        <v>300</v>
      </c>
      <c r="N139" t="s">
        <v>264</v>
      </c>
      <c r="O139">
        <v>100</v>
      </c>
      <c r="P139" t="str">
        <f t="shared" si="2"/>
        <v>舒肝丸6g×10丸×100盒</v>
      </c>
      <c r="R139" s="3" t="s">
        <v>1046</v>
      </c>
      <c r="S139" s="3" t="s">
        <v>1325</v>
      </c>
      <c r="T139" s="3" t="s">
        <v>1326</v>
      </c>
      <c r="U139" s="3" t="s">
        <v>1325</v>
      </c>
    </row>
    <row r="140" spans="6:26" x14ac:dyDescent="0.15">
      <c r="F140" t="s">
        <v>613</v>
      </c>
      <c r="G140">
        <v>5.3</v>
      </c>
      <c r="J140" t="s">
        <v>613</v>
      </c>
      <c r="K140" t="s">
        <v>614</v>
      </c>
      <c r="L140" t="s">
        <v>615</v>
      </c>
      <c r="M140" t="s">
        <v>326</v>
      </c>
      <c r="N140" t="s">
        <v>616</v>
      </c>
      <c r="O140">
        <v>960</v>
      </c>
      <c r="P140" t="str">
        <f t="shared" si="2"/>
        <v>双黄连粉针（80盒）600mg×12支×80盒</v>
      </c>
      <c r="R140" s="3" t="s">
        <v>1046</v>
      </c>
      <c r="S140" s="3" t="s">
        <v>1327</v>
      </c>
      <c r="T140" s="3" t="s">
        <v>1328</v>
      </c>
      <c r="U140" s="3" t="s">
        <v>1327</v>
      </c>
    </row>
    <row r="141" spans="6:26" x14ac:dyDescent="0.15">
      <c r="F141" t="s">
        <v>617</v>
      </c>
      <c r="G141">
        <v>5.3</v>
      </c>
      <c r="J141" t="s">
        <v>617</v>
      </c>
      <c r="K141" t="s">
        <v>618</v>
      </c>
      <c r="L141" t="s">
        <v>619</v>
      </c>
      <c r="M141" t="s">
        <v>326</v>
      </c>
      <c r="N141" t="s">
        <v>568</v>
      </c>
      <c r="O141">
        <v>720</v>
      </c>
      <c r="P141" t="str">
        <f t="shared" si="2"/>
        <v>双黄连粉针剂（120盒）600mg×6支×120盒</v>
      </c>
      <c r="R141" s="3" t="s">
        <v>1046</v>
      </c>
      <c r="S141" s="3" t="s">
        <v>1329</v>
      </c>
      <c r="T141" s="3" t="s">
        <v>1330</v>
      </c>
      <c r="U141" s="3" t="s">
        <v>1329</v>
      </c>
    </row>
    <row r="142" spans="6:26" x14ac:dyDescent="0.15">
      <c r="F142" t="s">
        <v>620</v>
      </c>
      <c r="G142">
        <v>8.1</v>
      </c>
      <c r="J142" t="s">
        <v>620</v>
      </c>
      <c r="K142" t="s">
        <v>621</v>
      </c>
      <c r="L142" t="s">
        <v>622</v>
      </c>
      <c r="M142" t="s">
        <v>326</v>
      </c>
      <c r="N142" t="s">
        <v>264</v>
      </c>
      <c r="O142">
        <v>100</v>
      </c>
      <c r="P142" t="str">
        <f t="shared" si="2"/>
        <v>双黄连颗粒5gx12袋</v>
      </c>
      <c r="R142" s="3" t="s">
        <v>1046</v>
      </c>
      <c r="S142" s="3" t="s">
        <v>1331</v>
      </c>
      <c r="T142" s="3" t="s">
        <v>1332</v>
      </c>
      <c r="U142" s="3" t="s">
        <v>1331</v>
      </c>
    </row>
    <row r="143" spans="6:26" x14ac:dyDescent="0.15">
      <c r="F143" t="s">
        <v>623</v>
      </c>
      <c r="G143">
        <v>12</v>
      </c>
      <c r="J143" t="s">
        <v>623</v>
      </c>
      <c r="K143" t="s">
        <v>624</v>
      </c>
      <c r="L143" t="s">
        <v>625</v>
      </c>
      <c r="M143" t="s">
        <v>326</v>
      </c>
      <c r="N143" t="s">
        <v>264</v>
      </c>
      <c r="O143">
        <v>100</v>
      </c>
      <c r="P143" t="str">
        <f t="shared" si="2"/>
        <v>双黄连颗粒（10袋）5g×10袋×100盒</v>
      </c>
      <c r="R143" s="3" t="s">
        <v>1046</v>
      </c>
      <c r="S143" s="3" t="s">
        <v>1333</v>
      </c>
      <c r="T143" s="3" t="s">
        <v>1334</v>
      </c>
      <c r="U143" s="3" t="s">
        <v>1333</v>
      </c>
    </row>
    <row r="144" spans="6:26" x14ac:dyDescent="0.15">
      <c r="F144" t="s">
        <v>626</v>
      </c>
      <c r="G144">
        <v>22.5</v>
      </c>
      <c r="J144" t="s">
        <v>626</v>
      </c>
      <c r="K144" t="s">
        <v>627</v>
      </c>
      <c r="L144" t="s">
        <v>628</v>
      </c>
      <c r="M144" t="s">
        <v>326</v>
      </c>
      <c r="N144" t="s">
        <v>264</v>
      </c>
      <c r="O144">
        <v>100</v>
      </c>
      <c r="P144" t="str">
        <f t="shared" si="2"/>
        <v>双黄连颗粒(无蔗糖)5g*10</v>
      </c>
      <c r="R144" s="3" t="s">
        <v>1046</v>
      </c>
      <c r="S144" s="3" t="s">
        <v>1335</v>
      </c>
      <c r="T144" s="3" t="s">
        <v>1336</v>
      </c>
      <c r="U144" s="3" t="s">
        <v>1335</v>
      </c>
    </row>
    <row r="145" spans="6:21" x14ac:dyDescent="0.15">
      <c r="F145" t="s">
        <v>629</v>
      </c>
      <c r="G145">
        <v>15.5</v>
      </c>
      <c r="H145">
        <v>17.2</v>
      </c>
      <c r="I145">
        <v>28</v>
      </c>
      <c r="J145" t="s">
        <v>629</v>
      </c>
      <c r="K145" t="s">
        <v>630</v>
      </c>
      <c r="L145" t="s">
        <v>411</v>
      </c>
      <c r="M145" t="s">
        <v>334</v>
      </c>
      <c r="N145" t="s">
        <v>264</v>
      </c>
      <c r="O145">
        <v>80</v>
      </c>
      <c r="P145" t="str">
        <f t="shared" si="2"/>
        <v>双黄连口服液10ml*12支</v>
      </c>
      <c r="R145" s="3" t="s">
        <v>1046</v>
      </c>
      <c r="S145" s="3" t="s">
        <v>1337</v>
      </c>
      <c r="T145" s="3" t="s">
        <v>1338</v>
      </c>
      <c r="U145" s="3" t="s">
        <v>1337</v>
      </c>
    </row>
    <row r="146" spans="6:21" x14ac:dyDescent="0.15">
      <c r="F146" t="s">
        <v>631</v>
      </c>
      <c r="G146">
        <v>12.8</v>
      </c>
      <c r="H146">
        <v>13.5</v>
      </c>
      <c r="I146">
        <v>19.8</v>
      </c>
      <c r="J146" t="s">
        <v>631</v>
      </c>
      <c r="K146" t="s">
        <v>630</v>
      </c>
      <c r="L146" t="s">
        <v>632</v>
      </c>
      <c r="M146" t="s">
        <v>334</v>
      </c>
      <c r="N146" t="s">
        <v>248</v>
      </c>
      <c r="O146">
        <v>90</v>
      </c>
      <c r="P146" t="str">
        <f t="shared" si="2"/>
        <v>双黄连口服液10ml×10支×90盒</v>
      </c>
      <c r="R146" s="3" t="s">
        <v>1046</v>
      </c>
      <c r="S146" s="3" t="s">
        <v>1339</v>
      </c>
      <c r="T146" s="3" t="s">
        <v>1340</v>
      </c>
      <c r="U146" s="3" t="s">
        <v>1339</v>
      </c>
    </row>
    <row r="147" spans="6:21" x14ac:dyDescent="0.15">
      <c r="F147" t="s">
        <v>633</v>
      </c>
      <c r="G147">
        <v>20.2</v>
      </c>
      <c r="H147">
        <v>22.5</v>
      </c>
      <c r="I147">
        <v>38</v>
      </c>
      <c r="J147" t="s">
        <v>633</v>
      </c>
      <c r="K147" t="s">
        <v>630</v>
      </c>
      <c r="L147" t="s">
        <v>634</v>
      </c>
      <c r="M147" t="s">
        <v>334</v>
      </c>
      <c r="N147" t="s">
        <v>264</v>
      </c>
      <c r="O147">
        <v>40</v>
      </c>
      <c r="P147" t="str">
        <f t="shared" si="2"/>
        <v>双黄连口服液20ml*9支</v>
      </c>
      <c r="R147" s="3" t="s">
        <v>1046</v>
      </c>
      <c r="S147" s="3" t="s">
        <v>1341</v>
      </c>
      <c r="T147" s="3" t="s">
        <v>1342</v>
      </c>
      <c r="U147" s="3" t="s">
        <v>1341</v>
      </c>
    </row>
    <row r="148" spans="6:21" x14ac:dyDescent="0.15">
      <c r="F148" t="s">
        <v>635</v>
      </c>
      <c r="G148">
        <v>10</v>
      </c>
      <c r="H148">
        <v>11</v>
      </c>
      <c r="I148">
        <v>28</v>
      </c>
      <c r="J148" t="s">
        <v>635</v>
      </c>
      <c r="K148" t="s">
        <v>636</v>
      </c>
      <c r="L148" t="s">
        <v>637</v>
      </c>
      <c r="M148" t="s">
        <v>599</v>
      </c>
      <c r="N148" t="s">
        <v>264</v>
      </c>
      <c r="O148">
        <v>54</v>
      </c>
      <c r="P148" t="str">
        <f t="shared" si="2"/>
        <v>双黄连牙膏（留兰香）150g×54支</v>
      </c>
      <c r="R148" s="3" t="s">
        <v>1046</v>
      </c>
      <c r="S148" s="3" t="s">
        <v>1343</v>
      </c>
      <c r="T148" s="3" t="s">
        <v>1344</v>
      </c>
      <c r="U148" s="3" t="s">
        <v>1343</v>
      </c>
    </row>
    <row r="149" spans="6:21" x14ac:dyDescent="0.15">
      <c r="F149" t="s">
        <v>638</v>
      </c>
      <c r="G149">
        <v>10.6</v>
      </c>
      <c r="J149" t="s">
        <v>638</v>
      </c>
      <c r="K149" t="s">
        <v>639</v>
      </c>
      <c r="L149" t="s">
        <v>299</v>
      </c>
      <c r="M149" t="s">
        <v>300</v>
      </c>
      <c r="N149" t="s">
        <v>264</v>
      </c>
      <c r="O149">
        <v>100</v>
      </c>
      <c r="P149" t="str">
        <f t="shared" si="2"/>
        <v>天王补心丸9g×10丸×100盒</v>
      </c>
      <c r="R149" s="3" t="s">
        <v>1046</v>
      </c>
      <c r="S149" s="3" t="s">
        <v>1345</v>
      </c>
      <c r="T149" s="3" t="s">
        <v>1346</v>
      </c>
      <c r="U149" s="3" t="s">
        <v>1345</v>
      </c>
    </row>
    <row r="150" spans="6:21" x14ac:dyDescent="0.15">
      <c r="F150" t="s">
        <v>640</v>
      </c>
      <c r="G150">
        <v>2.2999999999999998</v>
      </c>
      <c r="J150" t="s">
        <v>640</v>
      </c>
      <c r="K150" t="s">
        <v>641</v>
      </c>
      <c r="L150" t="s">
        <v>642</v>
      </c>
      <c r="M150" t="s">
        <v>247</v>
      </c>
      <c r="N150" t="s">
        <v>248</v>
      </c>
      <c r="O150">
        <v>600</v>
      </c>
      <c r="P150" t="str">
        <f t="shared" si="2"/>
        <v>头孢氨苄胶囊0.125g*20s*600盒</v>
      </c>
      <c r="R150" s="3" t="s">
        <v>1046</v>
      </c>
      <c r="S150" s="3" t="s">
        <v>1347</v>
      </c>
      <c r="T150" s="3" t="s">
        <v>1348</v>
      </c>
      <c r="U150" s="3" t="s">
        <v>1347</v>
      </c>
    </row>
    <row r="151" spans="6:21" x14ac:dyDescent="0.15">
      <c r="F151" t="s">
        <v>643</v>
      </c>
      <c r="G151">
        <v>2.1</v>
      </c>
      <c r="J151" t="s">
        <v>643</v>
      </c>
      <c r="K151" t="s">
        <v>641</v>
      </c>
      <c r="L151" t="s">
        <v>434</v>
      </c>
      <c r="M151" t="s">
        <v>263</v>
      </c>
      <c r="N151" t="s">
        <v>264</v>
      </c>
      <c r="O151">
        <v>480</v>
      </c>
      <c r="P151" t="str">
        <f t="shared" si="2"/>
        <v>头孢氨苄胶囊0.125g*20粒</v>
      </c>
      <c r="R151" s="3" t="s">
        <v>1046</v>
      </c>
      <c r="S151" s="3" t="s">
        <v>1349</v>
      </c>
      <c r="T151" s="3" t="s">
        <v>1350</v>
      </c>
      <c r="U151" s="3" t="s">
        <v>1349</v>
      </c>
    </row>
    <row r="152" spans="6:21" x14ac:dyDescent="0.15">
      <c r="F152" t="s">
        <v>644</v>
      </c>
      <c r="G152">
        <v>2.4</v>
      </c>
      <c r="J152" t="s">
        <v>644</v>
      </c>
      <c r="K152" t="s">
        <v>645</v>
      </c>
      <c r="L152" t="s">
        <v>646</v>
      </c>
      <c r="M152" t="s">
        <v>247</v>
      </c>
      <c r="N152" t="s">
        <v>248</v>
      </c>
      <c r="O152">
        <v>400</v>
      </c>
      <c r="P152" t="str">
        <f t="shared" si="2"/>
        <v>头孢氨苄颗粒125mg*12袋*400盒</v>
      </c>
      <c r="R152" s="3" t="s">
        <v>1046</v>
      </c>
      <c r="S152" s="3" t="s">
        <v>1351</v>
      </c>
      <c r="T152" s="3" t="s">
        <v>1352</v>
      </c>
      <c r="U152" s="3" t="s">
        <v>1351</v>
      </c>
    </row>
    <row r="153" spans="6:21" x14ac:dyDescent="0.15">
      <c r="F153" t="s">
        <v>647</v>
      </c>
      <c r="G153">
        <v>2.4500000000000002</v>
      </c>
      <c r="J153" t="s">
        <v>647</v>
      </c>
      <c r="K153" t="s">
        <v>648</v>
      </c>
      <c r="L153" t="s">
        <v>649</v>
      </c>
      <c r="M153" t="s">
        <v>247</v>
      </c>
      <c r="N153" t="s">
        <v>248</v>
      </c>
      <c r="O153">
        <v>400</v>
      </c>
      <c r="P153" t="str">
        <f t="shared" si="2"/>
        <v>头孢氨苄片0.125g*30片</v>
      </c>
      <c r="R153" s="3" t="s">
        <v>1046</v>
      </c>
      <c r="S153" s="3" t="s">
        <v>1353</v>
      </c>
      <c r="T153" s="3" t="s">
        <v>1354</v>
      </c>
      <c r="U153" s="3" t="s">
        <v>1353</v>
      </c>
    </row>
    <row r="154" spans="6:21" x14ac:dyDescent="0.15">
      <c r="F154" t="s">
        <v>650</v>
      </c>
      <c r="G154">
        <v>5.2</v>
      </c>
      <c r="J154" t="s">
        <v>650</v>
      </c>
      <c r="K154" t="s">
        <v>648</v>
      </c>
      <c r="L154" t="s">
        <v>651</v>
      </c>
      <c r="M154" t="s">
        <v>247</v>
      </c>
      <c r="N154" t="s">
        <v>248</v>
      </c>
      <c r="O154">
        <v>600</v>
      </c>
      <c r="P154" t="str">
        <f t="shared" si="2"/>
        <v>头孢氨苄片0.25g*30t*600盒</v>
      </c>
      <c r="R154" s="3" t="s">
        <v>1046</v>
      </c>
      <c r="S154" s="3" t="s">
        <v>1355</v>
      </c>
      <c r="T154" s="3" t="s">
        <v>1356</v>
      </c>
      <c r="U154" s="3" t="s">
        <v>1355</v>
      </c>
    </row>
    <row r="155" spans="6:21" x14ac:dyDescent="0.15">
      <c r="F155" t="s">
        <v>652</v>
      </c>
      <c r="G155">
        <v>5.7</v>
      </c>
      <c r="J155" t="s">
        <v>652</v>
      </c>
      <c r="K155" t="s">
        <v>648</v>
      </c>
      <c r="L155" t="s">
        <v>653</v>
      </c>
      <c r="M155" t="s">
        <v>247</v>
      </c>
      <c r="N155" t="s">
        <v>248</v>
      </c>
      <c r="O155">
        <v>300</v>
      </c>
      <c r="P155" t="str">
        <f t="shared" si="2"/>
        <v>头孢氨苄片0.25g*30片*300瓶</v>
      </c>
      <c r="R155" s="3" t="s">
        <v>1046</v>
      </c>
      <c r="S155" s="3" t="s">
        <v>1357</v>
      </c>
      <c r="T155" s="3" t="s">
        <v>1358</v>
      </c>
      <c r="U155" s="3" t="s">
        <v>1357</v>
      </c>
    </row>
    <row r="156" spans="6:21" x14ac:dyDescent="0.15">
      <c r="F156" t="s">
        <v>654</v>
      </c>
      <c r="G156">
        <v>3.7</v>
      </c>
      <c r="J156" t="s">
        <v>654</v>
      </c>
      <c r="K156" t="s">
        <v>655</v>
      </c>
      <c r="L156" t="s">
        <v>656</v>
      </c>
      <c r="M156" t="s">
        <v>657</v>
      </c>
      <c r="N156" t="s">
        <v>264</v>
      </c>
      <c r="O156">
        <v>400</v>
      </c>
      <c r="P156" t="str">
        <f t="shared" si="2"/>
        <v>头孢拉定胶囊0.25g*12粒*2板*400盒</v>
      </c>
      <c r="R156" s="3" t="s">
        <v>1046</v>
      </c>
      <c r="S156" s="3" t="s">
        <v>1359</v>
      </c>
      <c r="T156" s="3" t="s">
        <v>1360</v>
      </c>
      <c r="U156" s="3" t="s">
        <v>1359</v>
      </c>
    </row>
    <row r="157" spans="6:21" x14ac:dyDescent="0.15">
      <c r="F157" t="s">
        <v>658</v>
      </c>
      <c r="G157">
        <v>4.2</v>
      </c>
      <c r="J157" t="s">
        <v>658</v>
      </c>
      <c r="K157" t="s">
        <v>655</v>
      </c>
      <c r="L157" t="s">
        <v>659</v>
      </c>
      <c r="M157" t="s">
        <v>247</v>
      </c>
      <c r="N157" t="s">
        <v>248</v>
      </c>
      <c r="O157">
        <v>400</v>
      </c>
      <c r="P157" t="str">
        <f t="shared" si="2"/>
        <v>头孢拉定胶囊0.25g*20粒*10小盒*40包</v>
      </c>
      <c r="R157" s="3" t="s">
        <v>1046</v>
      </c>
      <c r="S157" s="3" t="s">
        <v>1361</v>
      </c>
      <c r="T157" s="3" t="s">
        <v>1362</v>
      </c>
      <c r="U157" s="3" t="s">
        <v>1361</v>
      </c>
    </row>
    <row r="158" spans="6:21" x14ac:dyDescent="0.15">
      <c r="F158" t="s">
        <v>660</v>
      </c>
      <c r="G158">
        <v>4.8</v>
      </c>
      <c r="J158" t="s">
        <v>660</v>
      </c>
      <c r="K158" t="s">
        <v>655</v>
      </c>
      <c r="L158" t="s">
        <v>661</v>
      </c>
      <c r="M158" t="s">
        <v>247</v>
      </c>
      <c r="N158" t="s">
        <v>248</v>
      </c>
      <c r="O158">
        <v>400</v>
      </c>
      <c r="P158" t="str">
        <f t="shared" si="2"/>
        <v>头孢拉定胶囊0.25g*24粒*400盒</v>
      </c>
      <c r="R158" s="3" t="s">
        <v>1046</v>
      </c>
      <c r="S158" s="3" t="s">
        <v>1363</v>
      </c>
      <c r="T158" s="3" t="s">
        <v>1364</v>
      </c>
      <c r="U158" s="3" t="s">
        <v>1363</v>
      </c>
    </row>
    <row r="159" spans="6:21" x14ac:dyDescent="0.15">
      <c r="F159" t="s">
        <v>662</v>
      </c>
      <c r="G159">
        <v>3.7</v>
      </c>
      <c r="J159" t="s">
        <v>662</v>
      </c>
      <c r="K159" t="s">
        <v>655</v>
      </c>
      <c r="L159" t="s">
        <v>663</v>
      </c>
      <c r="M159" t="s">
        <v>263</v>
      </c>
      <c r="N159" t="s">
        <v>248</v>
      </c>
      <c r="O159">
        <v>480</v>
      </c>
      <c r="P159" t="str">
        <f t="shared" si="2"/>
        <v>头孢拉定胶囊0.25g*24粒*480盒</v>
      </c>
      <c r="R159" s="3" t="s">
        <v>1046</v>
      </c>
      <c r="S159" s="3" t="s">
        <v>1365</v>
      </c>
      <c r="T159" s="3" t="s">
        <v>1366</v>
      </c>
      <c r="U159" s="3" t="s">
        <v>1365</v>
      </c>
    </row>
    <row r="160" spans="6:21" x14ac:dyDescent="0.15">
      <c r="F160" t="s">
        <v>664</v>
      </c>
      <c r="G160">
        <v>4.5999999999999996</v>
      </c>
      <c r="J160" t="s">
        <v>664</v>
      </c>
      <c r="K160" t="s">
        <v>655</v>
      </c>
      <c r="L160" t="s">
        <v>665</v>
      </c>
      <c r="M160" t="s">
        <v>263</v>
      </c>
      <c r="N160" t="s">
        <v>264</v>
      </c>
      <c r="O160">
        <v>480</v>
      </c>
      <c r="P160" t="str">
        <f t="shared" si="2"/>
        <v>头孢拉定胶囊0.25g×20粒×480盒</v>
      </c>
      <c r="R160" s="3" t="s">
        <v>1046</v>
      </c>
      <c r="S160" s="3" t="s">
        <v>1367</v>
      </c>
      <c r="T160" s="3" t="s">
        <v>1368</v>
      </c>
      <c r="U160" s="3" t="s">
        <v>1367</v>
      </c>
    </row>
    <row r="161" spans="6:21" x14ac:dyDescent="0.15">
      <c r="F161" t="s">
        <v>666</v>
      </c>
      <c r="G161">
        <v>3.7</v>
      </c>
      <c r="J161" t="s">
        <v>666</v>
      </c>
      <c r="K161" t="s">
        <v>667</v>
      </c>
      <c r="L161" t="s">
        <v>668</v>
      </c>
      <c r="M161" t="s">
        <v>247</v>
      </c>
      <c r="N161" t="s">
        <v>248</v>
      </c>
      <c r="O161">
        <v>600</v>
      </c>
      <c r="P161" t="str">
        <f t="shared" si="2"/>
        <v>头孢羟氨苄胶囊0.25g×12粒×600盒</v>
      </c>
      <c r="R161" s="3" t="s">
        <v>1046</v>
      </c>
      <c r="S161" s="3" t="s">
        <v>1369</v>
      </c>
      <c r="T161" s="3" t="s">
        <v>1370</v>
      </c>
      <c r="U161" s="3" t="s">
        <v>1369</v>
      </c>
    </row>
    <row r="162" spans="6:21" x14ac:dyDescent="0.15">
      <c r="F162" t="s">
        <v>669</v>
      </c>
      <c r="G162">
        <v>6</v>
      </c>
      <c r="J162" t="s">
        <v>669</v>
      </c>
      <c r="K162" t="s">
        <v>667</v>
      </c>
      <c r="L162" t="s">
        <v>670</v>
      </c>
      <c r="M162" t="s">
        <v>247</v>
      </c>
      <c r="N162" t="s">
        <v>248</v>
      </c>
      <c r="O162">
        <v>400</v>
      </c>
      <c r="P162" t="str">
        <f t="shared" si="2"/>
        <v>头孢羟氨苄胶囊0.25g×24粒×400盒</v>
      </c>
      <c r="R162" s="3" t="s">
        <v>1046</v>
      </c>
      <c r="S162" s="3" t="s">
        <v>1371</v>
      </c>
      <c r="T162" s="3" t="s">
        <v>1372</v>
      </c>
      <c r="U162" s="3" t="s">
        <v>1371</v>
      </c>
    </row>
    <row r="163" spans="6:21" x14ac:dyDescent="0.15">
      <c r="F163" t="s">
        <v>671</v>
      </c>
      <c r="G163">
        <v>5.5</v>
      </c>
      <c r="J163" t="s">
        <v>671</v>
      </c>
      <c r="K163" t="s">
        <v>672</v>
      </c>
      <c r="L163" t="s">
        <v>673</v>
      </c>
      <c r="M163" t="s">
        <v>294</v>
      </c>
      <c r="N163" t="s">
        <v>248</v>
      </c>
      <c r="O163">
        <v>200</v>
      </c>
      <c r="P163" t="str">
        <f t="shared" si="2"/>
        <v>退热贴1贴×3袋×200盒</v>
      </c>
      <c r="R163" s="3" t="s">
        <v>1046</v>
      </c>
      <c r="S163" s="3" t="s">
        <v>1373</v>
      </c>
      <c r="T163" s="3" t="s">
        <v>1374</v>
      </c>
      <c r="U163" s="3" t="s">
        <v>1373</v>
      </c>
    </row>
    <row r="164" spans="6:21" x14ac:dyDescent="0.15">
      <c r="F164" t="s">
        <v>674</v>
      </c>
      <c r="G164">
        <v>4</v>
      </c>
      <c r="J164" t="s">
        <v>674</v>
      </c>
      <c r="K164" t="s">
        <v>672</v>
      </c>
      <c r="L164" t="s">
        <v>675</v>
      </c>
      <c r="M164" t="s">
        <v>294</v>
      </c>
      <c r="N164" t="s">
        <v>248</v>
      </c>
      <c r="O164">
        <v>200</v>
      </c>
      <c r="P164" t="str">
        <f t="shared" si="2"/>
        <v>退热贴2贴×200盒</v>
      </c>
      <c r="R164" s="3" t="s">
        <v>1046</v>
      </c>
      <c r="S164" s="3" t="s">
        <v>1375</v>
      </c>
      <c r="T164" s="3" t="s">
        <v>1376</v>
      </c>
      <c r="U164" s="3" t="s">
        <v>1375</v>
      </c>
    </row>
    <row r="165" spans="6:21" x14ac:dyDescent="0.15">
      <c r="F165" t="s">
        <v>676</v>
      </c>
      <c r="G165">
        <v>3.3</v>
      </c>
      <c r="J165" t="s">
        <v>676</v>
      </c>
      <c r="K165" t="s">
        <v>677</v>
      </c>
      <c r="L165" t="s">
        <v>678</v>
      </c>
      <c r="M165" t="s">
        <v>389</v>
      </c>
      <c r="N165" t="s">
        <v>248</v>
      </c>
      <c r="O165">
        <v>300</v>
      </c>
      <c r="P165" t="str">
        <f t="shared" si="2"/>
        <v>维D2磷酸氢钙片60片×300盒</v>
      </c>
      <c r="R165" s="3" t="s">
        <v>1046</v>
      </c>
      <c r="S165" s="3" t="s">
        <v>1377</v>
      </c>
      <c r="T165" s="3" t="s">
        <v>1378</v>
      </c>
      <c r="U165" s="3" t="s">
        <v>1377</v>
      </c>
    </row>
    <row r="166" spans="6:21" x14ac:dyDescent="0.15">
      <c r="F166" t="s">
        <v>679</v>
      </c>
      <c r="G166">
        <v>4.5</v>
      </c>
      <c r="J166" t="s">
        <v>679</v>
      </c>
      <c r="K166" t="s">
        <v>677</v>
      </c>
      <c r="L166" t="s">
        <v>680</v>
      </c>
      <c r="M166" t="s">
        <v>389</v>
      </c>
      <c r="N166" t="s">
        <v>248</v>
      </c>
      <c r="O166">
        <v>300</v>
      </c>
      <c r="P166" t="str">
        <f t="shared" si="2"/>
        <v>维D2磷酸氢钙片80片×300盒</v>
      </c>
      <c r="R166" s="3" t="s">
        <v>1046</v>
      </c>
      <c r="S166" s="3" t="s">
        <v>1379</v>
      </c>
      <c r="T166" s="3" t="s">
        <v>1380</v>
      </c>
      <c r="U166" s="3" t="s">
        <v>1379</v>
      </c>
    </row>
    <row r="167" spans="6:21" x14ac:dyDescent="0.15">
      <c r="F167" t="s">
        <v>681</v>
      </c>
      <c r="G167">
        <v>5.9</v>
      </c>
      <c r="J167" t="s">
        <v>681</v>
      </c>
      <c r="K167" t="s">
        <v>682</v>
      </c>
      <c r="L167" t="s">
        <v>683</v>
      </c>
      <c r="M167" t="s">
        <v>247</v>
      </c>
      <c r="N167" t="s">
        <v>248</v>
      </c>
      <c r="O167">
        <v>200</v>
      </c>
      <c r="P167" t="str">
        <f t="shared" si="2"/>
        <v>维生素C咀嚼片100mg×30片</v>
      </c>
      <c r="R167" s="3" t="s">
        <v>1046</v>
      </c>
      <c r="S167" s="3" t="s">
        <v>1381</v>
      </c>
      <c r="T167" s="3" t="s">
        <v>1382</v>
      </c>
      <c r="U167" s="3" t="s">
        <v>1381</v>
      </c>
    </row>
    <row r="168" spans="6:21" x14ac:dyDescent="0.15">
      <c r="F168" t="s">
        <v>684</v>
      </c>
      <c r="G168">
        <v>7.8</v>
      </c>
      <c r="J168" t="s">
        <v>684</v>
      </c>
      <c r="K168" t="s">
        <v>682</v>
      </c>
      <c r="L168" t="s">
        <v>685</v>
      </c>
      <c r="M168" t="s">
        <v>247</v>
      </c>
      <c r="N168" t="s">
        <v>248</v>
      </c>
      <c r="O168">
        <v>200</v>
      </c>
      <c r="P168" t="str">
        <f t="shared" si="2"/>
        <v>维生素C咀嚼片100mg×60片×200盒</v>
      </c>
      <c r="R168" s="3" t="s">
        <v>1046</v>
      </c>
      <c r="S168" s="3" t="s">
        <v>1383</v>
      </c>
      <c r="T168" s="3" t="s">
        <v>1384</v>
      </c>
      <c r="U168" s="3" t="s">
        <v>1383</v>
      </c>
    </row>
    <row r="169" spans="6:21" x14ac:dyDescent="0.15">
      <c r="F169" t="s">
        <v>686</v>
      </c>
      <c r="G169">
        <v>4.8</v>
      </c>
      <c r="J169" t="s">
        <v>686</v>
      </c>
      <c r="K169" t="s">
        <v>687</v>
      </c>
      <c r="L169" t="s">
        <v>688</v>
      </c>
      <c r="M169" t="s">
        <v>247</v>
      </c>
      <c r="N169" t="s">
        <v>248</v>
      </c>
      <c r="O169">
        <v>200</v>
      </c>
      <c r="P169" t="str">
        <f t="shared" si="2"/>
        <v>维生素E软胶囊30粒×200盒</v>
      </c>
      <c r="R169" s="3" t="s">
        <v>1046</v>
      </c>
      <c r="S169" s="3" t="s">
        <v>1385</v>
      </c>
      <c r="T169" s="3" t="s">
        <v>1386</v>
      </c>
      <c r="U169" s="3" t="s">
        <v>1385</v>
      </c>
    </row>
    <row r="170" spans="6:21" x14ac:dyDescent="0.15">
      <c r="F170" t="s">
        <v>689</v>
      </c>
      <c r="G170">
        <v>6.8</v>
      </c>
      <c r="J170" t="s">
        <v>689</v>
      </c>
      <c r="K170" t="s">
        <v>687</v>
      </c>
      <c r="L170" t="s">
        <v>690</v>
      </c>
      <c r="M170" t="s">
        <v>247</v>
      </c>
      <c r="N170" t="s">
        <v>248</v>
      </c>
      <c r="O170">
        <v>200</v>
      </c>
      <c r="P170" t="str">
        <f t="shared" si="2"/>
        <v>维生素E软胶囊60粒×200盒</v>
      </c>
      <c r="R170" s="3" t="s">
        <v>1046</v>
      </c>
      <c r="S170" s="3" t="s">
        <v>1387</v>
      </c>
      <c r="T170" s="3" t="s">
        <v>1388</v>
      </c>
      <c r="U170" s="3" t="s">
        <v>1387</v>
      </c>
    </row>
    <row r="171" spans="6:21" x14ac:dyDescent="0.15">
      <c r="F171" t="s">
        <v>691</v>
      </c>
      <c r="G171">
        <v>5.54</v>
      </c>
      <c r="J171" t="s">
        <v>691</v>
      </c>
      <c r="K171" t="s">
        <v>692</v>
      </c>
      <c r="L171" t="s">
        <v>299</v>
      </c>
      <c r="M171" t="s">
        <v>300</v>
      </c>
      <c r="N171" t="s">
        <v>264</v>
      </c>
      <c r="O171">
        <v>100</v>
      </c>
      <c r="P171" t="str">
        <f t="shared" si="2"/>
        <v>逍遥丸9g×10丸×100盒</v>
      </c>
      <c r="R171" s="3" t="s">
        <v>1046</v>
      </c>
      <c r="S171" s="3" t="s">
        <v>1389</v>
      </c>
      <c r="T171" s="3" t="s">
        <v>1390</v>
      </c>
      <c r="U171" s="3" t="s">
        <v>1389</v>
      </c>
    </row>
    <row r="172" spans="6:21" x14ac:dyDescent="0.15">
      <c r="F172" t="s">
        <v>693</v>
      </c>
      <c r="G172">
        <v>8.6999999999999993</v>
      </c>
      <c r="J172" t="s">
        <v>693</v>
      </c>
      <c r="K172" t="s">
        <v>694</v>
      </c>
      <c r="L172" t="s">
        <v>307</v>
      </c>
      <c r="M172" t="s">
        <v>300</v>
      </c>
      <c r="N172" t="s">
        <v>264</v>
      </c>
      <c r="O172">
        <v>160</v>
      </c>
      <c r="P172" t="str">
        <f t="shared" si="2"/>
        <v>逍遥丸（水丸）6g×10袋×160盒</v>
      </c>
      <c r="R172" s="3" t="s">
        <v>1046</v>
      </c>
      <c r="S172" s="3" t="s">
        <v>1391</v>
      </c>
      <c r="T172" s="3" t="s">
        <v>1392</v>
      </c>
      <c r="U172" s="3" t="s">
        <v>1391</v>
      </c>
    </row>
    <row r="173" spans="6:21" x14ac:dyDescent="0.15">
      <c r="F173" t="s">
        <v>695</v>
      </c>
      <c r="G173">
        <v>5.8</v>
      </c>
      <c r="J173" t="s">
        <v>695</v>
      </c>
      <c r="K173" t="s">
        <v>696</v>
      </c>
      <c r="L173" t="s">
        <v>697</v>
      </c>
      <c r="M173" t="s">
        <v>326</v>
      </c>
      <c r="N173" t="s">
        <v>248</v>
      </c>
      <c r="O173">
        <v>100</v>
      </c>
      <c r="P173" t="str">
        <f t="shared" si="2"/>
        <v>消咳喘糖浆100ml×100盒</v>
      </c>
      <c r="R173" s="3" t="s">
        <v>1046</v>
      </c>
      <c r="S173" s="3" t="s">
        <v>1393</v>
      </c>
      <c r="T173" s="3" t="s">
        <v>1394</v>
      </c>
      <c r="U173" s="3" t="s">
        <v>1393</v>
      </c>
    </row>
    <row r="174" spans="6:21" x14ac:dyDescent="0.15">
      <c r="F174" t="s">
        <v>698</v>
      </c>
      <c r="G174">
        <v>5.5</v>
      </c>
      <c r="J174" t="s">
        <v>698</v>
      </c>
      <c r="K174" t="s">
        <v>699</v>
      </c>
      <c r="L174" t="s">
        <v>700</v>
      </c>
      <c r="M174" t="s">
        <v>247</v>
      </c>
      <c r="N174" t="s">
        <v>248</v>
      </c>
      <c r="O174">
        <v>300</v>
      </c>
      <c r="P174" t="str">
        <f t="shared" si="2"/>
        <v>小檗碱甲氧苄啶胶囊30粒*10盒*30中盒</v>
      </c>
      <c r="R174" s="3" t="s">
        <v>1046</v>
      </c>
      <c r="S174" s="3" t="s">
        <v>1395</v>
      </c>
      <c r="T174" s="3" t="s">
        <v>1396</v>
      </c>
      <c r="U174" s="3" t="s">
        <v>1395</v>
      </c>
    </row>
    <row r="175" spans="6:21" x14ac:dyDescent="0.15">
      <c r="F175" t="s">
        <v>701</v>
      </c>
      <c r="G175">
        <v>6.7</v>
      </c>
      <c r="J175" t="s">
        <v>701</v>
      </c>
      <c r="K175" t="s">
        <v>702</v>
      </c>
      <c r="L175" t="s">
        <v>703</v>
      </c>
      <c r="M175" t="s">
        <v>294</v>
      </c>
      <c r="N175" t="s">
        <v>248</v>
      </c>
      <c r="O175">
        <v>200</v>
      </c>
      <c r="P175" t="str">
        <f t="shared" si="2"/>
        <v>小儿氨酚黄那敏颗粒(护彤)2g×12袋×200盒</v>
      </c>
      <c r="R175" s="3" t="s">
        <v>1046</v>
      </c>
      <c r="S175" s="3" t="s">
        <v>1397</v>
      </c>
      <c r="T175" s="3" t="s">
        <v>1398</v>
      </c>
      <c r="U175" s="3" t="s">
        <v>1397</v>
      </c>
    </row>
    <row r="176" spans="6:21" x14ac:dyDescent="0.15">
      <c r="F176" t="s">
        <v>704</v>
      </c>
      <c r="G176">
        <v>1.8</v>
      </c>
      <c r="J176" t="s">
        <v>704</v>
      </c>
      <c r="K176" t="s">
        <v>705</v>
      </c>
      <c r="L176" t="s">
        <v>706</v>
      </c>
      <c r="M176" t="s">
        <v>294</v>
      </c>
      <c r="N176" t="s">
        <v>264</v>
      </c>
      <c r="O176">
        <v>400</v>
      </c>
      <c r="P176" t="str">
        <f t="shared" si="2"/>
        <v>小儿氨酚黄那敏片0.125g×20片×400盒</v>
      </c>
      <c r="R176" s="3" t="s">
        <v>1046</v>
      </c>
      <c r="S176" s="3" t="s">
        <v>1399</v>
      </c>
      <c r="T176" s="3" t="s">
        <v>1400</v>
      </c>
      <c r="U176" s="3" t="s">
        <v>1399</v>
      </c>
    </row>
    <row r="177" spans="6:21" x14ac:dyDescent="0.15">
      <c r="F177" t="s">
        <v>707</v>
      </c>
      <c r="G177">
        <v>8.8000000000000007</v>
      </c>
      <c r="J177" t="s">
        <v>707</v>
      </c>
      <c r="K177" t="s">
        <v>708</v>
      </c>
      <c r="L177" t="s">
        <v>697</v>
      </c>
      <c r="M177" t="s">
        <v>326</v>
      </c>
      <c r="N177" t="s">
        <v>248</v>
      </c>
      <c r="O177">
        <v>100</v>
      </c>
      <c r="P177" t="str">
        <f t="shared" si="2"/>
        <v>小儿百部止咳糖浆100ml×100盒</v>
      </c>
      <c r="R177" s="3" t="s">
        <v>1046</v>
      </c>
      <c r="S177" s="3" t="s">
        <v>1401</v>
      </c>
      <c r="T177" s="3" t="s">
        <v>1402</v>
      </c>
      <c r="U177" s="3" t="s">
        <v>1401</v>
      </c>
    </row>
    <row r="178" spans="6:21" x14ac:dyDescent="0.15">
      <c r="F178" t="s">
        <v>709</v>
      </c>
      <c r="G178">
        <v>9</v>
      </c>
      <c r="J178" t="s">
        <v>709</v>
      </c>
      <c r="K178" t="s">
        <v>710</v>
      </c>
      <c r="L178" t="s">
        <v>397</v>
      </c>
      <c r="M178" t="s">
        <v>389</v>
      </c>
      <c r="N178" t="s">
        <v>248</v>
      </c>
      <c r="O178">
        <v>300</v>
      </c>
      <c r="P178" t="str">
        <f t="shared" si="2"/>
        <v>小儿葡磷泛三钙片50片×300盒</v>
      </c>
      <c r="R178" s="3" t="s">
        <v>1046</v>
      </c>
      <c r="S178" s="3" t="s">
        <v>1403</v>
      </c>
      <c r="T178" s="3" t="s">
        <v>1404</v>
      </c>
      <c r="U178" s="3" t="s">
        <v>1403</v>
      </c>
    </row>
    <row r="179" spans="6:21" x14ac:dyDescent="0.15">
      <c r="F179" t="s">
        <v>711</v>
      </c>
      <c r="G179">
        <v>7.42</v>
      </c>
      <c r="J179" t="s">
        <v>711</v>
      </c>
      <c r="K179" t="s">
        <v>712</v>
      </c>
      <c r="L179" t="s">
        <v>713</v>
      </c>
      <c r="M179" t="s">
        <v>300</v>
      </c>
      <c r="N179" t="s">
        <v>264</v>
      </c>
      <c r="O179">
        <v>200</v>
      </c>
      <c r="P179" t="str">
        <f t="shared" si="2"/>
        <v>小儿吐泻宁3g×10袋×200盒</v>
      </c>
      <c r="R179" s="3" t="s">
        <v>1046</v>
      </c>
      <c r="S179" s="3" t="s">
        <v>1405</v>
      </c>
      <c r="T179" s="3" t="s">
        <v>1406</v>
      </c>
      <c r="U179" s="3" t="s">
        <v>1405</v>
      </c>
    </row>
    <row r="180" spans="6:21" x14ac:dyDescent="0.15">
      <c r="F180" t="s">
        <v>714</v>
      </c>
      <c r="G180">
        <v>4.42</v>
      </c>
      <c r="J180" t="s">
        <v>714</v>
      </c>
      <c r="K180" t="s">
        <v>715</v>
      </c>
      <c r="L180" t="s">
        <v>356</v>
      </c>
      <c r="M180" t="s">
        <v>300</v>
      </c>
      <c r="N180" t="s">
        <v>264</v>
      </c>
      <c r="O180">
        <v>100</v>
      </c>
      <c r="P180" t="str">
        <f t="shared" si="2"/>
        <v>小活络丸3g×10丸×100盒</v>
      </c>
      <c r="R180" s="3" t="s">
        <v>1046</v>
      </c>
      <c r="S180" s="3" t="s">
        <v>1407</v>
      </c>
      <c r="T180" s="3" t="s">
        <v>1408</v>
      </c>
      <c r="U180" s="3" t="s">
        <v>1407</v>
      </c>
    </row>
    <row r="181" spans="6:21" x14ac:dyDescent="0.15">
      <c r="F181" t="s">
        <v>716</v>
      </c>
      <c r="G181">
        <v>5</v>
      </c>
      <c r="J181" t="s">
        <v>716</v>
      </c>
      <c r="K181" t="s">
        <v>717</v>
      </c>
      <c r="L181" t="s">
        <v>718</v>
      </c>
      <c r="M181" t="s">
        <v>263</v>
      </c>
      <c r="N181" t="s">
        <v>248</v>
      </c>
      <c r="O181">
        <v>160</v>
      </c>
      <c r="P181" t="str">
        <f t="shared" si="2"/>
        <v>辛伐他汀片10mg×10片×160盒</v>
      </c>
      <c r="R181" s="3" t="s">
        <v>1046</v>
      </c>
      <c r="S181" s="3" t="s">
        <v>1409</v>
      </c>
      <c r="T181" s="3" t="s">
        <v>1410</v>
      </c>
      <c r="U181" s="3" t="s">
        <v>1409</v>
      </c>
    </row>
    <row r="182" spans="6:21" x14ac:dyDescent="0.15">
      <c r="F182" t="s">
        <v>719</v>
      </c>
      <c r="G182">
        <v>7.21</v>
      </c>
      <c r="J182" t="s">
        <v>719</v>
      </c>
      <c r="K182" t="s">
        <v>717</v>
      </c>
      <c r="L182" t="s">
        <v>720</v>
      </c>
      <c r="M182" t="s">
        <v>263</v>
      </c>
      <c r="N182" t="s">
        <v>248</v>
      </c>
      <c r="O182">
        <v>160</v>
      </c>
      <c r="P182" t="str">
        <f t="shared" si="2"/>
        <v>辛伐他汀片10mg×15片×160盒</v>
      </c>
      <c r="R182" s="3" t="s">
        <v>1046</v>
      </c>
      <c r="S182" s="3" t="s">
        <v>1411</v>
      </c>
      <c r="T182" s="3" t="s">
        <v>1412</v>
      </c>
      <c r="U182" s="3" t="s">
        <v>1411</v>
      </c>
    </row>
    <row r="183" spans="6:21" x14ac:dyDescent="0.15">
      <c r="F183" t="s">
        <v>721</v>
      </c>
      <c r="G183">
        <v>16.2</v>
      </c>
      <c r="J183" t="s">
        <v>721</v>
      </c>
      <c r="K183" t="s">
        <v>722</v>
      </c>
      <c r="L183" t="s">
        <v>723</v>
      </c>
      <c r="M183" t="s">
        <v>294</v>
      </c>
      <c r="N183" t="s">
        <v>248</v>
      </c>
      <c r="O183">
        <v>120</v>
      </c>
      <c r="P183" t="str">
        <f t="shared" si="2"/>
        <v>新盖中盖牌儿童钙片1.75g×36片×120盒</v>
      </c>
      <c r="R183" s="3" t="s">
        <v>1046</v>
      </c>
      <c r="S183" s="3" t="s">
        <v>1413</v>
      </c>
      <c r="T183" s="3" t="s">
        <v>1414</v>
      </c>
      <c r="U183" s="3" t="s">
        <v>1413</v>
      </c>
    </row>
    <row r="184" spans="6:21" x14ac:dyDescent="0.15">
      <c r="F184" t="s">
        <v>724</v>
      </c>
      <c r="G184">
        <v>18</v>
      </c>
      <c r="J184" t="s">
        <v>724</v>
      </c>
      <c r="K184" t="s">
        <v>725</v>
      </c>
      <c r="L184" t="s">
        <v>726</v>
      </c>
      <c r="M184" t="s">
        <v>294</v>
      </c>
      <c r="N184" t="s">
        <v>248</v>
      </c>
      <c r="O184">
        <v>120</v>
      </c>
      <c r="P184" t="str">
        <f t="shared" si="2"/>
        <v>新盖中盖牌高钙片2.5g×36片×120盒</v>
      </c>
      <c r="R184" s="3" t="s">
        <v>1046</v>
      </c>
      <c r="S184" s="3" t="s">
        <v>1415</v>
      </c>
      <c r="T184" s="3" t="s">
        <v>1416</v>
      </c>
      <c r="U184" s="3" t="s">
        <v>1415</v>
      </c>
    </row>
    <row r="185" spans="6:21" x14ac:dyDescent="0.15">
      <c r="F185" t="s">
        <v>727</v>
      </c>
      <c r="G185">
        <v>27</v>
      </c>
      <c r="J185" t="s">
        <v>727</v>
      </c>
      <c r="K185" t="s">
        <v>725</v>
      </c>
      <c r="L185" t="s">
        <v>728</v>
      </c>
      <c r="M185" t="s">
        <v>294</v>
      </c>
      <c r="N185" t="s">
        <v>248</v>
      </c>
      <c r="O185">
        <v>80</v>
      </c>
      <c r="P185" t="str">
        <f t="shared" si="2"/>
        <v>新盖中盖牌高钙片2.5g×60片×80盒</v>
      </c>
      <c r="R185" s="3" t="s">
        <v>1046</v>
      </c>
      <c r="S185" s="3" t="s">
        <v>1417</v>
      </c>
      <c r="T185" s="3" t="s">
        <v>1418</v>
      </c>
      <c r="U185" s="3" t="s">
        <v>1417</v>
      </c>
    </row>
    <row r="186" spans="6:21" x14ac:dyDescent="0.15">
      <c r="F186" t="s">
        <v>729</v>
      </c>
      <c r="G186">
        <v>9.42</v>
      </c>
      <c r="J186" t="s">
        <v>729</v>
      </c>
      <c r="K186" t="s">
        <v>730</v>
      </c>
      <c r="L186" t="s">
        <v>299</v>
      </c>
      <c r="M186" t="s">
        <v>300</v>
      </c>
      <c r="N186" t="s">
        <v>264</v>
      </c>
      <c r="O186">
        <v>100</v>
      </c>
      <c r="P186" t="str">
        <f t="shared" si="2"/>
        <v>醒脑再造丸9g×10丸×100盒</v>
      </c>
      <c r="R186" s="3" t="s">
        <v>1046</v>
      </c>
      <c r="S186" s="3" t="s">
        <v>1419</v>
      </c>
      <c r="T186" s="3" t="s">
        <v>1420</v>
      </c>
      <c r="U186" s="3" t="s">
        <v>1419</v>
      </c>
    </row>
    <row r="187" spans="6:21" x14ac:dyDescent="0.15">
      <c r="F187" t="s">
        <v>731</v>
      </c>
      <c r="G187">
        <v>7.5</v>
      </c>
      <c r="J187" t="s">
        <v>731</v>
      </c>
      <c r="K187" t="s">
        <v>732</v>
      </c>
      <c r="L187" t="s">
        <v>299</v>
      </c>
      <c r="M187" t="s">
        <v>300</v>
      </c>
      <c r="N187" t="s">
        <v>264</v>
      </c>
      <c r="O187">
        <v>100</v>
      </c>
      <c r="P187" t="str">
        <f t="shared" si="2"/>
        <v>血府逐瘀丸9g×10丸×100盒</v>
      </c>
      <c r="R187" s="3" t="s">
        <v>1046</v>
      </c>
      <c r="S187" s="3" t="s">
        <v>1421</v>
      </c>
      <c r="T187" s="3" t="s">
        <v>1422</v>
      </c>
      <c r="U187" s="3" t="s">
        <v>1421</v>
      </c>
    </row>
    <row r="188" spans="6:21" x14ac:dyDescent="0.15">
      <c r="F188" t="s">
        <v>733</v>
      </c>
      <c r="G188">
        <v>15.8</v>
      </c>
      <c r="J188" t="s">
        <v>733</v>
      </c>
      <c r="K188" t="s">
        <v>734</v>
      </c>
      <c r="L188" t="s">
        <v>735</v>
      </c>
      <c r="M188" t="s">
        <v>300</v>
      </c>
      <c r="N188" t="s">
        <v>264</v>
      </c>
      <c r="O188">
        <v>60</v>
      </c>
      <c r="P188" t="str">
        <f t="shared" si="2"/>
        <v>血府逐瘀丸30袋4g×30袋×60盒</v>
      </c>
      <c r="R188" s="3" t="s">
        <v>1046</v>
      </c>
      <c r="S188" s="3" t="s">
        <v>1423</v>
      </c>
      <c r="T188" s="3" t="s">
        <v>1424</v>
      </c>
      <c r="U188" s="3" t="s">
        <v>1423</v>
      </c>
    </row>
    <row r="189" spans="6:21" x14ac:dyDescent="0.15">
      <c r="F189" t="s">
        <v>736</v>
      </c>
      <c r="G189">
        <v>3</v>
      </c>
      <c r="J189" t="s">
        <v>736</v>
      </c>
      <c r="K189" t="s">
        <v>737</v>
      </c>
      <c r="L189" t="s">
        <v>738</v>
      </c>
      <c r="M189" t="s">
        <v>247</v>
      </c>
      <c r="N189" t="s">
        <v>248</v>
      </c>
      <c r="O189">
        <v>400</v>
      </c>
      <c r="P189" t="str">
        <f t="shared" si="2"/>
        <v>盐酸氟桂利嗪胶囊5mg*20粒*400盒</v>
      </c>
      <c r="R189" s="3" t="s">
        <v>1046</v>
      </c>
      <c r="S189" s="3" t="s">
        <v>1425</v>
      </c>
      <c r="T189" s="3" t="s">
        <v>1426</v>
      </c>
      <c r="U189" s="3" t="s">
        <v>1425</v>
      </c>
    </row>
    <row r="190" spans="6:21" x14ac:dyDescent="0.15">
      <c r="F190" t="s">
        <v>739</v>
      </c>
      <c r="G190">
        <v>1.7</v>
      </c>
      <c r="J190" t="s">
        <v>739</v>
      </c>
      <c r="K190" t="s">
        <v>740</v>
      </c>
      <c r="L190" t="s">
        <v>741</v>
      </c>
      <c r="M190" t="s">
        <v>294</v>
      </c>
      <c r="N190" t="s">
        <v>248</v>
      </c>
      <c r="O190">
        <v>300</v>
      </c>
      <c r="P190" t="str">
        <f t="shared" si="2"/>
        <v>盐酸氟桂利嗪片（孚瑞尔）20片×300盒</v>
      </c>
      <c r="R190" s="3" t="s">
        <v>1046</v>
      </c>
      <c r="S190" s="3" t="s">
        <v>1427</v>
      </c>
      <c r="T190" s="3" t="s">
        <v>1428</v>
      </c>
      <c r="U190" s="3" t="s">
        <v>1427</v>
      </c>
    </row>
    <row r="191" spans="6:21" x14ac:dyDescent="0.15">
      <c r="F191" t="s">
        <v>742</v>
      </c>
      <c r="G191">
        <v>2.2000000000000002</v>
      </c>
      <c r="J191" t="s">
        <v>742</v>
      </c>
      <c r="K191" t="s">
        <v>740</v>
      </c>
      <c r="L191" t="s">
        <v>743</v>
      </c>
      <c r="M191" t="s">
        <v>294</v>
      </c>
      <c r="N191" t="s">
        <v>248</v>
      </c>
      <c r="O191">
        <v>300</v>
      </c>
      <c r="P191" t="str">
        <f t="shared" si="2"/>
        <v>盐酸氟桂利嗪片（孚瑞尔）40片×300盒</v>
      </c>
      <c r="R191" s="3" t="s">
        <v>1046</v>
      </c>
      <c r="S191" s="3" t="s">
        <v>1429</v>
      </c>
      <c r="T191" s="3" t="s">
        <v>1430</v>
      </c>
      <c r="U191" s="3" t="s">
        <v>1429</v>
      </c>
    </row>
    <row r="192" spans="6:21" x14ac:dyDescent="0.15">
      <c r="F192" t="s">
        <v>744</v>
      </c>
      <c r="G192">
        <v>1.76</v>
      </c>
      <c r="J192" t="s">
        <v>744</v>
      </c>
      <c r="K192" t="s">
        <v>745</v>
      </c>
      <c r="L192" t="s">
        <v>746</v>
      </c>
      <c r="M192" t="s">
        <v>247</v>
      </c>
      <c r="N192" t="s">
        <v>248</v>
      </c>
      <c r="O192">
        <v>600</v>
      </c>
      <c r="P192" t="str">
        <f t="shared" si="2"/>
        <v>盐酸环丙沙星片0.25g×12片×600盒</v>
      </c>
      <c r="R192" s="3" t="s">
        <v>1046</v>
      </c>
      <c r="S192" s="3" t="s">
        <v>1431</v>
      </c>
      <c r="T192" s="3" t="s">
        <v>1432</v>
      </c>
      <c r="U192" s="3" t="s">
        <v>1431</v>
      </c>
    </row>
    <row r="193" spans="6:21" x14ac:dyDescent="0.15">
      <c r="F193" t="s">
        <v>747</v>
      </c>
      <c r="G193">
        <v>4.3</v>
      </c>
      <c r="J193" t="s">
        <v>747</v>
      </c>
      <c r="K193" t="s">
        <v>748</v>
      </c>
      <c r="L193" t="s">
        <v>749</v>
      </c>
      <c r="M193" t="s">
        <v>247</v>
      </c>
      <c r="N193" t="s">
        <v>248</v>
      </c>
      <c r="O193">
        <v>300</v>
      </c>
      <c r="P193" t="str">
        <f t="shared" si="2"/>
        <v>盐酸特拉唑嗪胶囊（阿美利特）2mg*10粒</v>
      </c>
      <c r="R193" s="3" t="s">
        <v>1046</v>
      </c>
      <c r="S193" s="3" t="s">
        <v>1433</v>
      </c>
      <c r="T193" s="3" t="s">
        <v>1434</v>
      </c>
      <c r="U193" s="3" t="s">
        <v>1433</v>
      </c>
    </row>
    <row r="194" spans="6:21" x14ac:dyDescent="0.15">
      <c r="F194" t="s">
        <v>750</v>
      </c>
      <c r="G194">
        <v>3.85</v>
      </c>
      <c r="J194" t="s">
        <v>750</v>
      </c>
      <c r="K194" t="s">
        <v>751</v>
      </c>
      <c r="L194" t="s">
        <v>752</v>
      </c>
      <c r="M194" t="s">
        <v>247</v>
      </c>
      <c r="N194" t="s">
        <v>248</v>
      </c>
      <c r="O194">
        <v>200</v>
      </c>
      <c r="P194" t="str">
        <f t="shared" si="2"/>
        <v>盐酸伊托必利胶囊(代林)50mg*10粒*10小盒*20中盒</v>
      </c>
      <c r="R194" s="3" t="s">
        <v>1046</v>
      </c>
      <c r="S194" s="3" t="s">
        <v>1435</v>
      </c>
      <c r="T194" s="3" t="s">
        <v>1436</v>
      </c>
      <c r="U194" s="3" t="s">
        <v>1435</v>
      </c>
    </row>
    <row r="195" spans="6:21" x14ac:dyDescent="0.15">
      <c r="F195" t="s">
        <v>753</v>
      </c>
      <c r="G195">
        <v>2.5</v>
      </c>
      <c r="J195" t="s">
        <v>753</v>
      </c>
      <c r="K195" t="s">
        <v>751</v>
      </c>
      <c r="L195" t="s">
        <v>754</v>
      </c>
      <c r="M195" t="s">
        <v>247</v>
      </c>
      <c r="N195" t="s">
        <v>264</v>
      </c>
      <c r="O195">
        <v>200</v>
      </c>
      <c r="P195" t="str">
        <f t="shared" ref="P195:P258" si="3">K195&amp;L195</f>
        <v>盐酸伊托必利胶囊(代林)50mg*10粒*200盒</v>
      </c>
      <c r="R195" s="3" t="s">
        <v>1046</v>
      </c>
      <c r="S195" s="3" t="s">
        <v>1437</v>
      </c>
      <c r="T195" s="3" t="s">
        <v>1438</v>
      </c>
      <c r="U195" s="3" t="s">
        <v>1437</v>
      </c>
    </row>
    <row r="196" spans="6:21" x14ac:dyDescent="0.15">
      <c r="F196" t="s">
        <v>755</v>
      </c>
      <c r="G196">
        <v>4.5</v>
      </c>
      <c r="J196" t="s">
        <v>755</v>
      </c>
      <c r="K196" t="s">
        <v>751</v>
      </c>
      <c r="L196" t="s">
        <v>756</v>
      </c>
      <c r="M196" t="s">
        <v>247</v>
      </c>
      <c r="N196" t="s">
        <v>248</v>
      </c>
      <c r="O196">
        <v>200</v>
      </c>
      <c r="P196" t="str">
        <f t="shared" si="3"/>
        <v>盐酸伊托必利胶囊(代林)50mg*20粒</v>
      </c>
      <c r="R196" s="3" t="s">
        <v>1046</v>
      </c>
      <c r="S196" s="3" t="s">
        <v>1439</v>
      </c>
      <c r="T196" s="3" t="s">
        <v>1440</v>
      </c>
      <c r="U196" s="3" t="s">
        <v>1439</v>
      </c>
    </row>
    <row r="197" spans="6:21" x14ac:dyDescent="0.15">
      <c r="F197" t="s">
        <v>757</v>
      </c>
      <c r="G197">
        <v>2.81</v>
      </c>
      <c r="J197" t="s">
        <v>757</v>
      </c>
      <c r="K197" t="s">
        <v>758</v>
      </c>
      <c r="L197" t="s">
        <v>759</v>
      </c>
      <c r="M197" t="s">
        <v>294</v>
      </c>
      <c r="N197" t="s">
        <v>248</v>
      </c>
      <c r="O197">
        <v>300</v>
      </c>
      <c r="P197" t="str">
        <f t="shared" si="3"/>
        <v>盐酸伊托必利片50mg*12片*300</v>
      </c>
      <c r="R197" s="3" t="s">
        <v>1046</v>
      </c>
      <c r="S197" s="3" t="s">
        <v>1441</v>
      </c>
      <c r="T197" s="3" t="s">
        <v>1442</v>
      </c>
      <c r="U197" s="3" t="s">
        <v>1441</v>
      </c>
    </row>
    <row r="198" spans="6:21" x14ac:dyDescent="0.15">
      <c r="F198" t="s">
        <v>760</v>
      </c>
      <c r="G198">
        <v>1.95</v>
      </c>
      <c r="J198" t="s">
        <v>760</v>
      </c>
      <c r="K198" t="s">
        <v>761</v>
      </c>
      <c r="L198" t="s">
        <v>762</v>
      </c>
      <c r="M198" t="s">
        <v>247</v>
      </c>
      <c r="N198" t="s">
        <v>248</v>
      </c>
      <c r="O198">
        <v>600</v>
      </c>
      <c r="P198" t="str">
        <f t="shared" si="3"/>
        <v>盐酸左氧氟沙星片0.1g×12片×10盒×60包</v>
      </c>
      <c r="R198" s="3" t="s">
        <v>1046</v>
      </c>
      <c r="S198" s="3" t="s">
        <v>1443</v>
      </c>
      <c r="T198" s="3" t="s">
        <v>1444</v>
      </c>
      <c r="U198" s="3" t="s">
        <v>1443</v>
      </c>
    </row>
    <row r="199" spans="6:21" x14ac:dyDescent="0.15">
      <c r="F199" t="s">
        <v>763</v>
      </c>
      <c r="G199">
        <v>3</v>
      </c>
      <c r="J199" t="s">
        <v>763</v>
      </c>
      <c r="K199" t="s">
        <v>761</v>
      </c>
      <c r="L199" t="s">
        <v>764</v>
      </c>
      <c r="M199" t="s">
        <v>247</v>
      </c>
      <c r="N199" t="s">
        <v>264</v>
      </c>
      <c r="O199">
        <v>300</v>
      </c>
      <c r="P199" t="str">
        <f t="shared" si="3"/>
        <v>盐酸左氧氟沙星片0.1g×24片×300盒</v>
      </c>
      <c r="R199" s="3" t="s">
        <v>1046</v>
      </c>
      <c r="S199" s="3" t="s">
        <v>1445</v>
      </c>
      <c r="T199" s="3" t="s">
        <v>1446</v>
      </c>
      <c r="U199" s="3" t="s">
        <v>1445</v>
      </c>
    </row>
    <row r="200" spans="6:21" x14ac:dyDescent="0.15">
      <c r="F200" t="s">
        <v>765</v>
      </c>
      <c r="G200">
        <v>7.8</v>
      </c>
      <c r="J200" t="s">
        <v>765</v>
      </c>
      <c r="K200" t="s">
        <v>766</v>
      </c>
      <c r="L200" t="s">
        <v>541</v>
      </c>
      <c r="M200" t="s">
        <v>389</v>
      </c>
      <c r="N200" t="s">
        <v>248</v>
      </c>
      <c r="O200">
        <v>400</v>
      </c>
      <c r="P200" t="str">
        <f t="shared" si="3"/>
        <v>羊肝明目片24片×400盒</v>
      </c>
      <c r="R200" s="3" t="s">
        <v>1046</v>
      </c>
      <c r="S200" s="3" t="s">
        <v>1447</v>
      </c>
      <c r="T200" s="3" t="s">
        <v>1448</v>
      </c>
      <c r="U200" s="3" t="s">
        <v>1447</v>
      </c>
    </row>
    <row r="201" spans="6:21" x14ac:dyDescent="0.15">
      <c r="F201" t="s">
        <v>767</v>
      </c>
      <c r="G201">
        <v>4</v>
      </c>
      <c r="H201">
        <v>4.4400000000000004</v>
      </c>
      <c r="I201">
        <v>15</v>
      </c>
      <c r="J201" t="s">
        <v>767</v>
      </c>
      <c r="K201" t="s">
        <v>768</v>
      </c>
      <c r="L201" t="s">
        <v>769</v>
      </c>
      <c r="M201" t="s">
        <v>294</v>
      </c>
      <c r="N201" t="s">
        <v>264</v>
      </c>
      <c r="O201">
        <v>200</v>
      </c>
      <c r="P201" t="str">
        <f t="shared" si="3"/>
        <v>医用退热贴2贴/袋×10盒×20中包</v>
      </c>
      <c r="R201" s="3" t="s">
        <v>1046</v>
      </c>
      <c r="S201" s="3" t="s">
        <v>1449</v>
      </c>
      <c r="T201" s="3" t="s">
        <v>1450</v>
      </c>
      <c r="U201" s="3" t="s">
        <v>1449</v>
      </c>
    </row>
    <row r="202" spans="6:21" x14ac:dyDescent="0.15">
      <c r="F202" t="s">
        <v>770</v>
      </c>
      <c r="G202">
        <v>4</v>
      </c>
      <c r="H202">
        <v>4.4400000000000004</v>
      </c>
      <c r="I202">
        <v>15</v>
      </c>
      <c r="J202" t="s">
        <v>770</v>
      </c>
      <c r="K202" t="s">
        <v>768</v>
      </c>
      <c r="L202" t="s">
        <v>771</v>
      </c>
      <c r="M202" t="s">
        <v>308</v>
      </c>
      <c r="N202" t="s">
        <v>264</v>
      </c>
      <c r="O202">
        <v>240</v>
      </c>
      <c r="P202" t="str">
        <f t="shared" si="3"/>
        <v>医用退热贴2贴×240盒</v>
      </c>
      <c r="R202" s="3" t="s">
        <v>1046</v>
      </c>
      <c r="S202" s="3" t="s">
        <v>1451</v>
      </c>
      <c r="T202" s="3" t="s">
        <v>1452</v>
      </c>
      <c r="U202" s="3" t="s">
        <v>1451</v>
      </c>
    </row>
    <row r="203" spans="6:21" x14ac:dyDescent="0.15">
      <c r="F203" t="s">
        <v>772</v>
      </c>
      <c r="G203">
        <v>5.35</v>
      </c>
      <c r="J203" t="s">
        <v>772</v>
      </c>
      <c r="K203" t="s">
        <v>773</v>
      </c>
      <c r="L203" t="s">
        <v>299</v>
      </c>
      <c r="M203" t="s">
        <v>300</v>
      </c>
      <c r="N203" t="s">
        <v>264</v>
      </c>
      <c r="O203">
        <v>100</v>
      </c>
      <c r="P203" t="str">
        <f t="shared" si="3"/>
        <v>益母丸(OTC)9g×10丸×100盒</v>
      </c>
      <c r="R203" s="3" t="s">
        <v>1046</v>
      </c>
      <c r="S203" s="3" t="s">
        <v>1453</v>
      </c>
      <c r="T203" s="3" t="s">
        <v>1454</v>
      </c>
      <c r="U203" s="3" t="s">
        <v>1453</v>
      </c>
    </row>
    <row r="204" spans="6:21" x14ac:dyDescent="0.15">
      <c r="F204" t="s">
        <v>774</v>
      </c>
      <c r="G204">
        <v>5.7</v>
      </c>
      <c r="J204" t="s">
        <v>774</v>
      </c>
      <c r="K204" t="s">
        <v>775</v>
      </c>
      <c r="L204" t="s">
        <v>356</v>
      </c>
      <c r="M204" t="s">
        <v>300</v>
      </c>
      <c r="N204" t="s">
        <v>264</v>
      </c>
      <c r="O204">
        <v>100</v>
      </c>
      <c r="P204" t="str">
        <f t="shared" si="3"/>
        <v>银翘解毒丸（OTC）3g×10丸×100盒</v>
      </c>
      <c r="R204" s="3" t="s">
        <v>1046</v>
      </c>
      <c r="S204" s="3" t="s">
        <v>1455</v>
      </c>
      <c r="T204" s="3" t="s">
        <v>1456</v>
      </c>
      <c r="U204" s="3" t="s">
        <v>1455</v>
      </c>
    </row>
    <row r="205" spans="6:21" x14ac:dyDescent="0.15">
      <c r="F205" t="s">
        <v>776</v>
      </c>
      <c r="G205">
        <v>9.1999999999999993</v>
      </c>
      <c r="I205">
        <v>28</v>
      </c>
      <c r="J205" t="s">
        <v>776</v>
      </c>
      <c r="K205" t="s">
        <v>777</v>
      </c>
      <c r="L205" t="s">
        <v>778</v>
      </c>
      <c r="M205" t="s">
        <v>300</v>
      </c>
      <c r="N205" t="s">
        <v>264</v>
      </c>
      <c r="O205">
        <v>400</v>
      </c>
      <c r="P205" t="str">
        <f t="shared" si="3"/>
        <v>银杏叶分散片0.15g×36片×400盒</v>
      </c>
      <c r="R205" s="3" t="s">
        <v>1046</v>
      </c>
      <c r="S205" s="3" t="s">
        <v>1457</v>
      </c>
      <c r="T205" s="3" t="s">
        <v>1458</v>
      </c>
      <c r="U205" s="3" t="s">
        <v>1457</v>
      </c>
    </row>
    <row r="206" spans="6:21" x14ac:dyDescent="0.15">
      <c r="F206" t="s">
        <v>779</v>
      </c>
      <c r="G206">
        <v>6.51</v>
      </c>
      <c r="J206" t="s">
        <v>779</v>
      </c>
      <c r="K206" t="s">
        <v>780</v>
      </c>
      <c r="L206" t="s">
        <v>299</v>
      </c>
      <c r="M206" t="s">
        <v>300</v>
      </c>
      <c r="N206" t="s">
        <v>264</v>
      </c>
      <c r="O206">
        <v>100</v>
      </c>
      <c r="P206" t="str">
        <f t="shared" si="3"/>
        <v>知柏地黄丸(OTC)9g×10丸×100盒</v>
      </c>
      <c r="R206" s="3" t="s">
        <v>1046</v>
      </c>
      <c r="S206" s="3" t="s">
        <v>1459</v>
      </c>
      <c r="T206" s="3" t="s">
        <v>1460</v>
      </c>
      <c r="U206" s="3" t="s">
        <v>1459</v>
      </c>
    </row>
    <row r="207" spans="6:21" x14ac:dyDescent="0.15">
      <c r="F207" t="s">
        <v>781</v>
      </c>
      <c r="G207">
        <v>13</v>
      </c>
      <c r="J207" t="s">
        <v>781</v>
      </c>
      <c r="K207" t="s">
        <v>782</v>
      </c>
      <c r="L207" t="s">
        <v>783</v>
      </c>
      <c r="M207" t="s">
        <v>567</v>
      </c>
      <c r="N207" t="s">
        <v>568</v>
      </c>
      <c r="O207">
        <v>200</v>
      </c>
      <c r="P207" t="str">
        <f t="shared" si="3"/>
        <v>重组人促红素注射液（CHO细胞）2000IU预充式</v>
      </c>
      <c r="R207" s="3" t="s">
        <v>1046</v>
      </c>
      <c r="S207" s="3" t="s">
        <v>1461</v>
      </c>
      <c r="T207" s="3" t="s">
        <v>1462</v>
      </c>
      <c r="U207" s="3" t="s">
        <v>1461</v>
      </c>
    </row>
    <row r="208" spans="6:21" x14ac:dyDescent="0.15">
      <c r="F208" t="s">
        <v>784</v>
      </c>
      <c r="G208">
        <v>8.5</v>
      </c>
      <c r="J208" t="s">
        <v>784</v>
      </c>
      <c r="K208" t="s">
        <v>782</v>
      </c>
      <c r="L208" t="s">
        <v>785</v>
      </c>
      <c r="M208" t="s">
        <v>567</v>
      </c>
      <c r="N208" t="s">
        <v>568</v>
      </c>
      <c r="O208">
        <v>300</v>
      </c>
      <c r="P208" t="str">
        <f t="shared" si="3"/>
        <v>重组人促红素注射液（CHO细胞）3000IU</v>
      </c>
      <c r="R208" s="3" t="s">
        <v>1046</v>
      </c>
      <c r="S208" s="3" t="s">
        <v>1463</v>
      </c>
      <c r="T208" s="3" t="s">
        <v>1464</v>
      </c>
      <c r="U208" s="3" t="s">
        <v>1463</v>
      </c>
    </row>
    <row r="209" spans="6:21" x14ac:dyDescent="0.15">
      <c r="F209" t="s">
        <v>786</v>
      </c>
      <c r="G209">
        <v>12</v>
      </c>
      <c r="J209" t="s">
        <v>786</v>
      </c>
      <c r="K209" t="s">
        <v>782</v>
      </c>
      <c r="L209" t="s">
        <v>787</v>
      </c>
      <c r="M209" t="s">
        <v>567</v>
      </c>
      <c r="N209" t="s">
        <v>568</v>
      </c>
      <c r="O209">
        <v>200</v>
      </c>
      <c r="P209" t="str">
        <f t="shared" si="3"/>
        <v>重组人促红素注射液（CHO细胞）3000IU预充式</v>
      </c>
      <c r="R209" s="3" t="s">
        <v>1046</v>
      </c>
      <c r="S209" s="3" t="s">
        <v>1465</v>
      </c>
      <c r="T209" s="3" t="s">
        <v>1466</v>
      </c>
      <c r="U209" s="3" t="s">
        <v>1465</v>
      </c>
    </row>
    <row r="210" spans="6:21" x14ac:dyDescent="0.15">
      <c r="F210" t="s">
        <v>788</v>
      </c>
      <c r="G210">
        <v>16</v>
      </c>
      <c r="J210" t="s">
        <v>788</v>
      </c>
      <c r="K210" t="s">
        <v>782</v>
      </c>
      <c r="L210" t="s">
        <v>789</v>
      </c>
      <c r="M210" t="s">
        <v>567</v>
      </c>
      <c r="N210" t="s">
        <v>568</v>
      </c>
      <c r="O210">
        <v>300</v>
      </c>
      <c r="P210" t="str">
        <f t="shared" si="3"/>
        <v>重组人促红素注射液（CHO细胞）4000IU</v>
      </c>
      <c r="R210" s="3" t="s">
        <v>1046</v>
      </c>
      <c r="S210" s="3" t="s">
        <v>1467</v>
      </c>
      <c r="T210" s="3" t="s">
        <v>1468</v>
      </c>
      <c r="U210" s="3" t="s">
        <v>1467</v>
      </c>
    </row>
    <row r="211" spans="6:21" x14ac:dyDescent="0.15">
      <c r="F211" t="s">
        <v>790</v>
      </c>
      <c r="G211">
        <v>14</v>
      </c>
      <c r="J211" t="s">
        <v>790</v>
      </c>
      <c r="K211" t="s">
        <v>782</v>
      </c>
      <c r="L211" t="s">
        <v>791</v>
      </c>
      <c r="M211" t="s">
        <v>567</v>
      </c>
      <c r="N211" t="s">
        <v>568</v>
      </c>
      <c r="O211">
        <v>200</v>
      </c>
      <c r="P211" t="str">
        <f t="shared" si="3"/>
        <v>重组人促红素注射液（CHO细胞）4000IU预充式</v>
      </c>
      <c r="R211" s="3" t="s">
        <v>1046</v>
      </c>
      <c r="S211" s="3" t="s">
        <v>1469</v>
      </c>
      <c r="T211" s="3" t="s">
        <v>1470</v>
      </c>
      <c r="U211" s="3" t="s">
        <v>1469</v>
      </c>
    </row>
    <row r="212" spans="6:21" x14ac:dyDescent="0.15">
      <c r="F212" t="s">
        <v>792</v>
      </c>
      <c r="G212">
        <v>17</v>
      </c>
      <c r="J212" t="s">
        <v>792</v>
      </c>
      <c r="K212" t="s">
        <v>782</v>
      </c>
      <c r="L212" t="s">
        <v>793</v>
      </c>
      <c r="M212" t="s">
        <v>567</v>
      </c>
      <c r="N212" t="s">
        <v>568</v>
      </c>
      <c r="O212">
        <v>300</v>
      </c>
      <c r="P212" t="str">
        <f t="shared" si="3"/>
        <v>重组人促红素注射液（CHO细胞）5000IU</v>
      </c>
      <c r="R212" s="3" t="s">
        <v>1046</v>
      </c>
      <c r="S212" s="3" t="s">
        <v>1471</v>
      </c>
      <c r="T212" s="3" t="s">
        <v>1472</v>
      </c>
      <c r="U212" s="3" t="s">
        <v>1471</v>
      </c>
    </row>
    <row r="213" spans="6:21" x14ac:dyDescent="0.15">
      <c r="F213" t="s">
        <v>794</v>
      </c>
      <c r="G213">
        <v>19</v>
      </c>
      <c r="J213" t="s">
        <v>794</v>
      </c>
      <c r="K213" t="s">
        <v>782</v>
      </c>
      <c r="L213" t="s">
        <v>795</v>
      </c>
      <c r="M213" t="s">
        <v>567</v>
      </c>
      <c r="N213" t="s">
        <v>568</v>
      </c>
      <c r="O213">
        <v>200</v>
      </c>
      <c r="P213" t="str">
        <f t="shared" si="3"/>
        <v>重组人促红素注射液（CHO细胞）5000IU预充式</v>
      </c>
      <c r="R213" s="3" t="s">
        <v>1046</v>
      </c>
      <c r="S213" s="3" t="s">
        <v>1473</v>
      </c>
      <c r="T213" s="3" t="s">
        <v>1474</v>
      </c>
      <c r="U213" s="3" t="s">
        <v>1473</v>
      </c>
    </row>
    <row r="214" spans="6:21" x14ac:dyDescent="0.15">
      <c r="F214" t="s">
        <v>796</v>
      </c>
      <c r="G214">
        <v>18</v>
      </c>
      <c r="J214" t="s">
        <v>796</v>
      </c>
      <c r="K214" t="s">
        <v>782</v>
      </c>
      <c r="L214" t="s">
        <v>797</v>
      </c>
      <c r="M214" t="s">
        <v>567</v>
      </c>
      <c r="N214" t="s">
        <v>568</v>
      </c>
      <c r="O214">
        <v>300</v>
      </c>
      <c r="P214" t="str">
        <f t="shared" si="3"/>
        <v>重组人促红素注射液（CHO细胞）6000IU</v>
      </c>
      <c r="R214" s="3" t="s">
        <v>1046</v>
      </c>
      <c r="S214" s="3" t="s">
        <v>1475</v>
      </c>
      <c r="T214" s="3" t="s">
        <v>1476</v>
      </c>
      <c r="U214" s="3" t="s">
        <v>1475</v>
      </c>
    </row>
    <row r="215" spans="6:21" x14ac:dyDescent="0.15">
      <c r="F215" t="s">
        <v>798</v>
      </c>
      <c r="G215">
        <v>17</v>
      </c>
      <c r="J215" t="s">
        <v>798</v>
      </c>
      <c r="K215" t="s">
        <v>782</v>
      </c>
      <c r="L215" t="s">
        <v>799</v>
      </c>
      <c r="M215" t="s">
        <v>567</v>
      </c>
      <c r="N215" t="s">
        <v>568</v>
      </c>
      <c r="O215">
        <v>200</v>
      </c>
      <c r="P215" t="str">
        <f t="shared" si="3"/>
        <v>重组人促红素注射液（CHO细胞）6000IU预充式</v>
      </c>
      <c r="R215" s="3" t="s">
        <v>1046</v>
      </c>
      <c r="S215" s="3" t="s">
        <v>1477</v>
      </c>
      <c r="T215" s="3" t="s">
        <v>1478</v>
      </c>
      <c r="U215" s="3" t="s">
        <v>1477</v>
      </c>
    </row>
    <row r="216" spans="6:21" x14ac:dyDescent="0.15">
      <c r="F216" t="s">
        <v>800</v>
      </c>
      <c r="G216">
        <v>8.1999999999999993</v>
      </c>
      <c r="J216" t="s">
        <v>800</v>
      </c>
      <c r="K216" t="s">
        <v>801</v>
      </c>
      <c r="L216" t="s">
        <v>802</v>
      </c>
      <c r="M216" t="s">
        <v>567</v>
      </c>
      <c r="N216" t="s">
        <v>568</v>
      </c>
      <c r="O216">
        <v>200</v>
      </c>
      <c r="P216" t="str">
        <f t="shared" si="3"/>
        <v>重组人干扰素α2b软膏（假单胞菌）10g</v>
      </c>
      <c r="R216" s="3" t="s">
        <v>1046</v>
      </c>
      <c r="S216" s="3" t="s">
        <v>1479</v>
      </c>
      <c r="T216" s="3" t="s">
        <v>1480</v>
      </c>
      <c r="U216" s="3" t="s">
        <v>1479</v>
      </c>
    </row>
    <row r="217" spans="6:21" x14ac:dyDescent="0.15">
      <c r="F217" t="s">
        <v>803</v>
      </c>
      <c r="G217">
        <v>5.73</v>
      </c>
      <c r="J217" t="s">
        <v>803</v>
      </c>
      <c r="K217" t="s">
        <v>801</v>
      </c>
      <c r="L217" t="s">
        <v>804</v>
      </c>
      <c r="M217" t="s">
        <v>567</v>
      </c>
      <c r="N217" t="s">
        <v>568</v>
      </c>
      <c r="O217">
        <v>200</v>
      </c>
      <c r="P217" t="str">
        <f t="shared" si="3"/>
        <v>重组人干扰素α2b软膏（假单胞菌）5g</v>
      </c>
      <c r="R217" s="3" t="s">
        <v>1046</v>
      </c>
      <c r="S217" s="3" t="s">
        <v>1481</v>
      </c>
      <c r="T217" s="3" t="s">
        <v>1482</v>
      </c>
      <c r="U217" s="3" t="s">
        <v>1481</v>
      </c>
    </row>
    <row r="218" spans="6:21" x14ac:dyDescent="0.15">
      <c r="F218" t="s">
        <v>805</v>
      </c>
      <c r="G218">
        <v>20</v>
      </c>
      <c r="J218" t="s">
        <v>805</v>
      </c>
      <c r="K218" t="s">
        <v>806</v>
      </c>
      <c r="L218" t="s">
        <v>807</v>
      </c>
      <c r="M218" t="s">
        <v>567</v>
      </c>
      <c r="N218" t="s">
        <v>568</v>
      </c>
      <c r="O218">
        <v>200</v>
      </c>
      <c r="P218" t="str">
        <f t="shared" si="3"/>
        <v>重组人粒细胞刺激因子注射液100ug预充式</v>
      </c>
      <c r="R218" s="3" t="s">
        <v>1046</v>
      </c>
      <c r="S218" s="3" t="s">
        <v>1483</v>
      </c>
      <c r="T218" s="3" t="s">
        <v>1484</v>
      </c>
      <c r="U218" s="3" t="s">
        <v>1483</v>
      </c>
    </row>
    <row r="219" spans="6:21" x14ac:dyDescent="0.15">
      <c r="F219" t="s">
        <v>808</v>
      </c>
      <c r="G219">
        <v>20</v>
      </c>
      <c r="J219" t="s">
        <v>808</v>
      </c>
      <c r="K219" t="s">
        <v>806</v>
      </c>
      <c r="L219" t="s">
        <v>809</v>
      </c>
      <c r="M219" t="s">
        <v>567</v>
      </c>
      <c r="N219" t="s">
        <v>568</v>
      </c>
      <c r="O219">
        <v>300</v>
      </c>
      <c r="P219" t="str">
        <f t="shared" si="3"/>
        <v>重组人粒细胞刺激因子注射液150ug</v>
      </c>
      <c r="R219" s="3" t="s">
        <v>1046</v>
      </c>
      <c r="S219" s="3" t="s">
        <v>1485</v>
      </c>
      <c r="T219" s="3" t="s">
        <v>1486</v>
      </c>
      <c r="U219" s="3" t="s">
        <v>1485</v>
      </c>
    </row>
    <row r="220" spans="6:21" x14ac:dyDescent="0.15">
      <c r="F220" t="s">
        <v>810</v>
      </c>
      <c r="G220">
        <v>24</v>
      </c>
      <c r="J220" t="s">
        <v>810</v>
      </c>
      <c r="K220" t="s">
        <v>806</v>
      </c>
      <c r="L220" t="s">
        <v>811</v>
      </c>
      <c r="M220" t="s">
        <v>567</v>
      </c>
      <c r="N220" t="s">
        <v>568</v>
      </c>
      <c r="O220">
        <v>200</v>
      </c>
      <c r="P220" t="str">
        <f t="shared" si="3"/>
        <v>重组人粒细胞刺激因子注射液150ug预充式</v>
      </c>
      <c r="R220" s="3" t="s">
        <v>1046</v>
      </c>
      <c r="S220" s="3" t="s">
        <v>1487</v>
      </c>
      <c r="T220" s="3" t="s">
        <v>1488</v>
      </c>
      <c r="U220" s="3" t="s">
        <v>1487</v>
      </c>
    </row>
    <row r="221" spans="6:21" x14ac:dyDescent="0.15">
      <c r="F221" t="s">
        <v>812</v>
      </c>
      <c r="G221">
        <v>28</v>
      </c>
      <c r="J221" t="s">
        <v>812</v>
      </c>
      <c r="K221" t="s">
        <v>806</v>
      </c>
      <c r="L221" t="s">
        <v>813</v>
      </c>
      <c r="M221" t="s">
        <v>567</v>
      </c>
      <c r="N221" t="s">
        <v>568</v>
      </c>
      <c r="O221">
        <v>200</v>
      </c>
      <c r="P221" t="str">
        <f t="shared" si="3"/>
        <v>重组人粒细胞刺激因子注射液200ug预充式</v>
      </c>
      <c r="R221" s="3" t="s">
        <v>1046</v>
      </c>
      <c r="S221" s="3" t="s">
        <v>1489</v>
      </c>
      <c r="T221" s="3" t="s">
        <v>1490</v>
      </c>
      <c r="U221" s="3" t="s">
        <v>1489</v>
      </c>
    </row>
    <row r="222" spans="6:21" x14ac:dyDescent="0.15">
      <c r="F222" t="s">
        <v>814</v>
      </c>
      <c r="G222">
        <v>31</v>
      </c>
      <c r="J222" t="s">
        <v>814</v>
      </c>
      <c r="K222" t="s">
        <v>806</v>
      </c>
      <c r="L222" t="s">
        <v>815</v>
      </c>
      <c r="M222" t="s">
        <v>567</v>
      </c>
      <c r="N222" t="s">
        <v>568</v>
      </c>
      <c r="O222">
        <v>200</v>
      </c>
      <c r="P222" t="str">
        <f t="shared" si="3"/>
        <v>重组人粒细胞刺激因子注射液300ug预充式</v>
      </c>
      <c r="R222" s="3" t="s">
        <v>1046</v>
      </c>
      <c r="S222" s="3" t="s">
        <v>1491</v>
      </c>
      <c r="T222" s="3" t="s">
        <v>1492</v>
      </c>
      <c r="U222" s="3" t="s">
        <v>1491</v>
      </c>
    </row>
    <row r="223" spans="6:21" x14ac:dyDescent="0.15">
      <c r="F223" t="s">
        <v>816</v>
      </c>
      <c r="G223">
        <v>1.6</v>
      </c>
      <c r="J223" t="s">
        <v>816</v>
      </c>
      <c r="K223" t="s">
        <v>817</v>
      </c>
      <c r="L223" t="s">
        <v>818</v>
      </c>
      <c r="M223" t="s">
        <v>247</v>
      </c>
      <c r="N223" t="s">
        <v>616</v>
      </c>
      <c r="O223">
        <v>1000</v>
      </c>
      <c r="P223" t="str">
        <f t="shared" si="3"/>
        <v>注射用阿莫西林钠(益萨林)0.5g*10支*100盒</v>
      </c>
      <c r="R223" s="3" t="s">
        <v>1046</v>
      </c>
      <c r="S223" s="3" t="s">
        <v>1493</v>
      </c>
      <c r="T223" s="3" t="s">
        <v>1494</v>
      </c>
      <c r="U223" s="3" t="s">
        <v>1493</v>
      </c>
    </row>
    <row r="224" spans="6:21" x14ac:dyDescent="0.15">
      <c r="F224" t="s">
        <v>819</v>
      </c>
      <c r="G224">
        <v>2.2999999999999998</v>
      </c>
      <c r="J224" t="s">
        <v>819</v>
      </c>
      <c r="K224" t="s">
        <v>817</v>
      </c>
      <c r="L224" t="s">
        <v>820</v>
      </c>
      <c r="M224" t="s">
        <v>247</v>
      </c>
      <c r="N224" t="s">
        <v>616</v>
      </c>
      <c r="O224">
        <v>1000</v>
      </c>
      <c r="P224" t="str">
        <f t="shared" si="3"/>
        <v>注射用阿莫西林钠(益萨林)1g*10支*100盒</v>
      </c>
      <c r="R224" s="3" t="s">
        <v>1046</v>
      </c>
      <c r="S224" s="3" t="s">
        <v>1495</v>
      </c>
      <c r="T224" s="3" t="s">
        <v>1496</v>
      </c>
      <c r="U224" s="3" t="s">
        <v>1495</v>
      </c>
    </row>
    <row r="225" spans="6:21" x14ac:dyDescent="0.15">
      <c r="F225" t="s">
        <v>821</v>
      </c>
      <c r="G225">
        <v>2.5</v>
      </c>
      <c r="J225" t="s">
        <v>821</v>
      </c>
      <c r="K225" t="s">
        <v>817</v>
      </c>
      <c r="L225" t="s">
        <v>822</v>
      </c>
      <c r="M225" t="s">
        <v>247</v>
      </c>
      <c r="N225" t="s">
        <v>616</v>
      </c>
      <c r="O225">
        <v>600</v>
      </c>
      <c r="P225" t="str">
        <f t="shared" si="3"/>
        <v>注射用阿莫西林钠(益萨林)2g*10支*60盒</v>
      </c>
      <c r="R225" s="3" t="s">
        <v>1046</v>
      </c>
      <c r="S225" s="3" t="s">
        <v>1497</v>
      </c>
      <c r="T225" s="3" t="s">
        <v>1498</v>
      </c>
      <c r="U225" s="3" t="s">
        <v>1497</v>
      </c>
    </row>
    <row r="226" spans="6:21" x14ac:dyDescent="0.15">
      <c r="F226" t="s">
        <v>823</v>
      </c>
      <c r="G226">
        <v>1.5</v>
      </c>
      <c r="J226" t="s">
        <v>823</v>
      </c>
      <c r="K226" t="s">
        <v>824</v>
      </c>
      <c r="L226" t="s">
        <v>825</v>
      </c>
      <c r="M226" t="s">
        <v>247</v>
      </c>
      <c r="N226" t="s">
        <v>616</v>
      </c>
      <c r="O226">
        <v>600</v>
      </c>
      <c r="P226" t="str">
        <f t="shared" si="3"/>
        <v>注射用阿莫西林钠克拉维酸钾(崇美)0.3g</v>
      </c>
      <c r="R226" s="3" t="s">
        <v>1046</v>
      </c>
      <c r="S226" s="3" t="s">
        <v>1499</v>
      </c>
      <c r="T226" s="3" t="s">
        <v>1500</v>
      </c>
      <c r="U226" s="3" t="s">
        <v>1499</v>
      </c>
    </row>
    <row r="227" spans="6:21" x14ac:dyDescent="0.15">
      <c r="F227" t="s">
        <v>826</v>
      </c>
      <c r="G227">
        <v>3.4</v>
      </c>
      <c r="J227" t="s">
        <v>826</v>
      </c>
      <c r="K227" t="s">
        <v>827</v>
      </c>
      <c r="L227" t="s">
        <v>828</v>
      </c>
      <c r="M227" t="s">
        <v>247</v>
      </c>
      <c r="N227" t="s">
        <v>616</v>
      </c>
      <c r="O227">
        <v>600</v>
      </c>
      <c r="P227" t="str">
        <f t="shared" si="3"/>
        <v>注射用阿莫西林钠克拉维酸钾（胜艾）1.2g</v>
      </c>
      <c r="R227" s="3" t="s">
        <v>1046</v>
      </c>
      <c r="S227" s="3" t="s">
        <v>1501</v>
      </c>
      <c r="T227" s="3" t="s">
        <v>1502</v>
      </c>
      <c r="U227" s="3" t="s">
        <v>1501</v>
      </c>
    </row>
    <row r="228" spans="6:21" x14ac:dyDescent="0.15">
      <c r="F228" t="s">
        <v>829</v>
      </c>
      <c r="G228">
        <v>2</v>
      </c>
      <c r="J228" t="s">
        <v>829</v>
      </c>
      <c r="K228" t="s">
        <v>830</v>
      </c>
      <c r="L228" t="s">
        <v>831</v>
      </c>
      <c r="M228" t="s">
        <v>247</v>
      </c>
      <c r="N228" t="s">
        <v>616</v>
      </c>
      <c r="O228">
        <v>600</v>
      </c>
      <c r="P228" t="str">
        <f t="shared" si="3"/>
        <v>注射用阿莫西林钠克拉维酸钾（组能）0.6g</v>
      </c>
      <c r="R228" s="3" t="s">
        <v>1046</v>
      </c>
      <c r="S228" s="3" t="s">
        <v>1503</v>
      </c>
      <c r="T228" s="3" t="s">
        <v>1504</v>
      </c>
      <c r="U228" s="3" t="s">
        <v>1503</v>
      </c>
    </row>
    <row r="229" spans="6:21" x14ac:dyDescent="0.15">
      <c r="F229" t="s">
        <v>832</v>
      </c>
      <c r="G229">
        <v>2.2999999999999998</v>
      </c>
      <c r="J229" t="s">
        <v>832</v>
      </c>
      <c r="K229" t="s">
        <v>833</v>
      </c>
      <c r="L229" t="s">
        <v>834</v>
      </c>
      <c r="M229" t="s">
        <v>247</v>
      </c>
      <c r="N229" t="s">
        <v>616</v>
      </c>
      <c r="O229">
        <v>600</v>
      </c>
      <c r="P229" t="str">
        <f t="shared" si="3"/>
        <v>注射用阿莫西林钠舒巴坦钠0.75g</v>
      </c>
      <c r="R229" s="3" t="s">
        <v>1046</v>
      </c>
      <c r="S229" s="3" t="s">
        <v>1505</v>
      </c>
      <c r="T229" s="3" t="s">
        <v>1506</v>
      </c>
      <c r="U229" s="3" t="s">
        <v>1505</v>
      </c>
    </row>
    <row r="230" spans="6:21" x14ac:dyDescent="0.15">
      <c r="F230" t="s">
        <v>835</v>
      </c>
      <c r="G230">
        <v>3.3</v>
      </c>
      <c r="J230" t="s">
        <v>835</v>
      </c>
      <c r="K230" t="s">
        <v>833</v>
      </c>
      <c r="L230" t="s">
        <v>836</v>
      </c>
      <c r="M230" t="s">
        <v>247</v>
      </c>
      <c r="N230" t="s">
        <v>616</v>
      </c>
      <c r="O230">
        <v>600</v>
      </c>
      <c r="P230" t="str">
        <f t="shared" si="3"/>
        <v>注射用阿莫西林钠舒巴坦钠1.5g</v>
      </c>
      <c r="R230" s="3" t="s">
        <v>1046</v>
      </c>
      <c r="S230" s="3" t="s">
        <v>1507</v>
      </c>
      <c r="T230" s="3" t="s">
        <v>1508</v>
      </c>
      <c r="U230" s="3" t="s">
        <v>1507</v>
      </c>
    </row>
    <row r="231" spans="6:21" x14ac:dyDescent="0.15">
      <c r="F231" t="s">
        <v>837</v>
      </c>
      <c r="G231">
        <v>4.5</v>
      </c>
      <c r="J231" t="s">
        <v>837</v>
      </c>
      <c r="K231" t="s">
        <v>833</v>
      </c>
      <c r="L231" t="s">
        <v>838</v>
      </c>
      <c r="M231" t="s">
        <v>247</v>
      </c>
      <c r="N231" t="s">
        <v>616</v>
      </c>
      <c r="O231">
        <v>600</v>
      </c>
      <c r="P231" t="str">
        <f t="shared" si="3"/>
        <v>注射用阿莫西林钠舒巴坦钠3.0g</v>
      </c>
      <c r="R231" s="3" t="s">
        <v>1046</v>
      </c>
      <c r="S231" s="3" t="s">
        <v>1509</v>
      </c>
      <c r="T231" s="3" t="s">
        <v>1510</v>
      </c>
      <c r="U231" s="3" t="s">
        <v>1509</v>
      </c>
    </row>
    <row r="232" spans="6:21" x14ac:dyDescent="0.15">
      <c r="F232" t="s">
        <v>839</v>
      </c>
      <c r="G232">
        <v>0.61</v>
      </c>
      <c r="J232" t="s">
        <v>839</v>
      </c>
      <c r="K232" t="s">
        <v>840</v>
      </c>
      <c r="L232" t="s">
        <v>841</v>
      </c>
      <c r="M232" t="s">
        <v>247</v>
      </c>
      <c r="N232" t="s">
        <v>616</v>
      </c>
      <c r="O232">
        <v>1000</v>
      </c>
      <c r="P232" t="str">
        <f t="shared" si="3"/>
        <v>注射用氨苄西林钠溶媒法0.5g</v>
      </c>
      <c r="R232" s="3" t="s">
        <v>1046</v>
      </c>
      <c r="S232" s="3" t="s">
        <v>1511</v>
      </c>
      <c r="T232" s="3" t="s">
        <v>1512</v>
      </c>
      <c r="U232" s="3" t="s">
        <v>1511</v>
      </c>
    </row>
    <row r="233" spans="6:21" x14ac:dyDescent="0.15">
      <c r="F233" t="s">
        <v>842</v>
      </c>
      <c r="G233">
        <v>0.94</v>
      </c>
      <c r="J233" t="s">
        <v>842</v>
      </c>
      <c r="K233" t="s">
        <v>840</v>
      </c>
      <c r="L233" t="s">
        <v>843</v>
      </c>
      <c r="M233" t="s">
        <v>247</v>
      </c>
      <c r="N233" t="s">
        <v>616</v>
      </c>
      <c r="O233">
        <v>1000</v>
      </c>
      <c r="P233" t="str">
        <f t="shared" si="3"/>
        <v>注射用氨苄西林钠溶媒法1.0g</v>
      </c>
      <c r="R233" s="3" t="s">
        <v>1046</v>
      </c>
      <c r="S233" s="3" t="s">
        <v>1513</v>
      </c>
      <c r="T233" s="3" t="s">
        <v>1514</v>
      </c>
      <c r="U233" s="3" t="s">
        <v>1513</v>
      </c>
    </row>
    <row r="234" spans="6:21" x14ac:dyDescent="0.15">
      <c r="F234" t="s">
        <v>844</v>
      </c>
      <c r="G234">
        <v>1.8</v>
      </c>
      <c r="J234" t="s">
        <v>844</v>
      </c>
      <c r="K234" t="s">
        <v>840</v>
      </c>
      <c r="L234" t="s">
        <v>845</v>
      </c>
      <c r="M234" t="s">
        <v>247</v>
      </c>
      <c r="N234" t="s">
        <v>616</v>
      </c>
      <c r="O234">
        <v>600</v>
      </c>
      <c r="P234" t="str">
        <f t="shared" si="3"/>
        <v>注射用氨苄西林钠溶媒法2.0g</v>
      </c>
      <c r="R234" s="3" t="s">
        <v>1046</v>
      </c>
      <c r="S234" s="3" t="s">
        <v>1515</v>
      </c>
      <c r="T234" s="3" t="s">
        <v>1516</v>
      </c>
      <c r="U234" s="3" t="s">
        <v>1515</v>
      </c>
    </row>
    <row r="235" spans="6:21" x14ac:dyDescent="0.15">
      <c r="F235" t="s">
        <v>846</v>
      </c>
      <c r="G235">
        <v>2.5</v>
      </c>
      <c r="J235" t="s">
        <v>846</v>
      </c>
      <c r="K235" t="s">
        <v>847</v>
      </c>
      <c r="L235" t="s">
        <v>848</v>
      </c>
      <c r="M235" t="s">
        <v>247</v>
      </c>
      <c r="N235" t="s">
        <v>616</v>
      </c>
      <c r="O235">
        <v>400</v>
      </c>
      <c r="P235" t="str">
        <f t="shared" si="3"/>
        <v>注射用氨苄西林钠舒巴坦钠（凯兰欣）3g*400支3g*400支</v>
      </c>
      <c r="R235" s="3" t="s">
        <v>1046</v>
      </c>
      <c r="S235" s="3" t="s">
        <v>1517</v>
      </c>
      <c r="T235" s="3" t="s">
        <v>1518</v>
      </c>
      <c r="U235" s="3" t="s">
        <v>1517</v>
      </c>
    </row>
    <row r="236" spans="6:21" x14ac:dyDescent="0.15">
      <c r="F236" t="s">
        <v>849</v>
      </c>
      <c r="G236">
        <v>2.5</v>
      </c>
      <c r="J236" t="s">
        <v>849</v>
      </c>
      <c r="K236" t="s">
        <v>847</v>
      </c>
      <c r="L236" t="s">
        <v>848</v>
      </c>
      <c r="M236" t="s">
        <v>247</v>
      </c>
      <c r="N236" t="s">
        <v>616</v>
      </c>
      <c r="O236">
        <v>400</v>
      </c>
      <c r="P236" t="str">
        <f t="shared" si="3"/>
        <v>注射用氨苄西林钠舒巴坦钠（凯兰欣）3g*400支3g*400支</v>
      </c>
    </row>
    <row r="237" spans="6:21" x14ac:dyDescent="0.15">
      <c r="F237" t="s">
        <v>850</v>
      </c>
      <c r="G237">
        <v>1.9</v>
      </c>
      <c r="J237" t="s">
        <v>850</v>
      </c>
      <c r="K237" t="s">
        <v>851</v>
      </c>
      <c r="L237" t="s">
        <v>852</v>
      </c>
      <c r="M237" t="s">
        <v>567</v>
      </c>
      <c r="N237" t="s">
        <v>568</v>
      </c>
      <c r="O237">
        <v>720</v>
      </c>
      <c r="P237" t="str">
        <f t="shared" si="3"/>
        <v>注射用奥美拉唑钠40mg</v>
      </c>
    </row>
    <row r="238" spans="6:21" x14ac:dyDescent="0.15">
      <c r="F238" t="s">
        <v>853</v>
      </c>
      <c r="G238">
        <v>27.79</v>
      </c>
      <c r="J238" t="s">
        <v>853</v>
      </c>
      <c r="K238" t="s">
        <v>854</v>
      </c>
      <c r="L238" t="s">
        <v>855</v>
      </c>
      <c r="M238" t="s">
        <v>567</v>
      </c>
      <c r="N238" t="s">
        <v>568</v>
      </c>
      <c r="O238">
        <v>60</v>
      </c>
      <c r="P238" t="str">
        <f t="shared" si="3"/>
        <v>注射用奥沙利铂50mg</v>
      </c>
    </row>
    <row r="239" spans="6:21" x14ac:dyDescent="0.15">
      <c r="F239" t="s">
        <v>856</v>
      </c>
      <c r="G239">
        <v>1.75</v>
      </c>
      <c r="J239" t="s">
        <v>856</v>
      </c>
      <c r="K239" t="s">
        <v>857</v>
      </c>
      <c r="L239" t="s">
        <v>858</v>
      </c>
      <c r="M239" t="s">
        <v>567</v>
      </c>
      <c r="N239" t="s">
        <v>568</v>
      </c>
      <c r="O239">
        <v>720</v>
      </c>
      <c r="P239" t="str">
        <f t="shared" si="3"/>
        <v>注射用奥扎格雷钠20mg</v>
      </c>
    </row>
    <row r="240" spans="6:21" x14ac:dyDescent="0.15">
      <c r="F240" t="s">
        <v>859</v>
      </c>
      <c r="G240">
        <v>2.5099999999999998</v>
      </c>
      <c r="J240" t="s">
        <v>859</v>
      </c>
      <c r="K240" t="s">
        <v>857</v>
      </c>
      <c r="L240" t="s">
        <v>852</v>
      </c>
      <c r="M240" t="s">
        <v>567</v>
      </c>
      <c r="N240" t="s">
        <v>568</v>
      </c>
      <c r="O240">
        <v>720</v>
      </c>
      <c r="P240" t="str">
        <f t="shared" si="3"/>
        <v>注射用奥扎格雷钠40mg</v>
      </c>
    </row>
    <row r="241" spans="6:16" x14ac:dyDescent="0.15">
      <c r="F241" t="s">
        <v>860</v>
      </c>
      <c r="G241">
        <v>2.7</v>
      </c>
      <c r="J241" t="s">
        <v>860</v>
      </c>
      <c r="K241" t="s">
        <v>857</v>
      </c>
      <c r="L241" t="s">
        <v>861</v>
      </c>
      <c r="M241" t="s">
        <v>567</v>
      </c>
      <c r="N241" t="s">
        <v>568</v>
      </c>
      <c r="O241">
        <v>720</v>
      </c>
      <c r="P241" t="str">
        <f t="shared" si="3"/>
        <v>注射用奥扎格雷钠80mg</v>
      </c>
    </row>
    <row r="242" spans="6:16" x14ac:dyDescent="0.15">
      <c r="F242" t="s">
        <v>862</v>
      </c>
      <c r="G242">
        <v>7</v>
      </c>
      <c r="J242" t="s">
        <v>862</v>
      </c>
      <c r="K242" t="s">
        <v>863</v>
      </c>
      <c r="L242" t="s">
        <v>864</v>
      </c>
      <c r="M242" t="s">
        <v>326</v>
      </c>
      <c r="N242" t="s">
        <v>568</v>
      </c>
      <c r="O242">
        <v>600</v>
      </c>
      <c r="P242" t="str">
        <f t="shared" si="3"/>
        <v>注射用丹参(冻干)-60盒400mg×10支×60盒</v>
      </c>
    </row>
    <row r="243" spans="6:16" x14ac:dyDescent="0.15">
      <c r="F243" t="s">
        <v>865</v>
      </c>
      <c r="G243">
        <v>3.9</v>
      </c>
      <c r="J243" t="s">
        <v>865</v>
      </c>
      <c r="K243" t="s">
        <v>866</v>
      </c>
      <c r="L243" t="s">
        <v>867</v>
      </c>
      <c r="M243" t="s">
        <v>247</v>
      </c>
      <c r="N243" t="s">
        <v>616</v>
      </c>
      <c r="O243">
        <v>1000</v>
      </c>
      <c r="P243" t="str">
        <f t="shared" si="3"/>
        <v>注射用对氨基水杨酸钠2g*50支*20盒</v>
      </c>
    </row>
    <row r="244" spans="6:16" x14ac:dyDescent="0.15">
      <c r="F244" t="s">
        <v>865</v>
      </c>
      <c r="G244">
        <v>3.9</v>
      </c>
      <c r="J244" t="s">
        <v>865</v>
      </c>
      <c r="K244" t="s">
        <v>866</v>
      </c>
      <c r="L244" t="s">
        <v>867</v>
      </c>
      <c r="M244" t="s">
        <v>247</v>
      </c>
      <c r="N244" t="s">
        <v>616</v>
      </c>
      <c r="O244">
        <v>1000</v>
      </c>
      <c r="P244" t="str">
        <f t="shared" si="3"/>
        <v>注射用对氨基水杨酸钠2g*50支*20盒</v>
      </c>
    </row>
    <row r="245" spans="6:16" x14ac:dyDescent="0.15">
      <c r="F245" t="s">
        <v>868</v>
      </c>
      <c r="G245">
        <v>2.5</v>
      </c>
      <c r="J245" t="s">
        <v>868</v>
      </c>
      <c r="K245" t="s">
        <v>869</v>
      </c>
      <c r="L245" t="s">
        <v>870</v>
      </c>
      <c r="M245" t="s">
        <v>567</v>
      </c>
      <c r="N245" t="s">
        <v>568</v>
      </c>
      <c r="O245">
        <v>720</v>
      </c>
      <c r="P245" t="str">
        <f t="shared" si="3"/>
        <v>注射用更昔洛韦0.25g*1支</v>
      </c>
    </row>
    <row r="246" spans="6:16" x14ac:dyDescent="0.15">
      <c r="F246" t="s">
        <v>871</v>
      </c>
      <c r="G246">
        <v>2.97</v>
      </c>
      <c r="J246" t="s">
        <v>871</v>
      </c>
      <c r="K246" t="s">
        <v>872</v>
      </c>
      <c r="L246" t="s">
        <v>873</v>
      </c>
      <c r="M246" t="s">
        <v>567</v>
      </c>
      <c r="N246" t="s">
        <v>568</v>
      </c>
      <c r="O246">
        <v>720</v>
      </c>
      <c r="P246" t="str">
        <f t="shared" si="3"/>
        <v>注射用甲硫氨酸维B1100mg:10mg</v>
      </c>
    </row>
    <row r="247" spans="6:16" x14ac:dyDescent="0.15">
      <c r="F247" t="s">
        <v>874</v>
      </c>
      <c r="G247">
        <v>2.2000000000000002</v>
      </c>
      <c r="J247" t="s">
        <v>874</v>
      </c>
      <c r="K247" t="s">
        <v>872</v>
      </c>
      <c r="L247" t="s">
        <v>875</v>
      </c>
      <c r="M247" t="s">
        <v>567</v>
      </c>
      <c r="N247" t="s">
        <v>568</v>
      </c>
      <c r="O247">
        <v>720</v>
      </c>
      <c r="P247" t="str">
        <f t="shared" si="3"/>
        <v>注射用甲硫氨酸维B140mg:4mg</v>
      </c>
    </row>
    <row r="248" spans="6:16" x14ac:dyDescent="0.15">
      <c r="F248" t="s">
        <v>876</v>
      </c>
      <c r="G248">
        <v>0.57999999999999996</v>
      </c>
      <c r="J248" t="s">
        <v>876</v>
      </c>
      <c r="K248" t="s">
        <v>877</v>
      </c>
      <c r="L248" t="s">
        <v>878</v>
      </c>
      <c r="M248" t="s">
        <v>247</v>
      </c>
      <c r="N248" t="s">
        <v>616</v>
      </c>
      <c r="O248">
        <v>1000</v>
      </c>
      <c r="P248" t="str">
        <f t="shared" si="3"/>
        <v>注射用酒石酸吉他霉素20万*50支*20盒</v>
      </c>
    </row>
    <row r="249" spans="6:16" x14ac:dyDescent="0.15">
      <c r="F249" t="s">
        <v>879</v>
      </c>
      <c r="G249">
        <v>2.4</v>
      </c>
      <c r="J249" t="s">
        <v>879</v>
      </c>
      <c r="K249" t="s">
        <v>880</v>
      </c>
      <c r="L249" t="s">
        <v>881</v>
      </c>
      <c r="M249" t="s">
        <v>247</v>
      </c>
      <c r="N249" t="s">
        <v>616</v>
      </c>
      <c r="O249">
        <v>400</v>
      </c>
      <c r="P249" t="str">
        <f t="shared" si="3"/>
        <v>注射用赖氨匹林(益彼兴)0.9g*10支*40盒</v>
      </c>
    </row>
    <row r="250" spans="6:16" x14ac:dyDescent="0.15">
      <c r="F250" t="s">
        <v>882</v>
      </c>
      <c r="G250">
        <v>1.65</v>
      </c>
      <c r="J250" t="s">
        <v>882</v>
      </c>
      <c r="K250" t="s">
        <v>883</v>
      </c>
      <c r="L250" t="s">
        <v>884</v>
      </c>
      <c r="M250" t="s">
        <v>247</v>
      </c>
      <c r="N250" t="s">
        <v>616</v>
      </c>
      <c r="O250">
        <v>1000</v>
      </c>
      <c r="P250" t="str">
        <f t="shared" si="3"/>
        <v>注射用磷霉素钠1g</v>
      </c>
    </row>
    <row r="251" spans="6:16" x14ac:dyDescent="0.15">
      <c r="F251" t="s">
        <v>885</v>
      </c>
      <c r="G251">
        <v>3.1</v>
      </c>
      <c r="J251" t="s">
        <v>885</v>
      </c>
      <c r="K251" t="s">
        <v>883</v>
      </c>
      <c r="L251" t="s">
        <v>845</v>
      </c>
      <c r="M251" t="s">
        <v>247</v>
      </c>
      <c r="N251" t="s">
        <v>616</v>
      </c>
      <c r="O251">
        <v>600</v>
      </c>
      <c r="P251" t="str">
        <f t="shared" si="3"/>
        <v>注射用磷霉素钠2.0g</v>
      </c>
    </row>
    <row r="252" spans="6:16" x14ac:dyDescent="0.15">
      <c r="F252" t="s">
        <v>886</v>
      </c>
      <c r="G252">
        <v>15.5</v>
      </c>
      <c r="J252" t="s">
        <v>886</v>
      </c>
      <c r="K252" t="s">
        <v>883</v>
      </c>
      <c r="L252" t="s">
        <v>887</v>
      </c>
      <c r="M252" t="s">
        <v>263</v>
      </c>
      <c r="N252" t="s">
        <v>616</v>
      </c>
      <c r="O252">
        <v>1200</v>
      </c>
      <c r="P252" t="str">
        <f t="shared" si="3"/>
        <v>注射用磷霉素钠1g×10支×120盒</v>
      </c>
    </row>
    <row r="253" spans="6:16" x14ac:dyDescent="0.15">
      <c r="F253" t="s">
        <v>888</v>
      </c>
      <c r="G253">
        <v>29.5</v>
      </c>
      <c r="J253" t="s">
        <v>888</v>
      </c>
      <c r="K253" t="s">
        <v>883</v>
      </c>
      <c r="L253" t="s">
        <v>889</v>
      </c>
      <c r="M253" t="s">
        <v>263</v>
      </c>
      <c r="N253" t="s">
        <v>616</v>
      </c>
      <c r="O253">
        <v>1000</v>
      </c>
      <c r="P253" t="str">
        <f t="shared" si="3"/>
        <v>注射用磷霉素钠2g×10支×100盒</v>
      </c>
    </row>
    <row r="254" spans="6:16" x14ac:dyDescent="0.15">
      <c r="F254" t="s">
        <v>890</v>
      </c>
      <c r="G254">
        <v>11</v>
      </c>
      <c r="J254" t="s">
        <v>890</v>
      </c>
      <c r="K254" t="s">
        <v>883</v>
      </c>
      <c r="L254" t="s">
        <v>891</v>
      </c>
      <c r="M254" t="s">
        <v>263</v>
      </c>
      <c r="N254" t="s">
        <v>616</v>
      </c>
      <c r="O254">
        <v>200</v>
      </c>
      <c r="P254" t="str">
        <f t="shared" si="3"/>
        <v>注射用磷霉素钠4.0g*2支*5盒*20条/箱</v>
      </c>
    </row>
    <row r="255" spans="6:16" x14ac:dyDescent="0.15">
      <c r="F255" t="s">
        <v>892</v>
      </c>
      <c r="G255">
        <v>3.5</v>
      </c>
      <c r="J255" t="s">
        <v>892</v>
      </c>
      <c r="K255" t="s">
        <v>893</v>
      </c>
      <c r="L255" t="s">
        <v>894</v>
      </c>
      <c r="M255" t="s">
        <v>247</v>
      </c>
      <c r="N255" t="s">
        <v>616</v>
      </c>
      <c r="O255">
        <v>600</v>
      </c>
      <c r="P255" t="str">
        <f t="shared" si="3"/>
        <v>注射用哌拉西林钠舒巴坦钠(4:1)1.25g*600支</v>
      </c>
    </row>
    <row r="256" spans="6:16" x14ac:dyDescent="0.15">
      <c r="F256" t="s">
        <v>895</v>
      </c>
      <c r="G256">
        <v>6.5</v>
      </c>
      <c r="J256" t="s">
        <v>895</v>
      </c>
      <c r="K256" t="s">
        <v>893</v>
      </c>
      <c r="L256" t="s">
        <v>896</v>
      </c>
      <c r="M256" t="s">
        <v>247</v>
      </c>
      <c r="N256" t="s">
        <v>616</v>
      </c>
      <c r="O256">
        <v>600</v>
      </c>
      <c r="P256" t="str">
        <f t="shared" si="3"/>
        <v>注射用哌拉西林钠舒巴坦钠(4:1)2.5g*600支</v>
      </c>
    </row>
    <row r="257" spans="6:16" x14ac:dyDescent="0.15">
      <c r="F257" t="s">
        <v>897</v>
      </c>
      <c r="G257">
        <v>3.5</v>
      </c>
      <c r="J257" t="s">
        <v>897</v>
      </c>
      <c r="K257" t="s">
        <v>898</v>
      </c>
      <c r="L257" t="s">
        <v>899</v>
      </c>
      <c r="M257" t="s">
        <v>900</v>
      </c>
      <c r="N257" t="s">
        <v>616</v>
      </c>
      <c r="O257">
        <v>600</v>
      </c>
      <c r="P257" t="str">
        <f t="shared" si="3"/>
        <v>注射用泮托拉唑钠60mgx10支</v>
      </c>
    </row>
    <row r="258" spans="6:16" x14ac:dyDescent="0.15">
      <c r="F258" t="s">
        <v>901</v>
      </c>
      <c r="G258">
        <v>0.52</v>
      </c>
      <c r="J258" t="s">
        <v>901</v>
      </c>
      <c r="K258" t="s">
        <v>902</v>
      </c>
      <c r="L258" t="s">
        <v>903</v>
      </c>
      <c r="M258" t="s">
        <v>247</v>
      </c>
      <c r="N258" t="s">
        <v>616</v>
      </c>
      <c r="O258">
        <v>1000</v>
      </c>
      <c r="P258" t="str">
        <f t="shared" si="3"/>
        <v>注射用青霉素钠160万</v>
      </c>
    </row>
    <row r="259" spans="6:16" x14ac:dyDescent="0.15">
      <c r="F259" t="s">
        <v>904</v>
      </c>
      <c r="G259">
        <v>1.4</v>
      </c>
      <c r="J259" t="s">
        <v>904</v>
      </c>
      <c r="K259" t="s">
        <v>902</v>
      </c>
      <c r="L259" t="s">
        <v>905</v>
      </c>
      <c r="M259" t="s">
        <v>247</v>
      </c>
      <c r="N259" t="s">
        <v>616</v>
      </c>
      <c r="O259">
        <v>600</v>
      </c>
      <c r="P259" t="str">
        <f t="shared" ref="P259:P322" si="4">K259&amp;L259</f>
        <v>注射用青霉素钠400万/600支</v>
      </c>
    </row>
    <row r="260" spans="6:16" x14ac:dyDescent="0.15">
      <c r="F260" t="s">
        <v>906</v>
      </c>
      <c r="G260">
        <v>2.1</v>
      </c>
      <c r="J260" t="s">
        <v>906</v>
      </c>
      <c r="K260" t="s">
        <v>902</v>
      </c>
      <c r="L260" t="s">
        <v>907</v>
      </c>
      <c r="M260" t="s">
        <v>247</v>
      </c>
      <c r="N260" t="s">
        <v>616</v>
      </c>
      <c r="O260">
        <v>400</v>
      </c>
      <c r="P260" t="str">
        <f t="shared" si="4"/>
        <v>注射用青霉素钠800万</v>
      </c>
    </row>
    <row r="261" spans="6:16" x14ac:dyDescent="0.15">
      <c r="F261" t="s">
        <v>908</v>
      </c>
      <c r="G261">
        <v>0.35</v>
      </c>
      <c r="J261" t="s">
        <v>908</v>
      </c>
      <c r="K261" t="s">
        <v>902</v>
      </c>
      <c r="L261" t="s">
        <v>909</v>
      </c>
      <c r="M261" t="s">
        <v>247</v>
      </c>
      <c r="N261" t="s">
        <v>616</v>
      </c>
      <c r="O261">
        <v>1000</v>
      </c>
      <c r="P261" t="str">
        <f t="shared" si="4"/>
        <v>注射用青霉素钠80万</v>
      </c>
    </row>
    <row r="262" spans="6:16" x14ac:dyDescent="0.15">
      <c r="F262" t="s">
        <v>910</v>
      </c>
      <c r="G262">
        <v>1.4</v>
      </c>
      <c r="J262" t="s">
        <v>910</v>
      </c>
      <c r="K262" t="s">
        <v>911</v>
      </c>
      <c r="L262" t="s">
        <v>912</v>
      </c>
      <c r="M262" t="s">
        <v>247</v>
      </c>
      <c r="N262" t="s">
        <v>616</v>
      </c>
      <c r="O262">
        <v>1000</v>
      </c>
      <c r="P262" t="str">
        <f t="shared" si="4"/>
        <v>注射用乳糖酸阿奇霉素0.125g</v>
      </c>
    </row>
    <row r="263" spans="6:16" x14ac:dyDescent="0.15">
      <c r="F263" t="s">
        <v>913</v>
      </c>
      <c r="G263">
        <v>2.2000000000000002</v>
      </c>
      <c r="J263" t="s">
        <v>913</v>
      </c>
      <c r="K263" t="s">
        <v>911</v>
      </c>
      <c r="L263" t="s">
        <v>914</v>
      </c>
      <c r="M263" t="s">
        <v>247</v>
      </c>
      <c r="N263" t="s">
        <v>616</v>
      </c>
      <c r="O263">
        <v>600</v>
      </c>
      <c r="P263" t="str">
        <f t="shared" si="4"/>
        <v>注射用乳糖酸阿奇霉素0.25g</v>
      </c>
    </row>
    <row r="264" spans="6:16" x14ac:dyDescent="0.15">
      <c r="F264" t="s">
        <v>915</v>
      </c>
      <c r="G264">
        <v>1.4</v>
      </c>
      <c r="J264" t="s">
        <v>915</v>
      </c>
      <c r="K264" t="s">
        <v>916</v>
      </c>
      <c r="L264" t="s">
        <v>912</v>
      </c>
      <c r="M264" t="s">
        <v>247</v>
      </c>
      <c r="N264" t="s">
        <v>616</v>
      </c>
      <c r="O264">
        <v>600</v>
      </c>
      <c r="P264" t="str">
        <f t="shared" si="4"/>
        <v>注射用乳糖酸阿奇霉素（齐宏）0.125g</v>
      </c>
    </row>
    <row r="265" spans="6:16" x14ac:dyDescent="0.15">
      <c r="F265" t="s">
        <v>917</v>
      </c>
      <c r="G265">
        <v>2.2000000000000002</v>
      </c>
      <c r="J265" t="s">
        <v>917</v>
      </c>
      <c r="K265" t="s">
        <v>916</v>
      </c>
      <c r="L265" t="s">
        <v>914</v>
      </c>
      <c r="M265" t="s">
        <v>247</v>
      </c>
      <c r="N265" t="s">
        <v>616</v>
      </c>
      <c r="O265">
        <v>600</v>
      </c>
      <c r="P265" t="str">
        <f t="shared" si="4"/>
        <v>注射用乳糖酸阿奇霉素（齐宏）0.25g</v>
      </c>
    </row>
    <row r="266" spans="6:16" x14ac:dyDescent="0.15">
      <c r="F266" t="s">
        <v>918</v>
      </c>
      <c r="G266">
        <v>3</v>
      </c>
      <c r="J266" t="s">
        <v>918</v>
      </c>
      <c r="K266" t="s">
        <v>916</v>
      </c>
      <c r="L266" t="s">
        <v>841</v>
      </c>
      <c r="M266" t="s">
        <v>247</v>
      </c>
      <c r="N266" t="s">
        <v>616</v>
      </c>
      <c r="O266">
        <v>600</v>
      </c>
      <c r="P266" t="str">
        <f t="shared" si="4"/>
        <v>注射用乳糖酸阿奇霉素（齐宏）0.5g</v>
      </c>
    </row>
    <row r="267" spans="6:16" x14ac:dyDescent="0.15">
      <c r="F267" t="s">
        <v>919</v>
      </c>
      <c r="G267">
        <v>6</v>
      </c>
      <c r="J267" t="s">
        <v>919</v>
      </c>
      <c r="K267" t="s">
        <v>920</v>
      </c>
      <c r="L267" t="s">
        <v>921</v>
      </c>
      <c r="M267" t="s">
        <v>326</v>
      </c>
      <c r="N267" t="s">
        <v>568</v>
      </c>
      <c r="O267">
        <v>600</v>
      </c>
      <c r="P267" t="str">
        <f t="shared" si="4"/>
        <v>注射用双黄连（冻干）1.2g×10支×60盒1.2g×10支×60盒</v>
      </c>
    </row>
    <row r="268" spans="6:16" x14ac:dyDescent="0.15">
      <c r="F268" t="s">
        <v>922</v>
      </c>
      <c r="G268">
        <v>4</v>
      </c>
      <c r="J268" t="s">
        <v>922</v>
      </c>
      <c r="K268" t="s">
        <v>923</v>
      </c>
      <c r="L268" t="s">
        <v>615</v>
      </c>
      <c r="M268" t="s">
        <v>326</v>
      </c>
      <c r="N268" t="s">
        <v>568</v>
      </c>
      <c r="O268">
        <v>960</v>
      </c>
      <c r="P268" t="str">
        <f t="shared" si="4"/>
        <v>注射用双黄连（冻干）600mg600mg×12支×80盒</v>
      </c>
    </row>
    <row r="269" spans="6:16" x14ac:dyDescent="0.15">
      <c r="F269" t="s">
        <v>924</v>
      </c>
      <c r="G269">
        <v>1.9</v>
      </c>
      <c r="J269" t="s">
        <v>924</v>
      </c>
      <c r="K269" t="s">
        <v>925</v>
      </c>
      <c r="L269" t="s">
        <v>834</v>
      </c>
      <c r="M269" t="s">
        <v>247</v>
      </c>
      <c r="N269" t="s">
        <v>616</v>
      </c>
      <c r="O269">
        <v>600</v>
      </c>
      <c r="P269" t="str">
        <f t="shared" si="4"/>
        <v>注射用头孢呋辛钠（特兰欣）0.75g</v>
      </c>
    </row>
    <row r="270" spans="6:16" x14ac:dyDescent="0.15">
      <c r="F270" t="s">
        <v>926</v>
      </c>
      <c r="G270">
        <v>3.4</v>
      </c>
      <c r="J270" t="s">
        <v>926</v>
      </c>
      <c r="K270" t="s">
        <v>925</v>
      </c>
      <c r="L270" t="s">
        <v>836</v>
      </c>
      <c r="M270" t="s">
        <v>247</v>
      </c>
      <c r="N270" t="s">
        <v>616</v>
      </c>
      <c r="O270">
        <v>600</v>
      </c>
      <c r="P270" t="str">
        <f t="shared" si="4"/>
        <v>注射用头孢呋辛钠（特兰欣）1.5g</v>
      </c>
    </row>
    <row r="271" spans="6:16" x14ac:dyDescent="0.15">
      <c r="F271" t="s">
        <v>927</v>
      </c>
      <c r="G271">
        <v>0.8</v>
      </c>
      <c r="J271" t="s">
        <v>927</v>
      </c>
      <c r="K271" t="s">
        <v>928</v>
      </c>
      <c r="L271" t="s">
        <v>818</v>
      </c>
      <c r="M271" t="s">
        <v>247</v>
      </c>
      <c r="N271" t="s">
        <v>616</v>
      </c>
      <c r="O271">
        <v>1000</v>
      </c>
      <c r="P271" t="str">
        <f t="shared" si="4"/>
        <v>注射用头孢拉定0.5g*10支*100盒</v>
      </c>
    </row>
    <row r="272" spans="6:16" x14ac:dyDescent="0.15">
      <c r="F272" t="s">
        <v>929</v>
      </c>
      <c r="G272">
        <v>1.48</v>
      </c>
      <c r="J272" t="s">
        <v>929</v>
      </c>
      <c r="K272" t="s">
        <v>928</v>
      </c>
      <c r="L272" t="s">
        <v>930</v>
      </c>
      <c r="M272" t="s">
        <v>247</v>
      </c>
      <c r="N272" t="s">
        <v>616</v>
      </c>
      <c r="O272">
        <v>600</v>
      </c>
      <c r="P272" t="str">
        <f t="shared" si="4"/>
        <v>注射用头孢拉定1g*10支*60盒</v>
      </c>
    </row>
    <row r="273" spans="6:16" x14ac:dyDescent="0.15">
      <c r="F273" t="s">
        <v>931</v>
      </c>
      <c r="G273">
        <v>5.5</v>
      </c>
      <c r="J273" t="s">
        <v>931</v>
      </c>
      <c r="K273" t="s">
        <v>932</v>
      </c>
      <c r="L273" t="s">
        <v>933</v>
      </c>
      <c r="M273" t="s">
        <v>247</v>
      </c>
      <c r="N273" t="s">
        <v>568</v>
      </c>
      <c r="O273">
        <v>400</v>
      </c>
      <c r="P273" t="str">
        <f t="shared" si="4"/>
        <v>注射用头孢美唑钠0.5g*400支</v>
      </c>
    </row>
    <row r="274" spans="6:16" x14ac:dyDescent="0.15">
      <c r="F274" t="s">
        <v>934</v>
      </c>
      <c r="G274">
        <v>5.5</v>
      </c>
      <c r="J274" t="s">
        <v>934</v>
      </c>
      <c r="K274" t="s">
        <v>932</v>
      </c>
      <c r="L274" t="s">
        <v>933</v>
      </c>
      <c r="M274" t="s">
        <v>247</v>
      </c>
      <c r="N274" t="s">
        <v>568</v>
      </c>
      <c r="O274">
        <v>400</v>
      </c>
      <c r="P274" t="str">
        <f t="shared" si="4"/>
        <v>注射用头孢美唑钠0.5g*400支</v>
      </c>
    </row>
    <row r="275" spans="6:16" x14ac:dyDescent="0.15">
      <c r="F275" t="s">
        <v>935</v>
      </c>
      <c r="G275">
        <v>10</v>
      </c>
      <c r="J275" t="s">
        <v>935</v>
      </c>
      <c r="K275" t="s">
        <v>932</v>
      </c>
      <c r="L275" t="s">
        <v>936</v>
      </c>
      <c r="M275" t="s">
        <v>247</v>
      </c>
      <c r="N275" t="s">
        <v>568</v>
      </c>
      <c r="O275">
        <v>400</v>
      </c>
      <c r="P275" t="str">
        <f t="shared" si="4"/>
        <v>注射用头孢美唑钠1g*400支</v>
      </c>
    </row>
    <row r="276" spans="6:16" x14ac:dyDescent="0.15">
      <c r="F276" t="s">
        <v>937</v>
      </c>
      <c r="G276">
        <v>10</v>
      </c>
      <c r="J276" t="s">
        <v>937</v>
      </c>
      <c r="K276" t="s">
        <v>932</v>
      </c>
      <c r="L276" t="s">
        <v>936</v>
      </c>
      <c r="M276" t="s">
        <v>247</v>
      </c>
      <c r="N276" t="s">
        <v>568</v>
      </c>
      <c r="O276">
        <v>400</v>
      </c>
      <c r="P276" t="str">
        <f t="shared" si="4"/>
        <v>注射用头孢美唑钠1g*400支</v>
      </c>
    </row>
    <row r="277" spans="6:16" x14ac:dyDescent="0.15">
      <c r="F277" t="s">
        <v>938</v>
      </c>
      <c r="G277">
        <v>2.5</v>
      </c>
      <c r="J277" t="s">
        <v>938</v>
      </c>
      <c r="K277" t="s">
        <v>939</v>
      </c>
      <c r="L277" t="s">
        <v>940</v>
      </c>
      <c r="M277" t="s">
        <v>247</v>
      </c>
      <c r="N277" t="s">
        <v>616</v>
      </c>
      <c r="O277">
        <v>600</v>
      </c>
      <c r="P277" t="str">
        <f t="shared" si="4"/>
        <v>注射用头孢哌酮钠舒巴坦钠(铃兰欣)1.0g*10支*600盒</v>
      </c>
    </row>
    <row r="278" spans="6:16" x14ac:dyDescent="0.15">
      <c r="F278" t="s">
        <v>941</v>
      </c>
      <c r="G278">
        <v>2.5</v>
      </c>
      <c r="J278" t="s">
        <v>941</v>
      </c>
      <c r="K278" t="s">
        <v>939</v>
      </c>
      <c r="L278" t="s">
        <v>940</v>
      </c>
      <c r="M278" t="s">
        <v>247</v>
      </c>
      <c r="N278" t="s">
        <v>616</v>
      </c>
      <c r="O278">
        <v>600</v>
      </c>
      <c r="P278" t="str">
        <f t="shared" si="4"/>
        <v>注射用头孢哌酮钠舒巴坦钠(铃兰欣)1.0g*10支*600盒</v>
      </c>
    </row>
    <row r="279" spans="6:16" x14ac:dyDescent="0.15">
      <c r="F279" t="s">
        <v>942</v>
      </c>
      <c r="G279">
        <v>1.7</v>
      </c>
      <c r="J279" t="s">
        <v>942</v>
      </c>
      <c r="K279" t="s">
        <v>943</v>
      </c>
      <c r="L279" t="s">
        <v>841</v>
      </c>
      <c r="M279" t="s">
        <v>247</v>
      </c>
      <c r="N279" t="s">
        <v>616</v>
      </c>
      <c r="O279">
        <v>600</v>
      </c>
      <c r="P279" t="str">
        <f t="shared" si="4"/>
        <v>注射用头孢哌酮钠舒巴坦钠（铃兰欣）0.5g</v>
      </c>
    </row>
    <row r="280" spans="6:16" x14ac:dyDescent="0.15">
      <c r="F280" t="s">
        <v>944</v>
      </c>
      <c r="G280">
        <v>3.7</v>
      </c>
      <c r="J280" t="s">
        <v>944</v>
      </c>
      <c r="K280" t="s">
        <v>943</v>
      </c>
      <c r="L280" t="s">
        <v>845</v>
      </c>
      <c r="M280" t="s">
        <v>247</v>
      </c>
      <c r="N280" t="s">
        <v>616</v>
      </c>
      <c r="O280">
        <v>400</v>
      </c>
      <c r="P280" t="str">
        <f t="shared" si="4"/>
        <v>注射用头孢哌酮钠舒巴坦钠（铃兰欣）2.0g</v>
      </c>
    </row>
    <row r="281" spans="6:16" x14ac:dyDescent="0.15">
      <c r="F281" t="s">
        <v>945</v>
      </c>
      <c r="G281">
        <v>3.7</v>
      </c>
      <c r="J281" t="s">
        <v>945</v>
      </c>
      <c r="K281" t="s">
        <v>943</v>
      </c>
      <c r="L281" t="s">
        <v>845</v>
      </c>
      <c r="M281" t="s">
        <v>247</v>
      </c>
      <c r="N281" t="s">
        <v>616</v>
      </c>
      <c r="O281">
        <v>400</v>
      </c>
      <c r="P281" t="str">
        <f t="shared" si="4"/>
        <v>注射用头孢哌酮钠舒巴坦钠（铃兰欣）2.0g</v>
      </c>
    </row>
    <row r="282" spans="6:16" x14ac:dyDescent="0.15">
      <c r="F282" t="s">
        <v>946</v>
      </c>
      <c r="G282">
        <v>2.9</v>
      </c>
      <c r="J282" t="s">
        <v>946</v>
      </c>
      <c r="K282" t="s">
        <v>947</v>
      </c>
      <c r="L282" t="s">
        <v>948</v>
      </c>
      <c r="M282" t="s">
        <v>247</v>
      </c>
      <c r="N282" t="s">
        <v>616</v>
      </c>
      <c r="O282">
        <v>600</v>
      </c>
      <c r="P282" t="str">
        <f t="shared" si="4"/>
        <v>注射用头孢哌酮钠舒巴坦钠（铃兰欣）1.5g*600支1.5g*600支</v>
      </c>
    </row>
    <row r="283" spans="6:16" x14ac:dyDescent="0.15">
      <c r="F283" t="s">
        <v>949</v>
      </c>
      <c r="G283">
        <v>2.9</v>
      </c>
      <c r="J283" t="s">
        <v>949</v>
      </c>
      <c r="K283" t="s">
        <v>947</v>
      </c>
      <c r="L283" t="s">
        <v>948</v>
      </c>
      <c r="M283" t="s">
        <v>247</v>
      </c>
      <c r="N283" t="s">
        <v>616</v>
      </c>
      <c r="O283">
        <v>600</v>
      </c>
      <c r="P283" t="str">
        <f t="shared" si="4"/>
        <v>注射用头孢哌酮钠舒巴坦钠（铃兰欣）1.5g*600支1.5g*600支</v>
      </c>
    </row>
    <row r="284" spans="6:16" x14ac:dyDescent="0.15">
      <c r="F284" t="s">
        <v>950</v>
      </c>
      <c r="G284">
        <v>3</v>
      </c>
      <c r="J284" t="s">
        <v>950</v>
      </c>
      <c r="K284" t="s">
        <v>951</v>
      </c>
      <c r="L284" t="s">
        <v>836</v>
      </c>
      <c r="M284" t="s">
        <v>247</v>
      </c>
      <c r="N284" t="s">
        <v>616</v>
      </c>
      <c r="O284">
        <v>400</v>
      </c>
      <c r="P284" t="str">
        <f t="shared" si="4"/>
        <v>注射用头孢哌酮钠舒巴坦钠2：1（1.5g*10支*40盒）（特拉欣）1.5g</v>
      </c>
    </row>
    <row r="285" spans="6:16" x14ac:dyDescent="0.15">
      <c r="F285" t="s">
        <v>952</v>
      </c>
      <c r="G285">
        <v>3</v>
      </c>
      <c r="J285" t="s">
        <v>952</v>
      </c>
      <c r="K285" t="s">
        <v>953</v>
      </c>
      <c r="L285" t="s">
        <v>836</v>
      </c>
      <c r="M285" t="s">
        <v>247</v>
      </c>
      <c r="N285" t="s">
        <v>616</v>
      </c>
      <c r="O285">
        <v>400</v>
      </c>
      <c r="P285" t="str">
        <f t="shared" si="4"/>
        <v>注射用头孢哌酮钠舒巴坦钠2：1（特拉欣）1.5g</v>
      </c>
    </row>
    <row r="286" spans="6:16" x14ac:dyDescent="0.15">
      <c r="F286" t="s">
        <v>954</v>
      </c>
      <c r="G286">
        <v>0.83</v>
      </c>
      <c r="J286" t="s">
        <v>954</v>
      </c>
      <c r="K286" t="s">
        <v>955</v>
      </c>
      <c r="L286" t="s">
        <v>818</v>
      </c>
      <c r="M286" t="s">
        <v>247</v>
      </c>
      <c r="N286" t="s">
        <v>616</v>
      </c>
      <c r="O286">
        <v>1000</v>
      </c>
      <c r="P286" t="str">
        <f t="shared" si="4"/>
        <v>注射用头孢曲松钠0.5g*10支*100盒</v>
      </c>
    </row>
    <row r="287" spans="6:16" x14ac:dyDescent="0.15">
      <c r="F287" t="s">
        <v>956</v>
      </c>
      <c r="G287">
        <v>1.47</v>
      </c>
      <c r="J287" t="s">
        <v>956</v>
      </c>
      <c r="K287" t="s">
        <v>955</v>
      </c>
      <c r="L287" t="s">
        <v>957</v>
      </c>
      <c r="M287" t="s">
        <v>247</v>
      </c>
      <c r="N287" t="s">
        <v>616</v>
      </c>
      <c r="O287">
        <v>1000</v>
      </c>
      <c r="P287" t="str">
        <f t="shared" si="4"/>
        <v>注射用头孢曲松钠1.0g*10支*100盒</v>
      </c>
    </row>
    <row r="288" spans="6:16" x14ac:dyDescent="0.15">
      <c r="F288" t="s">
        <v>958</v>
      </c>
      <c r="G288">
        <v>2.6</v>
      </c>
      <c r="J288" t="s">
        <v>958</v>
      </c>
      <c r="K288" t="s">
        <v>959</v>
      </c>
      <c r="L288" t="s">
        <v>960</v>
      </c>
      <c r="M288" t="s">
        <v>247</v>
      </c>
      <c r="N288" t="s">
        <v>616</v>
      </c>
      <c r="O288">
        <v>600</v>
      </c>
      <c r="P288" t="str">
        <f t="shared" si="4"/>
        <v>注射用头孢曲松钠（凯塞欣）2.0g*10支*60盒</v>
      </c>
    </row>
    <row r="289" spans="6:16" x14ac:dyDescent="0.15">
      <c r="F289" t="s">
        <v>961</v>
      </c>
      <c r="G289">
        <v>0.88</v>
      </c>
      <c r="J289" t="s">
        <v>961</v>
      </c>
      <c r="K289" t="s">
        <v>962</v>
      </c>
      <c r="L289" t="s">
        <v>818</v>
      </c>
      <c r="M289" t="s">
        <v>247</v>
      </c>
      <c r="N289" t="s">
        <v>616</v>
      </c>
      <c r="O289">
        <v>1000</v>
      </c>
      <c r="P289" t="str">
        <f t="shared" si="4"/>
        <v>注射用头孢噻肟钠0.5g*10支*100盒</v>
      </c>
    </row>
    <row r="290" spans="6:16" x14ac:dyDescent="0.15">
      <c r="F290" t="s">
        <v>963</v>
      </c>
      <c r="G290">
        <v>1.5</v>
      </c>
      <c r="J290" t="s">
        <v>963</v>
      </c>
      <c r="K290" t="s">
        <v>962</v>
      </c>
      <c r="L290" t="s">
        <v>820</v>
      </c>
      <c r="M290" t="s">
        <v>247</v>
      </c>
      <c r="N290" t="s">
        <v>616</v>
      </c>
      <c r="O290">
        <v>1000</v>
      </c>
      <c r="P290" t="str">
        <f t="shared" si="4"/>
        <v>注射用头孢噻肟钠1g*10支*100盒</v>
      </c>
    </row>
    <row r="291" spans="6:16" x14ac:dyDescent="0.15">
      <c r="F291" t="s">
        <v>964</v>
      </c>
      <c r="G291">
        <v>3.1</v>
      </c>
      <c r="J291" t="s">
        <v>964</v>
      </c>
      <c r="K291" t="s">
        <v>965</v>
      </c>
      <c r="L291" t="s">
        <v>966</v>
      </c>
      <c r="M291" t="s">
        <v>247</v>
      </c>
      <c r="N291" t="s">
        <v>616</v>
      </c>
      <c r="O291">
        <v>600</v>
      </c>
      <c r="P291" t="str">
        <f t="shared" si="4"/>
        <v>注射用头孢他啶1g*600支</v>
      </c>
    </row>
    <row r="292" spans="6:16" x14ac:dyDescent="0.15">
      <c r="F292" t="s">
        <v>967</v>
      </c>
      <c r="G292">
        <v>4</v>
      </c>
      <c r="J292" t="s">
        <v>967</v>
      </c>
      <c r="K292" t="s">
        <v>968</v>
      </c>
      <c r="L292" t="s">
        <v>948</v>
      </c>
      <c r="M292" t="s">
        <v>247</v>
      </c>
      <c r="N292" t="s">
        <v>616</v>
      </c>
      <c r="O292">
        <v>600</v>
      </c>
      <c r="P292" t="str">
        <f t="shared" si="4"/>
        <v>注射用头孢他啶(含精氨酸)(倍欧)1.5g*600支1.5g*600支</v>
      </c>
    </row>
    <row r="293" spans="6:16" x14ac:dyDescent="0.15">
      <c r="F293" t="s">
        <v>969</v>
      </c>
      <c r="G293">
        <v>4</v>
      </c>
      <c r="J293" t="s">
        <v>969</v>
      </c>
      <c r="K293" t="s">
        <v>968</v>
      </c>
      <c r="L293" t="s">
        <v>948</v>
      </c>
      <c r="M293" t="s">
        <v>247</v>
      </c>
      <c r="N293" t="s">
        <v>616</v>
      </c>
      <c r="O293">
        <v>600</v>
      </c>
      <c r="P293" t="str">
        <f t="shared" si="4"/>
        <v>注射用头孢他啶(含精氨酸)(倍欧)1.5g*600支1.5g*600支</v>
      </c>
    </row>
    <row r="294" spans="6:16" x14ac:dyDescent="0.15">
      <c r="F294" t="s">
        <v>970</v>
      </c>
      <c r="G294">
        <v>1.7</v>
      </c>
      <c r="J294" t="s">
        <v>970</v>
      </c>
      <c r="K294" t="s">
        <v>971</v>
      </c>
      <c r="L294" t="s">
        <v>972</v>
      </c>
      <c r="M294" t="s">
        <v>247</v>
      </c>
      <c r="N294" t="s">
        <v>568</v>
      </c>
      <c r="O294">
        <v>600</v>
      </c>
      <c r="P294" t="str">
        <f t="shared" si="4"/>
        <v>注射用头孢他啶(益他欣)0.5g*1支*600盒</v>
      </c>
    </row>
    <row r="295" spans="6:16" x14ac:dyDescent="0.15">
      <c r="F295" t="s">
        <v>973</v>
      </c>
      <c r="G295">
        <v>4</v>
      </c>
      <c r="J295" t="s">
        <v>973</v>
      </c>
      <c r="K295" t="s">
        <v>974</v>
      </c>
      <c r="L295" t="s">
        <v>975</v>
      </c>
      <c r="M295" t="s">
        <v>247</v>
      </c>
      <c r="N295" t="s">
        <v>616</v>
      </c>
      <c r="O295">
        <v>600</v>
      </c>
      <c r="P295" t="str">
        <f t="shared" si="4"/>
        <v>注射用头孢替唑钠1.0g*600支</v>
      </c>
    </row>
    <row r="296" spans="6:16" x14ac:dyDescent="0.15">
      <c r="F296" t="s">
        <v>976</v>
      </c>
      <c r="G296">
        <v>4</v>
      </c>
      <c r="J296" t="s">
        <v>976</v>
      </c>
      <c r="K296" t="s">
        <v>974</v>
      </c>
      <c r="L296" t="s">
        <v>975</v>
      </c>
      <c r="M296" t="s">
        <v>247</v>
      </c>
      <c r="N296" t="s">
        <v>616</v>
      </c>
      <c r="O296">
        <v>600</v>
      </c>
      <c r="P296" t="str">
        <f t="shared" si="4"/>
        <v>注射用头孢替唑钠1.0g*600支</v>
      </c>
    </row>
    <row r="297" spans="6:16" x14ac:dyDescent="0.15">
      <c r="F297" t="s">
        <v>977</v>
      </c>
      <c r="G297">
        <v>0.86</v>
      </c>
      <c r="J297" t="s">
        <v>977</v>
      </c>
      <c r="K297" t="s">
        <v>978</v>
      </c>
      <c r="L297" t="s">
        <v>818</v>
      </c>
      <c r="M297" t="s">
        <v>247</v>
      </c>
      <c r="N297" t="s">
        <v>616</v>
      </c>
      <c r="O297">
        <v>1000</v>
      </c>
      <c r="P297" t="str">
        <f t="shared" si="4"/>
        <v>注射用头孢唑林钠0.5g*10支*100盒</v>
      </c>
    </row>
    <row r="298" spans="6:16" x14ac:dyDescent="0.15">
      <c r="F298" t="s">
        <v>979</v>
      </c>
      <c r="G298">
        <v>1.56</v>
      </c>
      <c r="J298" t="s">
        <v>979</v>
      </c>
      <c r="K298" t="s">
        <v>978</v>
      </c>
      <c r="L298" t="s">
        <v>930</v>
      </c>
      <c r="M298" t="s">
        <v>247</v>
      </c>
      <c r="N298" t="s">
        <v>616</v>
      </c>
      <c r="O298">
        <v>600</v>
      </c>
      <c r="P298" t="str">
        <f t="shared" si="4"/>
        <v>注射用头孢唑林钠1g*10支*60盒</v>
      </c>
    </row>
    <row r="299" spans="6:16" x14ac:dyDescent="0.15">
      <c r="F299" t="s">
        <v>980</v>
      </c>
      <c r="G299">
        <v>2.6</v>
      </c>
      <c r="J299" t="s">
        <v>980</v>
      </c>
      <c r="K299" t="s">
        <v>978</v>
      </c>
      <c r="L299" t="s">
        <v>981</v>
      </c>
      <c r="M299" t="s">
        <v>247</v>
      </c>
      <c r="N299" t="s">
        <v>616</v>
      </c>
      <c r="O299">
        <v>600</v>
      </c>
      <c r="P299" t="str">
        <f t="shared" si="4"/>
        <v>注射用头孢唑林钠2.0g*600支</v>
      </c>
    </row>
    <row r="300" spans="6:16" x14ac:dyDescent="0.15">
      <c r="F300" t="s">
        <v>982</v>
      </c>
      <c r="G300">
        <v>5.5</v>
      </c>
      <c r="J300" t="s">
        <v>982</v>
      </c>
      <c r="K300" t="s">
        <v>983</v>
      </c>
      <c r="L300" t="s">
        <v>984</v>
      </c>
      <c r="M300" t="s">
        <v>247</v>
      </c>
      <c r="N300" t="s">
        <v>616</v>
      </c>
      <c r="O300">
        <v>600</v>
      </c>
      <c r="P300" t="str">
        <f t="shared" si="4"/>
        <v>注射用头孢唑肟钠0.75g*600支</v>
      </c>
    </row>
    <row r="301" spans="6:16" x14ac:dyDescent="0.15">
      <c r="F301" t="s">
        <v>985</v>
      </c>
      <c r="G301">
        <v>5.5</v>
      </c>
      <c r="J301" t="s">
        <v>985</v>
      </c>
      <c r="K301" t="s">
        <v>983</v>
      </c>
      <c r="L301" t="s">
        <v>984</v>
      </c>
      <c r="M301" t="s">
        <v>247</v>
      </c>
      <c r="N301" t="s">
        <v>616</v>
      </c>
      <c r="O301">
        <v>600</v>
      </c>
      <c r="P301" t="str">
        <f t="shared" si="4"/>
        <v>注射用头孢唑肟钠0.75g*600支</v>
      </c>
    </row>
    <row r="302" spans="6:16" x14ac:dyDescent="0.15">
      <c r="F302" t="s">
        <v>986</v>
      </c>
      <c r="G302">
        <v>10.5</v>
      </c>
      <c r="J302" t="s">
        <v>986</v>
      </c>
      <c r="K302" t="s">
        <v>983</v>
      </c>
      <c r="L302" t="s">
        <v>987</v>
      </c>
      <c r="M302" t="s">
        <v>247</v>
      </c>
      <c r="N302" t="s">
        <v>616</v>
      </c>
      <c r="O302">
        <v>400</v>
      </c>
      <c r="P302" t="str">
        <f t="shared" si="4"/>
        <v>注射用头孢唑肟钠1.5g*400支</v>
      </c>
    </row>
    <row r="303" spans="6:16" x14ac:dyDescent="0.15">
      <c r="F303" t="s">
        <v>988</v>
      </c>
      <c r="G303">
        <v>10.5</v>
      </c>
      <c r="J303" t="s">
        <v>988</v>
      </c>
      <c r="K303" t="s">
        <v>983</v>
      </c>
      <c r="L303" t="s">
        <v>987</v>
      </c>
      <c r="M303" t="s">
        <v>247</v>
      </c>
      <c r="N303" t="s">
        <v>616</v>
      </c>
      <c r="O303">
        <v>400</v>
      </c>
      <c r="P303" t="str">
        <f t="shared" si="4"/>
        <v>注射用头孢唑肟钠1.5g*400支</v>
      </c>
    </row>
    <row r="304" spans="6:16" x14ac:dyDescent="0.15">
      <c r="F304" t="s">
        <v>989</v>
      </c>
      <c r="G304">
        <v>7</v>
      </c>
      <c r="J304" t="s">
        <v>989</v>
      </c>
      <c r="K304" t="s">
        <v>983</v>
      </c>
      <c r="L304" t="s">
        <v>966</v>
      </c>
      <c r="M304" t="s">
        <v>247</v>
      </c>
      <c r="N304" t="s">
        <v>616</v>
      </c>
      <c r="O304">
        <v>600</v>
      </c>
      <c r="P304" t="str">
        <f t="shared" si="4"/>
        <v>注射用头孢唑肟钠1g*600支</v>
      </c>
    </row>
    <row r="305" spans="6:16" x14ac:dyDescent="0.15">
      <c r="F305" t="s">
        <v>990</v>
      </c>
      <c r="G305">
        <v>7</v>
      </c>
      <c r="J305" t="s">
        <v>990</v>
      </c>
      <c r="K305" t="s">
        <v>983</v>
      </c>
      <c r="L305" t="s">
        <v>966</v>
      </c>
      <c r="M305" t="s">
        <v>247</v>
      </c>
      <c r="N305" t="s">
        <v>616</v>
      </c>
      <c r="O305">
        <v>600</v>
      </c>
      <c r="P305" t="str">
        <f t="shared" si="4"/>
        <v>注射用头孢唑肟钠1g*600支</v>
      </c>
    </row>
    <row r="306" spans="6:16" x14ac:dyDescent="0.15">
      <c r="F306" t="s">
        <v>991</v>
      </c>
      <c r="G306">
        <v>4.0999999999999996</v>
      </c>
      <c r="J306" t="s">
        <v>991</v>
      </c>
      <c r="K306" t="s">
        <v>992</v>
      </c>
      <c r="L306" t="s">
        <v>993</v>
      </c>
      <c r="M306" t="s">
        <v>247</v>
      </c>
      <c r="N306" t="s">
        <v>616</v>
      </c>
      <c r="O306">
        <v>600</v>
      </c>
      <c r="P306" t="str">
        <f t="shared" si="4"/>
        <v>注射用头孢唑肟钠（益左欣）0.5g*600支</v>
      </c>
    </row>
    <row r="307" spans="6:16" x14ac:dyDescent="0.15">
      <c r="F307" t="s">
        <v>994</v>
      </c>
      <c r="G307">
        <v>4.0999999999999996</v>
      </c>
      <c r="J307" t="s">
        <v>994</v>
      </c>
      <c r="K307" t="s">
        <v>992</v>
      </c>
      <c r="L307" t="s">
        <v>993</v>
      </c>
      <c r="M307" t="s">
        <v>247</v>
      </c>
      <c r="N307" t="s">
        <v>616</v>
      </c>
      <c r="O307">
        <v>600</v>
      </c>
      <c r="P307" t="str">
        <f t="shared" si="4"/>
        <v>注射用头孢唑肟钠（益左欣）0.5g*600支</v>
      </c>
    </row>
    <row r="308" spans="6:16" x14ac:dyDescent="0.15">
      <c r="F308" t="s">
        <v>995</v>
      </c>
      <c r="G308">
        <v>24</v>
      </c>
      <c r="J308" t="s">
        <v>995</v>
      </c>
      <c r="K308" t="s">
        <v>996</v>
      </c>
      <c r="L308" t="s">
        <v>997</v>
      </c>
      <c r="M308" t="s">
        <v>567</v>
      </c>
      <c r="N308" t="s">
        <v>568</v>
      </c>
      <c r="O308">
        <v>300</v>
      </c>
      <c r="P308" t="str">
        <f t="shared" si="4"/>
        <v>注射用胸腺法新1.6mg</v>
      </c>
    </row>
    <row r="309" spans="6:16" x14ac:dyDescent="0.15">
      <c r="F309" t="s">
        <v>998</v>
      </c>
      <c r="G309">
        <v>3.42</v>
      </c>
      <c r="J309" t="s">
        <v>998</v>
      </c>
      <c r="K309" t="s">
        <v>999</v>
      </c>
      <c r="L309" t="s">
        <v>1000</v>
      </c>
      <c r="M309" t="s">
        <v>567</v>
      </c>
      <c r="N309" t="s">
        <v>568</v>
      </c>
      <c r="O309">
        <v>720</v>
      </c>
      <c r="P309" t="str">
        <f t="shared" si="4"/>
        <v>注射用胸腺五肽1mg</v>
      </c>
    </row>
    <row r="310" spans="6:16" x14ac:dyDescent="0.15">
      <c r="F310" t="s">
        <v>1001</v>
      </c>
      <c r="G310">
        <v>2.5</v>
      </c>
      <c r="J310" t="s">
        <v>1001</v>
      </c>
      <c r="K310" t="s">
        <v>1002</v>
      </c>
      <c r="L310" t="s">
        <v>1003</v>
      </c>
      <c r="M310" t="s">
        <v>900</v>
      </c>
      <c r="N310" t="s">
        <v>616</v>
      </c>
      <c r="O310">
        <v>960</v>
      </c>
      <c r="P310" t="str">
        <f t="shared" si="4"/>
        <v>注射用炎琥宁80mg*12支*80盒</v>
      </c>
    </row>
    <row r="311" spans="6:16" x14ac:dyDescent="0.15">
      <c r="F311" t="s">
        <v>1004</v>
      </c>
      <c r="G311">
        <v>3.5</v>
      </c>
      <c r="J311" t="s">
        <v>1004</v>
      </c>
      <c r="K311" t="s">
        <v>1005</v>
      </c>
      <c r="L311" t="s">
        <v>993</v>
      </c>
      <c r="M311" t="s">
        <v>247</v>
      </c>
      <c r="N311" t="s">
        <v>616</v>
      </c>
      <c r="O311">
        <v>600</v>
      </c>
      <c r="P311" t="str">
        <f t="shared" si="4"/>
        <v>注射用盐酸头孢吡肟(若能)0.5g*600支</v>
      </c>
    </row>
    <row r="312" spans="6:16" x14ac:dyDescent="0.15">
      <c r="F312" t="s">
        <v>1006</v>
      </c>
      <c r="G312">
        <v>3.5</v>
      </c>
      <c r="J312" t="s">
        <v>1006</v>
      </c>
      <c r="K312" t="s">
        <v>1005</v>
      </c>
      <c r="L312" t="s">
        <v>993</v>
      </c>
      <c r="M312" t="s">
        <v>247</v>
      </c>
      <c r="N312" t="s">
        <v>616</v>
      </c>
      <c r="O312">
        <v>600</v>
      </c>
      <c r="P312" t="str">
        <f t="shared" si="4"/>
        <v>注射用盐酸头孢吡肟(若能)0.5g*600支</v>
      </c>
    </row>
    <row r="313" spans="6:16" x14ac:dyDescent="0.15">
      <c r="F313" t="s">
        <v>1007</v>
      </c>
      <c r="G313">
        <v>6</v>
      </c>
      <c r="J313" t="s">
        <v>1007</v>
      </c>
      <c r="K313" t="s">
        <v>1008</v>
      </c>
      <c r="L313" t="s">
        <v>966</v>
      </c>
      <c r="M313" t="s">
        <v>247</v>
      </c>
      <c r="N313" t="s">
        <v>616</v>
      </c>
      <c r="O313">
        <v>600</v>
      </c>
      <c r="P313" t="str">
        <f t="shared" si="4"/>
        <v>注射用盐酸头孢吡肟(舒肟欣)1g*600支</v>
      </c>
    </row>
    <row r="314" spans="6:16" x14ac:dyDescent="0.15">
      <c r="F314" t="s">
        <v>1009</v>
      </c>
      <c r="G314">
        <v>6</v>
      </c>
      <c r="J314" t="s">
        <v>1009</v>
      </c>
      <c r="K314" t="s">
        <v>1008</v>
      </c>
      <c r="L314" t="s">
        <v>966</v>
      </c>
      <c r="M314" t="s">
        <v>247</v>
      </c>
      <c r="N314" t="s">
        <v>616</v>
      </c>
      <c r="O314">
        <v>600</v>
      </c>
      <c r="P314" t="str">
        <f t="shared" si="4"/>
        <v>注射用盐酸头孢吡肟(舒肟欣)1g*600支</v>
      </c>
    </row>
    <row r="315" spans="6:16" x14ac:dyDescent="0.15">
      <c r="F315" t="s">
        <v>1010</v>
      </c>
      <c r="G315">
        <v>4</v>
      </c>
      <c r="J315" t="s">
        <v>1010</v>
      </c>
      <c r="K315" t="s">
        <v>1011</v>
      </c>
      <c r="L315" t="s">
        <v>1012</v>
      </c>
      <c r="M315" t="s">
        <v>247</v>
      </c>
      <c r="N315" t="s">
        <v>616</v>
      </c>
      <c r="O315">
        <v>400</v>
      </c>
      <c r="P315" t="str">
        <f t="shared" si="4"/>
        <v>注射用盐酸头孢替安0.25g*400支</v>
      </c>
    </row>
    <row r="316" spans="6:16" x14ac:dyDescent="0.15">
      <c r="F316" t="s">
        <v>1013</v>
      </c>
      <c r="G316">
        <v>4</v>
      </c>
      <c r="J316" t="s">
        <v>1013</v>
      </c>
      <c r="K316" t="s">
        <v>1011</v>
      </c>
      <c r="L316" t="s">
        <v>1012</v>
      </c>
      <c r="M316" t="s">
        <v>247</v>
      </c>
      <c r="N316" t="s">
        <v>616</v>
      </c>
      <c r="O316">
        <v>400</v>
      </c>
      <c r="P316" t="str">
        <f t="shared" si="4"/>
        <v>注射用盐酸头孢替安0.25g*400支</v>
      </c>
    </row>
    <row r="317" spans="6:16" x14ac:dyDescent="0.15">
      <c r="F317" t="s">
        <v>1014</v>
      </c>
      <c r="G317">
        <v>5.3</v>
      </c>
      <c r="J317" t="s">
        <v>1014</v>
      </c>
      <c r="K317" t="s">
        <v>1011</v>
      </c>
      <c r="L317" t="s">
        <v>933</v>
      </c>
      <c r="M317" t="s">
        <v>247</v>
      </c>
      <c r="N317" t="s">
        <v>616</v>
      </c>
      <c r="O317">
        <v>400</v>
      </c>
      <c r="P317" t="str">
        <f t="shared" si="4"/>
        <v>注射用盐酸头孢替安0.5g*400支</v>
      </c>
    </row>
    <row r="318" spans="6:16" x14ac:dyDescent="0.15">
      <c r="F318" t="s">
        <v>1015</v>
      </c>
      <c r="G318">
        <v>5.3</v>
      </c>
      <c r="J318" t="s">
        <v>1015</v>
      </c>
      <c r="K318" t="s">
        <v>1011</v>
      </c>
      <c r="L318" t="s">
        <v>933</v>
      </c>
      <c r="M318" t="s">
        <v>247</v>
      </c>
      <c r="N318" t="s">
        <v>616</v>
      </c>
      <c r="O318">
        <v>400</v>
      </c>
      <c r="P318" t="str">
        <f t="shared" si="4"/>
        <v>注射用盐酸头孢替安0.5g*400支</v>
      </c>
    </row>
    <row r="319" spans="6:16" x14ac:dyDescent="0.15">
      <c r="F319" t="s">
        <v>1016</v>
      </c>
      <c r="G319">
        <v>10</v>
      </c>
      <c r="J319" t="s">
        <v>1016</v>
      </c>
      <c r="K319" t="s">
        <v>1011</v>
      </c>
      <c r="L319" t="s">
        <v>936</v>
      </c>
      <c r="M319" t="s">
        <v>247</v>
      </c>
      <c r="N319" t="s">
        <v>568</v>
      </c>
      <c r="O319">
        <v>400</v>
      </c>
      <c r="P319" t="str">
        <f t="shared" si="4"/>
        <v>注射用盐酸头孢替安1g*400支</v>
      </c>
    </row>
    <row r="320" spans="6:16" x14ac:dyDescent="0.15">
      <c r="F320" t="s">
        <v>1017</v>
      </c>
      <c r="G320">
        <v>10</v>
      </c>
      <c r="J320" t="s">
        <v>1017</v>
      </c>
      <c r="K320" t="s">
        <v>1011</v>
      </c>
      <c r="L320" t="s">
        <v>936</v>
      </c>
      <c r="M320" t="s">
        <v>247</v>
      </c>
      <c r="N320" t="s">
        <v>568</v>
      </c>
      <c r="O320">
        <v>400</v>
      </c>
      <c r="P320" t="str">
        <f t="shared" si="4"/>
        <v>注射用盐酸头孢替安1g*400支</v>
      </c>
    </row>
    <row r="321" spans="6:16" x14ac:dyDescent="0.15">
      <c r="F321" t="s">
        <v>1018</v>
      </c>
      <c r="G321">
        <v>3</v>
      </c>
      <c r="J321" t="s">
        <v>1018</v>
      </c>
      <c r="K321" t="s">
        <v>1019</v>
      </c>
      <c r="L321" t="s">
        <v>1020</v>
      </c>
      <c r="M321" t="s">
        <v>567</v>
      </c>
      <c r="N321" t="s">
        <v>568</v>
      </c>
      <c r="O321">
        <v>300</v>
      </c>
      <c r="P321" t="str">
        <f t="shared" si="4"/>
        <v>注射用重组人干扰素α2b（假单胞菌）100万IU</v>
      </c>
    </row>
    <row r="322" spans="6:16" x14ac:dyDescent="0.15">
      <c r="F322" t="s">
        <v>1021</v>
      </c>
      <c r="G322">
        <v>6</v>
      </c>
      <c r="J322" t="s">
        <v>1021</v>
      </c>
      <c r="K322" t="s">
        <v>1019</v>
      </c>
      <c r="L322" t="s">
        <v>1022</v>
      </c>
      <c r="M322" t="s">
        <v>567</v>
      </c>
      <c r="N322" t="s">
        <v>568</v>
      </c>
      <c r="O322">
        <v>300</v>
      </c>
      <c r="P322" t="str">
        <f t="shared" si="4"/>
        <v>注射用重组人干扰素α2b（假单胞菌）300万IU</v>
      </c>
    </row>
    <row r="323" spans="6:16" x14ac:dyDescent="0.15">
      <c r="F323" t="s">
        <v>1023</v>
      </c>
      <c r="G323">
        <v>10.5</v>
      </c>
      <c r="J323" t="s">
        <v>1023</v>
      </c>
      <c r="K323" t="s">
        <v>1019</v>
      </c>
      <c r="L323" t="s">
        <v>1024</v>
      </c>
      <c r="M323" t="s">
        <v>567</v>
      </c>
      <c r="N323" t="s">
        <v>568</v>
      </c>
      <c r="O323">
        <v>200</v>
      </c>
      <c r="P323" t="str">
        <f t="shared" ref="P323:P330" si="5">K323&amp;L323</f>
        <v>注射用重组人干扰素α2b（假单胞菌）500万IU</v>
      </c>
    </row>
    <row r="324" spans="6:16" x14ac:dyDescent="0.15">
      <c r="F324" t="s">
        <v>1025</v>
      </c>
      <c r="G324">
        <v>22</v>
      </c>
      <c r="J324" t="s">
        <v>1025</v>
      </c>
      <c r="K324" t="s">
        <v>1026</v>
      </c>
      <c r="L324" t="s">
        <v>809</v>
      </c>
      <c r="M324" t="s">
        <v>567</v>
      </c>
      <c r="N324" t="s">
        <v>568</v>
      </c>
      <c r="O324">
        <v>200</v>
      </c>
      <c r="P324" t="str">
        <f t="shared" si="5"/>
        <v>注射用重组人粒细胞巨噬细胞刺激因子150ug</v>
      </c>
    </row>
    <row r="325" spans="6:16" x14ac:dyDescent="0.15">
      <c r="F325" t="s">
        <v>1027</v>
      </c>
      <c r="G325">
        <v>15</v>
      </c>
      <c r="J325" t="s">
        <v>1027</v>
      </c>
      <c r="K325" t="s">
        <v>1026</v>
      </c>
      <c r="L325" t="s">
        <v>1028</v>
      </c>
      <c r="M325" t="s">
        <v>567</v>
      </c>
      <c r="N325" t="s">
        <v>568</v>
      </c>
      <c r="O325">
        <v>200</v>
      </c>
      <c r="P325" t="str">
        <f t="shared" si="5"/>
        <v>注射用重组人粒细胞巨噬细胞刺激因子75ug</v>
      </c>
    </row>
    <row r="326" spans="6:16" x14ac:dyDescent="0.15">
      <c r="F326" t="s">
        <v>1029</v>
      </c>
      <c r="G326">
        <v>31.25</v>
      </c>
      <c r="J326" t="s">
        <v>1029</v>
      </c>
      <c r="K326" t="s">
        <v>1030</v>
      </c>
      <c r="L326" t="s">
        <v>1031</v>
      </c>
      <c r="M326" t="s">
        <v>389</v>
      </c>
      <c r="N326" t="s">
        <v>264</v>
      </c>
      <c r="O326">
        <v>300</v>
      </c>
      <c r="P326" t="str">
        <f t="shared" si="5"/>
        <v>壮肾安神片0.32g*45片*300盒</v>
      </c>
    </row>
    <row r="327" spans="6:16" x14ac:dyDescent="0.15">
      <c r="F327" t="s">
        <v>1032</v>
      </c>
      <c r="G327">
        <v>31.25</v>
      </c>
      <c r="J327" t="s">
        <v>1032</v>
      </c>
      <c r="K327" t="s">
        <v>1030</v>
      </c>
      <c r="L327" t="s">
        <v>1033</v>
      </c>
      <c r="M327" t="s">
        <v>334</v>
      </c>
      <c r="N327" t="s">
        <v>264</v>
      </c>
      <c r="O327">
        <v>120</v>
      </c>
      <c r="P327" t="str">
        <f t="shared" si="5"/>
        <v>壮肾安神片0.32g*45片*4盒*30中盒</v>
      </c>
    </row>
    <row r="328" spans="6:16" x14ac:dyDescent="0.15">
      <c r="F328" t="s">
        <v>1034</v>
      </c>
      <c r="G328">
        <v>7</v>
      </c>
      <c r="J328" t="s">
        <v>1034</v>
      </c>
      <c r="K328" t="s">
        <v>1035</v>
      </c>
      <c r="L328" t="s">
        <v>1036</v>
      </c>
      <c r="M328" t="s">
        <v>326</v>
      </c>
      <c r="N328" t="s">
        <v>248</v>
      </c>
      <c r="O328">
        <v>100</v>
      </c>
      <c r="P328" t="str">
        <f t="shared" si="5"/>
        <v>紫桔止咳糖浆100ml×100瓶</v>
      </c>
    </row>
    <row r="329" spans="6:16" x14ac:dyDescent="0.15">
      <c r="F329" t="s">
        <v>1037</v>
      </c>
      <c r="G329">
        <v>25</v>
      </c>
      <c r="J329" t="s">
        <v>1037</v>
      </c>
      <c r="K329" t="s">
        <v>1038</v>
      </c>
      <c r="L329" t="s">
        <v>1039</v>
      </c>
      <c r="M329" t="s">
        <v>567</v>
      </c>
      <c r="N329" t="s">
        <v>568</v>
      </c>
      <c r="O329">
        <v>120</v>
      </c>
      <c r="P329" t="str">
        <f t="shared" si="5"/>
        <v>紫杉醇注射液5ml:30mg</v>
      </c>
    </row>
    <row r="330" spans="6:16" x14ac:dyDescent="0.15">
      <c r="F330" t="s">
        <v>1040</v>
      </c>
      <c r="G330">
        <v>5.5</v>
      </c>
      <c r="J330" t="s">
        <v>1040</v>
      </c>
      <c r="K330" t="s">
        <v>1041</v>
      </c>
      <c r="L330" t="s">
        <v>1042</v>
      </c>
      <c r="M330" t="s">
        <v>389</v>
      </c>
      <c r="N330" t="s">
        <v>248</v>
      </c>
      <c r="O330">
        <v>300</v>
      </c>
      <c r="P330" t="str">
        <f t="shared" si="5"/>
        <v>左羟丙哌嗪分散片60mg×12片×300盒</v>
      </c>
    </row>
  </sheetData>
  <phoneticPr fontId="5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转配商关联商</vt:lpstr>
      <vt:lpstr>商业2转码</vt:lpstr>
      <vt:lpstr>医院2县区2人</vt:lpstr>
      <vt:lpstr>品种2编码</vt:lpstr>
      <vt:lpstr>流向列名2标准</vt:lpstr>
      <vt:lpstr>工厂基础数据</vt:lpstr>
    </vt:vector>
  </TitlesOfParts>
  <Company>微软中国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gyb1</dc:creator>
  <cp:lastModifiedBy>NATA</cp:lastModifiedBy>
  <dcterms:created xsi:type="dcterms:W3CDTF">2018-01-09T02:15:00Z</dcterms:created>
  <dcterms:modified xsi:type="dcterms:W3CDTF">2018-11-04T08:04:40Z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