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X:\Users\Administrator\Desktop\流向\哈药流向\"/>
    </mc:Choice>
  </mc:AlternateContent>
  <xr:revisionPtr revIDLastSave="0" documentId="10_ncr:8100000_{2A37D20A-F11C-4AA2-8DAA-9A408E402EBB}" xr6:coauthVersionLast="33" xr6:coauthVersionMax="33" xr10:uidLastSave="{00000000-0000-0000-0000-000000000000}"/>
  <bookViews>
    <workbookView xWindow="0" yWindow="0" windowWidth="22365" windowHeight="9945" xr2:uid="{00000000-000D-0000-FFFF-FFFF00000000}"/>
  </bookViews>
  <sheets>
    <sheet name="转配商关联商" sheetId="2" r:id="rId1"/>
    <sheet name="专营商" sheetId="1" r:id="rId2"/>
    <sheet name="基础数据" sheetId="3" r:id="rId3"/>
  </sheets>
  <externalReferences>
    <externalReference r:id="rId4"/>
  </externalReferences>
  <definedNames>
    <definedName name="_xlnm._FilterDatabase" localSheetId="1" hidden="1">专营商!$A$1:$U$1</definedName>
    <definedName name="_xlnm._FilterDatabase" localSheetId="0" hidden="1">转配商关联商!$A$1:$U$1</definedName>
  </definedNames>
  <calcPr calcId="162913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2" i="2"/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2" i="2"/>
  <c r="W3" i="2"/>
  <c r="G3" i="2" s="1"/>
  <c r="W4" i="2"/>
  <c r="G4" i="2" s="1"/>
  <c r="W5" i="2"/>
  <c r="G5" i="2" s="1"/>
  <c r="W6" i="2"/>
  <c r="G6" i="2" s="1"/>
  <c r="W7" i="2"/>
  <c r="G7" i="2" s="1"/>
  <c r="W8" i="2"/>
  <c r="G8" i="2" s="1"/>
  <c r="W9" i="2"/>
  <c r="G9" i="2" s="1"/>
  <c r="W10" i="2"/>
  <c r="G10" i="2" s="1"/>
  <c r="W11" i="2"/>
  <c r="G11" i="2" s="1"/>
  <c r="W12" i="2"/>
  <c r="G12" i="2" s="1"/>
  <c r="W13" i="2"/>
  <c r="G13" i="2" s="1"/>
  <c r="W14" i="2"/>
  <c r="G14" i="2" s="1"/>
  <c r="W15" i="2"/>
  <c r="G15" i="2" s="1"/>
  <c r="W16" i="2"/>
  <c r="G16" i="2" s="1"/>
  <c r="W17" i="2"/>
  <c r="G17" i="2" s="1"/>
  <c r="W18" i="2"/>
  <c r="G18" i="2" s="1"/>
  <c r="W19" i="2"/>
  <c r="G19" i="2" s="1"/>
  <c r="W20" i="2"/>
  <c r="G20" i="2" s="1"/>
  <c r="W21" i="2"/>
  <c r="G21" i="2" s="1"/>
  <c r="W22" i="2"/>
  <c r="G22" i="2" s="1"/>
  <c r="W23" i="2"/>
  <c r="G23" i="2" s="1"/>
  <c r="W24" i="2"/>
  <c r="G24" i="2" s="1"/>
  <c r="W25" i="2"/>
  <c r="G25" i="2" s="1"/>
  <c r="W26" i="2"/>
  <c r="G26" i="2" s="1"/>
  <c r="W27" i="2"/>
  <c r="G27" i="2" s="1"/>
  <c r="W28" i="2"/>
  <c r="G28" i="2" s="1"/>
  <c r="W29" i="2"/>
  <c r="G29" i="2" s="1"/>
  <c r="W30" i="2"/>
  <c r="G30" i="2" s="1"/>
  <c r="W31" i="2"/>
  <c r="G31" i="2" s="1"/>
  <c r="W32" i="2"/>
  <c r="G32" i="2" s="1"/>
  <c r="W33" i="2"/>
  <c r="G33" i="2" s="1"/>
  <c r="W34" i="2"/>
  <c r="G34" i="2" s="1"/>
  <c r="W35" i="2"/>
  <c r="G35" i="2" s="1"/>
  <c r="W36" i="2"/>
  <c r="G36" i="2" s="1"/>
  <c r="W37" i="2"/>
  <c r="G37" i="2" s="1"/>
  <c r="W38" i="2"/>
  <c r="G38" i="2" s="1"/>
  <c r="W39" i="2"/>
  <c r="G39" i="2" s="1"/>
  <c r="W40" i="2"/>
  <c r="G40" i="2" s="1"/>
  <c r="W41" i="2"/>
  <c r="G41" i="2" s="1"/>
  <c r="W42" i="2"/>
  <c r="G42" i="2" s="1"/>
  <c r="W43" i="2"/>
  <c r="G43" i="2" s="1"/>
  <c r="W44" i="2"/>
  <c r="G44" i="2" s="1"/>
  <c r="W45" i="2"/>
  <c r="G45" i="2" s="1"/>
  <c r="W46" i="2"/>
  <c r="G46" i="2" s="1"/>
  <c r="W47" i="2"/>
  <c r="G47" i="2" s="1"/>
  <c r="W48" i="2"/>
  <c r="G48" i="2" s="1"/>
  <c r="W49" i="2"/>
  <c r="G49" i="2" s="1"/>
  <c r="W50" i="2"/>
  <c r="G50" i="2" s="1"/>
  <c r="W51" i="2"/>
  <c r="G51" i="2" s="1"/>
  <c r="W52" i="2"/>
  <c r="G52" i="2" s="1"/>
  <c r="W53" i="2"/>
  <c r="G53" i="2" s="1"/>
  <c r="W54" i="2"/>
  <c r="G54" i="2" s="1"/>
  <c r="W55" i="2"/>
  <c r="G55" i="2" s="1"/>
  <c r="W56" i="2"/>
  <c r="G56" i="2" s="1"/>
  <c r="W57" i="2"/>
  <c r="G57" i="2" s="1"/>
  <c r="W58" i="2"/>
  <c r="G58" i="2" s="1"/>
  <c r="W59" i="2"/>
  <c r="G59" i="2" s="1"/>
  <c r="W60" i="2"/>
  <c r="G60" i="2" s="1"/>
  <c r="W61" i="2"/>
  <c r="G61" i="2" s="1"/>
  <c r="W62" i="2"/>
  <c r="G62" i="2" s="1"/>
  <c r="W63" i="2"/>
  <c r="G63" i="2" s="1"/>
  <c r="W64" i="2"/>
  <c r="G64" i="2" s="1"/>
  <c r="W65" i="2"/>
  <c r="G65" i="2" s="1"/>
  <c r="W66" i="2"/>
  <c r="G66" i="2" s="1"/>
  <c r="W67" i="2"/>
  <c r="G67" i="2" s="1"/>
  <c r="W68" i="2"/>
  <c r="G68" i="2" s="1"/>
  <c r="W69" i="2"/>
  <c r="G69" i="2" s="1"/>
  <c r="W70" i="2"/>
  <c r="G70" i="2" s="1"/>
  <c r="W71" i="2"/>
  <c r="G71" i="2" s="1"/>
  <c r="W72" i="2"/>
  <c r="G72" i="2" s="1"/>
  <c r="W73" i="2"/>
  <c r="G73" i="2" s="1"/>
  <c r="W74" i="2"/>
  <c r="G74" i="2" s="1"/>
  <c r="W75" i="2"/>
  <c r="G75" i="2" s="1"/>
  <c r="W76" i="2"/>
  <c r="G76" i="2" s="1"/>
  <c r="W77" i="2"/>
  <c r="G77" i="2" s="1"/>
  <c r="W78" i="2"/>
  <c r="G78" i="2" s="1"/>
  <c r="W79" i="2"/>
  <c r="G79" i="2" s="1"/>
  <c r="W80" i="2"/>
  <c r="G80" i="2" s="1"/>
  <c r="W81" i="2"/>
  <c r="G81" i="2" s="1"/>
  <c r="W82" i="2"/>
  <c r="G82" i="2" s="1"/>
  <c r="W83" i="2"/>
  <c r="G83" i="2" s="1"/>
  <c r="W84" i="2"/>
  <c r="G84" i="2" s="1"/>
  <c r="W85" i="2"/>
  <c r="G85" i="2" s="1"/>
  <c r="W86" i="2"/>
  <c r="G86" i="2" s="1"/>
  <c r="W87" i="2"/>
  <c r="G87" i="2" s="1"/>
  <c r="W88" i="2"/>
  <c r="G88" i="2" s="1"/>
  <c r="W89" i="2"/>
  <c r="G89" i="2" s="1"/>
  <c r="W90" i="2"/>
  <c r="G90" i="2" s="1"/>
  <c r="W91" i="2"/>
  <c r="G91" i="2" s="1"/>
  <c r="W92" i="2"/>
  <c r="G92" i="2" s="1"/>
  <c r="W93" i="2"/>
  <c r="G93" i="2" s="1"/>
  <c r="W94" i="2"/>
  <c r="G94" i="2" s="1"/>
  <c r="W95" i="2"/>
  <c r="G95" i="2" s="1"/>
  <c r="W96" i="2"/>
  <c r="G96" i="2" s="1"/>
  <c r="W97" i="2"/>
  <c r="G97" i="2" s="1"/>
  <c r="W98" i="2"/>
  <c r="G98" i="2" s="1"/>
  <c r="W99" i="2"/>
  <c r="G99" i="2" s="1"/>
  <c r="W100" i="2"/>
  <c r="G100" i="2" s="1"/>
  <c r="W101" i="2"/>
  <c r="G101" i="2" s="1"/>
  <c r="W102" i="2"/>
  <c r="G102" i="2" s="1"/>
  <c r="W103" i="2"/>
  <c r="G103" i="2" s="1"/>
  <c r="W104" i="2"/>
  <c r="G104" i="2" s="1"/>
  <c r="W105" i="2"/>
  <c r="G105" i="2" s="1"/>
  <c r="W106" i="2"/>
  <c r="G106" i="2" s="1"/>
  <c r="W107" i="2"/>
  <c r="G107" i="2" s="1"/>
  <c r="W108" i="2"/>
  <c r="G108" i="2" s="1"/>
  <c r="W109" i="2"/>
  <c r="G109" i="2" s="1"/>
  <c r="W110" i="2"/>
  <c r="G110" i="2" s="1"/>
  <c r="W111" i="2"/>
  <c r="G111" i="2" s="1"/>
  <c r="W112" i="2"/>
  <c r="G112" i="2" s="1"/>
  <c r="W113" i="2"/>
  <c r="G113" i="2" s="1"/>
  <c r="W114" i="2"/>
  <c r="G114" i="2" s="1"/>
  <c r="W115" i="2"/>
  <c r="G115" i="2" s="1"/>
  <c r="W116" i="2"/>
  <c r="G116" i="2" s="1"/>
  <c r="W117" i="2"/>
  <c r="G117" i="2" s="1"/>
  <c r="W118" i="2"/>
  <c r="G118" i="2" s="1"/>
  <c r="W119" i="2"/>
  <c r="G119" i="2" s="1"/>
  <c r="W120" i="2"/>
  <c r="G120" i="2" s="1"/>
  <c r="W121" i="2"/>
  <c r="G121" i="2" s="1"/>
  <c r="W122" i="2"/>
  <c r="G122" i="2" s="1"/>
  <c r="W123" i="2"/>
  <c r="G123" i="2" s="1"/>
  <c r="W124" i="2"/>
  <c r="G124" i="2" s="1"/>
  <c r="W125" i="2"/>
  <c r="G125" i="2" s="1"/>
  <c r="W126" i="2"/>
  <c r="G126" i="2" s="1"/>
  <c r="W127" i="2"/>
  <c r="G127" i="2" s="1"/>
  <c r="W128" i="2"/>
  <c r="G128" i="2" s="1"/>
  <c r="W129" i="2"/>
  <c r="G129" i="2" s="1"/>
  <c r="W130" i="2"/>
  <c r="G130" i="2" s="1"/>
  <c r="W131" i="2"/>
  <c r="G131" i="2" s="1"/>
  <c r="W132" i="2"/>
  <c r="G132" i="2" s="1"/>
  <c r="W133" i="2"/>
  <c r="G133" i="2" s="1"/>
  <c r="W134" i="2"/>
  <c r="G134" i="2" s="1"/>
  <c r="W135" i="2"/>
  <c r="G135" i="2" s="1"/>
  <c r="W136" i="2"/>
  <c r="G136" i="2" s="1"/>
  <c r="W137" i="2"/>
  <c r="G137" i="2" s="1"/>
  <c r="W138" i="2"/>
  <c r="G138" i="2" s="1"/>
  <c r="W139" i="2"/>
  <c r="G139" i="2" s="1"/>
  <c r="W140" i="2"/>
  <c r="G140" i="2" s="1"/>
  <c r="W141" i="2"/>
  <c r="G141" i="2" s="1"/>
  <c r="W142" i="2"/>
  <c r="G142" i="2" s="1"/>
  <c r="W143" i="2"/>
  <c r="G143" i="2" s="1"/>
  <c r="W144" i="2"/>
  <c r="G144" i="2" s="1"/>
  <c r="W145" i="2"/>
  <c r="G145" i="2" s="1"/>
  <c r="W146" i="2"/>
  <c r="G146" i="2" s="1"/>
  <c r="W147" i="2"/>
  <c r="G147" i="2" s="1"/>
  <c r="W148" i="2"/>
  <c r="G148" i="2" s="1"/>
  <c r="W149" i="2"/>
  <c r="G149" i="2" s="1"/>
  <c r="W150" i="2"/>
  <c r="G150" i="2" s="1"/>
  <c r="W151" i="2"/>
  <c r="G151" i="2" s="1"/>
  <c r="W152" i="2"/>
  <c r="G152" i="2" s="1"/>
  <c r="W153" i="2"/>
  <c r="G153" i="2" s="1"/>
  <c r="W154" i="2"/>
  <c r="G154" i="2" s="1"/>
  <c r="W155" i="2"/>
  <c r="G155" i="2" s="1"/>
  <c r="W156" i="2"/>
  <c r="G156" i="2" s="1"/>
  <c r="W157" i="2"/>
  <c r="G157" i="2" s="1"/>
  <c r="W158" i="2"/>
  <c r="G158" i="2" s="1"/>
  <c r="W159" i="2"/>
  <c r="G159" i="2" s="1"/>
  <c r="W160" i="2"/>
  <c r="G160" i="2" s="1"/>
  <c r="W161" i="2"/>
  <c r="G161" i="2" s="1"/>
  <c r="W162" i="2"/>
  <c r="G162" i="2" s="1"/>
  <c r="W163" i="2"/>
  <c r="G163" i="2" s="1"/>
  <c r="W164" i="2"/>
  <c r="G164" i="2" s="1"/>
  <c r="W165" i="2"/>
  <c r="G165" i="2" s="1"/>
  <c r="W166" i="2"/>
  <c r="G166" i="2" s="1"/>
  <c r="W167" i="2"/>
  <c r="G167" i="2" s="1"/>
  <c r="W168" i="2"/>
  <c r="G168" i="2" s="1"/>
  <c r="W169" i="2"/>
  <c r="G169" i="2" s="1"/>
  <c r="W170" i="2"/>
  <c r="G170" i="2" s="1"/>
  <c r="W171" i="2"/>
  <c r="G171" i="2" s="1"/>
  <c r="W172" i="2"/>
  <c r="G172" i="2" s="1"/>
  <c r="W173" i="2"/>
  <c r="G173" i="2" s="1"/>
  <c r="W174" i="2"/>
  <c r="G174" i="2" s="1"/>
  <c r="W175" i="2"/>
  <c r="G175" i="2" s="1"/>
  <c r="W176" i="2"/>
  <c r="G176" i="2" s="1"/>
  <c r="W177" i="2"/>
  <c r="G177" i="2" s="1"/>
  <c r="W178" i="2"/>
  <c r="G178" i="2" s="1"/>
  <c r="W179" i="2"/>
  <c r="G179" i="2" s="1"/>
  <c r="W180" i="2"/>
  <c r="G180" i="2" s="1"/>
  <c r="W181" i="2"/>
  <c r="G181" i="2" s="1"/>
  <c r="W182" i="2"/>
  <c r="G182" i="2" s="1"/>
  <c r="W183" i="2"/>
  <c r="G183" i="2" s="1"/>
  <c r="W184" i="2"/>
  <c r="G184" i="2" s="1"/>
  <c r="W185" i="2"/>
  <c r="G185" i="2" s="1"/>
  <c r="W186" i="2"/>
  <c r="G186" i="2" s="1"/>
  <c r="W187" i="2"/>
  <c r="G187" i="2" s="1"/>
  <c r="W188" i="2"/>
  <c r="G188" i="2" s="1"/>
  <c r="W189" i="2"/>
  <c r="G189" i="2" s="1"/>
  <c r="W190" i="2"/>
  <c r="G190" i="2" s="1"/>
  <c r="W191" i="2"/>
  <c r="G191" i="2" s="1"/>
  <c r="W192" i="2"/>
  <c r="G192" i="2" s="1"/>
  <c r="W193" i="2"/>
  <c r="G193" i="2" s="1"/>
  <c r="W194" i="2"/>
  <c r="G194" i="2" s="1"/>
  <c r="W195" i="2"/>
  <c r="G195" i="2" s="1"/>
  <c r="W196" i="2"/>
  <c r="G196" i="2" s="1"/>
  <c r="W197" i="2"/>
  <c r="G197" i="2" s="1"/>
  <c r="W198" i="2"/>
  <c r="G198" i="2" s="1"/>
  <c r="W199" i="2"/>
  <c r="G199" i="2" s="1"/>
  <c r="W200" i="2"/>
  <c r="G200" i="2" s="1"/>
  <c r="W201" i="2"/>
  <c r="G201" i="2" s="1"/>
  <c r="W202" i="2"/>
  <c r="G202" i="2" s="1"/>
  <c r="W203" i="2"/>
  <c r="G203" i="2" s="1"/>
  <c r="W204" i="2"/>
  <c r="G204" i="2" s="1"/>
  <c r="W205" i="2"/>
  <c r="G205" i="2" s="1"/>
  <c r="W206" i="2"/>
  <c r="G206" i="2" s="1"/>
  <c r="W207" i="2"/>
  <c r="G207" i="2" s="1"/>
  <c r="W208" i="2"/>
  <c r="G208" i="2" s="1"/>
  <c r="W209" i="2"/>
  <c r="G209" i="2" s="1"/>
  <c r="W210" i="2"/>
  <c r="G210" i="2" s="1"/>
  <c r="W211" i="2"/>
  <c r="G211" i="2" s="1"/>
  <c r="W212" i="2"/>
  <c r="G212" i="2" s="1"/>
  <c r="W213" i="2"/>
  <c r="G213" i="2" s="1"/>
  <c r="W214" i="2"/>
  <c r="G214" i="2" s="1"/>
  <c r="W215" i="2"/>
  <c r="G215" i="2" s="1"/>
  <c r="W216" i="2"/>
  <c r="G216" i="2" s="1"/>
  <c r="W217" i="2"/>
  <c r="G217" i="2" s="1"/>
  <c r="W218" i="2"/>
  <c r="G218" i="2" s="1"/>
  <c r="W219" i="2"/>
  <c r="G219" i="2" s="1"/>
  <c r="W220" i="2"/>
  <c r="G220" i="2" s="1"/>
  <c r="W221" i="2"/>
  <c r="G221" i="2" s="1"/>
  <c r="W222" i="2"/>
  <c r="G222" i="2" s="1"/>
  <c r="W223" i="2"/>
  <c r="G223" i="2" s="1"/>
  <c r="W224" i="2"/>
  <c r="G224" i="2" s="1"/>
  <c r="W225" i="2"/>
  <c r="G225" i="2" s="1"/>
  <c r="W226" i="2"/>
  <c r="G226" i="2" s="1"/>
  <c r="W227" i="2"/>
  <c r="G227" i="2" s="1"/>
  <c r="W228" i="2"/>
  <c r="G228" i="2" s="1"/>
  <c r="W229" i="2"/>
  <c r="G229" i="2" s="1"/>
  <c r="W230" i="2"/>
  <c r="G230" i="2" s="1"/>
  <c r="W231" i="2"/>
  <c r="G231" i="2" s="1"/>
  <c r="W232" i="2"/>
  <c r="G232" i="2" s="1"/>
  <c r="W233" i="2"/>
  <c r="G233" i="2" s="1"/>
  <c r="W234" i="2"/>
  <c r="G234" i="2" s="1"/>
  <c r="W235" i="2"/>
  <c r="G235" i="2" s="1"/>
  <c r="W236" i="2"/>
  <c r="G236" i="2" s="1"/>
  <c r="W237" i="2"/>
  <c r="G237" i="2" s="1"/>
  <c r="W238" i="2"/>
  <c r="G238" i="2" s="1"/>
  <c r="W239" i="2"/>
  <c r="G239" i="2" s="1"/>
  <c r="W240" i="2"/>
  <c r="G240" i="2" s="1"/>
  <c r="W241" i="2"/>
  <c r="G241" i="2" s="1"/>
  <c r="W242" i="2"/>
  <c r="G242" i="2" s="1"/>
  <c r="W243" i="2"/>
  <c r="G243" i="2" s="1"/>
  <c r="W244" i="2"/>
  <c r="G244" i="2" s="1"/>
  <c r="W245" i="2"/>
  <c r="G245" i="2" s="1"/>
  <c r="W246" i="2"/>
  <c r="G246" i="2" s="1"/>
  <c r="W247" i="2"/>
  <c r="G247" i="2" s="1"/>
  <c r="W248" i="2"/>
  <c r="G248" i="2" s="1"/>
  <c r="W249" i="2"/>
  <c r="G249" i="2" s="1"/>
  <c r="W250" i="2"/>
  <c r="G250" i="2" s="1"/>
  <c r="W251" i="2"/>
  <c r="G251" i="2" s="1"/>
  <c r="W252" i="2"/>
  <c r="G252" i="2" s="1"/>
  <c r="W253" i="2"/>
  <c r="G253" i="2" s="1"/>
  <c r="W254" i="2"/>
  <c r="G254" i="2" s="1"/>
  <c r="W255" i="2"/>
  <c r="G255" i="2" s="1"/>
  <c r="W256" i="2"/>
  <c r="G256" i="2" s="1"/>
  <c r="W257" i="2"/>
  <c r="G257" i="2" s="1"/>
  <c r="W258" i="2"/>
  <c r="G258" i="2" s="1"/>
  <c r="W259" i="2"/>
  <c r="G259" i="2" s="1"/>
  <c r="W260" i="2"/>
  <c r="G260" i="2" s="1"/>
  <c r="W261" i="2"/>
  <c r="G261" i="2" s="1"/>
  <c r="W262" i="2"/>
  <c r="G262" i="2" s="1"/>
  <c r="W263" i="2"/>
  <c r="G263" i="2" s="1"/>
  <c r="W264" i="2"/>
  <c r="G264" i="2" s="1"/>
  <c r="W265" i="2"/>
  <c r="G265" i="2" s="1"/>
  <c r="W266" i="2"/>
  <c r="G266" i="2" s="1"/>
  <c r="W267" i="2"/>
  <c r="G267" i="2" s="1"/>
  <c r="W268" i="2"/>
  <c r="G268" i="2" s="1"/>
  <c r="W269" i="2"/>
  <c r="G269" i="2" s="1"/>
  <c r="W270" i="2"/>
  <c r="G270" i="2" s="1"/>
  <c r="W271" i="2"/>
  <c r="G271" i="2" s="1"/>
  <c r="W272" i="2"/>
  <c r="G272" i="2" s="1"/>
  <c r="W273" i="2"/>
  <c r="G273" i="2" s="1"/>
  <c r="W274" i="2"/>
  <c r="G274" i="2" s="1"/>
  <c r="W275" i="2"/>
  <c r="G275" i="2" s="1"/>
  <c r="W276" i="2"/>
  <c r="G276" i="2" s="1"/>
  <c r="W277" i="2"/>
  <c r="G277" i="2" s="1"/>
  <c r="W278" i="2"/>
  <c r="G278" i="2" s="1"/>
  <c r="W279" i="2"/>
  <c r="G279" i="2" s="1"/>
  <c r="W280" i="2"/>
  <c r="G280" i="2" s="1"/>
  <c r="W281" i="2"/>
  <c r="G281" i="2" s="1"/>
  <c r="W282" i="2"/>
  <c r="G282" i="2" s="1"/>
  <c r="W283" i="2"/>
  <c r="G283" i="2" s="1"/>
  <c r="W284" i="2"/>
  <c r="G284" i="2" s="1"/>
  <c r="W285" i="2"/>
  <c r="G285" i="2" s="1"/>
  <c r="W286" i="2"/>
  <c r="G286" i="2" s="1"/>
  <c r="W287" i="2"/>
  <c r="G287" i="2" s="1"/>
  <c r="W288" i="2"/>
  <c r="G288" i="2" s="1"/>
  <c r="W289" i="2"/>
  <c r="G289" i="2" s="1"/>
  <c r="W290" i="2"/>
  <c r="G290" i="2" s="1"/>
  <c r="W291" i="2"/>
  <c r="G291" i="2" s="1"/>
  <c r="W292" i="2"/>
  <c r="G292" i="2" s="1"/>
  <c r="W293" i="2"/>
  <c r="G293" i="2" s="1"/>
  <c r="W294" i="2"/>
  <c r="G294" i="2" s="1"/>
  <c r="W295" i="2"/>
  <c r="G295" i="2" s="1"/>
  <c r="W296" i="2"/>
  <c r="G296" i="2" s="1"/>
  <c r="W297" i="2"/>
  <c r="G297" i="2" s="1"/>
  <c r="W298" i="2"/>
  <c r="G298" i="2" s="1"/>
  <c r="W299" i="2"/>
  <c r="G299" i="2" s="1"/>
  <c r="W300" i="2"/>
  <c r="G300" i="2" s="1"/>
  <c r="W301" i="2"/>
  <c r="G301" i="2" s="1"/>
  <c r="W302" i="2"/>
  <c r="G302" i="2" s="1"/>
  <c r="W303" i="2"/>
  <c r="G303" i="2" s="1"/>
  <c r="W304" i="2"/>
  <c r="G304" i="2" s="1"/>
  <c r="W305" i="2"/>
  <c r="G305" i="2" s="1"/>
  <c r="W306" i="2"/>
  <c r="G306" i="2" s="1"/>
  <c r="W307" i="2"/>
  <c r="G307" i="2" s="1"/>
  <c r="W308" i="2"/>
  <c r="G308" i="2" s="1"/>
  <c r="W309" i="2"/>
  <c r="G309" i="2" s="1"/>
  <c r="W310" i="2"/>
  <c r="G310" i="2" s="1"/>
  <c r="W311" i="2"/>
  <c r="G311" i="2" s="1"/>
  <c r="W312" i="2"/>
  <c r="G312" i="2" s="1"/>
  <c r="W313" i="2"/>
  <c r="G313" i="2" s="1"/>
  <c r="W314" i="2"/>
  <c r="G314" i="2" s="1"/>
  <c r="W315" i="2"/>
  <c r="G315" i="2" s="1"/>
  <c r="W316" i="2"/>
  <c r="G316" i="2" s="1"/>
  <c r="W317" i="2"/>
  <c r="G317" i="2" s="1"/>
  <c r="W318" i="2"/>
  <c r="G318" i="2" s="1"/>
  <c r="W319" i="2"/>
  <c r="G319" i="2" s="1"/>
  <c r="W320" i="2"/>
  <c r="G320" i="2" s="1"/>
  <c r="W321" i="2"/>
  <c r="G321" i="2" s="1"/>
  <c r="W322" i="2"/>
  <c r="G322" i="2" s="1"/>
  <c r="W323" i="2"/>
  <c r="G323" i="2" s="1"/>
  <c r="W324" i="2"/>
  <c r="G324" i="2" s="1"/>
  <c r="W325" i="2"/>
  <c r="G325" i="2" s="1"/>
  <c r="W326" i="2"/>
  <c r="G326" i="2" s="1"/>
  <c r="W327" i="2"/>
  <c r="G327" i="2" s="1"/>
  <c r="W328" i="2"/>
  <c r="G328" i="2" s="1"/>
  <c r="W329" i="2"/>
  <c r="G329" i="2" s="1"/>
  <c r="W330" i="2"/>
  <c r="G330" i="2" s="1"/>
  <c r="W331" i="2"/>
  <c r="G331" i="2" s="1"/>
  <c r="W332" i="2"/>
  <c r="G332" i="2" s="1"/>
  <c r="W333" i="2"/>
  <c r="G333" i="2" s="1"/>
  <c r="W334" i="2"/>
  <c r="G334" i="2" s="1"/>
  <c r="W335" i="2"/>
  <c r="G335" i="2" s="1"/>
  <c r="W336" i="2"/>
  <c r="G336" i="2" s="1"/>
  <c r="W337" i="2"/>
  <c r="G337" i="2" s="1"/>
  <c r="W338" i="2"/>
  <c r="G338" i="2" s="1"/>
  <c r="W339" i="2"/>
  <c r="G339" i="2" s="1"/>
  <c r="W340" i="2"/>
  <c r="G340" i="2" s="1"/>
  <c r="W341" i="2"/>
  <c r="G341" i="2" s="1"/>
  <c r="W342" i="2"/>
  <c r="G342" i="2" s="1"/>
  <c r="W343" i="2"/>
  <c r="G343" i="2" s="1"/>
  <c r="W344" i="2"/>
  <c r="G344" i="2" s="1"/>
  <c r="W345" i="2"/>
  <c r="G345" i="2" s="1"/>
  <c r="W346" i="2"/>
  <c r="G346" i="2" s="1"/>
  <c r="W347" i="2"/>
  <c r="G347" i="2" s="1"/>
  <c r="W348" i="2"/>
  <c r="G348" i="2" s="1"/>
  <c r="W349" i="2"/>
  <c r="G349" i="2" s="1"/>
  <c r="W350" i="2"/>
  <c r="G350" i="2" s="1"/>
  <c r="W351" i="2"/>
  <c r="G351" i="2" s="1"/>
  <c r="W352" i="2"/>
  <c r="G352" i="2" s="1"/>
  <c r="W353" i="2"/>
  <c r="G353" i="2" s="1"/>
  <c r="W354" i="2"/>
  <c r="G354" i="2" s="1"/>
  <c r="W355" i="2"/>
  <c r="G355" i="2" s="1"/>
  <c r="W356" i="2"/>
  <c r="G356" i="2" s="1"/>
  <c r="W357" i="2"/>
  <c r="G357" i="2" s="1"/>
  <c r="W358" i="2"/>
  <c r="G358" i="2" s="1"/>
  <c r="W359" i="2"/>
  <c r="G359" i="2" s="1"/>
  <c r="W360" i="2"/>
  <c r="G360" i="2" s="1"/>
  <c r="W361" i="2"/>
  <c r="G361" i="2" s="1"/>
  <c r="W362" i="2"/>
  <c r="G362" i="2" s="1"/>
  <c r="W363" i="2"/>
  <c r="G363" i="2" s="1"/>
  <c r="W364" i="2"/>
  <c r="G364" i="2" s="1"/>
  <c r="W365" i="2"/>
  <c r="G365" i="2" s="1"/>
  <c r="W366" i="2"/>
  <c r="G366" i="2" s="1"/>
  <c r="W367" i="2"/>
  <c r="G367" i="2" s="1"/>
  <c r="W368" i="2"/>
  <c r="G368" i="2" s="1"/>
  <c r="W369" i="2"/>
  <c r="G369" i="2" s="1"/>
  <c r="W370" i="2"/>
  <c r="G370" i="2" s="1"/>
  <c r="W371" i="2"/>
  <c r="G371" i="2" s="1"/>
  <c r="W372" i="2"/>
  <c r="G372" i="2" s="1"/>
  <c r="W373" i="2"/>
  <c r="G373" i="2" s="1"/>
  <c r="W374" i="2"/>
  <c r="G374" i="2" s="1"/>
  <c r="W375" i="2"/>
  <c r="G375" i="2" s="1"/>
  <c r="W376" i="2"/>
  <c r="G376" i="2" s="1"/>
  <c r="W377" i="2"/>
  <c r="G377" i="2" s="1"/>
  <c r="W378" i="2"/>
  <c r="G378" i="2" s="1"/>
  <c r="W379" i="2"/>
  <c r="G379" i="2" s="1"/>
  <c r="W380" i="2"/>
  <c r="G380" i="2" s="1"/>
  <c r="W381" i="2"/>
  <c r="G381" i="2" s="1"/>
  <c r="W382" i="2"/>
  <c r="G382" i="2" s="1"/>
  <c r="W383" i="2"/>
  <c r="G383" i="2" s="1"/>
  <c r="W384" i="2"/>
  <c r="G384" i="2" s="1"/>
  <c r="W385" i="2"/>
  <c r="G385" i="2" s="1"/>
  <c r="W386" i="2"/>
  <c r="G386" i="2" s="1"/>
  <c r="W387" i="2"/>
  <c r="G387" i="2" s="1"/>
  <c r="W388" i="2"/>
  <c r="G388" i="2" s="1"/>
  <c r="W389" i="2"/>
  <c r="G389" i="2" s="1"/>
  <c r="W390" i="2"/>
  <c r="G390" i="2" s="1"/>
  <c r="W391" i="2"/>
  <c r="G391" i="2" s="1"/>
  <c r="W392" i="2"/>
  <c r="G392" i="2" s="1"/>
  <c r="W393" i="2"/>
  <c r="G393" i="2" s="1"/>
  <c r="W394" i="2"/>
  <c r="G394" i="2" s="1"/>
  <c r="W395" i="2"/>
  <c r="G395" i="2" s="1"/>
  <c r="W396" i="2"/>
  <c r="G396" i="2" s="1"/>
  <c r="W397" i="2"/>
  <c r="G397" i="2" s="1"/>
  <c r="W398" i="2"/>
  <c r="G398" i="2" s="1"/>
  <c r="W399" i="2"/>
  <c r="G399" i="2" s="1"/>
  <c r="W400" i="2"/>
  <c r="G400" i="2" s="1"/>
  <c r="W401" i="2"/>
  <c r="G401" i="2" s="1"/>
  <c r="W402" i="2"/>
  <c r="G402" i="2" s="1"/>
  <c r="W403" i="2"/>
  <c r="G403" i="2" s="1"/>
  <c r="W404" i="2"/>
  <c r="G404" i="2" s="1"/>
  <c r="W405" i="2"/>
  <c r="G405" i="2" s="1"/>
  <c r="W406" i="2"/>
  <c r="G406" i="2" s="1"/>
  <c r="W407" i="2"/>
  <c r="G407" i="2" s="1"/>
  <c r="W408" i="2"/>
  <c r="G408" i="2" s="1"/>
  <c r="W409" i="2"/>
  <c r="G409" i="2" s="1"/>
  <c r="W410" i="2"/>
  <c r="G410" i="2" s="1"/>
  <c r="W411" i="2"/>
  <c r="G411" i="2" s="1"/>
  <c r="W412" i="2"/>
  <c r="G412" i="2" s="1"/>
  <c r="W413" i="2"/>
  <c r="G413" i="2" s="1"/>
  <c r="W414" i="2"/>
  <c r="G414" i="2" s="1"/>
  <c r="W415" i="2"/>
  <c r="G415" i="2" s="1"/>
  <c r="W416" i="2"/>
  <c r="G416" i="2" s="1"/>
  <c r="W417" i="2"/>
  <c r="G417" i="2" s="1"/>
  <c r="W418" i="2"/>
  <c r="G418" i="2" s="1"/>
  <c r="W419" i="2"/>
  <c r="G419" i="2" s="1"/>
  <c r="W420" i="2"/>
  <c r="G420" i="2" s="1"/>
  <c r="W421" i="2"/>
  <c r="G421" i="2" s="1"/>
  <c r="W422" i="2"/>
  <c r="G422" i="2" s="1"/>
  <c r="W423" i="2"/>
  <c r="G423" i="2" s="1"/>
  <c r="W424" i="2"/>
  <c r="G424" i="2" s="1"/>
  <c r="W425" i="2"/>
  <c r="G425" i="2" s="1"/>
  <c r="W426" i="2"/>
  <c r="G426" i="2" s="1"/>
  <c r="W427" i="2"/>
  <c r="G427" i="2" s="1"/>
  <c r="W428" i="2"/>
  <c r="G428" i="2" s="1"/>
  <c r="W429" i="2"/>
  <c r="G429" i="2" s="1"/>
  <c r="W430" i="2"/>
  <c r="G430" i="2" s="1"/>
  <c r="W431" i="2"/>
  <c r="G431" i="2" s="1"/>
  <c r="W432" i="2"/>
  <c r="G432" i="2" s="1"/>
  <c r="W433" i="2"/>
  <c r="G433" i="2" s="1"/>
  <c r="W434" i="2"/>
  <c r="G434" i="2" s="1"/>
  <c r="W435" i="2"/>
  <c r="G435" i="2" s="1"/>
  <c r="W436" i="2"/>
  <c r="G436" i="2" s="1"/>
  <c r="W437" i="2"/>
  <c r="G437" i="2" s="1"/>
  <c r="W438" i="2"/>
  <c r="G438" i="2" s="1"/>
  <c r="W439" i="2"/>
  <c r="G439" i="2" s="1"/>
  <c r="W440" i="2"/>
  <c r="G440" i="2" s="1"/>
  <c r="W441" i="2"/>
  <c r="G441" i="2" s="1"/>
  <c r="W442" i="2"/>
  <c r="G442" i="2" s="1"/>
  <c r="W443" i="2"/>
  <c r="G443" i="2" s="1"/>
  <c r="W444" i="2"/>
  <c r="G444" i="2" s="1"/>
  <c r="W445" i="2"/>
  <c r="G445" i="2" s="1"/>
  <c r="W446" i="2"/>
  <c r="G446" i="2" s="1"/>
  <c r="W447" i="2"/>
  <c r="G447" i="2" s="1"/>
  <c r="W448" i="2"/>
  <c r="G448" i="2" s="1"/>
  <c r="W449" i="2"/>
  <c r="G449" i="2" s="1"/>
  <c r="W450" i="2"/>
  <c r="G450" i="2" s="1"/>
  <c r="W451" i="2"/>
  <c r="G451" i="2" s="1"/>
  <c r="W452" i="2"/>
  <c r="G452" i="2" s="1"/>
  <c r="W453" i="2"/>
  <c r="G453" i="2" s="1"/>
  <c r="W454" i="2"/>
  <c r="G454" i="2" s="1"/>
  <c r="W455" i="2"/>
  <c r="G455" i="2" s="1"/>
  <c r="W456" i="2"/>
  <c r="G456" i="2" s="1"/>
  <c r="W457" i="2"/>
  <c r="G457" i="2" s="1"/>
  <c r="W458" i="2"/>
  <c r="G458" i="2" s="1"/>
  <c r="W459" i="2"/>
  <c r="G459" i="2" s="1"/>
  <c r="W460" i="2"/>
  <c r="G460" i="2" s="1"/>
  <c r="W461" i="2"/>
  <c r="G461" i="2" s="1"/>
  <c r="W462" i="2"/>
  <c r="G462" i="2" s="1"/>
  <c r="W463" i="2"/>
  <c r="G463" i="2" s="1"/>
  <c r="W464" i="2"/>
  <c r="G464" i="2" s="1"/>
  <c r="W465" i="2"/>
  <c r="G465" i="2" s="1"/>
  <c r="W466" i="2"/>
  <c r="G466" i="2" s="1"/>
  <c r="W467" i="2"/>
  <c r="G467" i="2" s="1"/>
  <c r="W468" i="2"/>
  <c r="G468" i="2" s="1"/>
  <c r="W469" i="2"/>
  <c r="G469" i="2" s="1"/>
  <c r="W470" i="2"/>
  <c r="G470" i="2" s="1"/>
  <c r="W471" i="2"/>
  <c r="G471" i="2" s="1"/>
  <c r="W472" i="2"/>
  <c r="G472" i="2" s="1"/>
  <c r="W473" i="2"/>
  <c r="G473" i="2" s="1"/>
  <c r="W474" i="2"/>
  <c r="G474" i="2" s="1"/>
  <c r="W475" i="2"/>
  <c r="G475" i="2" s="1"/>
  <c r="W476" i="2"/>
  <c r="G476" i="2" s="1"/>
  <c r="W477" i="2"/>
  <c r="G477" i="2" s="1"/>
  <c r="W478" i="2"/>
  <c r="G478" i="2" s="1"/>
  <c r="W479" i="2"/>
  <c r="G479" i="2" s="1"/>
  <c r="W480" i="2"/>
  <c r="G480" i="2" s="1"/>
  <c r="W481" i="2"/>
  <c r="G481" i="2" s="1"/>
  <c r="W482" i="2"/>
  <c r="G482" i="2" s="1"/>
  <c r="W483" i="2"/>
  <c r="G483" i="2" s="1"/>
  <c r="W484" i="2"/>
  <c r="G484" i="2" s="1"/>
  <c r="W485" i="2"/>
  <c r="G485" i="2" s="1"/>
  <c r="W486" i="2"/>
  <c r="G486" i="2" s="1"/>
  <c r="W487" i="2"/>
  <c r="G487" i="2" s="1"/>
  <c r="W488" i="2"/>
  <c r="G488" i="2" s="1"/>
  <c r="W489" i="2"/>
  <c r="G489" i="2" s="1"/>
  <c r="W490" i="2"/>
  <c r="G490" i="2" s="1"/>
  <c r="W491" i="2"/>
  <c r="G491" i="2" s="1"/>
  <c r="W492" i="2"/>
  <c r="G492" i="2" s="1"/>
  <c r="W493" i="2"/>
  <c r="G493" i="2" s="1"/>
  <c r="W494" i="2"/>
  <c r="G494" i="2" s="1"/>
  <c r="W495" i="2"/>
  <c r="G495" i="2" s="1"/>
  <c r="W496" i="2"/>
  <c r="G496" i="2" s="1"/>
  <c r="W497" i="2"/>
  <c r="G497" i="2" s="1"/>
  <c r="W498" i="2"/>
  <c r="G498" i="2" s="1"/>
  <c r="W499" i="2"/>
  <c r="G499" i="2" s="1"/>
  <c r="W500" i="2"/>
  <c r="G500" i="2" s="1"/>
  <c r="W501" i="2"/>
  <c r="G501" i="2" s="1"/>
  <c r="W502" i="2"/>
  <c r="G502" i="2" s="1"/>
  <c r="W503" i="2"/>
  <c r="G503" i="2" s="1"/>
  <c r="W504" i="2"/>
  <c r="G504" i="2" s="1"/>
  <c r="W505" i="2"/>
  <c r="G505" i="2" s="1"/>
  <c r="W506" i="2"/>
  <c r="G506" i="2" s="1"/>
  <c r="W507" i="2"/>
  <c r="G507" i="2" s="1"/>
  <c r="W508" i="2"/>
  <c r="G508" i="2" s="1"/>
  <c r="W509" i="2"/>
  <c r="G509" i="2" s="1"/>
  <c r="W510" i="2"/>
  <c r="G510" i="2" s="1"/>
  <c r="W511" i="2"/>
  <c r="G511" i="2" s="1"/>
  <c r="W512" i="2"/>
  <c r="G512" i="2" s="1"/>
  <c r="W513" i="2"/>
  <c r="G513" i="2" s="1"/>
  <c r="W514" i="2"/>
  <c r="G514" i="2" s="1"/>
  <c r="W515" i="2"/>
  <c r="G515" i="2" s="1"/>
  <c r="W516" i="2"/>
  <c r="G516" i="2" s="1"/>
  <c r="W517" i="2"/>
  <c r="G517" i="2" s="1"/>
  <c r="W518" i="2"/>
  <c r="G518" i="2" s="1"/>
  <c r="W519" i="2"/>
  <c r="G519" i="2" s="1"/>
  <c r="W520" i="2"/>
  <c r="G520" i="2" s="1"/>
  <c r="W521" i="2"/>
  <c r="G521" i="2" s="1"/>
  <c r="W522" i="2"/>
  <c r="G522" i="2" s="1"/>
  <c r="W523" i="2"/>
  <c r="G523" i="2" s="1"/>
  <c r="W524" i="2"/>
  <c r="G524" i="2" s="1"/>
  <c r="W525" i="2"/>
  <c r="G525" i="2" s="1"/>
  <c r="W526" i="2"/>
  <c r="G526" i="2" s="1"/>
  <c r="W527" i="2"/>
  <c r="G527" i="2" s="1"/>
  <c r="W528" i="2"/>
  <c r="G528" i="2" s="1"/>
  <c r="W529" i="2"/>
  <c r="G529" i="2" s="1"/>
  <c r="W530" i="2"/>
  <c r="G530" i="2" s="1"/>
  <c r="W531" i="2"/>
  <c r="G531" i="2" s="1"/>
  <c r="W532" i="2"/>
  <c r="G532" i="2" s="1"/>
  <c r="W533" i="2"/>
  <c r="G533" i="2" s="1"/>
  <c r="W534" i="2"/>
  <c r="G534" i="2" s="1"/>
  <c r="W535" i="2"/>
  <c r="G535" i="2" s="1"/>
  <c r="W536" i="2"/>
  <c r="G536" i="2" s="1"/>
  <c r="W537" i="2"/>
  <c r="G537" i="2" s="1"/>
  <c r="W538" i="2"/>
  <c r="G538" i="2" s="1"/>
  <c r="W539" i="2"/>
  <c r="G539" i="2" s="1"/>
  <c r="W540" i="2"/>
  <c r="G540" i="2" s="1"/>
  <c r="W541" i="2"/>
  <c r="G541" i="2" s="1"/>
  <c r="W542" i="2"/>
  <c r="G542" i="2" s="1"/>
  <c r="W543" i="2"/>
  <c r="G543" i="2" s="1"/>
  <c r="W544" i="2"/>
  <c r="G544" i="2" s="1"/>
  <c r="W545" i="2"/>
  <c r="G545" i="2" s="1"/>
  <c r="W546" i="2"/>
  <c r="G546" i="2" s="1"/>
  <c r="W547" i="2"/>
  <c r="G547" i="2" s="1"/>
  <c r="W548" i="2"/>
  <c r="G548" i="2" s="1"/>
  <c r="W549" i="2"/>
  <c r="G549" i="2" s="1"/>
  <c r="W550" i="2"/>
  <c r="G550" i="2" s="1"/>
  <c r="W551" i="2"/>
  <c r="G551" i="2" s="1"/>
  <c r="W552" i="2"/>
  <c r="G552" i="2" s="1"/>
  <c r="W553" i="2"/>
  <c r="G553" i="2" s="1"/>
  <c r="W554" i="2"/>
  <c r="G554" i="2" s="1"/>
  <c r="W555" i="2"/>
  <c r="G555" i="2" s="1"/>
  <c r="W556" i="2"/>
  <c r="G556" i="2" s="1"/>
  <c r="W557" i="2"/>
  <c r="G557" i="2" s="1"/>
  <c r="W558" i="2"/>
  <c r="G558" i="2" s="1"/>
  <c r="W559" i="2"/>
  <c r="G559" i="2" s="1"/>
  <c r="W560" i="2"/>
  <c r="G560" i="2" s="1"/>
  <c r="W561" i="2"/>
  <c r="G561" i="2" s="1"/>
  <c r="W562" i="2"/>
  <c r="G562" i="2" s="1"/>
  <c r="W563" i="2"/>
  <c r="G563" i="2" s="1"/>
  <c r="W564" i="2"/>
  <c r="G564" i="2" s="1"/>
  <c r="W565" i="2"/>
  <c r="G565" i="2" s="1"/>
  <c r="W566" i="2"/>
  <c r="G566" i="2" s="1"/>
  <c r="W567" i="2"/>
  <c r="G567" i="2" s="1"/>
  <c r="W568" i="2"/>
  <c r="G568" i="2" s="1"/>
  <c r="W569" i="2"/>
  <c r="G569" i="2" s="1"/>
  <c r="W570" i="2"/>
  <c r="G570" i="2" s="1"/>
  <c r="W571" i="2"/>
  <c r="G571" i="2" s="1"/>
  <c r="W572" i="2"/>
  <c r="G572" i="2" s="1"/>
  <c r="W573" i="2"/>
  <c r="G573" i="2" s="1"/>
  <c r="W574" i="2"/>
  <c r="G574" i="2" s="1"/>
  <c r="W575" i="2"/>
  <c r="G575" i="2" s="1"/>
  <c r="W576" i="2"/>
  <c r="G576" i="2" s="1"/>
  <c r="W577" i="2"/>
  <c r="G577" i="2" s="1"/>
  <c r="W578" i="2"/>
  <c r="G578" i="2" s="1"/>
  <c r="W579" i="2"/>
  <c r="G579" i="2" s="1"/>
  <c r="W580" i="2"/>
  <c r="G580" i="2" s="1"/>
  <c r="W581" i="2"/>
  <c r="G581" i="2" s="1"/>
  <c r="W582" i="2"/>
  <c r="G582" i="2" s="1"/>
  <c r="W583" i="2"/>
  <c r="G583" i="2" s="1"/>
  <c r="W584" i="2"/>
  <c r="G584" i="2" s="1"/>
  <c r="W585" i="2"/>
  <c r="G585" i="2" s="1"/>
  <c r="W586" i="2"/>
  <c r="G586" i="2" s="1"/>
  <c r="W587" i="2"/>
  <c r="G587" i="2" s="1"/>
  <c r="W588" i="2"/>
  <c r="G588" i="2" s="1"/>
  <c r="W589" i="2"/>
  <c r="G589" i="2" s="1"/>
  <c r="W590" i="2"/>
  <c r="G590" i="2" s="1"/>
  <c r="W591" i="2"/>
  <c r="G591" i="2" s="1"/>
  <c r="W592" i="2"/>
  <c r="G592" i="2" s="1"/>
  <c r="W593" i="2"/>
  <c r="G593" i="2" s="1"/>
  <c r="W594" i="2"/>
  <c r="G594" i="2" s="1"/>
  <c r="W595" i="2"/>
  <c r="G595" i="2" s="1"/>
  <c r="W596" i="2"/>
  <c r="G596" i="2" s="1"/>
  <c r="W597" i="2"/>
  <c r="G597" i="2" s="1"/>
  <c r="W598" i="2"/>
  <c r="G598" i="2" s="1"/>
  <c r="W599" i="2"/>
  <c r="G599" i="2" s="1"/>
  <c r="W600" i="2"/>
  <c r="G600" i="2" s="1"/>
  <c r="W601" i="2"/>
  <c r="G601" i="2" s="1"/>
  <c r="W602" i="2"/>
  <c r="G602" i="2" s="1"/>
  <c r="W603" i="2"/>
  <c r="G603" i="2" s="1"/>
  <c r="W604" i="2"/>
  <c r="G604" i="2" s="1"/>
  <c r="W605" i="2"/>
  <c r="G605" i="2" s="1"/>
  <c r="W606" i="2"/>
  <c r="G606" i="2" s="1"/>
  <c r="W607" i="2"/>
  <c r="G607" i="2" s="1"/>
  <c r="W608" i="2"/>
  <c r="G608" i="2" s="1"/>
  <c r="W609" i="2"/>
  <c r="G609" i="2" s="1"/>
  <c r="W610" i="2"/>
  <c r="G610" i="2" s="1"/>
  <c r="W611" i="2"/>
  <c r="G611" i="2" s="1"/>
  <c r="W612" i="2"/>
  <c r="G612" i="2" s="1"/>
  <c r="W613" i="2"/>
  <c r="G613" i="2" s="1"/>
  <c r="W614" i="2"/>
  <c r="G614" i="2" s="1"/>
  <c r="W615" i="2"/>
  <c r="G615" i="2" s="1"/>
  <c r="W616" i="2"/>
  <c r="G616" i="2" s="1"/>
  <c r="W617" i="2"/>
  <c r="G617" i="2" s="1"/>
  <c r="W618" i="2"/>
  <c r="G618" i="2" s="1"/>
  <c r="W619" i="2"/>
  <c r="G619" i="2" s="1"/>
  <c r="W620" i="2"/>
  <c r="G620" i="2" s="1"/>
  <c r="W621" i="2"/>
  <c r="G621" i="2" s="1"/>
  <c r="W622" i="2"/>
  <c r="G622" i="2" s="1"/>
  <c r="W623" i="2"/>
  <c r="G623" i="2" s="1"/>
  <c r="W624" i="2"/>
  <c r="G624" i="2" s="1"/>
  <c r="W625" i="2"/>
  <c r="G625" i="2" s="1"/>
  <c r="W626" i="2"/>
  <c r="G626" i="2" s="1"/>
  <c r="W627" i="2"/>
  <c r="G627" i="2" s="1"/>
  <c r="W628" i="2"/>
  <c r="G628" i="2" s="1"/>
  <c r="W629" i="2"/>
  <c r="G629" i="2" s="1"/>
  <c r="W630" i="2"/>
  <c r="G630" i="2" s="1"/>
  <c r="W631" i="2"/>
  <c r="G631" i="2" s="1"/>
  <c r="W632" i="2"/>
  <c r="G632" i="2" s="1"/>
  <c r="W633" i="2"/>
  <c r="G633" i="2" s="1"/>
  <c r="W634" i="2"/>
  <c r="G634" i="2" s="1"/>
  <c r="W635" i="2"/>
  <c r="G635" i="2" s="1"/>
  <c r="W636" i="2"/>
  <c r="G636" i="2" s="1"/>
  <c r="W637" i="2"/>
  <c r="G637" i="2" s="1"/>
  <c r="W638" i="2"/>
  <c r="G638" i="2" s="1"/>
  <c r="W639" i="2"/>
  <c r="G639" i="2" s="1"/>
  <c r="W640" i="2"/>
  <c r="G640" i="2" s="1"/>
  <c r="W641" i="2"/>
  <c r="G641" i="2" s="1"/>
  <c r="W642" i="2"/>
  <c r="G642" i="2" s="1"/>
  <c r="W643" i="2"/>
  <c r="G643" i="2" s="1"/>
  <c r="W644" i="2"/>
  <c r="G644" i="2" s="1"/>
  <c r="W645" i="2"/>
  <c r="G645" i="2" s="1"/>
  <c r="W646" i="2"/>
  <c r="G646" i="2" s="1"/>
  <c r="W647" i="2"/>
  <c r="G647" i="2" s="1"/>
  <c r="W648" i="2"/>
  <c r="G648" i="2" s="1"/>
  <c r="W649" i="2"/>
  <c r="G649" i="2" s="1"/>
  <c r="W650" i="2"/>
  <c r="G650" i="2" s="1"/>
  <c r="W651" i="2"/>
  <c r="G651" i="2" s="1"/>
  <c r="W652" i="2"/>
  <c r="G652" i="2" s="1"/>
  <c r="W653" i="2"/>
  <c r="G653" i="2" s="1"/>
  <c r="W654" i="2"/>
  <c r="G654" i="2" s="1"/>
  <c r="W655" i="2"/>
  <c r="G655" i="2" s="1"/>
  <c r="W656" i="2"/>
  <c r="G656" i="2" s="1"/>
  <c r="W657" i="2"/>
  <c r="G657" i="2" s="1"/>
  <c r="W658" i="2"/>
  <c r="G658" i="2" s="1"/>
  <c r="W659" i="2"/>
  <c r="G659" i="2" s="1"/>
  <c r="W660" i="2"/>
  <c r="G660" i="2" s="1"/>
  <c r="W661" i="2"/>
  <c r="G661" i="2" s="1"/>
  <c r="W662" i="2"/>
  <c r="G662" i="2" s="1"/>
  <c r="W663" i="2"/>
  <c r="G663" i="2" s="1"/>
  <c r="W664" i="2"/>
  <c r="G664" i="2" s="1"/>
  <c r="W665" i="2"/>
  <c r="G665" i="2" s="1"/>
  <c r="W666" i="2"/>
  <c r="G666" i="2" s="1"/>
  <c r="W667" i="2"/>
  <c r="G667" i="2" s="1"/>
  <c r="W668" i="2"/>
  <c r="G668" i="2" s="1"/>
  <c r="W669" i="2"/>
  <c r="G669" i="2" s="1"/>
  <c r="W670" i="2"/>
  <c r="G670" i="2" s="1"/>
  <c r="W671" i="2"/>
  <c r="G671" i="2" s="1"/>
  <c r="W672" i="2"/>
  <c r="G672" i="2" s="1"/>
  <c r="W673" i="2"/>
  <c r="G673" i="2" s="1"/>
  <c r="W674" i="2"/>
  <c r="G674" i="2" s="1"/>
  <c r="W675" i="2"/>
  <c r="G675" i="2" s="1"/>
  <c r="W676" i="2"/>
  <c r="G676" i="2" s="1"/>
  <c r="W677" i="2"/>
  <c r="G677" i="2" s="1"/>
  <c r="W678" i="2"/>
  <c r="G678" i="2" s="1"/>
  <c r="W679" i="2"/>
  <c r="G679" i="2" s="1"/>
  <c r="W680" i="2"/>
  <c r="G680" i="2" s="1"/>
  <c r="W681" i="2"/>
  <c r="G681" i="2" s="1"/>
  <c r="W682" i="2"/>
  <c r="G682" i="2" s="1"/>
  <c r="W683" i="2"/>
  <c r="G683" i="2" s="1"/>
  <c r="W684" i="2"/>
  <c r="G684" i="2" s="1"/>
  <c r="W685" i="2"/>
  <c r="G685" i="2" s="1"/>
  <c r="W686" i="2"/>
  <c r="G686" i="2" s="1"/>
  <c r="W687" i="2"/>
  <c r="G687" i="2" s="1"/>
  <c r="W688" i="2"/>
  <c r="G688" i="2" s="1"/>
  <c r="W689" i="2"/>
  <c r="G689" i="2" s="1"/>
  <c r="W690" i="2"/>
  <c r="G690" i="2" s="1"/>
  <c r="W691" i="2"/>
  <c r="G691" i="2" s="1"/>
  <c r="W692" i="2"/>
  <c r="G692" i="2" s="1"/>
  <c r="W693" i="2"/>
  <c r="G693" i="2" s="1"/>
  <c r="W694" i="2"/>
  <c r="G694" i="2" s="1"/>
  <c r="W695" i="2"/>
  <c r="G695" i="2" s="1"/>
  <c r="W696" i="2"/>
  <c r="G696" i="2" s="1"/>
  <c r="W697" i="2"/>
  <c r="G697" i="2" s="1"/>
  <c r="W698" i="2"/>
  <c r="G698" i="2" s="1"/>
  <c r="W699" i="2"/>
  <c r="G699" i="2" s="1"/>
  <c r="W700" i="2"/>
  <c r="G700" i="2" s="1"/>
  <c r="W701" i="2"/>
  <c r="G701" i="2" s="1"/>
  <c r="W702" i="2"/>
  <c r="G702" i="2" s="1"/>
  <c r="W703" i="2"/>
  <c r="G703" i="2" s="1"/>
  <c r="W704" i="2"/>
  <c r="G704" i="2" s="1"/>
  <c r="W705" i="2"/>
  <c r="G705" i="2" s="1"/>
  <c r="W706" i="2"/>
  <c r="G706" i="2" s="1"/>
  <c r="W707" i="2"/>
  <c r="G707" i="2" s="1"/>
  <c r="W708" i="2"/>
  <c r="G708" i="2" s="1"/>
  <c r="W709" i="2"/>
  <c r="G709" i="2" s="1"/>
  <c r="W710" i="2"/>
  <c r="G710" i="2" s="1"/>
  <c r="W711" i="2"/>
  <c r="G711" i="2" s="1"/>
  <c r="W712" i="2"/>
  <c r="G712" i="2" s="1"/>
  <c r="W713" i="2"/>
  <c r="G713" i="2" s="1"/>
  <c r="W714" i="2"/>
  <c r="G714" i="2" s="1"/>
  <c r="W715" i="2"/>
  <c r="G715" i="2" s="1"/>
  <c r="W716" i="2"/>
  <c r="G716" i="2" s="1"/>
  <c r="W717" i="2"/>
  <c r="G717" i="2" s="1"/>
  <c r="W718" i="2"/>
  <c r="G718" i="2" s="1"/>
  <c r="W719" i="2"/>
  <c r="G719" i="2" s="1"/>
  <c r="W720" i="2"/>
  <c r="G720" i="2" s="1"/>
  <c r="W721" i="2"/>
  <c r="G721" i="2" s="1"/>
  <c r="W722" i="2"/>
  <c r="G722" i="2" s="1"/>
  <c r="W723" i="2"/>
  <c r="G723" i="2" s="1"/>
  <c r="W724" i="2"/>
  <c r="G724" i="2" s="1"/>
  <c r="W725" i="2"/>
  <c r="G725" i="2" s="1"/>
  <c r="W726" i="2"/>
  <c r="G726" i="2" s="1"/>
  <c r="W727" i="2"/>
  <c r="G727" i="2" s="1"/>
  <c r="W728" i="2"/>
  <c r="G728" i="2" s="1"/>
  <c r="W729" i="2"/>
  <c r="G729" i="2" s="1"/>
  <c r="W730" i="2"/>
  <c r="G730" i="2" s="1"/>
  <c r="W731" i="2"/>
  <c r="G731" i="2" s="1"/>
  <c r="W732" i="2"/>
  <c r="G732" i="2" s="1"/>
  <c r="W733" i="2"/>
  <c r="G733" i="2" s="1"/>
  <c r="W734" i="2"/>
  <c r="G734" i="2" s="1"/>
  <c r="W735" i="2"/>
  <c r="G735" i="2" s="1"/>
  <c r="W736" i="2"/>
  <c r="G736" i="2" s="1"/>
  <c r="W737" i="2"/>
  <c r="G737" i="2" s="1"/>
  <c r="W738" i="2"/>
  <c r="G738" i="2" s="1"/>
  <c r="W739" i="2"/>
  <c r="G739" i="2" s="1"/>
  <c r="W740" i="2"/>
  <c r="G740" i="2" s="1"/>
  <c r="W741" i="2"/>
  <c r="G741" i="2" s="1"/>
  <c r="W742" i="2"/>
  <c r="G742" i="2" s="1"/>
  <c r="W743" i="2"/>
  <c r="G743" i="2" s="1"/>
  <c r="W744" i="2"/>
  <c r="G744" i="2" s="1"/>
  <c r="W745" i="2"/>
  <c r="G745" i="2" s="1"/>
  <c r="W746" i="2"/>
  <c r="G746" i="2" s="1"/>
  <c r="W747" i="2"/>
  <c r="G747" i="2" s="1"/>
  <c r="W748" i="2"/>
  <c r="G748" i="2" s="1"/>
  <c r="W749" i="2"/>
  <c r="G749" i="2" s="1"/>
  <c r="W750" i="2"/>
  <c r="G750" i="2" s="1"/>
  <c r="W751" i="2"/>
  <c r="G751" i="2" s="1"/>
  <c r="W752" i="2"/>
  <c r="G752" i="2" s="1"/>
  <c r="W753" i="2"/>
  <c r="G753" i="2" s="1"/>
  <c r="W754" i="2"/>
  <c r="G754" i="2" s="1"/>
  <c r="W755" i="2"/>
  <c r="G755" i="2" s="1"/>
  <c r="W756" i="2"/>
  <c r="G756" i="2" s="1"/>
  <c r="W757" i="2"/>
  <c r="G757" i="2" s="1"/>
  <c r="W758" i="2"/>
  <c r="G758" i="2" s="1"/>
  <c r="W759" i="2"/>
  <c r="G759" i="2" s="1"/>
  <c r="W760" i="2"/>
  <c r="G760" i="2" s="1"/>
  <c r="W761" i="2"/>
  <c r="G761" i="2" s="1"/>
  <c r="W762" i="2"/>
  <c r="G762" i="2" s="1"/>
  <c r="W763" i="2"/>
  <c r="G763" i="2" s="1"/>
  <c r="W764" i="2"/>
  <c r="G764" i="2" s="1"/>
  <c r="W765" i="2"/>
  <c r="G765" i="2" s="1"/>
  <c r="W766" i="2"/>
  <c r="G766" i="2" s="1"/>
  <c r="W767" i="2"/>
  <c r="G767" i="2" s="1"/>
  <c r="W768" i="2"/>
  <c r="G768" i="2" s="1"/>
  <c r="W769" i="2"/>
  <c r="G769" i="2" s="1"/>
  <c r="W770" i="2"/>
  <c r="G770" i="2" s="1"/>
  <c r="W771" i="2"/>
  <c r="G771" i="2" s="1"/>
  <c r="W772" i="2"/>
  <c r="G772" i="2" s="1"/>
  <c r="W773" i="2"/>
  <c r="G773" i="2" s="1"/>
  <c r="W774" i="2"/>
  <c r="G774" i="2" s="1"/>
  <c r="W775" i="2"/>
  <c r="G775" i="2" s="1"/>
  <c r="W776" i="2"/>
  <c r="G776" i="2" s="1"/>
  <c r="W777" i="2"/>
  <c r="G777" i="2" s="1"/>
  <c r="W778" i="2"/>
  <c r="G778" i="2" s="1"/>
  <c r="W779" i="2"/>
  <c r="G779" i="2" s="1"/>
  <c r="W780" i="2"/>
  <c r="G780" i="2" s="1"/>
  <c r="W781" i="2"/>
  <c r="G781" i="2" s="1"/>
  <c r="W782" i="2"/>
  <c r="G782" i="2" s="1"/>
  <c r="W783" i="2"/>
  <c r="G783" i="2" s="1"/>
  <c r="W784" i="2"/>
  <c r="G784" i="2" s="1"/>
  <c r="W785" i="2"/>
  <c r="G785" i="2" s="1"/>
  <c r="W786" i="2"/>
  <c r="G786" i="2" s="1"/>
  <c r="W787" i="2"/>
  <c r="G787" i="2" s="1"/>
  <c r="W788" i="2"/>
  <c r="G788" i="2" s="1"/>
  <c r="W789" i="2"/>
  <c r="G789" i="2" s="1"/>
  <c r="W790" i="2"/>
  <c r="G790" i="2" s="1"/>
  <c r="W791" i="2"/>
  <c r="G791" i="2" s="1"/>
  <c r="W792" i="2"/>
  <c r="G792" i="2" s="1"/>
  <c r="W793" i="2"/>
  <c r="G793" i="2" s="1"/>
  <c r="W794" i="2"/>
  <c r="G794" i="2" s="1"/>
  <c r="W795" i="2"/>
  <c r="G795" i="2" s="1"/>
  <c r="W796" i="2"/>
  <c r="G796" i="2" s="1"/>
  <c r="W797" i="2"/>
  <c r="G797" i="2" s="1"/>
  <c r="W798" i="2"/>
  <c r="G798" i="2" s="1"/>
  <c r="W799" i="2"/>
  <c r="G799" i="2" s="1"/>
  <c r="W800" i="2"/>
  <c r="G800" i="2" s="1"/>
  <c r="W801" i="2"/>
  <c r="G801" i="2" s="1"/>
  <c r="W802" i="2"/>
  <c r="G802" i="2" s="1"/>
  <c r="W803" i="2"/>
  <c r="G803" i="2" s="1"/>
  <c r="W804" i="2"/>
  <c r="G804" i="2" s="1"/>
  <c r="W805" i="2"/>
  <c r="G805" i="2" s="1"/>
  <c r="W806" i="2"/>
  <c r="G806" i="2" s="1"/>
  <c r="W807" i="2"/>
  <c r="G807" i="2" s="1"/>
  <c r="W808" i="2"/>
  <c r="G808" i="2" s="1"/>
  <c r="W809" i="2"/>
  <c r="G809" i="2" s="1"/>
  <c r="W810" i="2"/>
  <c r="G810" i="2" s="1"/>
  <c r="W811" i="2"/>
  <c r="G811" i="2" s="1"/>
  <c r="W812" i="2"/>
  <c r="G812" i="2" s="1"/>
  <c r="W813" i="2"/>
  <c r="G813" i="2" s="1"/>
  <c r="W814" i="2"/>
  <c r="G814" i="2" s="1"/>
  <c r="W815" i="2"/>
  <c r="G815" i="2" s="1"/>
  <c r="W816" i="2"/>
  <c r="G816" i="2" s="1"/>
  <c r="W817" i="2"/>
  <c r="G817" i="2" s="1"/>
  <c r="W818" i="2"/>
  <c r="G818" i="2" s="1"/>
  <c r="W819" i="2"/>
  <c r="G819" i="2" s="1"/>
  <c r="W820" i="2"/>
  <c r="G820" i="2" s="1"/>
  <c r="W821" i="2"/>
  <c r="G821" i="2" s="1"/>
  <c r="W822" i="2"/>
  <c r="G822" i="2" s="1"/>
  <c r="W823" i="2"/>
  <c r="G823" i="2" s="1"/>
  <c r="W824" i="2"/>
  <c r="G824" i="2" s="1"/>
  <c r="W825" i="2"/>
  <c r="G825" i="2" s="1"/>
  <c r="W826" i="2"/>
  <c r="G826" i="2" s="1"/>
  <c r="W827" i="2"/>
  <c r="G827" i="2" s="1"/>
  <c r="W828" i="2"/>
  <c r="G828" i="2" s="1"/>
  <c r="W829" i="2"/>
  <c r="G829" i="2" s="1"/>
  <c r="W830" i="2"/>
  <c r="G830" i="2" s="1"/>
  <c r="W831" i="2"/>
  <c r="G831" i="2" s="1"/>
  <c r="W832" i="2"/>
  <c r="G832" i="2" s="1"/>
  <c r="W833" i="2"/>
  <c r="G833" i="2" s="1"/>
  <c r="W834" i="2"/>
  <c r="G834" i="2" s="1"/>
  <c r="W835" i="2"/>
  <c r="G835" i="2" s="1"/>
  <c r="W836" i="2"/>
  <c r="G836" i="2" s="1"/>
  <c r="W837" i="2"/>
  <c r="G837" i="2" s="1"/>
  <c r="W838" i="2"/>
  <c r="G838" i="2" s="1"/>
  <c r="W839" i="2"/>
  <c r="G839" i="2" s="1"/>
  <c r="W840" i="2"/>
  <c r="G840" i="2" s="1"/>
  <c r="W841" i="2"/>
  <c r="G841" i="2" s="1"/>
  <c r="W842" i="2"/>
  <c r="G842" i="2" s="1"/>
  <c r="W843" i="2"/>
  <c r="G843" i="2" s="1"/>
  <c r="W844" i="2"/>
  <c r="G844" i="2" s="1"/>
  <c r="W845" i="2"/>
  <c r="G845" i="2" s="1"/>
  <c r="W846" i="2"/>
  <c r="G846" i="2" s="1"/>
  <c r="W847" i="2"/>
  <c r="G847" i="2" s="1"/>
  <c r="W848" i="2"/>
  <c r="G848" i="2" s="1"/>
  <c r="W849" i="2"/>
  <c r="G849" i="2" s="1"/>
  <c r="W850" i="2"/>
  <c r="G850" i="2" s="1"/>
  <c r="W851" i="2"/>
  <c r="G851" i="2" s="1"/>
  <c r="W852" i="2"/>
  <c r="G852" i="2" s="1"/>
  <c r="W853" i="2"/>
  <c r="G853" i="2" s="1"/>
  <c r="W854" i="2"/>
  <c r="G854" i="2" s="1"/>
  <c r="W855" i="2"/>
  <c r="G855" i="2" s="1"/>
  <c r="W856" i="2"/>
  <c r="G856" i="2" s="1"/>
  <c r="W857" i="2"/>
  <c r="G857" i="2" s="1"/>
  <c r="W858" i="2"/>
  <c r="G858" i="2" s="1"/>
  <c r="W859" i="2"/>
  <c r="G859" i="2" s="1"/>
  <c r="W860" i="2"/>
  <c r="G860" i="2" s="1"/>
  <c r="W861" i="2"/>
  <c r="G861" i="2" s="1"/>
  <c r="W862" i="2"/>
  <c r="G862" i="2" s="1"/>
  <c r="W863" i="2"/>
  <c r="G863" i="2" s="1"/>
  <c r="W864" i="2"/>
  <c r="G864" i="2" s="1"/>
  <c r="W865" i="2"/>
  <c r="G865" i="2" s="1"/>
  <c r="W866" i="2"/>
  <c r="G866" i="2" s="1"/>
  <c r="W867" i="2"/>
  <c r="G867" i="2" s="1"/>
  <c r="W868" i="2"/>
  <c r="G868" i="2" s="1"/>
  <c r="W869" i="2"/>
  <c r="G869" i="2" s="1"/>
  <c r="W870" i="2"/>
  <c r="G870" i="2" s="1"/>
  <c r="W871" i="2"/>
  <c r="G871" i="2" s="1"/>
  <c r="W872" i="2"/>
  <c r="G872" i="2" s="1"/>
  <c r="W873" i="2"/>
  <c r="G873" i="2" s="1"/>
  <c r="W874" i="2"/>
  <c r="G874" i="2" s="1"/>
  <c r="W875" i="2"/>
  <c r="G875" i="2" s="1"/>
  <c r="W876" i="2"/>
  <c r="G876" i="2" s="1"/>
  <c r="W877" i="2"/>
  <c r="G877" i="2" s="1"/>
  <c r="W878" i="2"/>
  <c r="G878" i="2" s="1"/>
  <c r="W879" i="2"/>
  <c r="G879" i="2" s="1"/>
  <c r="W880" i="2"/>
  <c r="G880" i="2" s="1"/>
  <c r="W881" i="2"/>
  <c r="G881" i="2" s="1"/>
  <c r="W882" i="2"/>
  <c r="G882" i="2" s="1"/>
  <c r="W883" i="2"/>
  <c r="G883" i="2" s="1"/>
  <c r="W884" i="2"/>
  <c r="G884" i="2" s="1"/>
  <c r="W885" i="2"/>
  <c r="G885" i="2" s="1"/>
  <c r="W886" i="2"/>
  <c r="G886" i="2" s="1"/>
  <c r="W887" i="2"/>
  <c r="G887" i="2" s="1"/>
  <c r="W888" i="2"/>
  <c r="G888" i="2" s="1"/>
  <c r="W889" i="2"/>
  <c r="G889" i="2" s="1"/>
  <c r="W890" i="2"/>
  <c r="G890" i="2" s="1"/>
  <c r="W891" i="2"/>
  <c r="G891" i="2" s="1"/>
  <c r="W892" i="2"/>
  <c r="G892" i="2" s="1"/>
  <c r="W893" i="2"/>
  <c r="G893" i="2" s="1"/>
  <c r="W894" i="2"/>
  <c r="G894" i="2" s="1"/>
  <c r="W895" i="2"/>
  <c r="G895" i="2" s="1"/>
  <c r="W896" i="2"/>
  <c r="G896" i="2" s="1"/>
  <c r="W897" i="2"/>
  <c r="G897" i="2" s="1"/>
  <c r="W898" i="2"/>
  <c r="G898" i="2" s="1"/>
  <c r="W899" i="2"/>
  <c r="G899" i="2" s="1"/>
  <c r="W900" i="2"/>
  <c r="G900" i="2" s="1"/>
  <c r="W901" i="2"/>
  <c r="G901" i="2" s="1"/>
  <c r="W902" i="2"/>
  <c r="G902" i="2" s="1"/>
  <c r="W903" i="2"/>
  <c r="G903" i="2" s="1"/>
  <c r="W904" i="2"/>
  <c r="G904" i="2" s="1"/>
  <c r="W905" i="2"/>
  <c r="G905" i="2" s="1"/>
  <c r="W906" i="2"/>
  <c r="G906" i="2" s="1"/>
  <c r="W907" i="2"/>
  <c r="G907" i="2" s="1"/>
  <c r="W908" i="2"/>
  <c r="G908" i="2" s="1"/>
  <c r="W909" i="2"/>
  <c r="G909" i="2" s="1"/>
  <c r="W910" i="2"/>
  <c r="G910" i="2" s="1"/>
  <c r="W911" i="2"/>
  <c r="G911" i="2" s="1"/>
  <c r="W912" i="2"/>
  <c r="G912" i="2" s="1"/>
  <c r="W913" i="2"/>
  <c r="G913" i="2" s="1"/>
  <c r="W914" i="2"/>
  <c r="G914" i="2" s="1"/>
  <c r="W915" i="2"/>
  <c r="G915" i="2" s="1"/>
  <c r="W916" i="2"/>
  <c r="G916" i="2" s="1"/>
  <c r="W917" i="2"/>
  <c r="G917" i="2" s="1"/>
  <c r="W918" i="2"/>
  <c r="G918" i="2" s="1"/>
  <c r="W919" i="2"/>
  <c r="G919" i="2" s="1"/>
  <c r="W920" i="2"/>
  <c r="G920" i="2" s="1"/>
  <c r="W921" i="2"/>
  <c r="G921" i="2" s="1"/>
  <c r="W922" i="2"/>
  <c r="G922" i="2" s="1"/>
  <c r="W923" i="2"/>
  <c r="G923" i="2" s="1"/>
  <c r="W924" i="2"/>
  <c r="G924" i="2" s="1"/>
  <c r="W925" i="2"/>
  <c r="G925" i="2" s="1"/>
  <c r="W926" i="2"/>
  <c r="G926" i="2" s="1"/>
  <c r="W927" i="2"/>
  <c r="G927" i="2" s="1"/>
  <c r="W928" i="2"/>
  <c r="G928" i="2" s="1"/>
  <c r="W929" i="2"/>
  <c r="G929" i="2" s="1"/>
  <c r="W930" i="2"/>
  <c r="G930" i="2" s="1"/>
  <c r="W931" i="2"/>
  <c r="G931" i="2" s="1"/>
  <c r="W932" i="2"/>
  <c r="G932" i="2" s="1"/>
  <c r="W933" i="2"/>
  <c r="G933" i="2" s="1"/>
  <c r="W934" i="2"/>
  <c r="G934" i="2" s="1"/>
  <c r="W935" i="2"/>
  <c r="G935" i="2" s="1"/>
  <c r="W936" i="2"/>
  <c r="G936" i="2" s="1"/>
  <c r="W937" i="2"/>
  <c r="G937" i="2" s="1"/>
  <c r="W938" i="2"/>
  <c r="G938" i="2" s="1"/>
  <c r="W939" i="2"/>
  <c r="G939" i="2" s="1"/>
  <c r="W940" i="2"/>
  <c r="G940" i="2" s="1"/>
  <c r="W941" i="2"/>
  <c r="G941" i="2" s="1"/>
  <c r="W942" i="2"/>
  <c r="G942" i="2" s="1"/>
  <c r="W943" i="2"/>
  <c r="G943" i="2" s="1"/>
  <c r="W944" i="2"/>
  <c r="G944" i="2" s="1"/>
  <c r="W945" i="2"/>
  <c r="G945" i="2" s="1"/>
  <c r="W946" i="2"/>
  <c r="G946" i="2" s="1"/>
  <c r="W947" i="2"/>
  <c r="G947" i="2" s="1"/>
  <c r="W948" i="2"/>
  <c r="G948" i="2" s="1"/>
  <c r="W949" i="2"/>
  <c r="G949" i="2" s="1"/>
  <c r="W950" i="2"/>
  <c r="G950" i="2" s="1"/>
  <c r="W951" i="2"/>
  <c r="G951" i="2" s="1"/>
  <c r="W952" i="2"/>
  <c r="G952" i="2" s="1"/>
  <c r="W953" i="2"/>
  <c r="G953" i="2" s="1"/>
  <c r="W954" i="2"/>
  <c r="G954" i="2" s="1"/>
  <c r="W955" i="2"/>
  <c r="G955" i="2" s="1"/>
  <c r="W956" i="2"/>
  <c r="G956" i="2" s="1"/>
  <c r="W957" i="2"/>
  <c r="G957" i="2" s="1"/>
  <c r="W958" i="2"/>
  <c r="G958" i="2" s="1"/>
  <c r="W959" i="2"/>
  <c r="G959" i="2" s="1"/>
  <c r="W960" i="2"/>
  <c r="G960" i="2" s="1"/>
  <c r="W961" i="2"/>
  <c r="G961" i="2" s="1"/>
  <c r="W962" i="2"/>
  <c r="G962" i="2" s="1"/>
  <c r="W963" i="2"/>
  <c r="G963" i="2" s="1"/>
  <c r="W964" i="2"/>
  <c r="G964" i="2" s="1"/>
  <c r="W965" i="2"/>
  <c r="G965" i="2" s="1"/>
  <c r="W966" i="2"/>
  <c r="G966" i="2" s="1"/>
  <c r="W967" i="2"/>
  <c r="G967" i="2" s="1"/>
  <c r="W968" i="2"/>
  <c r="G968" i="2" s="1"/>
  <c r="W969" i="2"/>
  <c r="G969" i="2" s="1"/>
  <c r="W970" i="2"/>
  <c r="G970" i="2" s="1"/>
  <c r="W971" i="2"/>
  <c r="G971" i="2" s="1"/>
  <c r="W972" i="2"/>
  <c r="G972" i="2" s="1"/>
  <c r="W973" i="2"/>
  <c r="G973" i="2" s="1"/>
  <c r="W974" i="2"/>
  <c r="G974" i="2" s="1"/>
  <c r="W975" i="2"/>
  <c r="G975" i="2" s="1"/>
  <c r="W976" i="2"/>
  <c r="G976" i="2" s="1"/>
  <c r="W977" i="2"/>
  <c r="G977" i="2" s="1"/>
  <c r="W978" i="2"/>
  <c r="G978" i="2" s="1"/>
  <c r="W979" i="2"/>
  <c r="G979" i="2" s="1"/>
  <c r="W980" i="2"/>
  <c r="G980" i="2" s="1"/>
  <c r="W981" i="2"/>
  <c r="G981" i="2" s="1"/>
  <c r="W982" i="2"/>
  <c r="G982" i="2" s="1"/>
  <c r="W983" i="2"/>
  <c r="G983" i="2" s="1"/>
  <c r="W984" i="2"/>
  <c r="G984" i="2" s="1"/>
  <c r="W985" i="2"/>
  <c r="G985" i="2" s="1"/>
  <c r="W986" i="2"/>
  <c r="G986" i="2" s="1"/>
  <c r="W987" i="2"/>
  <c r="G987" i="2" s="1"/>
  <c r="W988" i="2"/>
  <c r="G988" i="2" s="1"/>
  <c r="W989" i="2"/>
  <c r="G989" i="2" s="1"/>
  <c r="W990" i="2"/>
  <c r="G990" i="2" s="1"/>
  <c r="W991" i="2"/>
  <c r="G991" i="2" s="1"/>
  <c r="W992" i="2"/>
  <c r="G992" i="2" s="1"/>
  <c r="W993" i="2"/>
  <c r="G993" i="2" s="1"/>
  <c r="W994" i="2"/>
  <c r="G994" i="2" s="1"/>
  <c r="W995" i="2"/>
  <c r="G995" i="2" s="1"/>
  <c r="W996" i="2"/>
  <c r="G996" i="2" s="1"/>
  <c r="W997" i="2"/>
  <c r="G997" i="2" s="1"/>
  <c r="W998" i="2"/>
  <c r="G998" i="2" s="1"/>
  <c r="W999" i="2"/>
  <c r="G999" i="2" s="1"/>
  <c r="W1000" i="2"/>
  <c r="G1000" i="2" s="1"/>
  <c r="W1001" i="2"/>
  <c r="G1001" i="2" s="1"/>
  <c r="W1002" i="2"/>
  <c r="G1002" i="2" s="1"/>
  <c r="W1003" i="2"/>
  <c r="G1003" i="2" s="1"/>
  <c r="W1004" i="2"/>
  <c r="G1004" i="2" s="1"/>
  <c r="W1005" i="2"/>
  <c r="G1005" i="2" s="1"/>
  <c r="W1006" i="2"/>
  <c r="G1006" i="2" s="1"/>
  <c r="W1007" i="2"/>
  <c r="G1007" i="2" s="1"/>
  <c r="W1008" i="2"/>
  <c r="G1008" i="2" s="1"/>
  <c r="W1009" i="2"/>
  <c r="G1009" i="2" s="1"/>
  <c r="W1010" i="2"/>
  <c r="G1010" i="2" s="1"/>
  <c r="W1011" i="2"/>
  <c r="G1011" i="2" s="1"/>
  <c r="W1012" i="2"/>
  <c r="G1012" i="2" s="1"/>
  <c r="W1013" i="2"/>
  <c r="G1013" i="2" s="1"/>
  <c r="W1014" i="2"/>
  <c r="G1014" i="2" s="1"/>
  <c r="W1015" i="2"/>
  <c r="G1015" i="2" s="1"/>
  <c r="W1016" i="2"/>
  <c r="G1016" i="2" s="1"/>
  <c r="W1017" i="2"/>
  <c r="G1017" i="2" s="1"/>
  <c r="W1018" i="2"/>
  <c r="G1018" i="2" s="1"/>
  <c r="W1019" i="2"/>
  <c r="G1019" i="2" s="1"/>
  <c r="W1020" i="2"/>
  <c r="G1020" i="2" s="1"/>
  <c r="W1021" i="2"/>
  <c r="G1021" i="2" s="1"/>
  <c r="W1022" i="2"/>
  <c r="G1022" i="2" s="1"/>
  <c r="W1023" i="2"/>
  <c r="G1023" i="2" s="1"/>
  <c r="W1024" i="2"/>
  <c r="G1024" i="2" s="1"/>
  <c r="W1025" i="2"/>
  <c r="G1025" i="2" s="1"/>
  <c r="W1026" i="2"/>
  <c r="G1026" i="2" s="1"/>
  <c r="W1027" i="2"/>
  <c r="G1027" i="2" s="1"/>
  <c r="W1028" i="2"/>
  <c r="G1028" i="2" s="1"/>
  <c r="W1029" i="2"/>
  <c r="G1029" i="2" s="1"/>
  <c r="W1030" i="2"/>
  <c r="G1030" i="2" s="1"/>
  <c r="W1031" i="2"/>
  <c r="G1031" i="2" s="1"/>
  <c r="W1032" i="2"/>
  <c r="G1032" i="2" s="1"/>
  <c r="W1033" i="2"/>
  <c r="G1033" i="2" s="1"/>
  <c r="W1034" i="2"/>
  <c r="G1034" i="2" s="1"/>
  <c r="W1035" i="2"/>
  <c r="G1035" i="2" s="1"/>
  <c r="W1036" i="2"/>
  <c r="G1036" i="2" s="1"/>
  <c r="W1037" i="2"/>
  <c r="G1037" i="2" s="1"/>
  <c r="W1038" i="2"/>
  <c r="G1038" i="2" s="1"/>
  <c r="W1039" i="2"/>
  <c r="G1039" i="2" s="1"/>
  <c r="W1040" i="2"/>
  <c r="G1040" i="2" s="1"/>
  <c r="W1041" i="2"/>
  <c r="G1041" i="2" s="1"/>
  <c r="W1042" i="2"/>
  <c r="G1042" i="2" s="1"/>
  <c r="W1043" i="2"/>
  <c r="G1043" i="2" s="1"/>
  <c r="W1044" i="2"/>
  <c r="G1044" i="2" s="1"/>
  <c r="W1045" i="2"/>
  <c r="G1045" i="2" s="1"/>
  <c r="W1046" i="2"/>
  <c r="G1046" i="2" s="1"/>
  <c r="W1047" i="2"/>
  <c r="G1047" i="2" s="1"/>
  <c r="W1048" i="2"/>
  <c r="G1048" i="2" s="1"/>
  <c r="W1049" i="2"/>
  <c r="G1049" i="2" s="1"/>
  <c r="W1050" i="2"/>
  <c r="G1050" i="2" s="1"/>
  <c r="W1051" i="2"/>
  <c r="G1051" i="2" s="1"/>
  <c r="W1052" i="2"/>
  <c r="G1052" i="2" s="1"/>
  <c r="W1053" i="2"/>
  <c r="G1053" i="2" s="1"/>
  <c r="W1054" i="2"/>
  <c r="G1054" i="2" s="1"/>
  <c r="W1055" i="2"/>
  <c r="G1055" i="2" s="1"/>
  <c r="W1056" i="2"/>
  <c r="G1056" i="2" s="1"/>
  <c r="W1057" i="2"/>
  <c r="G1057" i="2" s="1"/>
  <c r="W1058" i="2"/>
  <c r="G1058" i="2" s="1"/>
  <c r="W1059" i="2"/>
  <c r="G1059" i="2" s="1"/>
  <c r="W1060" i="2"/>
  <c r="G1060" i="2" s="1"/>
  <c r="W1061" i="2"/>
  <c r="G1061" i="2" s="1"/>
  <c r="W1062" i="2"/>
  <c r="G1062" i="2" s="1"/>
  <c r="W1063" i="2"/>
  <c r="G1063" i="2" s="1"/>
  <c r="W1064" i="2"/>
  <c r="G1064" i="2" s="1"/>
  <c r="W1065" i="2"/>
  <c r="G1065" i="2" s="1"/>
  <c r="W1066" i="2"/>
  <c r="G1066" i="2" s="1"/>
  <c r="W1067" i="2"/>
  <c r="G1067" i="2" s="1"/>
  <c r="W1068" i="2"/>
  <c r="G1068" i="2" s="1"/>
  <c r="W1069" i="2"/>
  <c r="G1069" i="2" s="1"/>
  <c r="W1070" i="2"/>
  <c r="G1070" i="2" s="1"/>
  <c r="W1071" i="2"/>
  <c r="G1071" i="2" s="1"/>
  <c r="W1072" i="2"/>
  <c r="G1072" i="2" s="1"/>
  <c r="W1073" i="2"/>
  <c r="G1073" i="2" s="1"/>
  <c r="W1074" i="2"/>
  <c r="G1074" i="2" s="1"/>
  <c r="W1075" i="2"/>
  <c r="G1075" i="2" s="1"/>
  <c r="W1076" i="2"/>
  <c r="G1076" i="2" s="1"/>
  <c r="W1077" i="2"/>
  <c r="G1077" i="2" s="1"/>
  <c r="W1078" i="2"/>
  <c r="G1078" i="2" s="1"/>
  <c r="W1079" i="2"/>
  <c r="G1079" i="2" s="1"/>
  <c r="W1080" i="2"/>
  <c r="G1080" i="2" s="1"/>
  <c r="W1081" i="2"/>
  <c r="G1081" i="2" s="1"/>
  <c r="W1082" i="2"/>
  <c r="G1082" i="2" s="1"/>
  <c r="W1083" i="2"/>
  <c r="G1083" i="2" s="1"/>
  <c r="W1084" i="2"/>
  <c r="G1084" i="2" s="1"/>
  <c r="W1085" i="2"/>
  <c r="G1085" i="2" s="1"/>
  <c r="W1086" i="2"/>
  <c r="G1086" i="2" s="1"/>
  <c r="W1087" i="2"/>
  <c r="G1087" i="2" s="1"/>
  <c r="W1088" i="2"/>
  <c r="G1088" i="2" s="1"/>
  <c r="W1089" i="2"/>
  <c r="G1089" i="2" s="1"/>
  <c r="W1090" i="2"/>
  <c r="G1090" i="2" s="1"/>
  <c r="W1091" i="2"/>
  <c r="G1091" i="2" s="1"/>
  <c r="W1092" i="2"/>
  <c r="G1092" i="2" s="1"/>
  <c r="W1093" i="2"/>
  <c r="G1093" i="2" s="1"/>
  <c r="W1094" i="2"/>
  <c r="G1094" i="2" s="1"/>
  <c r="W1095" i="2"/>
  <c r="G1095" i="2" s="1"/>
  <c r="W1096" i="2"/>
  <c r="G1096" i="2" s="1"/>
  <c r="W1097" i="2"/>
  <c r="G1097" i="2" s="1"/>
  <c r="W1098" i="2"/>
  <c r="G1098" i="2" s="1"/>
  <c r="W1099" i="2"/>
  <c r="G1099" i="2" s="1"/>
  <c r="W1100" i="2"/>
  <c r="G1100" i="2" s="1"/>
  <c r="W1101" i="2"/>
  <c r="G1101" i="2" s="1"/>
  <c r="W1102" i="2"/>
  <c r="G1102" i="2" s="1"/>
  <c r="W1103" i="2"/>
  <c r="G1103" i="2" s="1"/>
  <c r="W1104" i="2"/>
  <c r="G1104" i="2" s="1"/>
  <c r="W1105" i="2"/>
  <c r="G1105" i="2" s="1"/>
  <c r="W1106" i="2"/>
  <c r="G1106" i="2" s="1"/>
  <c r="W1107" i="2"/>
  <c r="G1107" i="2" s="1"/>
  <c r="W1108" i="2"/>
  <c r="G1108" i="2" s="1"/>
  <c r="W1109" i="2"/>
  <c r="G1109" i="2" s="1"/>
  <c r="W1110" i="2"/>
  <c r="G1110" i="2" s="1"/>
  <c r="W1111" i="2"/>
  <c r="G1111" i="2" s="1"/>
  <c r="W1112" i="2"/>
  <c r="G1112" i="2" s="1"/>
  <c r="W1113" i="2"/>
  <c r="G1113" i="2" s="1"/>
  <c r="W1114" i="2"/>
  <c r="G1114" i="2" s="1"/>
  <c r="W1115" i="2"/>
  <c r="G1115" i="2" s="1"/>
  <c r="W1116" i="2"/>
  <c r="G1116" i="2" s="1"/>
  <c r="W1117" i="2"/>
  <c r="G1117" i="2" s="1"/>
  <c r="W1118" i="2"/>
  <c r="G1118" i="2" s="1"/>
  <c r="W1119" i="2"/>
  <c r="G1119" i="2" s="1"/>
  <c r="W1120" i="2"/>
  <c r="G1120" i="2" s="1"/>
  <c r="W1121" i="2"/>
  <c r="G1121" i="2" s="1"/>
  <c r="W1122" i="2"/>
  <c r="G1122" i="2" s="1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2" i="3"/>
  <c r="W2" i="2" l="1"/>
  <c r="G2" i="2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2" i="2"/>
</calcChain>
</file>

<file path=xl/sharedStrings.xml><?xml version="1.0" encoding="utf-8"?>
<sst xmlns="http://schemas.openxmlformats.org/spreadsheetml/2006/main" count="3845" uniqueCount="1824">
  <si>
    <t>M1-统计年月</t>
  </si>
  <si>
    <t>M1-部门</t>
  </si>
  <si>
    <t>I1-销售客户</t>
  </si>
  <si>
    <t>I1-客户类型</t>
  </si>
  <si>
    <t>I1-产品（财务）</t>
  </si>
  <si>
    <t>品名</t>
  </si>
  <si>
    <t>规格</t>
  </si>
  <si>
    <t>生产企业</t>
  </si>
  <si>
    <t>I1-产品类型</t>
  </si>
  <si>
    <t>I1-实际业务年月</t>
  </si>
  <si>
    <t>I1-销售日期</t>
  </si>
  <si>
    <t>I1-数量</t>
  </si>
  <si>
    <t>I1-销售价格</t>
  </si>
  <si>
    <t>I1-批次</t>
  </si>
  <si>
    <t>I1-购入客户类型（手工录入）</t>
  </si>
  <si>
    <t>I1-购入客户（导入）</t>
  </si>
  <si>
    <t>I1-区县</t>
  </si>
  <si>
    <t>I1-专管经理</t>
  </si>
  <si>
    <t>I1-管理线</t>
  </si>
  <si>
    <t>负责终端的业务员姓名</t>
  </si>
  <si>
    <t>业务员人员属性</t>
  </si>
  <si>
    <t>M1-销售客户</t>
  </si>
  <si>
    <t>M1-客户类型</t>
  </si>
  <si>
    <t>I1-转配客户(名称)</t>
  </si>
  <si>
    <t>I1-转配送客户类型（手工录入）</t>
  </si>
  <si>
    <t>销售客户编号</t>
  </si>
  <si>
    <t>销售客户名称</t>
  </si>
  <si>
    <t>02029238</t>
  </si>
  <si>
    <t>山东康为医药有限公司</t>
  </si>
  <si>
    <t>02029669</t>
  </si>
  <si>
    <t>山东华源天宏药业有限公司临清友和医药分公司</t>
  </si>
  <si>
    <t>02004006</t>
  </si>
  <si>
    <t>山东省飞龙中大药业有限公司</t>
  </si>
  <si>
    <t>02004007</t>
  </si>
  <si>
    <t>山东大洪药业有限公司</t>
  </si>
  <si>
    <t>02004033</t>
  </si>
  <si>
    <t>烟台东信医药有限公司</t>
  </si>
  <si>
    <t>02031871</t>
  </si>
  <si>
    <t>华润菏泽医药有限公司</t>
  </si>
  <si>
    <t>02031912</t>
  </si>
  <si>
    <t>济南同科医药物流有限公司</t>
  </si>
  <si>
    <t>02032120</t>
  </si>
  <si>
    <t>淄博博仁医药有限公司</t>
  </si>
  <si>
    <t>02032289</t>
  </si>
  <si>
    <t>山东耕邦得凯药业有限公司</t>
  </si>
  <si>
    <t>02032475</t>
  </si>
  <si>
    <t>济南华新医药有限公司</t>
  </si>
  <si>
    <t>02032663</t>
  </si>
  <si>
    <t>山东大海医药有限公司</t>
  </si>
  <si>
    <t>02032735</t>
  </si>
  <si>
    <t>山东国信药业有限公司</t>
  </si>
  <si>
    <t>02033447</t>
  </si>
  <si>
    <t>山东舜伟药业有限公司</t>
  </si>
  <si>
    <t>02034443</t>
  </si>
  <si>
    <t>山东聊城百进医药有限公司</t>
  </si>
  <si>
    <t>02034501</t>
  </si>
  <si>
    <t>山东耀泰药业有限公司</t>
  </si>
  <si>
    <t>02034502</t>
  </si>
  <si>
    <t>滨州海王黄河医药有限公司</t>
  </si>
  <si>
    <t>02034558</t>
  </si>
  <si>
    <t>山东厚进药业有限公司</t>
  </si>
  <si>
    <t>02034662</t>
  </si>
  <si>
    <t>济宁海王华森医药有限公司</t>
  </si>
  <si>
    <t>02036377</t>
  </si>
  <si>
    <t>山东海王医药集团有限公司</t>
  </si>
  <si>
    <t>02001561</t>
  </si>
  <si>
    <t>山东诺达医药有限公司</t>
  </si>
  <si>
    <t>02004015</t>
  </si>
  <si>
    <t>山东东惠青岛公司药品经营部</t>
  </si>
  <si>
    <t>02005434</t>
  </si>
  <si>
    <t>山东双威医药有限公司</t>
  </si>
  <si>
    <t>02005462</t>
  </si>
  <si>
    <t>烟台市东江医药有限公司</t>
  </si>
  <si>
    <t>02005465</t>
  </si>
  <si>
    <t>潍坊中源医药有限公司药品分公司</t>
  </si>
  <si>
    <t>02005466</t>
  </si>
  <si>
    <t>山东鸢康医药有限公司</t>
  </si>
  <si>
    <t>02005468</t>
  </si>
  <si>
    <t>山东康裕医药有限公司</t>
  </si>
  <si>
    <t>02005489</t>
  </si>
  <si>
    <t>济宁宗圣医药有限公司</t>
  </si>
  <si>
    <t>02005490</t>
  </si>
  <si>
    <t>山东劲翔药械有限公司</t>
  </si>
  <si>
    <t>02001556</t>
  </si>
  <si>
    <t>山东嘉和药业有限公司</t>
  </si>
  <si>
    <t>02001565</t>
  </si>
  <si>
    <t>济南东盛医药有限责任公司</t>
  </si>
  <si>
    <t>02001571</t>
  </si>
  <si>
    <t>山东天方药业有限公司</t>
  </si>
  <si>
    <t>02001587</t>
  </si>
  <si>
    <t>青岛天合医药集团股份有限公司</t>
  </si>
  <si>
    <t>02003189</t>
  </si>
  <si>
    <t>山东省人民药业有限公司</t>
  </si>
  <si>
    <t>02036557</t>
  </si>
  <si>
    <t>山东茂盛医药有限公司</t>
  </si>
  <si>
    <t>02036810</t>
  </si>
  <si>
    <t>青岛华仁医药配送有限公司</t>
  </si>
  <si>
    <t>02036897</t>
  </si>
  <si>
    <t>华润泰安医药有限公司</t>
  </si>
  <si>
    <t>03002129</t>
  </si>
  <si>
    <t>山东宏熙药业有限公司</t>
  </si>
  <si>
    <t>02005423</t>
  </si>
  <si>
    <t>山东海洲医药有限公司</t>
  </si>
  <si>
    <t>02005429</t>
  </si>
  <si>
    <t>山东九州通医药有限公司</t>
  </si>
  <si>
    <t>02005442</t>
  </si>
  <si>
    <t>淄博恒安医药有限公司</t>
  </si>
  <si>
    <t>02005450</t>
  </si>
  <si>
    <t>淄博为民医药配送有限公司</t>
  </si>
  <si>
    <t>02005480</t>
  </si>
  <si>
    <t>潍坊金凯盛医药有限公司</t>
  </si>
  <si>
    <t>02005492</t>
  </si>
  <si>
    <t>泰安环球医药有限公司</t>
  </si>
  <si>
    <t>02005513</t>
  </si>
  <si>
    <t>山东天奇药业有限公司</t>
  </si>
  <si>
    <t>02006804</t>
  </si>
  <si>
    <t>威海市天福医药有限公司</t>
  </si>
  <si>
    <t>02006808</t>
  </si>
  <si>
    <t>聊城利民华德药品有限公司</t>
  </si>
  <si>
    <t>02005503</t>
  </si>
  <si>
    <t>山东明欣医药有限公司</t>
  </si>
  <si>
    <t>02006771</t>
  </si>
  <si>
    <t>山东三好医药有限公司</t>
  </si>
  <si>
    <t>02010147</t>
  </si>
  <si>
    <t>山东豪诺医药物流有限公司</t>
  </si>
  <si>
    <t>02010213</t>
  </si>
  <si>
    <t>青岛天合医药股份有限公司高科技工业园经营部</t>
  </si>
  <si>
    <t>02010278</t>
  </si>
  <si>
    <t>山东省烟台药材采购供应站</t>
  </si>
  <si>
    <t>02010328</t>
  </si>
  <si>
    <t>华润潍坊远东医药有限公司</t>
  </si>
  <si>
    <t>02010330</t>
  </si>
  <si>
    <t>山东康惠医药有限公司</t>
  </si>
  <si>
    <t>02010421</t>
  </si>
  <si>
    <t>临沂同仁医药有限公司</t>
  </si>
  <si>
    <t>02010426</t>
  </si>
  <si>
    <t>临沂中瑞医药有限公司</t>
  </si>
  <si>
    <t>02010435</t>
  </si>
  <si>
    <t>国药控股鲁南有限公司</t>
  </si>
  <si>
    <t>02014282</t>
  </si>
  <si>
    <t>济南军区济南药材供应站</t>
  </si>
  <si>
    <t>02019534</t>
  </si>
  <si>
    <t>山东仁和万盛医药有限公司</t>
  </si>
  <si>
    <t>02021883</t>
  </si>
  <si>
    <t>山东瑞康医药股份有限公司青岛分公司</t>
  </si>
  <si>
    <t>02010145</t>
  </si>
  <si>
    <t>济南五洲医药有限公司</t>
  </si>
  <si>
    <t>02010148</t>
  </si>
  <si>
    <t>济南万禾医药有限公司</t>
  </si>
  <si>
    <t>02010162</t>
  </si>
  <si>
    <t>济南国康医药有限公司</t>
  </si>
  <si>
    <t>02010188</t>
  </si>
  <si>
    <t>山东瑞朗医药股份有限公司</t>
  </si>
  <si>
    <t>02028417</t>
  </si>
  <si>
    <t>淄博天龙医药有限公司高青分公司</t>
  </si>
  <si>
    <t>02031388</t>
  </si>
  <si>
    <t>山东悦康园通医药有限公司</t>
  </si>
  <si>
    <t>02032386</t>
  </si>
  <si>
    <t>济南罗欣医药有限公司</t>
  </si>
  <si>
    <t>02010202</t>
  </si>
  <si>
    <t>青岛九州通医药有限公司</t>
  </si>
  <si>
    <t>02010221</t>
  </si>
  <si>
    <t>青岛海风药业有限公司</t>
  </si>
  <si>
    <t>02010255</t>
  </si>
  <si>
    <t>淄博齐闽大世界医药有限公司</t>
  </si>
  <si>
    <t>02010269</t>
  </si>
  <si>
    <t>山东省沂源县医药有限公司</t>
  </si>
  <si>
    <t>02010309</t>
  </si>
  <si>
    <t>山东康诺盛世医药有限公司</t>
  </si>
  <si>
    <t>02010316</t>
  </si>
  <si>
    <t>山东德裕昌医药有限公司</t>
  </si>
  <si>
    <t>02010326</t>
  </si>
  <si>
    <t>山东海王银河医药有限公司</t>
  </si>
  <si>
    <t>02010359</t>
  </si>
  <si>
    <t>山东阳光信诺医药有限公司</t>
  </si>
  <si>
    <t>02010361</t>
  </si>
  <si>
    <t>山东叙福医药有限公司</t>
  </si>
  <si>
    <t>02010382</t>
  </si>
  <si>
    <t>山东诺安诺泰药业有限公司</t>
  </si>
  <si>
    <t>02010403</t>
  </si>
  <si>
    <t>山东永鸿医药有限公司</t>
  </si>
  <si>
    <t>02010424</t>
  </si>
  <si>
    <t>仁宏医药有限公司</t>
  </si>
  <si>
    <t>02010428</t>
  </si>
  <si>
    <t>临沂洪福医药有限公司</t>
  </si>
  <si>
    <t>02010443</t>
  </si>
  <si>
    <t>山东省德州泰康药业有限公司</t>
  </si>
  <si>
    <t>02010453</t>
  </si>
  <si>
    <t>山东滨州圣慷药业有限公司</t>
  </si>
  <si>
    <t>02010462</t>
  </si>
  <si>
    <t>山东华源天宏药业有限公司</t>
  </si>
  <si>
    <t>02010468</t>
  </si>
  <si>
    <t>山东奇典医疗有限责任公司</t>
  </si>
  <si>
    <t>02010471</t>
  </si>
  <si>
    <t>菏泽牡丹医药有限责任公司</t>
  </si>
  <si>
    <t>02010473</t>
  </si>
  <si>
    <t>山东菏泽健民医药有限公司</t>
  </si>
  <si>
    <t>02010476</t>
  </si>
  <si>
    <t>巨野天健医药有限公司</t>
  </si>
  <si>
    <t>02016045</t>
  </si>
  <si>
    <t>山东金康医药股份有限公司</t>
  </si>
  <si>
    <t>02023629</t>
  </si>
  <si>
    <t>临沂天地医药有限公司</t>
  </si>
  <si>
    <t>02023919</t>
  </si>
  <si>
    <t>青岛海基医药有限公司</t>
  </si>
  <si>
    <t>02024285</t>
  </si>
  <si>
    <t>泰安市永康医药有限公司</t>
  </si>
  <si>
    <t>02025767</t>
  </si>
  <si>
    <t>滨州市仁信医药有限公司</t>
  </si>
  <si>
    <t>02026233</t>
  </si>
  <si>
    <t>山东特利尔营销策划有限公司医药分公司</t>
  </si>
  <si>
    <t>02027054</t>
  </si>
  <si>
    <t>枣庄市百姓医药有限公司</t>
  </si>
  <si>
    <t>02027153</t>
  </si>
  <si>
    <t>山东三江医药有限公司</t>
  </si>
  <si>
    <t>02001551</t>
  </si>
  <si>
    <t>山东天士力医药有限公司</t>
  </si>
  <si>
    <t>02006790</t>
  </si>
  <si>
    <t>山东康福医药有限公司</t>
  </si>
  <si>
    <t>02031287</t>
  </si>
  <si>
    <t>华润山东医药有限公司淄博分公司</t>
  </si>
  <si>
    <t>02010362</t>
  </si>
  <si>
    <t>嘉祥方达医药有限公司</t>
  </si>
  <si>
    <t>02010474</t>
  </si>
  <si>
    <t>国药控股菏泽有限公司</t>
  </si>
  <si>
    <t>02036558</t>
  </si>
  <si>
    <t>罗欣医药集团山东宏欣医药有限公司</t>
  </si>
  <si>
    <t>02031317</t>
  </si>
  <si>
    <t>瑞康医药（山东）有限公司</t>
  </si>
  <si>
    <t>华润山东医药有限公司</t>
  </si>
  <si>
    <t>康为</t>
    <phoneticPr fontId="57" type="noConversion"/>
  </si>
  <si>
    <t>飞龙</t>
    <phoneticPr fontId="57" type="noConversion"/>
  </si>
  <si>
    <t>同科</t>
    <phoneticPr fontId="57" type="noConversion"/>
  </si>
  <si>
    <t>黄河</t>
    <phoneticPr fontId="57" type="noConversion"/>
  </si>
  <si>
    <t>海王</t>
    <phoneticPr fontId="57" type="noConversion"/>
  </si>
  <si>
    <t>海王银河</t>
    <phoneticPr fontId="57" type="noConversion"/>
  </si>
  <si>
    <t>山东滨州圣慷药业有限公司</t>
    <phoneticPr fontId="57" type="noConversion"/>
  </si>
  <si>
    <t>圣慷</t>
    <phoneticPr fontId="57" type="noConversion"/>
  </si>
  <si>
    <t>仁信</t>
    <phoneticPr fontId="57" type="noConversion"/>
  </si>
  <si>
    <t>圣慷2</t>
    <phoneticPr fontId="57" type="noConversion"/>
  </si>
  <si>
    <t>福华</t>
    <phoneticPr fontId="57" type="noConversion"/>
  </si>
  <si>
    <t>弘德</t>
    <phoneticPr fontId="57" type="noConversion"/>
  </si>
  <si>
    <t>专营商出货价</t>
  </si>
  <si>
    <t>建议零售价</t>
  </si>
  <si>
    <t>基础信息</t>
  </si>
  <si>
    <t>产品名称</t>
  </si>
  <si>
    <t>单位</t>
  </si>
  <si>
    <t>装箱量</t>
  </si>
  <si>
    <t>0020020030ZYZC0508</t>
  </si>
  <si>
    <t>阿莫西林胶囊</t>
  </si>
  <si>
    <t>0.25g*20粒</t>
  </si>
  <si>
    <t>哈药总厂</t>
  </si>
  <si>
    <t>万盒</t>
  </si>
  <si>
    <t>0020020030ZYZC0258</t>
  </si>
  <si>
    <t>0.25g*50粒</t>
  </si>
  <si>
    <t>0020020030ZYZC0286</t>
  </si>
  <si>
    <t>0.5g*10粒</t>
  </si>
  <si>
    <t>0020020030ZYZC0264</t>
  </si>
  <si>
    <t>0.5g*20粒</t>
  </si>
  <si>
    <t>0020020030ZYZC0512</t>
  </si>
  <si>
    <t>0.5g*24s*500盒</t>
  </si>
  <si>
    <t>0020020030ZYZC0274</t>
  </si>
  <si>
    <t>0.5g*30s</t>
  </si>
  <si>
    <t>0020020030ZYZC0289</t>
  </si>
  <si>
    <t>0.5g*36s</t>
  </si>
  <si>
    <t>0020020030SJMS0001</t>
  </si>
  <si>
    <t>0.25*10*2</t>
  </si>
  <si>
    <t>三精明水</t>
  </si>
  <si>
    <t>盒</t>
  </si>
  <si>
    <t>0020020030SJMS0002</t>
  </si>
  <si>
    <t>0.25g*50s</t>
  </si>
  <si>
    <t>0020020030SJMS0018</t>
  </si>
  <si>
    <t>阿莫西林胶囊0.25g×30粒×480盒</t>
  </si>
  <si>
    <t>0.25g×30粒×480盒</t>
  </si>
  <si>
    <t>0020020030SJMS0016</t>
  </si>
  <si>
    <t>阿莫西林胶囊20粒0.5g×10粒×2板×400盒/8000粒</t>
  </si>
  <si>
    <t>0020020040ZYZC0304</t>
  </si>
  <si>
    <t>阿莫西林颗粒(益萨林)</t>
  </si>
  <si>
    <t>0.125g*12袋*200盒</t>
  </si>
  <si>
    <t>0020030021ZYZC0001</t>
  </si>
  <si>
    <t>阿莫西林克拉维酸钾(7:1)分散片</t>
  </si>
  <si>
    <t>0.2285g*10片</t>
  </si>
  <si>
    <t>0020020021ZYZC0341</t>
  </si>
  <si>
    <t>0.2285g*12片</t>
  </si>
  <si>
    <t>0020020021ZYZC0356</t>
  </si>
  <si>
    <t>0.2285g*15片*300盒</t>
  </si>
  <si>
    <t>0020020020ZYZC0489</t>
  </si>
  <si>
    <t>0.2285g*18片</t>
  </si>
  <si>
    <t>0020020020ZYZC0490</t>
  </si>
  <si>
    <t>0.2285g*24片</t>
  </si>
  <si>
    <t>0020020021ZYZC0355</t>
  </si>
  <si>
    <t>0.2285g*8片</t>
  </si>
  <si>
    <t>0020020020ZYZC0472</t>
  </si>
  <si>
    <t>阿莫西林片(益萨林)</t>
  </si>
  <si>
    <t>0.25g*12片</t>
  </si>
  <si>
    <t>0020020021ZYLC0014</t>
  </si>
  <si>
    <t>阿奇霉素分散片</t>
  </si>
  <si>
    <t>0.1g*6片</t>
  </si>
  <si>
    <t>哈药六厂</t>
  </si>
  <si>
    <t>0020020021ZYLC0012</t>
  </si>
  <si>
    <t>0.25g×6片×400盒</t>
  </si>
  <si>
    <t>0020050001SHYT0037</t>
  </si>
  <si>
    <t>艾附暖宫丸（OTC）</t>
  </si>
  <si>
    <t>9g×10丸×100盒</t>
  </si>
  <si>
    <t>世一堂</t>
  </si>
  <si>
    <t>0020040001SHYT0005</t>
  </si>
  <si>
    <t>安宫牛黄丸</t>
  </si>
  <si>
    <t>3g×2丸×40盒</t>
  </si>
  <si>
    <t>丸</t>
  </si>
  <si>
    <t>0020030040SJET0003</t>
  </si>
  <si>
    <t>氨金黄敏颗粒</t>
  </si>
  <si>
    <t>6g×10袋×160盒</t>
  </si>
  <si>
    <t>三精儿童</t>
  </si>
  <si>
    <t>0020030030ZYLC0005</t>
  </si>
  <si>
    <t>氨咖黄敏胶囊</t>
  </si>
  <si>
    <t>20粒</t>
  </si>
  <si>
    <t>0020040001SHYT0027</t>
  </si>
  <si>
    <t>柏子养心丸</t>
  </si>
  <si>
    <t>0020050001SHYT0023</t>
  </si>
  <si>
    <t>保和丸(OTC)</t>
  </si>
  <si>
    <t>0020030040SHYT0006</t>
  </si>
  <si>
    <t>布洛芬颗粒</t>
  </si>
  <si>
    <t>0.2*10袋*300盒</t>
  </si>
  <si>
    <t>0020030040SHYT0010</t>
  </si>
  <si>
    <t>0.2*12袋*300盒</t>
  </si>
  <si>
    <t>0020030040SHYT0009</t>
  </si>
  <si>
    <t>0.2*20袋*300盒</t>
  </si>
  <si>
    <t>0020050090ZYEC0004</t>
  </si>
  <si>
    <t>刺五加脑灵液</t>
  </si>
  <si>
    <t>100ml×60瓶</t>
  </si>
  <si>
    <t>中药二厂</t>
  </si>
  <si>
    <t>12支</t>
  </si>
  <si>
    <t>0020050090ZYEC0027</t>
  </si>
  <si>
    <t>刺五加脑灵液（10ml）</t>
  </si>
  <si>
    <t>10ml×10支×80盒</t>
  </si>
  <si>
    <t>0020070001SJZY0012</t>
  </si>
  <si>
    <t>刺五加王浆口服液</t>
  </si>
  <si>
    <t>10ml×12支×60盒</t>
  </si>
  <si>
    <t>三精制药</t>
  </si>
  <si>
    <t>0020050001SHYT0061</t>
  </si>
  <si>
    <t>大山楂丸(OTC)</t>
  </si>
  <si>
    <t>0020050020SHYT0017</t>
  </si>
  <si>
    <t>丹佛胃尔康颗粒</t>
  </si>
  <si>
    <t>10g*10袋</t>
  </si>
  <si>
    <t>0020050020SHYT0018</t>
  </si>
  <si>
    <t>10g*8袋</t>
  </si>
  <si>
    <t>0020040020SHYT0007</t>
  </si>
  <si>
    <t>丹佛胃尔康颗粒(6袋)6袋×10g</t>
  </si>
  <si>
    <t>6袋×10g</t>
  </si>
  <si>
    <t>0020020020ZYLC0010</t>
  </si>
  <si>
    <t>颠茄磺苄啶片（成人10片）</t>
  </si>
  <si>
    <t>0.48g×10片×600盒</t>
  </si>
  <si>
    <t>0020020020ZYLC0003</t>
  </si>
  <si>
    <t>颠茄磺苄啶片(成人12片盒装)</t>
  </si>
  <si>
    <t>0.48g×12片×400盒</t>
  </si>
  <si>
    <t>0020020020ZYLC0011</t>
  </si>
  <si>
    <t>颠茄磺苄啶片(小儿)</t>
  </si>
  <si>
    <t>0.12g×20片×600盒</t>
  </si>
  <si>
    <t>0020050001SHYT0018</t>
  </si>
  <si>
    <t>跌打丸（OTC）</t>
  </si>
  <si>
    <t>3g×10丸×100盒</t>
  </si>
  <si>
    <t>0020040001SHYT0017</t>
  </si>
  <si>
    <t>定坤丸</t>
  </si>
  <si>
    <t>12g×10丸×80盒</t>
  </si>
  <si>
    <t>0020020030ZYLC0003</t>
  </si>
  <si>
    <t>厄贝沙坦胶囊</t>
  </si>
  <si>
    <t>75mg×12粒×300盒</t>
  </si>
  <si>
    <t>0020020030ZYLC0006</t>
  </si>
  <si>
    <t>75mg×24粒×300盒</t>
  </si>
  <si>
    <t>0020040220SHYT0006</t>
  </si>
  <si>
    <t>妇宁栓(4粒)</t>
  </si>
  <si>
    <t>1.6g×4枚×100盒</t>
  </si>
  <si>
    <t>0020040220SHYT0005</t>
  </si>
  <si>
    <t>妇宁栓(7粒)</t>
  </si>
  <si>
    <t>1.6g×7枚×100盒</t>
  </si>
  <si>
    <t>0020040220SHYT0004</t>
  </si>
  <si>
    <t>妇宁栓(8粒)</t>
  </si>
  <si>
    <t>1.6g×8枚×100盒</t>
  </si>
  <si>
    <t>0020040110SHYT0011</t>
  </si>
  <si>
    <t>附桂骨痛胶囊</t>
  </si>
  <si>
    <t>0.33g×48粒×180盒</t>
  </si>
  <si>
    <t>0020050001SHYT0017</t>
  </si>
  <si>
    <t>附子理中丸(OTC)</t>
  </si>
  <si>
    <t>0020030020ZYLC0006</t>
  </si>
  <si>
    <t>复方氨酚烷胺片</t>
  </si>
  <si>
    <t>12片</t>
  </si>
  <si>
    <t>0020030020ZYZC0335</t>
  </si>
  <si>
    <t>12片×400盒</t>
  </si>
  <si>
    <t>0020030020SJHH0001</t>
  </si>
  <si>
    <t>12*</t>
  </si>
  <si>
    <t>三精黑河</t>
  </si>
  <si>
    <t>0020030020SJSC0025</t>
  </si>
  <si>
    <t>12片×300盒</t>
  </si>
  <si>
    <t>三精四厂</t>
  </si>
  <si>
    <t>0020050020SHYT0016</t>
  </si>
  <si>
    <t>复方金银花颗粒（OTC）</t>
  </si>
  <si>
    <t>10g×10袋×60盒</t>
  </si>
  <si>
    <t>0020030020SJSC0026</t>
  </si>
  <si>
    <t>复方铝酸铋片</t>
  </si>
  <si>
    <t>30片×300盒</t>
  </si>
  <si>
    <t>0020030020SJSC0004</t>
  </si>
  <si>
    <t>50片×300盒</t>
  </si>
  <si>
    <t>0020030040ZYZC0307</t>
  </si>
  <si>
    <t>富马酸亚铁颗粒</t>
  </si>
  <si>
    <t>2g*0.2g*6袋</t>
  </si>
  <si>
    <t>0020070000ZYLC0052</t>
  </si>
  <si>
    <t>钙加锌口服液</t>
  </si>
  <si>
    <t>10ml×12支×80盒</t>
  </si>
  <si>
    <t>0020070001ZYZC0383</t>
  </si>
  <si>
    <t>钙铁锌口服液</t>
  </si>
  <si>
    <t>0020070001ZYZC0369</t>
  </si>
  <si>
    <t>0020070001ZYZC0377</t>
  </si>
  <si>
    <t>10ml×15支×48盒</t>
  </si>
  <si>
    <t>0020070001ZYLC0001</t>
  </si>
  <si>
    <t>钙锌口服液</t>
  </si>
  <si>
    <t>10ml*12支</t>
  </si>
  <si>
    <t>0020070001ZYLC0002</t>
  </si>
  <si>
    <t>10ml*24支</t>
  </si>
  <si>
    <t>0020050020ZYEC0008</t>
  </si>
  <si>
    <t>感冒解毒灵颗粒（10袋）</t>
  </si>
  <si>
    <t>5g×10袋×120盒</t>
  </si>
  <si>
    <t>0020030020ZYZC0362</t>
  </si>
  <si>
    <t>格列齐特片</t>
  </si>
  <si>
    <t>80mg*60片</t>
  </si>
  <si>
    <t>0020050020SHYT0014</t>
  </si>
  <si>
    <t>宫血停颗粒</t>
  </si>
  <si>
    <t>10g×12袋×60盒</t>
  </si>
  <si>
    <t>0020040020SHYT0012</t>
  </si>
  <si>
    <t>宫血停颗粒(无糖型)6袋×10g</t>
  </si>
  <si>
    <t>10g×6袋×60盒</t>
  </si>
  <si>
    <t>0020040001SHYT0028</t>
  </si>
  <si>
    <t>冠心苏合丸</t>
  </si>
  <si>
    <t>1.2g×30丸×180盒</t>
  </si>
  <si>
    <t>0020040004SHYT0001</t>
  </si>
  <si>
    <t>冠心泰丸</t>
  </si>
  <si>
    <t>6g×6袋×180小盒</t>
  </si>
  <si>
    <t>0020020030ZYZC0504</t>
  </si>
  <si>
    <t>红霉素肠溶胶囊（尚宏）</t>
  </si>
  <si>
    <t>0.125g*20粒</t>
  </si>
  <si>
    <t>0020040030SJSC0009</t>
  </si>
  <si>
    <t>护肝片</t>
  </si>
  <si>
    <t>100片×300盒</t>
  </si>
  <si>
    <t>180片</t>
  </si>
  <si>
    <t>0020020030ZYZC0236</t>
  </si>
  <si>
    <t>吉非罗齐胶囊</t>
  </si>
  <si>
    <t>0.3g*20粒</t>
  </si>
  <si>
    <t>0020050001SHYT0027</t>
  </si>
  <si>
    <t>健脾丸</t>
  </si>
  <si>
    <t>9g*10丸</t>
  </si>
  <si>
    <t>0020020030SJMS0026</t>
  </si>
  <si>
    <t>胶体果胶铋胶囊50mg*24粒*480盒</t>
  </si>
  <si>
    <t>50mg*12粒*2板*480盒</t>
  </si>
  <si>
    <t>0020020030SJMS0027</t>
  </si>
  <si>
    <t>胶体果胶铋胶囊50mg*36粒*480盒</t>
  </si>
  <si>
    <t>50mg*12粒*3板*480盒</t>
  </si>
  <si>
    <t>0020040001SHYT0003</t>
  </si>
  <si>
    <t>金匮肾气丸</t>
  </si>
  <si>
    <t>6g×10丸×100中盒</t>
  </si>
  <si>
    <t>0020040003SHYT0002</t>
  </si>
  <si>
    <t>金匮肾气丸(水蜜丸)72g</t>
  </si>
  <si>
    <t>72g×120盒</t>
  </si>
  <si>
    <t>0020040080ZYLC0007</t>
  </si>
  <si>
    <t>精制狗皮膏</t>
  </si>
  <si>
    <t>7*10cm*4</t>
  </si>
  <si>
    <t>0020050030SJSC0007</t>
  </si>
  <si>
    <t>菊梅利咽含片</t>
  </si>
  <si>
    <t>18片×300盒</t>
  </si>
  <si>
    <t>0020050001SHYT0013</t>
  </si>
  <si>
    <t>橘红丸(OTC)</t>
  </si>
  <si>
    <t>6g×10丸×100盒</t>
  </si>
  <si>
    <t>0020050001SHYT0006</t>
  </si>
  <si>
    <t>开郁老蔻丸(OTC)</t>
  </si>
  <si>
    <t>0020020021ZYLC0010</t>
  </si>
  <si>
    <t>克拉霉素分散片</t>
  </si>
  <si>
    <t>0.125g×12片×400盒</t>
  </si>
  <si>
    <t>0020020021ZYLC0015</t>
  </si>
  <si>
    <t>0.125g×24片×300盒</t>
  </si>
  <si>
    <t>0020020020SJMS0027</t>
  </si>
  <si>
    <t>拉西地平片</t>
  </si>
  <si>
    <t>4mg*21片*120盒</t>
  </si>
  <si>
    <t>0020020020SJMS0019</t>
  </si>
  <si>
    <t>4mg*30片*160盒</t>
  </si>
  <si>
    <t>0020020020SJMS0008</t>
  </si>
  <si>
    <t>4mg×15片×160盒</t>
  </si>
  <si>
    <t>0020020030ZYZC0292</t>
  </si>
  <si>
    <t>利福平胶囊</t>
  </si>
  <si>
    <t>0.15g*100粒</t>
  </si>
  <si>
    <t>0020050030SHYT0002</t>
  </si>
  <si>
    <t>羚羊感冒片</t>
  </si>
  <si>
    <t>12片*2板</t>
  </si>
  <si>
    <t>0020050001SHYT0021</t>
  </si>
  <si>
    <t>六味地黄丸（OTC）</t>
  </si>
  <si>
    <t>9g×10丸×120中盒</t>
  </si>
  <si>
    <t>0020050003SHYT0001</t>
  </si>
  <si>
    <t>六味地黄丸(水蜜丸72gOTC)</t>
  </si>
  <si>
    <t>0020050001SHYT0004</t>
  </si>
  <si>
    <t>龙胆泻肝丸(OTC)</t>
  </si>
  <si>
    <t>0020020021ZYLC0011</t>
  </si>
  <si>
    <t>罗红霉素分散片(严迪)</t>
  </si>
  <si>
    <t>150mg×12片×400盒</t>
  </si>
  <si>
    <t>0020020021ZYLC0005</t>
  </si>
  <si>
    <t>50mg×12片×400盒</t>
  </si>
  <si>
    <t>0020020021ZYLC0004</t>
  </si>
  <si>
    <t>75mg×12片×400盒</t>
  </si>
  <si>
    <t>0020020040ZYZC0483</t>
  </si>
  <si>
    <t>罗红霉素颗粒</t>
  </si>
  <si>
    <t>50mg*10袋</t>
  </si>
  <si>
    <t>0020030170ZYEC0003</t>
  </si>
  <si>
    <t>蒙脱石散(12袋)</t>
  </si>
  <si>
    <t>3g×12袋×150盒</t>
  </si>
  <si>
    <t>0020030170ZYEC0004</t>
  </si>
  <si>
    <t>蒙脱石散(6袋)</t>
  </si>
  <si>
    <t>6袋</t>
  </si>
  <si>
    <t>0020040001SHYT0031</t>
  </si>
  <si>
    <t>明目羊肝丸</t>
  </si>
  <si>
    <t>9g×10丸×100中盒</t>
  </si>
  <si>
    <t>0020040030SJSC0007</t>
  </si>
  <si>
    <t>脑安片</t>
  </si>
  <si>
    <t>0.53g*24片*300盒</t>
  </si>
  <si>
    <t>0020020020SJMS0006</t>
  </si>
  <si>
    <t>尼莫地平片</t>
  </si>
  <si>
    <t>20mg*50片素片</t>
  </si>
  <si>
    <t>0020040030SHYT0019</t>
  </si>
  <si>
    <t>牛黄降压片(200盒)</t>
  </si>
  <si>
    <t>20片×200盒</t>
  </si>
  <si>
    <t>0020040001SHYT0011</t>
  </si>
  <si>
    <t>牛黄解毒丸</t>
  </si>
  <si>
    <t>0020040001SHYT0020</t>
  </si>
  <si>
    <t>牛黄清火丸</t>
  </si>
  <si>
    <t>3g×10丸×100中盒</t>
  </si>
  <si>
    <t>0020040001SHYT0012</t>
  </si>
  <si>
    <t>牛黄清胃丸</t>
  </si>
  <si>
    <t>0020040003SHYT0010</t>
  </si>
  <si>
    <t>牛黄清胃丸（水蜜丸）</t>
  </si>
  <si>
    <t>70g×120盒</t>
  </si>
  <si>
    <t>0020040001SHYT0004</t>
  </si>
  <si>
    <t>牛黄清心丸</t>
  </si>
  <si>
    <t>3g×6丸×80盒</t>
  </si>
  <si>
    <t>0020050001SHYT0016</t>
  </si>
  <si>
    <t>牛黄上清丸(OTC)</t>
  </si>
  <si>
    <t>0020040030SHYT0003</t>
  </si>
  <si>
    <t>牛黄消炎片</t>
  </si>
  <si>
    <t>0.05g*30</t>
  </si>
  <si>
    <t>0020040030SHYT0002</t>
  </si>
  <si>
    <t>牛黄消炎片（24片）</t>
  </si>
  <si>
    <t>24片×400盒</t>
  </si>
  <si>
    <t>0020020030ZYZC0510</t>
  </si>
  <si>
    <t>诺氟沙星胶囊</t>
  </si>
  <si>
    <t>0.1g*20s*800盒</t>
  </si>
  <si>
    <t>0020020030ZYZC0296</t>
  </si>
  <si>
    <t>0.1g*30粒</t>
  </si>
  <si>
    <t>0020020030ZYLC0007</t>
  </si>
  <si>
    <t>诺氟沙星胶囊(委托)</t>
  </si>
  <si>
    <t>0.1g×48粒×200盒</t>
  </si>
  <si>
    <t>0020030001SJZY0006</t>
  </si>
  <si>
    <t>葡萄糖酸钙口服溶液（有糖）</t>
  </si>
  <si>
    <t>0020030001SJZY0009</t>
  </si>
  <si>
    <t>葡萄糖酸锌口服溶液（药字号）</t>
  </si>
  <si>
    <t>0020070000SJZY0001</t>
  </si>
  <si>
    <t>葡萄糖酸锌口服液</t>
  </si>
  <si>
    <t>0020070000ZYLC0051</t>
  </si>
  <si>
    <t>朴雪乳酸亚铁口服液</t>
  </si>
  <si>
    <t>0020070000ZYLC0055</t>
  </si>
  <si>
    <t>20ml×10支×30盒</t>
  </si>
  <si>
    <t>0020050001SHYT0014</t>
  </si>
  <si>
    <t>杞菊地黄丸(OTC)</t>
  </si>
  <si>
    <t>0020050001SHYT0001</t>
  </si>
  <si>
    <t>启脾丸（OTC）</t>
  </si>
  <si>
    <t>0020020010SWGC0010</t>
  </si>
  <si>
    <t>前列地尔注射液</t>
  </si>
  <si>
    <t>1ml：5ug</t>
  </si>
  <si>
    <t>生物工程</t>
  </si>
  <si>
    <t>支</t>
  </si>
  <si>
    <t>0020020010SWGC0009</t>
  </si>
  <si>
    <t>2ml：10ug</t>
  </si>
  <si>
    <t>0020050030SJSC0005</t>
  </si>
  <si>
    <t>强力脑清素片</t>
  </si>
  <si>
    <t>60片*180盒</t>
  </si>
  <si>
    <t>0020020020ZYZC0358</t>
  </si>
  <si>
    <t>青霉素V钾片</t>
  </si>
  <si>
    <t>0.236g*12t*600盒</t>
  </si>
  <si>
    <t>0020020020ZYZC0359</t>
  </si>
  <si>
    <t>青霉素V钾片（仙芬）</t>
  </si>
  <si>
    <t>0.236g*24t*600盒</t>
  </si>
  <si>
    <t>0020050090ZYEC0005</t>
  </si>
  <si>
    <t>清热解毒口服液</t>
  </si>
  <si>
    <t>0020070000SJZY0006</t>
  </si>
  <si>
    <t>人参蜂王浆口服液</t>
  </si>
  <si>
    <t>12支*60盒</t>
  </si>
  <si>
    <t>0020020030SJMS0024</t>
  </si>
  <si>
    <t>人工牛黄甲硝唑胶囊</t>
  </si>
  <si>
    <t>10粒×2板×480盒</t>
  </si>
  <si>
    <t>0020020030SJMS0025</t>
  </si>
  <si>
    <t>10粒×3板×480盒</t>
  </si>
  <si>
    <t>0020030020ZYLC0013</t>
  </si>
  <si>
    <t>乳酸菌素片</t>
  </si>
  <si>
    <t>0.4g×36片×10袋×40中盒</t>
  </si>
  <si>
    <t>0020030020ZYLC0010</t>
  </si>
  <si>
    <t>乳酸菌素片“为消”牌</t>
  </si>
  <si>
    <t>0.4g×36片×200盒</t>
  </si>
  <si>
    <t>0029999999SJYM0100</t>
  </si>
  <si>
    <t>三精双黄连植物精华皂102×48块</t>
  </si>
  <si>
    <t>102g*48盒</t>
  </si>
  <si>
    <t>三精英美</t>
  </si>
  <si>
    <t>0020040110SHYT0002</t>
  </si>
  <si>
    <t>麝香接骨胶囊</t>
  </si>
  <si>
    <t>0.3g×40粒×120盒</t>
  </si>
  <si>
    <t>0020050080ZYLC0002</t>
  </si>
  <si>
    <t>麝香壮骨膏</t>
  </si>
  <si>
    <t>2袋*6贴</t>
  </si>
  <si>
    <t>0020050090ZYEC0007</t>
  </si>
  <si>
    <t>生脉饮（党参方）</t>
  </si>
  <si>
    <t>10ml×10支×60盒</t>
  </si>
  <si>
    <t>0020050001SHYT0007</t>
  </si>
  <si>
    <t>十全大补丸(OTC)</t>
  </si>
  <si>
    <t>0020040001SHYT0013</t>
  </si>
  <si>
    <t>舒肝丸</t>
  </si>
  <si>
    <t>0020040201ZYEC0001</t>
  </si>
  <si>
    <t>双黄连粉针（80盒）</t>
  </si>
  <si>
    <t>600mg×12支×80盒</t>
  </si>
  <si>
    <t>万支</t>
  </si>
  <si>
    <t>0020040200ZYEC0003</t>
  </si>
  <si>
    <t>双黄连粉针剂（120盒）</t>
  </si>
  <si>
    <t>600mg×6支×120盒</t>
  </si>
  <si>
    <t>0020050020ZYEC0005</t>
  </si>
  <si>
    <t>双黄连颗粒</t>
  </si>
  <si>
    <t>5gx12袋</t>
  </si>
  <si>
    <t>0020050020ZYEC0004</t>
  </si>
  <si>
    <t>双黄连颗粒（10袋）</t>
  </si>
  <si>
    <t>5g×10袋×100盒</t>
  </si>
  <si>
    <t>0020050020ZYEC0019</t>
  </si>
  <si>
    <t>双黄连颗粒(无蔗糖)</t>
  </si>
  <si>
    <t>5g*10</t>
  </si>
  <si>
    <t>0020050090SJZY0021</t>
  </si>
  <si>
    <t>双黄连口服液</t>
  </si>
  <si>
    <t>0020050090SJZY0001</t>
  </si>
  <si>
    <t>10ml×10支×90盒</t>
  </si>
  <si>
    <t>0020050090SJZY0020</t>
  </si>
  <si>
    <t>20ml*9支</t>
  </si>
  <si>
    <t>0029999999SJYM0099</t>
  </si>
  <si>
    <t>双黄连牙膏（留兰香）</t>
  </si>
  <si>
    <t>150g×54支</t>
  </si>
  <si>
    <t>0020040001SHYT0032</t>
  </si>
  <si>
    <t>天王补心丸</t>
  </si>
  <si>
    <t>0020020030ZYZC0511</t>
  </si>
  <si>
    <t>头孢氨苄胶囊</t>
  </si>
  <si>
    <t>0.125g*20s*600盒</t>
  </si>
  <si>
    <t>0020020030SJMS0019</t>
  </si>
  <si>
    <t>0020020040ZYZC0488</t>
  </si>
  <si>
    <t>头孢氨苄颗粒</t>
  </si>
  <si>
    <t>125mg*12袋*400盒</t>
  </si>
  <si>
    <t>0020020020ZYZC0495</t>
  </si>
  <si>
    <t>头孢氨苄片</t>
  </si>
  <si>
    <t>0.125g*30片</t>
  </si>
  <si>
    <t>0020020020ZYZC0507</t>
  </si>
  <si>
    <t>0.25g*30t*600盒</t>
  </si>
  <si>
    <t>0020020020ZYZC0491</t>
  </si>
  <si>
    <t>0.25g*30片*300瓶</t>
  </si>
  <si>
    <t>0020020030SJMS0009</t>
  </si>
  <si>
    <t>头孢拉定胶囊</t>
  </si>
  <si>
    <t>0.25g*12粒*2板*400盒</t>
  </si>
  <si>
    <t xml:space="preserve"> 三精明水 </t>
  </si>
  <si>
    <t>0020020030ZYZC0246</t>
  </si>
  <si>
    <t>0.25g*20粒*10小盒*40包</t>
  </si>
  <si>
    <t>0020020030ZYZC0283</t>
  </si>
  <si>
    <t>0.25g*24粒*400盒</t>
  </si>
  <si>
    <t>0020020030SJMS0023</t>
  </si>
  <si>
    <t>0.25g*24粒*480盒</t>
  </si>
  <si>
    <t>0020020030SJMS0022</t>
  </si>
  <si>
    <t>0.25g×20粒×480盒</t>
  </si>
  <si>
    <t>0020020030ZYZC0469</t>
  </si>
  <si>
    <t>头孢羟氨苄胶囊</t>
  </si>
  <si>
    <t>0.25g×12粒×600盒</t>
  </si>
  <si>
    <t>0020020030ZYZC0498</t>
  </si>
  <si>
    <t>0.25g×24粒×400盒</t>
  </si>
  <si>
    <t>0020100000ZYLC0002</t>
  </si>
  <si>
    <t>退热贴</t>
  </si>
  <si>
    <t>1贴×3袋×200盒</t>
  </si>
  <si>
    <t>0020100000ZYLC0001</t>
  </si>
  <si>
    <t>2贴×200盒</t>
  </si>
  <si>
    <t>0020030020SJSC0014</t>
  </si>
  <si>
    <t>维D2磷酸氢钙片</t>
  </si>
  <si>
    <t>60片×300盒</t>
  </si>
  <si>
    <t>0020030020SJSC0017</t>
  </si>
  <si>
    <t>80片×300盒</t>
  </si>
  <si>
    <t>0020030020ZYZC0360</t>
  </si>
  <si>
    <t>维生素C咀嚼片</t>
  </si>
  <si>
    <t>100mg×30片</t>
  </si>
  <si>
    <t>0020020020ZYZC0497</t>
  </si>
  <si>
    <t>100mg×60片×200盒</t>
  </si>
  <si>
    <t>0020030032ZYZC0300</t>
  </si>
  <si>
    <t>维生素E软胶囊</t>
  </si>
  <si>
    <t>30粒×200盒</t>
  </si>
  <si>
    <t>0020020030ZYZC0499</t>
  </si>
  <si>
    <t>60粒×200盒</t>
  </si>
  <si>
    <t>0020050001SHYT0026</t>
  </si>
  <si>
    <t>逍遥丸</t>
  </si>
  <si>
    <t>0020050002SHYT0013</t>
  </si>
  <si>
    <t>逍遥丸（水丸）</t>
  </si>
  <si>
    <t>0020040070ZYEC0002</t>
  </si>
  <si>
    <t>消咳喘糖浆</t>
  </si>
  <si>
    <t>100ml×100盒</t>
  </si>
  <si>
    <t>0020020030ZYZC0282</t>
  </si>
  <si>
    <t>小檗碱甲氧苄啶胶囊</t>
  </si>
  <si>
    <t>30粒*10盒*30中盒</t>
  </si>
  <si>
    <t>0020030040ZYLC0001</t>
  </si>
  <si>
    <t>小儿氨酚黄那敏颗粒(护彤)</t>
  </si>
  <si>
    <t>2g×12袋×200盒</t>
  </si>
  <si>
    <t>0020030020ZYLC0005</t>
  </si>
  <si>
    <t>小儿氨酚黄那敏片</t>
  </si>
  <si>
    <t>0.125g×20片×400盒</t>
  </si>
  <si>
    <t>0020040070ZYEC0005</t>
  </si>
  <si>
    <t>小儿百部止咳糖浆</t>
  </si>
  <si>
    <t>0020020020SJSC0013</t>
  </si>
  <si>
    <t>小儿葡磷泛三钙片</t>
  </si>
  <si>
    <t>0020040010SHYT0030</t>
  </si>
  <si>
    <t>小儿吐泻宁</t>
  </si>
  <si>
    <t>3g×10袋×200盒</t>
  </si>
  <si>
    <t>0020040001SHYT0026</t>
  </si>
  <si>
    <t>小活络丸</t>
  </si>
  <si>
    <t>0020020020SJMS0010</t>
  </si>
  <si>
    <t>辛伐他汀片</t>
  </si>
  <si>
    <t>10mg×10片×160盒</t>
  </si>
  <si>
    <t>0020020020SJMS0011</t>
  </si>
  <si>
    <t>10mg×15片×160盒</t>
  </si>
  <si>
    <t>0020070000ZYLC0003</t>
  </si>
  <si>
    <t>新盖中盖牌儿童钙片</t>
  </si>
  <si>
    <t>1.75g×36片×120盒</t>
  </si>
  <si>
    <t>0020070000ZYLC0001</t>
  </si>
  <si>
    <t>新盖中盖牌高钙片</t>
  </si>
  <si>
    <t>2.5g×36片×120盒</t>
  </si>
  <si>
    <t>0020070000ZYLC0002</t>
  </si>
  <si>
    <t>2.5g×60片×80盒</t>
  </si>
  <si>
    <t>0020040001SHYT0014</t>
  </si>
  <si>
    <t>醒脑再造丸</t>
  </si>
  <si>
    <t>0020040001SHYT0018</t>
  </si>
  <si>
    <t>血府逐瘀丸</t>
  </si>
  <si>
    <t>0020040002SHYT0016</t>
  </si>
  <si>
    <t>血府逐瘀丸30袋</t>
  </si>
  <si>
    <t>4g×30袋×60盒</t>
  </si>
  <si>
    <t>0020020030ZYZC0493</t>
  </si>
  <si>
    <t>盐酸氟桂利嗪胶囊</t>
  </si>
  <si>
    <t>5mg*20粒*400盒</t>
  </si>
  <si>
    <t>0020020020ZYLC0005</t>
  </si>
  <si>
    <t>盐酸氟桂利嗪片（孚瑞尔）</t>
  </si>
  <si>
    <t>20片×300盒</t>
  </si>
  <si>
    <t>0020020020ZYLC0007</t>
  </si>
  <si>
    <t>40片×300盒</t>
  </si>
  <si>
    <t>0020020020ZYZC0473</t>
  </si>
  <si>
    <t>盐酸环丙沙星片</t>
  </si>
  <si>
    <t>0.25g×12片×600盒</t>
  </si>
  <si>
    <t>0020020030ZYZC0231</t>
  </si>
  <si>
    <t>盐酸特拉唑嗪胶囊（阿美利特）</t>
  </si>
  <si>
    <t>2mg*10粒</t>
  </si>
  <si>
    <t>0020020030ZYZC0262</t>
  </si>
  <si>
    <t>盐酸伊托必利胶囊(代林)</t>
  </si>
  <si>
    <t>50mg*10粒*10小盒*20中盒</t>
  </si>
  <si>
    <t>0020020030ZYZC0255</t>
  </si>
  <si>
    <t>50mg*10粒*200盒</t>
  </si>
  <si>
    <t>0020020030ZYZC0263</t>
  </si>
  <si>
    <t>50mg*20粒</t>
  </si>
  <si>
    <t>0020020024zylc0002</t>
  </si>
  <si>
    <t>盐酸伊托必利片</t>
  </si>
  <si>
    <t>50mg*12片*300</t>
  </si>
  <si>
    <t>0020020020ZYZC0343</t>
  </si>
  <si>
    <t>盐酸左氧氟沙星片</t>
  </si>
  <si>
    <t>0.1g×12片×10盒×60包</t>
  </si>
  <si>
    <t>0020020020ZYZC0498</t>
  </si>
  <si>
    <t>0.1g×24片×300盒</t>
  </si>
  <si>
    <t>0020040030SJSC0003</t>
  </si>
  <si>
    <t>羊肝明目片</t>
  </si>
  <si>
    <t>0020100000ZYLC0012</t>
  </si>
  <si>
    <t>医用退热贴</t>
  </si>
  <si>
    <t>2贴/袋×10盒×20中包</t>
  </si>
  <si>
    <t>0020100000SJET0016</t>
  </si>
  <si>
    <t>2贴×240盒</t>
  </si>
  <si>
    <t>0020050001SHYT0003</t>
  </si>
  <si>
    <t>益母丸(OTC)</t>
  </si>
  <si>
    <t>0020050004SHYT0001</t>
  </si>
  <si>
    <t>银翘解毒丸（OTC）</t>
  </si>
  <si>
    <t>0020040030SHYT0024</t>
  </si>
  <si>
    <t>银杏叶分散片</t>
  </si>
  <si>
    <t>0.15g×36片×400盒</t>
  </si>
  <si>
    <t>0020050001SHYT0030</t>
  </si>
  <si>
    <t>知柏地黄丸(OTC)</t>
  </si>
  <si>
    <t>0020080001SWGC0009</t>
  </si>
  <si>
    <t>重组人促红素注射液（CHO细胞）</t>
  </si>
  <si>
    <t>2000IU预充式</t>
  </si>
  <si>
    <t>0020080001SWGC0008</t>
  </si>
  <si>
    <t>3000IU</t>
  </si>
  <si>
    <t>0020080001SWGC0012</t>
  </si>
  <si>
    <t>3000IU预充式</t>
  </si>
  <si>
    <t>0020020010SWGC0015</t>
  </si>
  <si>
    <t>4000IU</t>
  </si>
  <si>
    <t>0020080001SWGC0010</t>
  </si>
  <si>
    <t>4000IU预充式</t>
  </si>
  <si>
    <t>0020020010SWGC0016</t>
  </si>
  <si>
    <t>5000IU</t>
  </si>
  <si>
    <t>0020020010SWGC0013</t>
  </si>
  <si>
    <t>5000IU预充式</t>
  </si>
  <si>
    <t>0020020010SWGC0017</t>
  </si>
  <si>
    <t>6000IU</t>
  </si>
  <si>
    <t>0020080001SWGC0011</t>
  </si>
  <si>
    <t>6000IU预充式</t>
  </si>
  <si>
    <t>0020080003SWGC0002</t>
  </si>
  <si>
    <t>重组人干扰素α2b软膏（假单胞菌）</t>
  </si>
  <si>
    <t>10g</t>
  </si>
  <si>
    <t>0020080003SWGC0001</t>
  </si>
  <si>
    <t>5g</t>
  </si>
  <si>
    <t>0020080001SWGC0004</t>
  </si>
  <si>
    <t>重组人粒细胞刺激因子注射液</t>
  </si>
  <si>
    <t>100ug预充式</t>
  </si>
  <si>
    <t>0020080001SWGC0002</t>
  </si>
  <si>
    <t>150ug</t>
  </si>
  <si>
    <t>0020080001SWGC0005</t>
  </si>
  <si>
    <t>150ug预充式</t>
  </si>
  <si>
    <t>0020080001SWGC0006</t>
  </si>
  <si>
    <t>200ug预充式</t>
  </si>
  <si>
    <t>0020080001SWGC0007</t>
  </si>
  <si>
    <t>300ug预充式</t>
  </si>
  <si>
    <t>0020020013ZYZC0021</t>
  </si>
  <si>
    <t>注射用阿莫西林钠(益萨林)</t>
  </si>
  <si>
    <t>0.5g*10支*100盒</t>
  </si>
  <si>
    <t>0020020013ZYZC0022</t>
  </si>
  <si>
    <t>1g*10支*100盒</t>
  </si>
  <si>
    <t>0020020013ZYZC0205</t>
  </si>
  <si>
    <t>2g*10支*60盒</t>
  </si>
  <si>
    <t>0020020013ZYZC0517</t>
  </si>
  <si>
    <t>注射用阿莫西林钠克拉维酸钾(崇美)</t>
  </si>
  <si>
    <t>0.3g</t>
  </si>
  <si>
    <t>0020020013ZYZC0519</t>
  </si>
  <si>
    <t>注射用阿莫西林钠克拉维酸钾（胜艾）</t>
  </si>
  <si>
    <t>1.2g</t>
  </si>
  <si>
    <t>0020020013ZYZC0518</t>
  </si>
  <si>
    <t>注射用阿莫西林钠克拉维酸钾（组能）</t>
  </si>
  <si>
    <t>0.6g</t>
  </si>
  <si>
    <t>0020020013ZYZC0520</t>
  </si>
  <si>
    <t>注射用阿莫西林钠舒巴坦钠</t>
  </si>
  <si>
    <t>0.75g</t>
  </si>
  <si>
    <t>0020020013ZYZC0521</t>
  </si>
  <si>
    <t>1.5g</t>
  </si>
  <si>
    <t>0020020013ZYZC0211</t>
  </si>
  <si>
    <t>3.0g</t>
  </si>
  <si>
    <t>0020020013ZYZC0223</t>
  </si>
  <si>
    <t>注射用氨苄西林钠溶媒法</t>
  </si>
  <si>
    <t>0.5g</t>
  </si>
  <si>
    <t>0020020013ZYZC0224</t>
  </si>
  <si>
    <t>1.0g</t>
  </si>
  <si>
    <t>0020020013ZYZC0472</t>
  </si>
  <si>
    <t>2.0g</t>
  </si>
  <si>
    <t>0020020013ZYZC0210</t>
  </si>
  <si>
    <t>注射用氨苄西林钠舒巴坦钠（凯兰欣）3g*400支</t>
  </si>
  <si>
    <t>3g*400支</t>
  </si>
  <si>
    <t>0020020013ZYZC0571</t>
  </si>
  <si>
    <t>0020020012SWGC0007</t>
  </si>
  <si>
    <t>注射用奥美拉唑钠</t>
  </si>
  <si>
    <t>40mg</t>
  </si>
  <si>
    <t>0020020012SWGC0010</t>
  </si>
  <si>
    <t>注射用奥沙利铂</t>
  </si>
  <si>
    <t>50mg</t>
  </si>
  <si>
    <t>0020020012SWGC0001</t>
  </si>
  <si>
    <t>注射用奥扎格雷钠</t>
  </si>
  <si>
    <t>20mg</t>
  </si>
  <si>
    <t>0020020012SWGC0002</t>
  </si>
  <si>
    <t>0020020012SWGC0003</t>
  </si>
  <si>
    <t>80mg</t>
  </si>
  <si>
    <t>0020040202ZYEC0002</t>
  </si>
  <si>
    <t>注射用丹参(冻干)-60盒</t>
  </si>
  <si>
    <t>400mg×10支×60盒</t>
  </si>
  <si>
    <t>0020020013ZYZC0024</t>
  </si>
  <si>
    <t>注射用对氨基水杨酸钠</t>
  </si>
  <si>
    <t>2g*50支*20盒</t>
  </si>
  <si>
    <t>0020020012SWGC0004</t>
  </si>
  <si>
    <t>注射用更昔洛韦</t>
  </si>
  <si>
    <t>0.25g*1支</t>
  </si>
  <si>
    <t>0020020012SWGC0006</t>
  </si>
  <si>
    <t>注射用甲硫氨酸维B1</t>
  </si>
  <si>
    <t>100mg:10mg</t>
  </si>
  <si>
    <t>0020020012SWGC0005</t>
  </si>
  <si>
    <t>40mg:4mg</t>
  </si>
  <si>
    <t>0020020013ZYZC0025</t>
  </si>
  <si>
    <t>注射用酒石酸吉他霉素</t>
  </si>
  <si>
    <t>20万*50支*20盒</t>
  </si>
  <si>
    <t>0020020013ZYZC0091</t>
  </si>
  <si>
    <t>注射用赖氨匹林(益彼兴)</t>
  </si>
  <si>
    <t>0.9g*10支*40盒</t>
  </si>
  <si>
    <t>0020020013ZYZC0080</t>
  </si>
  <si>
    <t>注射用磷霉素钠</t>
  </si>
  <si>
    <t>1g</t>
  </si>
  <si>
    <t>0020020013ZYZC0213</t>
  </si>
  <si>
    <t>0020020010SJMS0001</t>
  </si>
  <si>
    <t>1g×10支×120盒</t>
  </si>
  <si>
    <t>0020020010SJMS0002</t>
  </si>
  <si>
    <t>2g×10支×100盒</t>
  </si>
  <si>
    <t>0020020010SJMS0003</t>
  </si>
  <si>
    <t>4.0g*2支*5盒*20条/箱</t>
  </si>
  <si>
    <t>0020020013ZYZC0522</t>
  </si>
  <si>
    <t>注射用哌拉西林钠舒巴坦钠(4:1)</t>
  </si>
  <si>
    <t>1.25g*600支</t>
  </si>
  <si>
    <t>0020020013ZYZC0523</t>
  </si>
  <si>
    <t>2.5g*600支</t>
  </si>
  <si>
    <t>0020020012SJJY0014</t>
  </si>
  <si>
    <t>注射用泮托拉唑钠</t>
  </si>
  <si>
    <t>60mgx10支</t>
  </si>
  <si>
    <t>三精加滨</t>
  </si>
  <si>
    <t>0020020013ZYZC0003</t>
  </si>
  <si>
    <t>注射用青霉素钠</t>
  </si>
  <si>
    <t>160万</t>
  </si>
  <si>
    <t>0020020013ZYZC0004</t>
  </si>
  <si>
    <t>400万/600支</t>
  </si>
  <si>
    <t>0020020013ZYZC0049</t>
  </si>
  <si>
    <t>800万</t>
  </si>
  <si>
    <t>0020020013ZYZC0001</t>
  </si>
  <si>
    <t>80万</t>
  </si>
  <si>
    <t>0020020013ZYZC0082</t>
  </si>
  <si>
    <t>注射用乳糖酸阿奇霉素</t>
  </si>
  <si>
    <t>0.125g</t>
  </si>
  <si>
    <t>0020020013ZYZC0081</t>
  </si>
  <si>
    <t>0.25g</t>
  </si>
  <si>
    <t>0020020013ZYZC0490</t>
  </si>
  <si>
    <t>注射用乳糖酸阿奇霉素（齐宏）</t>
  </si>
  <si>
    <t>0020020013ZYZC0491</t>
  </si>
  <si>
    <t>0020020013ZYZC0492</t>
  </si>
  <si>
    <t>0020040202ZYEC0004</t>
  </si>
  <si>
    <t>注射用双黄连（冻干）1.2g×10支×60盒</t>
  </si>
  <si>
    <t>1.2g×10支×60盒</t>
  </si>
  <si>
    <t>0020040202ZYEC0003</t>
  </si>
  <si>
    <t>注射用双黄连（冻干）600mg</t>
  </si>
  <si>
    <t>0020020013ZYZC0465</t>
  </si>
  <si>
    <t>注射用头孢呋辛钠（特兰欣）</t>
  </si>
  <si>
    <t>0020020013ZYZC0466</t>
  </si>
  <si>
    <t>0020020013ZYZC0011</t>
  </si>
  <si>
    <t>注射用头孢拉定</t>
  </si>
  <si>
    <t>0020020013ZYZC0182</t>
  </si>
  <si>
    <t>1g*10支*60盒</t>
  </si>
  <si>
    <t>0020020013ZYZC0178</t>
  </si>
  <si>
    <t>注射用头孢美唑钠</t>
  </si>
  <si>
    <t>0.5g*400支</t>
  </si>
  <si>
    <t>0020020013ZYZC0554</t>
  </si>
  <si>
    <t>0020020013ZYZC0447</t>
  </si>
  <si>
    <t>1g*400支</t>
  </si>
  <si>
    <t>0020020013ZYZC0555</t>
  </si>
  <si>
    <t>0020020013ZYZC0486</t>
  </si>
  <si>
    <t>注射用头孢哌酮钠舒巴坦钠(铃兰欣)</t>
  </si>
  <si>
    <t>1.0g*10支*600盒</t>
  </si>
  <si>
    <t>0020020013ZYZC0539</t>
  </si>
  <si>
    <t>0020020013ZYZC0035</t>
  </si>
  <si>
    <t>注射用头孢哌酮钠舒巴坦钠（铃兰欣）</t>
  </si>
  <si>
    <t>0020020013ZYZC0452</t>
  </si>
  <si>
    <t>0020020013ZYZC0541</t>
  </si>
  <si>
    <t>0020020013ZYZC0497</t>
  </si>
  <si>
    <t>注射用头孢哌酮钠舒巴坦钠（铃兰欣）1.5g*600支</t>
  </si>
  <si>
    <t>1.5g*600支</t>
  </si>
  <si>
    <t>0020020013ZYZC0540</t>
  </si>
  <si>
    <t>0020020013ZYZC0543</t>
  </si>
  <si>
    <t>注射用头孢哌酮钠舒巴坦钠2：1（1.5g*10支*40盒）（特拉欣）</t>
  </si>
  <si>
    <t>0020020013ZYZC0136</t>
  </si>
  <si>
    <t>注射用头孢哌酮钠舒巴坦钠2：1（特拉欣）</t>
  </si>
  <si>
    <t>0020020013ZYZC0478</t>
  </si>
  <si>
    <t>注射用头孢曲松钠</t>
  </si>
  <si>
    <t>0020020013ZYZC0525</t>
  </si>
  <si>
    <t>1.0g*10支*100盒</t>
  </si>
  <si>
    <t>0020020013ZYZC0471</t>
  </si>
  <si>
    <t>注射用头孢曲松钠（凯塞欣）</t>
  </si>
  <si>
    <t>2.0g*10支*60盒</t>
  </si>
  <si>
    <t>0020020013ZYZC0018</t>
  </si>
  <si>
    <t>注射用头孢噻肟钠</t>
  </si>
  <si>
    <t>0020020013ZYZC0019</t>
  </si>
  <si>
    <t>0020020013ZYZC0101</t>
  </si>
  <si>
    <t>注射用头孢他啶</t>
  </si>
  <si>
    <t>1g*600支</t>
  </si>
  <si>
    <t>0020020013ZYZC0511</t>
  </si>
  <si>
    <t>注射用头孢他啶(含精氨酸)(倍欧)1.5g*600支</t>
  </si>
  <si>
    <t>0020020013ZYZC0567</t>
  </si>
  <si>
    <t>0020020013ZYZC0505</t>
  </si>
  <si>
    <t>注射用头孢他啶(益他欣)</t>
  </si>
  <si>
    <t>0.5g*1支*600盒</t>
  </si>
  <si>
    <t>0020020013ZYZC0489</t>
  </si>
  <si>
    <t>注射用头孢替唑钠</t>
  </si>
  <si>
    <t>1.0g*600支</t>
  </si>
  <si>
    <t>0020020013ZYZC0531</t>
  </si>
  <si>
    <t>0020020013ZYZC0008</t>
  </si>
  <si>
    <t>注射用头孢唑林钠</t>
  </si>
  <si>
    <t>0020020013ZYZC0181</t>
  </si>
  <si>
    <t>0020020013ZYZC0010</t>
  </si>
  <si>
    <t>2.0g*600支</t>
  </si>
  <si>
    <t>0020020013ZYZC0501</t>
  </si>
  <si>
    <t>注射用头孢唑肟钠</t>
  </si>
  <si>
    <t>0.75g*600支</t>
  </si>
  <si>
    <t>0020020013ZYZC0546</t>
  </si>
  <si>
    <t>0020020013ZYZC0229</t>
  </si>
  <si>
    <t>1.5g*400支</t>
  </si>
  <si>
    <t>0020020013ZYZC0548</t>
  </si>
  <si>
    <t>0020020013ZYZC0502</t>
  </si>
  <si>
    <t>0020020013ZYZC0547</t>
  </si>
  <si>
    <t>0020020013ZYZC0500</t>
  </si>
  <si>
    <t>注射用头孢唑肟钠（益左欣）</t>
  </si>
  <si>
    <t>0.5g*600支</t>
  </si>
  <si>
    <t>0020020013ZYZC0545</t>
  </si>
  <si>
    <t>0020020012SWGC0009</t>
  </si>
  <si>
    <t>注射用胸腺法新</t>
  </si>
  <si>
    <t>1.6mg</t>
  </si>
  <si>
    <t>0020020012SWGC0008</t>
  </si>
  <si>
    <t>注射用胸腺五肽</t>
  </si>
  <si>
    <t>1mg</t>
  </si>
  <si>
    <t>0020020012SJJY0013</t>
  </si>
  <si>
    <t>注射用炎琥宁</t>
  </si>
  <si>
    <t>80mg*12支*80盒</t>
  </si>
  <si>
    <t>0020020013ZYZC0503</t>
  </si>
  <si>
    <t>注射用盐酸头孢吡肟(若能)</t>
  </si>
  <si>
    <t>0020020013ZYZC0558</t>
  </si>
  <si>
    <t>0020020013ZYZC0504</t>
  </si>
  <si>
    <t>注射用盐酸头孢吡肟(舒肟欣)</t>
  </si>
  <si>
    <t>0020020013ZYZC0559</t>
  </si>
  <si>
    <t>0020020013ZYZC0201</t>
  </si>
  <si>
    <t>注射用盐酸头孢替安</t>
  </si>
  <si>
    <t>0.25g*400支</t>
  </si>
  <si>
    <t>0020020013ZYZC0550</t>
  </si>
  <si>
    <t>0020020013ZYZC0443</t>
  </si>
  <si>
    <t>0020020013ZYZC0551</t>
  </si>
  <si>
    <t>0020020013ZYZC0444</t>
  </si>
  <si>
    <t>0020020013ZYZC0552</t>
  </si>
  <si>
    <t>0020080002SWGC0001</t>
  </si>
  <si>
    <t>注射用重组人干扰素α2b（假单胞菌）</t>
  </si>
  <si>
    <t>100万IU</t>
  </si>
  <si>
    <t>0020080002SWGC0002</t>
  </si>
  <si>
    <t>300万IU</t>
  </si>
  <si>
    <t>0020080002SWGC0003</t>
  </si>
  <si>
    <t>500万IU</t>
  </si>
  <si>
    <t>0020080002SWGC0006</t>
  </si>
  <si>
    <t>注射用重组人粒细胞巨噬细胞刺激因子</t>
  </si>
  <si>
    <t>0020080002SWGC0005</t>
  </si>
  <si>
    <t>75ug</t>
  </si>
  <si>
    <t>0020050030SJSC0010</t>
  </si>
  <si>
    <t>壮肾安神片</t>
  </si>
  <si>
    <t>0.32g*45片*300盒</t>
  </si>
  <si>
    <t>0020050030SJSC0011</t>
  </si>
  <si>
    <t>0.32g*45片*4盒*30中盒</t>
  </si>
  <si>
    <t>0020050070ZYEC0010</t>
  </si>
  <si>
    <t>紫桔止咳糖浆</t>
  </si>
  <si>
    <t>100ml×100瓶</t>
  </si>
  <si>
    <t>0020020010SWGC0008</t>
  </si>
  <si>
    <t>紫杉醇注射液</t>
  </si>
  <si>
    <t>5ml:30mg</t>
  </si>
  <si>
    <t>0020020020SJSC0004</t>
  </si>
  <si>
    <t>左羟丙哌嗪分散片</t>
  </si>
  <si>
    <t>60mg×12片×300盒</t>
  </si>
  <si>
    <t>部门</t>
  </si>
  <si>
    <t>人员编号</t>
  </si>
  <si>
    <t>人员名称</t>
  </si>
  <si>
    <t>山东</t>
  </si>
  <si>
    <t>201305320</t>
  </si>
  <si>
    <t>张海波</t>
  </si>
  <si>
    <t>201304147</t>
  </si>
  <si>
    <t>郭克俭</t>
  </si>
  <si>
    <t>201304151</t>
  </si>
  <si>
    <t>李金龙</t>
  </si>
  <si>
    <t>201304144</t>
  </si>
  <si>
    <t>付云成</t>
  </si>
  <si>
    <t>201304148</t>
  </si>
  <si>
    <t>郝钢</t>
  </si>
  <si>
    <t>201304156</t>
  </si>
  <si>
    <t>张宝利</t>
  </si>
  <si>
    <t>201305319</t>
  </si>
  <si>
    <t>梁宇君</t>
  </si>
  <si>
    <t>山东省区（停用）</t>
  </si>
  <si>
    <t>201304154</t>
  </si>
  <si>
    <t>王文渊</t>
  </si>
  <si>
    <t>201305318</t>
  </si>
  <si>
    <t>李春晖</t>
  </si>
  <si>
    <t>201305317</t>
  </si>
  <si>
    <t>崔健男</t>
  </si>
  <si>
    <t>201305327</t>
  </si>
  <si>
    <t>杜晓明</t>
  </si>
  <si>
    <t>201305366</t>
  </si>
  <si>
    <t>赵彬</t>
  </si>
  <si>
    <t>201305371</t>
  </si>
  <si>
    <t>朱顺强</t>
  </si>
  <si>
    <t>201304379</t>
  </si>
  <si>
    <t>王璐2</t>
  </si>
  <si>
    <t>201304389</t>
  </si>
  <si>
    <t>唐恭喜</t>
  </si>
  <si>
    <t>201305361</t>
  </si>
  <si>
    <t>杨宁</t>
  </si>
  <si>
    <t>201305349</t>
  </si>
  <si>
    <t>汪爱玲</t>
  </si>
  <si>
    <t>201305360</t>
  </si>
  <si>
    <t>许栋贤</t>
  </si>
  <si>
    <t>201305332</t>
  </si>
  <si>
    <t>胡欣欣</t>
  </si>
  <si>
    <t>201305352</t>
  </si>
  <si>
    <t>王宜响</t>
  </si>
  <si>
    <t>山东(零售)（停用）</t>
  </si>
  <si>
    <t>201305654</t>
  </si>
  <si>
    <t>王岩</t>
  </si>
  <si>
    <t>201305655</t>
  </si>
  <si>
    <t>薛超</t>
  </si>
  <si>
    <t>山东(商务)（停用）</t>
  </si>
  <si>
    <t>201305659</t>
  </si>
  <si>
    <t>李胜春</t>
  </si>
  <si>
    <t>9907028</t>
  </si>
  <si>
    <t>丁嫚</t>
  </si>
  <si>
    <t>9907158</t>
  </si>
  <si>
    <t>陈鑫</t>
  </si>
  <si>
    <t>9907159</t>
  </si>
  <si>
    <t>王春燕</t>
  </si>
  <si>
    <t>9907160</t>
  </si>
  <si>
    <t>李维织</t>
  </si>
  <si>
    <t>9907161</t>
  </si>
  <si>
    <t>刘树伟</t>
  </si>
  <si>
    <t>9907162</t>
  </si>
  <si>
    <t>巴蕾</t>
  </si>
  <si>
    <t>9907163</t>
  </si>
  <si>
    <t>苏德军</t>
  </si>
  <si>
    <t>9907164</t>
  </si>
  <si>
    <t>徐鹏</t>
  </si>
  <si>
    <t>9907165</t>
  </si>
  <si>
    <t>席明勇</t>
  </si>
  <si>
    <t>201305428</t>
  </si>
  <si>
    <t>李大维</t>
  </si>
  <si>
    <t>201305370</t>
  </si>
  <si>
    <t>周丽丽</t>
  </si>
  <si>
    <t>9907236</t>
  </si>
  <si>
    <t>于朋波</t>
  </si>
  <si>
    <t>9907237</t>
  </si>
  <si>
    <t>颜文华</t>
  </si>
  <si>
    <t>9907238</t>
  </si>
  <si>
    <t>梁海英</t>
  </si>
  <si>
    <t>9907239</t>
  </si>
  <si>
    <t>邱婷婷</t>
  </si>
  <si>
    <t>9907240</t>
  </si>
  <si>
    <t>王丽文</t>
  </si>
  <si>
    <t>9907241</t>
  </si>
  <si>
    <t>李雪艳</t>
  </si>
  <si>
    <t>9907242</t>
  </si>
  <si>
    <t>吴修朋</t>
  </si>
  <si>
    <t>201305596</t>
  </si>
  <si>
    <t>周玉龙</t>
  </si>
  <si>
    <t>201305338</t>
  </si>
  <si>
    <t>李瑞杰</t>
  </si>
  <si>
    <t>201305369</t>
  </si>
  <si>
    <t>郑静静</t>
  </si>
  <si>
    <t>201304146</t>
  </si>
  <si>
    <t>陈亮</t>
  </si>
  <si>
    <t>201304150</t>
  </si>
  <si>
    <t>金士华</t>
  </si>
  <si>
    <t>201304157</t>
  </si>
  <si>
    <t>朱茂林</t>
  </si>
  <si>
    <t>201305336</t>
  </si>
  <si>
    <t>李冠军</t>
  </si>
  <si>
    <t>201305347</t>
  </si>
  <si>
    <t>孙晓杰</t>
  </si>
  <si>
    <t>201305356</t>
  </si>
  <si>
    <t>吴书霞</t>
  </si>
  <si>
    <t>201305331</t>
  </si>
  <si>
    <t>郝丽</t>
  </si>
  <si>
    <t>201305365</t>
  </si>
  <si>
    <t>张娩</t>
  </si>
  <si>
    <t>201305345</t>
  </si>
  <si>
    <t>宋丽娜</t>
  </si>
  <si>
    <t>201305330</t>
  </si>
  <si>
    <t>韩志晏</t>
  </si>
  <si>
    <t>201305357</t>
  </si>
  <si>
    <t>吴现娟</t>
  </si>
  <si>
    <t>201304921</t>
  </si>
  <si>
    <t>神甜</t>
  </si>
  <si>
    <t>201304919</t>
  </si>
  <si>
    <t>冼明峰</t>
  </si>
  <si>
    <t>201304152</t>
  </si>
  <si>
    <t>庞云峰</t>
  </si>
  <si>
    <t>201305321</t>
  </si>
  <si>
    <t>王晶2</t>
  </si>
  <si>
    <t>201304149</t>
  </si>
  <si>
    <t>郝旺</t>
  </si>
  <si>
    <t>201305328</t>
  </si>
  <si>
    <t>耿家彬</t>
  </si>
  <si>
    <t>201305342</t>
  </si>
  <si>
    <t>卢娜</t>
  </si>
  <si>
    <t>201305362</t>
  </si>
  <si>
    <t>于善荣</t>
  </si>
  <si>
    <t>201304922</t>
  </si>
  <si>
    <t>张永平</t>
  </si>
  <si>
    <t>201304437</t>
  </si>
  <si>
    <t>李庆滨</t>
  </si>
  <si>
    <t>201305194</t>
  </si>
  <si>
    <t>杨立森</t>
  </si>
  <si>
    <t>9908170</t>
  </si>
  <si>
    <t>符亚杰</t>
  </si>
  <si>
    <t>9908171</t>
  </si>
  <si>
    <t>周文谦</t>
  </si>
  <si>
    <t>9908172</t>
  </si>
  <si>
    <t>曾江玉</t>
  </si>
  <si>
    <t>9908174</t>
  </si>
  <si>
    <t>范芝宏</t>
  </si>
  <si>
    <t>9908356</t>
  </si>
  <si>
    <t>张高东</t>
  </si>
  <si>
    <t>9908352</t>
  </si>
  <si>
    <t>李丽</t>
  </si>
  <si>
    <t>9908357</t>
  </si>
  <si>
    <t>张文杰</t>
  </si>
  <si>
    <t>9908353</t>
  </si>
  <si>
    <t>刘芳</t>
  </si>
  <si>
    <t>9908354</t>
  </si>
  <si>
    <t>杨惠</t>
  </si>
  <si>
    <t>9908351</t>
  </si>
  <si>
    <t>张伟</t>
  </si>
  <si>
    <t>9908350</t>
  </si>
  <si>
    <t>刘兆华</t>
  </si>
  <si>
    <t>9908355</t>
  </si>
  <si>
    <t>于海燕</t>
  </si>
  <si>
    <t>9908361</t>
  </si>
  <si>
    <t>李冬梅</t>
  </si>
  <si>
    <t>9908580</t>
  </si>
  <si>
    <t>杨雪</t>
  </si>
  <si>
    <t>9908582</t>
  </si>
  <si>
    <t>吕双双</t>
  </si>
  <si>
    <t>9908549</t>
  </si>
  <si>
    <t>吕体恒</t>
  </si>
  <si>
    <t>9908613</t>
  </si>
  <si>
    <t>侯小东</t>
  </si>
  <si>
    <t>9908581</t>
  </si>
  <si>
    <t>毕翌</t>
  </si>
  <si>
    <t>9908470</t>
  </si>
  <si>
    <t>李新朋</t>
  </si>
  <si>
    <t>201305016</t>
  </si>
  <si>
    <t>侯德润</t>
  </si>
  <si>
    <t>201305019</t>
  </si>
  <si>
    <t>马超</t>
  </si>
  <si>
    <t>201305111</t>
  </si>
  <si>
    <t>程春丽</t>
  </si>
  <si>
    <t>9907166</t>
  </si>
  <si>
    <t>王军</t>
  </si>
  <si>
    <t>9907198</t>
  </si>
  <si>
    <t>金虎</t>
  </si>
  <si>
    <t>9907202</t>
  </si>
  <si>
    <t>神舟</t>
  </si>
  <si>
    <t>9907203</t>
  </si>
  <si>
    <t>马雪美</t>
  </si>
  <si>
    <t>9907364</t>
  </si>
  <si>
    <t>霍立民</t>
  </si>
  <si>
    <t>9907473</t>
  </si>
  <si>
    <t>刘岗</t>
  </si>
  <si>
    <t>9907575</t>
  </si>
  <si>
    <t>段连武</t>
  </si>
  <si>
    <t>521565</t>
  </si>
  <si>
    <t>侯继勋</t>
  </si>
  <si>
    <t>9907408</t>
  </si>
  <si>
    <t>李洪晔</t>
  </si>
  <si>
    <t>9907409</t>
  </si>
  <si>
    <t>李江毓</t>
  </si>
  <si>
    <t>9907520</t>
  </si>
  <si>
    <t>石成文</t>
  </si>
  <si>
    <t>9907736</t>
  </si>
  <si>
    <t>王鹏</t>
  </si>
  <si>
    <t>9907381</t>
  </si>
  <si>
    <t>杨祁</t>
  </si>
  <si>
    <t>9907382</t>
  </si>
  <si>
    <t>杨庆波</t>
  </si>
  <si>
    <t>9907384</t>
  </si>
  <si>
    <t>杨学良</t>
  </si>
  <si>
    <t>9907448</t>
  </si>
  <si>
    <t>郑玉新</t>
  </si>
  <si>
    <t>9907330</t>
  </si>
  <si>
    <t>王德生</t>
  </si>
  <si>
    <t>9907101</t>
  </si>
  <si>
    <t>李青桂</t>
  </si>
  <si>
    <t>9907905</t>
  </si>
  <si>
    <t>王留珍</t>
  </si>
  <si>
    <t>9907904</t>
  </si>
  <si>
    <t>王明志</t>
  </si>
  <si>
    <t>9907918</t>
  </si>
  <si>
    <t>杨丽君</t>
  </si>
  <si>
    <t>9908014</t>
  </si>
  <si>
    <t>翟永来</t>
  </si>
  <si>
    <t>9908015</t>
  </si>
  <si>
    <t>张明月</t>
  </si>
  <si>
    <t>9908007</t>
  </si>
  <si>
    <t>杨延松</t>
  </si>
  <si>
    <t>大客户山东（停用）</t>
  </si>
  <si>
    <t>9908035</t>
  </si>
  <si>
    <t>单旗</t>
  </si>
  <si>
    <t>9908052</t>
  </si>
  <si>
    <t>周健壮</t>
  </si>
  <si>
    <t>9908058</t>
  </si>
  <si>
    <t>王健1</t>
  </si>
  <si>
    <t>9908095</t>
  </si>
  <si>
    <t>张羽茜</t>
  </si>
  <si>
    <t>201602151421001</t>
  </si>
  <si>
    <t>朱云峰</t>
  </si>
  <si>
    <t>201602151421002</t>
  </si>
  <si>
    <t>李凌强</t>
  </si>
  <si>
    <t>201602151421003</t>
  </si>
  <si>
    <t>王洪洋</t>
  </si>
  <si>
    <t>201602151421004</t>
  </si>
  <si>
    <t>刘云鹏</t>
  </si>
  <si>
    <t>201602151421005</t>
  </si>
  <si>
    <t>王洁富</t>
  </si>
  <si>
    <t>201602151421006</t>
  </si>
  <si>
    <t>冯思贵</t>
  </si>
  <si>
    <t>201602151421007</t>
  </si>
  <si>
    <t>刘高阳</t>
  </si>
  <si>
    <t>201602151421008</t>
  </si>
  <si>
    <t>王明</t>
  </si>
  <si>
    <t>201602151421009</t>
  </si>
  <si>
    <t>唐仲宇</t>
  </si>
  <si>
    <t>201602151421010</t>
  </si>
  <si>
    <t>李淳志</t>
  </si>
  <si>
    <t>201602151421011</t>
  </si>
  <si>
    <t>杨雁滨</t>
  </si>
  <si>
    <t>201602151421012</t>
  </si>
  <si>
    <t>龚晶</t>
  </si>
  <si>
    <t>201602151421013</t>
  </si>
  <si>
    <t>李卫斌</t>
  </si>
  <si>
    <t>201602151421014</t>
  </si>
  <si>
    <t>丁力</t>
  </si>
  <si>
    <t>201602151421015</t>
  </si>
  <si>
    <t>王大路</t>
  </si>
  <si>
    <t>201602151421016</t>
  </si>
  <si>
    <t>张赫群</t>
  </si>
  <si>
    <t>201602151421017</t>
  </si>
  <si>
    <t>王威</t>
  </si>
  <si>
    <t>201602151421018</t>
  </si>
  <si>
    <t>庞波</t>
  </si>
  <si>
    <t>201602151421019</t>
  </si>
  <si>
    <t>苑世林</t>
  </si>
  <si>
    <t>201602151421020</t>
  </si>
  <si>
    <t>吕达</t>
  </si>
  <si>
    <t>201602151421021</t>
  </si>
  <si>
    <t>史国梁</t>
  </si>
  <si>
    <t>201602151421022</t>
  </si>
  <si>
    <t>白力伟</t>
  </si>
  <si>
    <t>201602151421023</t>
  </si>
  <si>
    <t>邹建立</t>
  </si>
  <si>
    <t>201602151421024</t>
  </si>
  <si>
    <t>牛兰梅</t>
  </si>
  <si>
    <t>201602151421025</t>
  </si>
  <si>
    <t>孙善宝</t>
  </si>
  <si>
    <t>201602151421026</t>
  </si>
  <si>
    <t>刘滨强</t>
  </si>
  <si>
    <t>201602151421027</t>
  </si>
  <si>
    <t>夏阳</t>
  </si>
  <si>
    <t>201602151421028</t>
  </si>
  <si>
    <t>高阎</t>
  </si>
  <si>
    <t>201602151421029</t>
  </si>
  <si>
    <t>刘松</t>
  </si>
  <si>
    <t>201602151421030</t>
  </si>
  <si>
    <t>洪智强</t>
  </si>
  <si>
    <t>201602151421031</t>
  </si>
  <si>
    <t>于子童</t>
  </si>
  <si>
    <t>201602151421032</t>
  </si>
  <si>
    <t>孙伯聪</t>
  </si>
  <si>
    <t>201602151421033</t>
  </si>
  <si>
    <t>闫萍</t>
  </si>
  <si>
    <t>201602151421034</t>
  </si>
  <si>
    <t>乔佳</t>
  </si>
  <si>
    <t>201602151421035</t>
  </si>
  <si>
    <t>王静远</t>
  </si>
  <si>
    <t>201602151421036</t>
  </si>
  <si>
    <t>高永学</t>
  </si>
  <si>
    <t>201602151421037</t>
  </si>
  <si>
    <t>刘加力</t>
  </si>
  <si>
    <t>201602151421038</t>
  </si>
  <si>
    <t>苏立发</t>
  </si>
  <si>
    <t>201602151421039</t>
  </si>
  <si>
    <t>王元利</t>
  </si>
  <si>
    <t>201602151421040</t>
  </si>
  <si>
    <t>韩庆滨</t>
  </si>
  <si>
    <t>201602151421041</t>
  </si>
  <si>
    <t>刘宏刚</t>
  </si>
  <si>
    <t>201602151421042</t>
  </si>
  <si>
    <t>王金玲</t>
  </si>
  <si>
    <t>201602151421043</t>
  </si>
  <si>
    <t>来维</t>
  </si>
  <si>
    <t>201602151421044</t>
  </si>
  <si>
    <t>王旭波</t>
  </si>
  <si>
    <t>201602151421045</t>
  </si>
  <si>
    <t>王彪</t>
  </si>
  <si>
    <t>201602151421046</t>
  </si>
  <si>
    <t>王野</t>
  </si>
  <si>
    <t>201602151421047</t>
  </si>
  <si>
    <t>宋柏通</t>
  </si>
  <si>
    <t>201602151421048</t>
  </si>
  <si>
    <t>张家梁</t>
  </si>
  <si>
    <t>201602151421049</t>
  </si>
  <si>
    <t>季丽丽</t>
  </si>
  <si>
    <t>201602151421050</t>
  </si>
  <si>
    <t>董永莲</t>
  </si>
  <si>
    <t>201602151421051</t>
  </si>
  <si>
    <t>鄂维</t>
  </si>
  <si>
    <t>201602151421052</t>
  </si>
  <si>
    <t>王诗奇</t>
  </si>
  <si>
    <t>201602151421053</t>
  </si>
  <si>
    <t>王永和</t>
  </si>
  <si>
    <t>201602151421054</t>
  </si>
  <si>
    <t>徐健</t>
  </si>
  <si>
    <t>201602151421055</t>
  </si>
  <si>
    <t>王海弟</t>
  </si>
  <si>
    <t>201602151421056</t>
  </si>
  <si>
    <t>王超2</t>
  </si>
  <si>
    <t>201602151421057</t>
  </si>
  <si>
    <t>周澳</t>
  </si>
  <si>
    <t>201602151421058</t>
  </si>
  <si>
    <t>王兆东</t>
  </si>
  <si>
    <t>201602151421059</t>
  </si>
  <si>
    <t>于永花</t>
  </si>
  <si>
    <t>201602151421060</t>
  </si>
  <si>
    <t>张琪</t>
  </si>
  <si>
    <t>201602151421061</t>
  </si>
  <si>
    <t>郭鑫</t>
  </si>
  <si>
    <t>201602151421062</t>
  </si>
  <si>
    <t>张竹刚</t>
  </si>
  <si>
    <t>201602151421063</t>
  </si>
  <si>
    <t>韩磊</t>
  </si>
  <si>
    <t>201602151421064</t>
  </si>
  <si>
    <t>于文涛</t>
  </si>
  <si>
    <t>201602151421065</t>
  </si>
  <si>
    <t>王秀梅</t>
  </si>
  <si>
    <t>201602151421066</t>
  </si>
  <si>
    <t>倪国辉</t>
  </si>
  <si>
    <t>201602151421067</t>
  </si>
  <si>
    <t>荀加祁</t>
  </si>
  <si>
    <t>201602151421068</t>
  </si>
  <si>
    <t>祁立军</t>
  </si>
  <si>
    <t>201602151421069</t>
  </si>
  <si>
    <t>韩龙</t>
  </si>
  <si>
    <t>201602151421070</t>
  </si>
  <si>
    <t>吴春阳</t>
  </si>
  <si>
    <t>201602151421071</t>
  </si>
  <si>
    <t>魏丹妮</t>
  </si>
  <si>
    <t>201602151421072</t>
  </si>
  <si>
    <t>肖方正</t>
  </si>
  <si>
    <t>201602151421073</t>
  </si>
  <si>
    <t>庞帅</t>
  </si>
  <si>
    <t>201602151421074</t>
  </si>
  <si>
    <t>黄贯军</t>
  </si>
  <si>
    <t>201602151421075</t>
  </si>
  <si>
    <t>郑雪莲</t>
  </si>
  <si>
    <t>201602151421076</t>
  </si>
  <si>
    <t>李颖</t>
  </si>
  <si>
    <t>201602151421077</t>
  </si>
  <si>
    <t>吴莉</t>
  </si>
  <si>
    <t>201602151421078</t>
  </si>
  <si>
    <t>刘俊卓</t>
  </si>
  <si>
    <t>201602151421079</t>
  </si>
  <si>
    <t>王彩凤</t>
  </si>
  <si>
    <t>201602151421081</t>
  </si>
  <si>
    <t>黄绪杰</t>
  </si>
  <si>
    <t>201602151421082</t>
  </si>
  <si>
    <t>孙俊</t>
  </si>
  <si>
    <t>201602151421083</t>
  </si>
  <si>
    <t>宋菲菲</t>
  </si>
  <si>
    <t>201602151421084</t>
  </si>
  <si>
    <t>王伟业</t>
  </si>
  <si>
    <t>201602151421085</t>
  </si>
  <si>
    <t>孙玮</t>
  </si>
  <si>
    <t>201602151421086</t>
  </si>
  <si>
    <t>李敬</t>
  </si>
  <si>
    <t>201602151421087</t>
  </si>
  <si>
    <t>代龙涛</t>
  </si>
  <si>
    <t>201602151421088</t>
  </si>
  <si>
    <t>何秀</t>
  </si>
  <si>
    <t>201602151421089</t>
  </si>
  <si>
    <t>冯中杰</t>
  </si>
  <si>
    <t>201602151421090</t>
  </si>
  <si>
    <t>周京成</t>
  </si>
  <si>
    <t>201602151421091</t>
  </si>
  <si>
    <t>刘继雪</t>
  </si>
  <si>
    <t>201602151421092</t>
  </si>
  <si>
    <t>张梓良</t>
  </si>
  <si>
    <t>201602151421093</t>
  </si>
  <si>
    <t>刘洋</t>
  </si>
  <si>
    <t>201602151421094</t>
  </si>
  <si>
    <t>董俊婷</t>
  </si>
  <si>
    <t>201602151421095</t>
  </si>
  <si>
    <t>贾文栋</t>
  </si>
  <si>
    <t>201602151421096</t>
  </si>
  <si>
    <t>郭靖</t>
  </si>
  <si>
    <t>201602151421097</t>
  </si>
  <si>
    <t>张建华</t>
  </si>
  <si>
    <t>201602151421098</t>
  </si>
  <si>
    <t>刘君</t>
  </si>
  <si>
    <t>201602151421099</t>
  </si>
  <si>
    <t>田虎</t>
  </si>
  <si>
    <t>201602151421100</t>
  </si>
  <si>
    <t>王金国</t>
  </si>
  <si>
    <t>201602151421101</t>
  </si>
  <si>
    <t>项瑞红</t>
  </si>
  <si>
    <t>201602151421102</t>
  </si>
  <si>
    <t>赵洪强</t>
  </si>
  <si>
    <t>201602151421103</t>
  </si>
  <si>
    <t>李旭</t>
  </si>
  <si>
    <t>201602151421104</t>
  </si>
  <si>
    <t>苏承江</t>
  </si>
  <si>
    <t>201602151421105</t>
  </si>
  <si>
    <t>张景泉</t>
  </si>
  <si>
    <t>201602151421106</t>
  </si>
  <si>
    <t>吴柏松</t>
  </si>
  <si>
    <t>201602151421107</t>
  </si>
  <si>
    <t>郑辉</t>
  </si>
  <si>
    <t>201602151421108</t>
  </si>
  <si>
    <t>刘佩亮</t>
  </si>
  <si>
    <t>201602151421109</t>
  </si>
  <si>
    <t>杨洪晓</t>
  </si>
  <si>
    <t>201602151421110</t>
  </si>
  <si>
    <t>侯二龙</t>
  </si>
  <si>
    <t>201602151421111</t>
  </si>
  <si>
    <t>焦宗航</t>
  </si>
  <si>
    <t>201602151421112</t>
  </si>
  <si>
    <t>刘佳林</t>
  </si>
  <si>
    <t>201605112621001</t>
  </si>
  <si>
    <t>宋佳</t>
  </si>
  <si>
    <t>201305595</t>
  </si>
  <si>
    <t>陈敬松</t>
  </si>
  <si>
    <t>201609062621001</t>
  </si>
  <si>
    <t>汪洋</t>
  </si>
  <si>
    <t>201304969</t>
  </si>
  <si>
    <t>王美琼</t>
  </si>
  <si>
    <t>201703092621001</t>
  </si>
  <si>
    <t>刘庆鹏</t>
  </si>
  <si>
    <t>201704052621001</t>
  </si>
  <si>
    <t>何青益</t>
  </si>
  <si>
    <t>201304143</t>
  </si>
  <si>
    <t>侯文智</t>
  </si>
  <si>
    <t>码上有省区名称</t>
  </si>
  <si>
    <t>码上有城市名称</t>
  </si>
  <si>
    <t>码上有区县名称</t>
  </si>
  <si>
    <t>流向用区县编码</t>
  </si>
  <si>
    <t>山东省</t>
  </si>
  <si>
    <t>滨州市</t>
  </si>
  <si>
    <t>滨城区</t>
  </si>
  <si>
    <t>1853</t>
  </si>
  <si>
    <t>博兴县</t>
  </si>
  <si>
    <t>1858</t>
  </si>
  <si>
    <t>惠民县</t>
  </si>
  <si>
    <t>1854</t>
  </si>
  <si>
    <t>无棣县</t>
  </si>
  <si>
    <t>1856</t>
  </si>
  <si>
    <t>阳信县</t>
  </si>
  <si>
    <t>1855</t>
  </si>
  <si>
    <t>沾化县</t>
  </si>
  <si>
    <t>1857</t>
  </si>
  <si>
    <t>邹平县</t>
  </si>
  <si>
    <t>1859</t>
  </si>
  <si>
    <t>德州市</t>
  </si>
  <si>
    <t>德城区</t>
  </si>
  <si>
    <t>1832</t>
  </si>
  <si>
    <t>乐陵市</t>
  </si>
  <si>
    <t>1841</t>
  </si>
  <si>
    <t>临邑县</t>
  </si>
  <si>
    <t>1836</t>
  </si>
  <si>
    <t>陵县</t>
  </si>
  <si>
    <t>1833</t>
  </si>
  <si>
    <t>宁津县</t>
  </si>
  <si>
    <t>1834</t>
  </si>
  <si>
    <t>平原县</t>
  </si>
  <si>
    <t>1838</t>
  </si>
  <si>
    <t>齐河县</t>
  </si>
  <si>
    <t>1837</t>
  </si>
  <si>
    <t>庆云县</t>
  </si>
  <si>
    <t>1835</t>
  </si>
  <si>
    <t>武城县</t>
  </si>
  <si>
    <t>1840</t>
  </si>
  <si>
    <t>夏津县</t>
  </si>
  <si>
    <t>1839</t>
  </si>
  <si>
    <t>禹城市</t>
  </si>
  <si>
    <t>1842</t>
  </si>
  <si>
    <t>东营市</t>
  </si>
  <si>
    <t>东营区</t>
  </si>
  <si>
    <t>1754</t>
  </si>
  <si>
    <t>广饶县</t>
  </si>
  <si>
    <t>1758</t>
  </si>
  <si>
    <t>河口区</t>
  </si>
  <si>
    <t>1755</t>
  </si>
  <si>
    <t>垦利县</t>
  </si>
  <si>
    <t>1756</t>
  </si>
  <si>
    <t>利津县</t>
  </si>
  <si>
    <t>1757</t>
  </si>
  <si>
    <t>菏泽市</t>
  </si>
  <si>
    <t>曹县</t>
  </si>
  <si>
    <t>1862</t>
  </si>
  <si>
    <t>成武县</t>
  </si>
  <si>
    <t>1864</t>
  </si>
  <si>
    <t>单县</t>
  </si>
  <si>
    <t>1863</t>
  </si>
  <si>
    <t>定陶县</t>
  </si>
  <si>
    <t>1868</t>
  </si>
  <si>
    <t>东明县</t>
  </si>
  <si>
    <t>1869</t>
  </si>
  <si>
    <t>巨野县</t>
  </si>
  <si>
    <t>1865</t>
  </si>
  <si>
    <t>鄄城县</t>
  </si>
  <si>
    <t>1867</t>
  </si>
  <si>
    <t>牡丹区</t>
  </si>
  <si>
    <t>1861</t>
  </si>
  <si>
    <t>郓城县</t>
  </si>
  <si>
    <t>1866</t>
  </si>
  <si>
    <t>济南市</t>
  </si>
  <si>
    <t>槐荫区</t>
  </si>
  <si>
    <t>1718</t>
  </si>
  <si>
    <t>济阳县</t>
  </si>
  <si>
    <t>1723</t>
  </si>
  <si>
    <t>历城区</t>
  </si>
  <si>
    <t>1720</t>
  </si>
  <si>
    <t>历下区</t>
  </si>
  <si>
    <t>1716</t>
  </si>
  <si>
    <t>平阴县</t>
  </si>
  <si>
    <t>1722</t>
  </si>
  <si>
    <t>商河县</t>
  </si>
  <si>
    <t>1724</t>
  </si>
  <si>
    <t>市中区</t>
  </si>
  <si>
    <t>1717</t>
  </si>
  <si>
    <t>天桥区</t>
  </si>
  <si>
    <t>1719</t>
  </si>
  <si>
    <t>章丘市</t>
  </si>
  <si>
    <t>1725</t>
  </si>
  <si>
    <t>长清区</t>
  </si>
  <si>
    <t>1721</t>
  </si>
  <si>
    <t>济宁市</t>
  </si>
  <si>
    <t>嘉祥县</t>
  </si>
  <si>
    <t>1791</t>
  </si>
  <si>
    <t>金乡县</t>
  </si>
  <si>
    <t>1790</t>
  </si>
  <si>
    <t>梁山县</t>
  </si>
  <si>
    <t>1794</t>
  </si>
  <si>
    <t>曲阜市</t>
  </si>
  <si>
    <t>1795</t>
  </si>
  <si>
    <t>任城区</t>
  </si>
  <si>
    <t>1787</t>
  </si>
  <si>
    <t>泗水县</t>
  </si>
  <si>
    <t>1793</t>
  </si>
  <si>
    <t>微山县</t>
  </si>
  <si>
    <t>1788</t>
  </si>
  <si>
    <t>汶上县</t>
  </si>
  <si>
    <t>1792</t>
  </si>
  <si>
    <t>兖州市</t>
  </si>
  <si>
    <t>1796</t>
  </si>
  <si>
    <t>鱼台县</t>
  </si>
  <si>
    <t>1789</t>
  </si>
  <si>
    <t>邹城市</t>
  </si>
  <si>
    <t>1797</t>
  </si>
  <si>
    <t>莱芜市</t>
  </si>
  <si>
    <t>钢城区</t>
  </si>
  <si>
    <t>1817</t>
  </si>
  <si>
    <t>莱城区</t>
  </si>
  <si>
    <t>1816</t>
  </si>
  <si>
    <t>聊城市</t>
  </si>
  <si>
    <t>茌平县</t>
  </si>
  <si>
    <t>1847</t>
  </si>
  <si>
    <t>东阿县</t>
  </si>
  <si>
    <t>1848</t>
  </si>
  <si>
    <t>东昌府区</t>
  </si>
  <si>
    <t>1844</t>
  </si>
  <si>
    <t>高唐县</t>
  </si>
  <si>
    <t>1850</t>
  </si>
  <si>
    <t>冠县</t>
  </si>
  <si>
    <t>1849</t>
  </si>
  <si>
    <t>临清市</t>
  </si>
  <si>
    <t>1851</t>
  </si>
  <si>
    <t>莘县</t>
  </si>
  <si>
    <t>1846</t>
  </si>
  <si>
    <t>阳谷县</t>
  </si>
  <si>
    <t>1845</t>
  </si>
  <si>
    <t>临沂市</t>
  </si>
  <si>
    <t>苍山县</t>
  </si>
  <si>
    <t>1825</t>
  </si>
  <si>
    <t>费县</t>
  </si>
  <si>
    <t>1826</t>
  </si>
  <si>
    <t>河东区</t>
  </si>
  <si>
    <t>1821</t>
  </si>
  <si>
    <t>莒南县</t>
  </si>
  <si>
    <t>1828</t>
  </si>
  <si>
    <t>兰山区</t>
  </si>
  <si>
    <t>1819</t>
  </si>
  <si>
    <t>临沭县</t>
  </si>
  <si>
    <t>1830</t>
  </si>
  <si>
    <t>罗庄区</t>
  </si>
  <si>
    <t>1820</t>
  </si>
  <si>
    <t>蒙阴县</t>
  </si>
  <si>
    <t>1829</t>
  </si>
  <si>
    <t>平邑县</t>
  </si>
  <si>
    <t>1827</t>
  </si>
  <si>
    <t>郯城县</t>
  </si>
  <si>
    <t>1823</t>
  </si>
  <si>
    <t>沂南县</t>
  </si>
  <si>
    <t>1822</t>
  </si>
  <si>
    <t>沂水县</t>
  </si>
  <si>
    <t>1824</t>
  </si>
  <si>
    <t>青岛市</t>
  </si>
  <si>
    <t>城阳区</t>
  </si>
  <si>
    <t>1732</t>
  </si>
  <si>
    <t>黄岛区</t>
  </si>
  <si>
    <t>1729</t>
  </si>
  <si>
    <t>即墨市</t>
  </si>
  <si>
    <t>1734</t>
  </si>
  <si>
    <t>胶州市</t>
  </si>
  <si>
    <t>1733</t>
  </si>
  <si>
    <t>莱西市</t>
  </si>
  <si>
    <t>1736</t>
  </si>
  <si>
    <t>崂山区</t>
  </si>
  <si>
    <t>1730</t>
  </si>
  <si>
    <t>李沧区</t>
  </si>
  <si>
    <t>1731</t>
  </si>
  <si>
    <t>平度市</t>
  </si>
  <si>
    <t>1735</t>
  </si>
  <si>
    <t>市北区</t>
  </si>
  <si>
    <t>1728</t>
  </si>
  <si>
    <t>市南区</t>
  </si>
  <si>
    <t>1727</t>
  </si>
  <si>
    <t>日照市</t>
  </si>
  <si>
    <t>东港区</t>
  </si>
  <si>
    <t>1811</t>
  </si>
  <si>
    <t>莒县</t>
  </si>
  <si>
    <t>1814</t>
  </si>
  <si>
    <t>岚山区</t>
  </si>
  <si>
    <t>1812</t>
  </si>
  <si>
    <t>五莲县</t>
  </si>
  <si>
    <t>1813</t>
  </si>
  <si>
    <t>泰安市</t>
  </si>
  <si>
    <t>岱岳区</t>
  </si>
  <si>
    <t>1800</t>
  </si>
  <si>
    <t>东平县</t>
  </si>
  <si>
    <t>1802</t>
  </si>
  <si>
    <t>肥城市</t>
  </si>
  <si>
    <t>1804</t>
  </si>
  <si>
    <t>宁阳县</t>
  </si>
  <si>
    <t>1801</t>
  </si>
  <si>
    <t>泰山区</t>
  </si>
  <si>
    <t>1799</t>
  </si>
  <si>
    <t>新泰市</t>
  </si>
  <si>
    <t>1803</t>
  </si>
  <si>
    <t>威海市</t>
  </si>
  <si>
    <t>环翠区</t>
  </si>
  <si>
    <t>1806</t>
  </si>
  <si>
    <t>荣成市</t>
  </si>
  <si>
    <t>1808</t>
  </si>
  <si>
    <t>乳山市</t>
  </si>
  <si>
    <t>1809</t>
  </si>
  <si>
    <t>文登市</t>
  </si>
  <si>
    <t>1807</t>
  </si>
  <si>
    <t>潍坊市</t>
  </si>
  <si>
    <t>安丘市</t>
  </si>
  <si>
    <t>1782</t>
  </si>
  <si>
    <t>昌乐县</t>
  </si>
  <si>
    <t>1778</t>
  </si>
  <si>
    <t>昌邑市</t>
  </si>
  <si>
    <t>1784</t>
  </si>
  <si>
    <t>坊子区</t>
  </si>
  <si>
    <t>1775</t>
  </si>
  <si>
    <t>高密市</t>
  </si>
  <si>
    <t>1783</t>
  </si>
  <si>
    <t>寒亭区</t>
  </si>
  <si>
    <t>1774</t>
  </si>
  <si>
    <t>奎文区</t>
  </si>
  <si>
    <t>1776</t>
  </si>
  <si>
    <t>临朐县</t>
  </si>
  <si>
    <t>1777</t>
  </si>
  <si>
    <t>青州市</t>
  </si>
  <si>
    <t>1779</t>
  </si>
  <si>
    <t>寿光市</t>
  </si>
  <si>
    <t>1781</t>
  </si>
  <si>
    <t>潍城区</t>
  </si>
  <si>
    <t>1773</t>
  </si>
  <si>
    <t>诸城市</t>
  </si>
  <si>
    <t>1780</t>
  </si>
  <si>
    <t>烟台市</t>
  </si>
  <si>
    <t>福山区</t>
  </si>
  <si>
    <t>1761</t>
  </si>
  <si>
    <t>海阳市</t>
  </si>
  <si>
    <t>1771</t>
  </si>
  <si>
    <t>莱山区</t>
  </si>
  <si>
    <t>1763</t>
  </si>
  <si>
    <t>莱阳市</t>
  </si>
  <si>
    <t>1766</t>
  </si>
  <si>
    <t>莱州市</t>
  </si>
  <si>
    <t>1767</t>
  </si>
  <si>
    <t>龙口市</t>
  </si>
  <si>
    <t>1765</t>
  </si>
  <si>
    <t>牟平区</t>
  </si>
  <si>
    <t>1762</t>
  </si>
  <si>
    <t>蓬莱市</t>
  </si>
  <si>
    <t>1768</t>
  </si>
  <si>
    <t>栖霞市</t>
  </si>
  <si>
    <t>1770</t>
  </si>
  <si>
    <t>长岛县</t>
  </si>
  <si>
    <t>1764</t>
  </si>
  <si>
    <t>招远市</t>
  </si>
  <si>
    <t>1769</t>
  </si>
  <si>
    <t>芝罘区</t>
  </si>
  <si>
    <t>1760</t>
  </si>
  <si>
    <t>枣庄市</t>
  </si>
  <si>
    <t>山亭区</t>
  </si>
  <si>
    <t>1751</t>
  </si>
  <si>
    <t>1747</t>
  </si>
  <si>
    <t>台儿庄区</t>
  </si>
  <si>
    <t>1750</t>
  </si>
  <si>
    <t>滕州市</t>
  </si>
  <si>
    <t>1752</t>
  </si>
  <si>
    <t>薛城区</t>
  </si>
  <si>
    <t>1748</t>
  </si>
  <si>
    <t>峄城区</t>
  </si>
  <si>
    <t>1749</t>
  </si>
  <si>
    <t>淄博市</t>
  </si>
  <si>
    <t>博山区</t>
  </si>
  <si>
    <t>1740</t>
  </si>
  <si>
    <t>高青县</t>
  </si>
  <si>
    <t>1744</t>
  </si>
  <si>
    <t>桓台县</t>
  </si>
  <si>
    <t>1743</t>
  </si>
  <si>
    <t>临淄区</t>
  </si>
  <si>
    <t>1741</t>
  </si>
  <si>
    <t>沂源县</t>
  </si>
  <si>
    <t>1745</t>
  </si>
  <si>
    <t>张店区</t>
  </si>
  <si>
    <t>1739</t>
  </si>
  <si>
    <t>周村区</t>
  </si>
  <si>
    <t>1742</t>
  </si>
  <si>
    <t>淄川区</t>
  </si>
  <si>
    <t>1738</t>
  </si>
  <si>
    <t>客户简称</t>
    <phoneticPr fontId="57" type="noConversion"/>
  </si>
  <si>
    <t>山东福华医药有限公司</t>
    <phoneticPr fontId="57" type="noConversion"/>
  </si>
  <si>
    <t>滨州弘德药业有限公司</t>
    <phoneticPr fontId="57" type="noConversion"/>
  </si>
  <si>
    <t>最新开票价</t>
  </si>
  <si>
    <t>简称</t>
    <phoneticPr fontId="57" type="noConversion"/>
  </si>
  <si>
    <t>合并品名规格（唯一化产品)</t>
    <phoneticPr fontId="5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</si>
</sst>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* #,##0_);_(* \(#,##0\);_(* &quot;-&quot;_);_(@_)"/>
    <numFmt numFmtId="177" formatCode="_(* #,##0.00_);_(* \(#,##0.00\);_(* &quot;-&quot;??_);_(@_)"/>
    <numFmt numFmtId="178" formatCode="[$-F400]h:mm:ss\ AM/PM"/>
    <numFmt numFmtId="179" formatCode="_ \¥* #,##0.00_ ;_ \¥* \-#,##0.00_ ;_ \¥* &quot;-&quot;??_ ;_ @_ "/>
    <numFmt numFmtId="180" formatCode="_-* #,##0_-;\-* #,##0_-;_-* &quot;-&quot;_-;_-@_-"/>
  </numFmts>
  <fonts count="58" x14ac:knownFonts="1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indexed="2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0"/>
      <name val="Arial"/>
      <family val="2"/>
    </font>
    <font>
      <b/>
      <sz val="11"/>
      <color indexed="8"/>
      <name val="宋体"/>
      <family val="3"/>
      <charset val="134"/>
    </font>
    <font>
      <sz val="10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27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theme="3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1"/>
      <color theme="3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8"/>
      <color indexed="56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theme="1"/>
      <name val="Tahoma"/>
      <family val="2"/>
    </font>
    <font>
      <sz val="11"/>
      <color indexed="20"/>
      <name val="Tahoma"/>
      <family val="2"/>
    </font>
    <font>
      <b/>
      <sz val="11"/>
      <color indexed="9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Calibri"/>
      <family val="2"/>
    </font>
    <font>
      <b/>
      <sz val="15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Calibri"/>
      <family val="2"/>
    </font>
    <font>
      <b/>
      <sz val="13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1"/>
      <color indexed="27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7"/>
      <name val="Tahoma"/>
      <family val="2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3640">
    <xf numFmtId="0" fontId="0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1" fillId="0" borderId="0"/>
    <xf numFmtId="0" fontId="56" fillId="0" borderId="0">
      <alignment vertical="center"/>
    </xf>
    <xf numFmtId="0" fontId="8" fillId="0" borderId="0"/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5" fillId="7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9" fontId="6" fillId="0" borderId="0" applyFont="0" applyFill="0" applyBorder="0" applyAlignment="0" applyProtection="0"/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20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56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/>
    <xf numFmtId="9" fontId="56" fillId="0" borderId="0" applyFont="0" applyFill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3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8" fillId="0" borderId="0"/>
    <xf numFmtId="0" fontId="2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20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2" fillId="16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10" fillId="0" borderId="0"/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17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 applyBorder="0"/>
    <xf numFmtId="0" fontId="2" fillId="16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7" fillId="0" borderId="0">
      <alignment vertical="center"/>
    </xf>
    <xf numFmtId="0" fontId="32" fillId="0" borderId="1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7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56" fillId="0" borderId="0">
      <alignment vertical="center"/>
    </xf>
    <xf numFmtId="0" fontId="56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47" borderId="0" applyNumberFormat="0" applyBorder="0" applyAlignment="0" applyProtection="0">
      <alignment vertical="center"/>
    </xf>
    <xf numFmtId="0" fontId="8" fillId="0" borderId="0"/>
    <xf numFmtId="0" fontId="2" fillId="5" borderId="0" applyNumberFormat="0" applyBorder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18" borderId="3" applyNumberFormat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8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10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56" fillId="32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0" fontId="8" fillId="0" borderId="0"/>
    <xf numFmtId="0" fontId="56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2" fillId="48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2" fillId="5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8" fillId="0" borderId="0"/>
    <xf numFmtId="0" fontId="2" fillId="5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8" fillId="0" borderId="0"/>
    <xf numFmtId="0" fontId="2" fillId="5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4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56" fillId="40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56" fillId="0" borderId="0"/>
    <xf numFmtId="0" fontId="2" fillId="0" borderId="0">
      <alignment vertical="center"/>
    </xf>
    <xf numFmtId="0" fontId="56" fillId="4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56" fillId="40" borderId="0" applyNumberFormat="0" applyBorder="0" applyAlignment="0" applyProtection="0">
      <alignment vertical="center"/>
    </xf>
    <xf numFmtId="0" fontId="56" fillId="40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0" borderId="0" applyNumberFormat="0" applyBorder="0" applyAlignment="0" applyProtection="0">
      <alignment vertical="center"/>
    </xf>
    <xf numFmtId="0" fontId="4" fillId="0" borderId="0"/>
    <xf numFmtId="0" fontId="56" fillId="4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0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0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40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56" fillId="40" borderId="0" applyNumberFormat="0" applyBorder="0" applyAlignment="0" applyProtection="0">
      <alignment vertical="center"/>
    </xf>
    <xf numFmtId="0" fontId="56" fillId="0" borderId="0"/>
    <xf numFmtId="0" fontId="56" fillId="19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8" fillId="0" borderId="0"/>
    <xf numFmtId="0" fontId="38" fillId="7" borderId="0" applyNumberFormat="0" applyBorder="0" applyAlignment="0" applyProtection="0"/>
    <xf numFmtId="0" fontId="56" fillId="19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0" borderId="0"/>
    <xf numFmtId="0" fontId="56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42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7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56" fillId="0" borderId="0"/>
    <xf numFmtId="0" fontId="2" fillId="37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7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30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2" fillId="4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33" fillId="0" borderId="0"/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9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38" fillId="7" borderId="0" applyNumberFormat="0" applyBorder="0" applyAlignment="0" applyProtection="0"/>
    <xf numFmtId="0" fontId="2" fillId="8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1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6" fillId="0" borderId="0"/>
    <xf numFmtId="0" fontId="2" fillId="8" borderId="0" applyNumberFormat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" fillId="49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56" fillId="0" borderId="0"/>
    <xf numFmtId="0" fontId="56" fillId="20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1" fillId="5" borderId="0" applyNumberFormat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" fillId="21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4" fillId="0" borderId="0"/>
    <xf numFmtId="0" fontId="56" fillId="20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/>
    <xf numFmtId="0" fontId="56" fillId="20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6" fillId="0" borderId="0">
      <alignment vertical="top"/>
    </xf>
    <xf numFmtId="0" fontId="56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56" fillId="1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12" borderId="0" applyNumberFormat="0" applyBorder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8" fillId="7" borderId="0" applyNumberFormat="0" applyBorder="0" applyAlignment="0" applyProtection="0"/>
    <xf numFmtId="0" fontId="31" fillId="0" borderId="0" applyNumberForma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15" borderId="0" applyNumberFormat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5" borderId="0" applyNumberFormat="0" applyBorder="0" applyAlignment="0" applyProtection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45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45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33" borderId="0" applyNumberFormat="0" applyBorder="0" applyAlignment="0" applyProtection="0">
      <alignment vertical="center"/>
    </xf>
    <xf numFmtId="0" fontId="17" fillId="5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7" fillId="5" borderId="0" applyNumberFormat="0" applyBorder="0" applyAlignment="0" applyProtection="0"/>
    <xf numFmtId="0" fontId="15" fillId="2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56" fillId="0" borderId="0">
      <alignment vertical="center"/>
    </xf>
    <xf numFmtId="0" fontId="5" fillId="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8" fillId="0" borderId="0"/>
    <xf numFmtId="0" fontId="13" fillId="54" borderId="0" applyNumberFormat="0" applyBorder="0" applyAlignment="0" applyProtection="0">
      <alignment vertical="center"/>
    </xf>
    <xf numFmtId="0" fontId="8" fillId="0" borderId="0"/>
    <xf numFmtId="0" fontId="15" fillId="23" borderId="0" applyNumberFormat="0" applyBorder="0" applyAlignment="0" applyProtection="0">
      <alignment vertical="center"/>
    </xf>
    <xf numFmtId="0" fontId="8" fillId="0" borderId="0"/>
    <xf numFmtId="0" fontId="17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4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5" fillId="4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5" fillId="43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2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2" borderId="0" applyNumberFormat="0" applyBorder="0" applyAlignment="0" applyProtection="0">
      <alignment vertical="center"/>
    </xf>
    <xf numFmtId="0" fontId="17" fillId="52" borderId="0" applyNumberFormat="0" applyBorder="0" applyAlignment="0" applyProtection="0">
      <alignment vertical="center"/>
    </xf>
    <xf numFmtId="0" fontId="17" fillId="52" borderId="0" applyNumberFormat="0" applyBorder="0" applyAlignment="0" applyProtection="0">
      <alignment vertical="center"/>
    </xf>
    <xf numFmtId="0" fontId="56" fillId="0" borderId="0"/>
    <xf numFmtId="0" fontId="4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2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4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6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" fillId="7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56" fillId="0" borderId="0"/>
    <xf numFmtId="177" fontId="4" fillId="0" borderId="0" applyFont="0" applyFill="0" applyBorder="0" applyAlignment="0" applyProtection="0"/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7" fontId="4" fillId="0" borderId="0" applyFont="0" applyFill="0" applyBorder="0" applyAlignment="0" applyProtection="0"/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1" fillId="5" borderId="0" applyNumberFormat="0" applyBorder="0" applyAlignment="0" applyProtection="0"/>
    <xf numFmtId="0" fontId="18" fillId="0" borderId="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56" fillId="0" borderId="0">
      <alignment vertical="center"/>
    </xf>
    <xf numFmtId="0" fontId="39" fillId="0" borderId="1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56" fillId="0" borderId="0">
      <alignment vertical="center"/>
    </xf>
    <xf numFmtId="0" fontId="24" fillId="0" borderId="8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7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2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0" fillId="0" borderId="1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56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  <xf numFmtId="0" fontId="20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38" fillId="7" borderId="0" applyNumberFormat="0" applyBorder="0" applyAlignment="0" applyProtection="0"/>
    <xf numFmtId="0" fontId="38" fillId="7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4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/>
    <xf numFmtId="0" fontId="15" fillId="41" borderId="0" applyNumberFormat="0" applyBorder="0" applyAlignment="0" applyProtection="0">
      <alignment vertical="center"/>
    </xf>
    <xf numFmtId="0" fontId="38" fillId="7" borderId="0" applyNumberFormat="0" applyBorder="0" applyAlignment="0" applyProtection="0"/>
    <xf numFmtId="0" fontId="5" fillId="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7" borderId="0" applyNumberFormat="0" applyBorder="0" applyAlignment="0" applyProtection="0"/>
    <xf numFmtId="0" fontId="56" fillId="0" borderId="0">
      <alignment vertical="center"/>
    </xf>
    <xf numFmtId="0" fontId="5" fillId="7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4" fillId="0" borderId="0"/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8" fillId="0" borderId="0"/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8" fillId="46" borderId="1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1" fillId="5" borderId="0" applyNumberFormat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2" fillId="28" borderId="7" applyNumberFormat="0" applyAlignment="0" applyProtection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178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33" fillId="0" borderId="0"/>
    <xf numFmtId="0" fontId="27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8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5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3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35" fillId="46" borderId="13" applyNumberFormat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5" fillId="26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25" fillId="26" borderId="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0" fillId="3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29" fillId="3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1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6" fillId="0" borderId="0">
      <alignment vertical="top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8" fontId="4" fillId="0" borderId="0"/>
    <xf numFmtId="0" fontId="56" fillId="0" borderId="0"/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49" fillId="54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3" borderId="0" applyNumberFormat="0" applyBorder="0" applyAlignment="0" applyProtection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>
      <alignment vertical="top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/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14" fillId="0" borderId="0">
      <alignment vertical="center"/>
    </xf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25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25" borderId="4" applyNumberFormat="0" applyFont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7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8" fillId="0" borderId="0"/>
    <xf numFmtId="0" fontId="56" fillId="0" borderId="0"/>
    <xf numFmtId="0" fontId="56" fillId="0" borderId="0"/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/>
    <xf numFmtId="0" fontId="6" fillId="0" borderId="0"/>
    <xf numFmtId="0" fontId="6" fillId="0" borderId="0"/>
    <xf numFmtId="0" fontId="56" fillId="0" borderId="0"/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7" fillId="57" borderId="0" applyNumberFormat="0" applyBorder="0" applyAlignment="0" applyProtection="0">
      <alignment vertical="center"/>
    </xf>
    <xf numFmtId="0" fontId="6" fillId="0" borderId="0"/>
    <xf numFmtId="0" fontId="15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/>
    <xf numFmtId="0" fontId="4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4" fillId="0" borderId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9" fillId="0" borderId="2" applyNumberFormat="0" applyFill="0" applyAlignment="0" applyProtection="0">
      <alignment vertical="center"/>
    </xf>
    <xf numFmtId="0" fontId="56" fillId="0" borderId="0"/>
    <xf numFmtId="0" fontId="9" fillId="0" borderId="2" applyNumberFormat="0" applyFill="0" applyAlignment="0" applyProtection="0">
      <alignment vertical="center"/>
    </xf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2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6" fillId="0" borderId="0">
      <alignment vertical="center"/>
    </xf>
    <xf numFmtId="0" fontId="56" fillId="0" borderId="0"/>
    <xf numFmtId="0" fontId="56" fillId="0" borderId="0"/>
    <xf numFmtId="0" fontId="6" fillId="0" borderId="0">
      <alignment vertical="top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8" fillId="0" borderId="0"/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0" borderId="0"/>
    <xf numFmtId="0" fontId="4" fillId="0" borderId="0"/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9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35" fillId="46" borderId="1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5" fillId="46" borderId="13" applyNumberFormat="0" applyAlignment="0" applyProtection="0">
      <alignment vertical="center"/>
    </xf>
    <xf numFmtId="0" fontId="2" fillId="0" borderId="0">
      <alignment vertical="center"/>
    </xf>
    <xf numFmtId="0" fontId="22" fillId="28" borderId="7" applyNumberFormat="0" applyAlignment="0" applyProtection="0">
      <alignment vertical="center"/>
    </xf>
    <xf numFmtId="0" fontId="2" fillId="0" borderId="0">
      <alignment vertical="center"/>
    </xf>
    <xf numFmtId="0" fontId="22" fillId="28" borderId="7" applyNumberFormat="0" applyAlignment="0" applyProtection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8" fillId="0" borderId="0"/>
    <xf numFmtId="0" fontId="6" fillId="0" borderId="0"/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6" fillId="0" borderId="0"/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14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14" fillId="0" borderId="0">
      <alignment vertical="center"/>
    </xf>
    <xf numFmtId="0" fontId="15" fillId="39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39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0" borderId="0">
      <alignment vertical="center"/>
    </xf>
    <xf numFmtId="0" fontId="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6" fillId="0" borderId="0"/>
    <xf numFmtId="0" fontId="14" fillId="0" borderId="0">
      <alignment vertical="center"/>
    </xf>
    <xf numFmtId="0" fontId="14" fillId="0" borderId="0">
      <alignment vertical="center"/>
    </xf>
    <xf numFmtId="0" fontId="12" fillId="18" borderId="3" applyNumberFormat="0" applyAlignment="0" applyProtection="0">
      <alignment vertical="center"/>
    </xf>
    <xf numFmtId="0" fontId="14" fillId="0" borderId="0">
      <alignment vertical="center"/>
    </xf>
    <xf numFmtId="0" fontId="52" fillId="37" borderId="21" applyNumberFormat="0" applyAlignment="0" applyProtection="0">
      <alignment vertical="center"/>
    </xf>
    <xf numFmtId="0" fontId="56" fillId="0" borderId="0">
      <alignment vertical="center"/>
    </xf>
    <xf numFmtId="0" fontId="12" fillId="18" borderId="3" applyNumberFormat="0" applyAlignment="0" applyProtection="0">
      <alignment vertical="center"/>
    </xf>
    <xf numFmtId="0" fontId="14" fillId="0" borderId="0">
      <alignment vertical="center"/>
    </xf>
    <xf numFmtId="0" fontId="52" fillId="37" borderId="21" applyNumberFormat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14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2" fillId="37" borderId="21" applyNumberFormat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4" fillId="0" borderId="0"/>
    <xf numFmtId="0" fontId="56" fillId="0" borderId="0">
      <alignment vertical="center"/>
    </xf>
    <xf numFmtId="0" fontId="4" fillId="0" borderId="0"/>
    <xf numFmtId="0" fontId="4" fillId="0" borderId="0"/>
    <xf numFmtId="0" fontId="15" fillId="36" borderId="0" applyNumberFormat="0" applyBorder="0" applyAlignment="0" applyProtection="0">
      <alignment vertical="center"/>
    </xf>
    <xf numFmtId="0" fontId="4" fillId="0" borderId="0"/>
    <xf numFmtId="178" fontId="4" fillId="0" borderId="0"/>
    <xf numFmtId="0" fontId="15" fillId="31" borderId="0" applyNumberFormat="0" applyBorder="0" applyAlignment="0" applyProtection="0">
      <alignment vertical="center"/>
    </xf>
    <xf numFmtId="0" fontId="4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5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6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/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2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9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9" fillId="0" borderId="22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/>
    <xf numFmtId="0" fontId="7" fillId="0" borderId="0">
      <alignment vertical="center"/>
    </xf>
    <xf numFmtId="0" fontId="2" fillId="0" borderId="0">
      <alignment vertical="center"/>
    </xf>
    <xf numFmtId="0" fontId="56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3" fillId="55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5" fillId="41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17" fillId="55" borderId="0" applyNumberFormat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7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179" fontId="6" fillId="0" borderId="0" applyFont="0" applyFill="0" applyBorder="0" applyAlignment="0" applyProtection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/>
    <xf numFmtId="0" fontId="7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5" borderId="0" applyNumberFormat="0" applyBorder="0" applyAlignment="0" applyProtection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8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0" fontId="8" fillId="0" borderId="0" applyBorder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 applyBorder="0"/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6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2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" fillId="55" borderId="0" applyNumberFormat="0" applyBorder="0" applyAlignment="0" applyProtection="0">
      <alignment vertical="center"/>
    </xf>
    <xf numFmtId="0" fontId="56" fillId="0" borderId="0">
      <alignment vertical="center"/>
    </xf>
    <xf numFmtId="0" fontId="15" fillId="36" borderId="0" applyNumberFormat="0" applyBorder="0" applyAlignment="0" applyProtection="0">
      <alignment vertical="center"/>
    </xf>
    <xf numFmtId="0" fontId="56" fillId="0" borderId="0">
      <alignment vertical="center"/>
    </xf>
    <xf numFmtId="0" fontId="17" fillId="57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77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7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9" fillId="26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17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7" fillId="49" borderId="14" applyNumberFormat="0" applyAlignment="0" applyProtection="0">
      <alignment vertical="center"/>
    </xf>
    <xf numFmtId="0" fontId="8" fillId="0" borderId="0"/>
    <xf numFmtId="0" fontId="56" fillId="0" borderId="0">
      <alignment vertical="center"/>
    </xf>
    <xf numFmtId="0" fontId="37" fillId="49" borderId="14" applyNumberFormat="0" applyAlignment="0" applyProtection="0">
      <alignment vertical="center"/>
    </xf>
    <xf numFmtId="0" fontId="56" fillId="0" borderId="0">
      <alignment vertical="center"/>
    </xf>
    <xf numFmtId="0" fontId="37" fillId="49" borderId="14" applyNumberFormat="0" applyAlignment="0" applyProtection="0">
      <alignment vertical="center"/>
    </xf>
    <xf numFmtId="0" fontId="56" fillId="0" borderId="0">
      <alignment vertical="center"/>
    </xf>
    <xf numFmtId="0" fontId="37" fillId="49" borderId="14" applyNumberFormat="0" applyAlignment="0" applyProtection="0">
      <alignment vertical="center"/>
    </xf>
    <xf numFmtId="0" fontId="56" fillId="0" borderId="0">
      <alignment vertical="center"/>
    </xf>
    <xf numFmtId="0" fontId="37" fillId="49" borderId="14" applyNumberFormat="0" applyAlignment="0" applyProtection="0">
      <alignment vertical="center"/>
    </xf>
    <xf numFmtId="0" fontId="56" fillId="0" borderId="0">
      <alignment vertical="center"/>
    </xf>
    <xf numFmtId="0" fontId="19" fillId="26" borderId="6" applyNumberFormat="0" applyAlignment="0" applyProtection="0">
      <alignment vertical="center"/>
    </xf>
    <xf numFmtId="0" fontId="56" fillId="0" borderId="0">
      <alignment vertical="center"/>
    </xf>
    <xf numFmtId="0" fontId="19" fillId="26" borderId="6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177" fontId="56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7" fillId="55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8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48" borderId="16" applyNumberFormat="0" applyFont="0" applyAlignment="0" applyProtection="0">
      <alignment vertical="center"/>
    </xf>
    <xf numFmtId="0" fontId="8" fillId="0" borderId="0"/>
    <xf numFmtId="0" fontId="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25" borderId="4" applyNumberFormat="0" applyFon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6" fillId="0" borderId="0">
      <alignment vertical="center"/>
    </xf>
    <xf numFmtId="0" fontId="19" fillId="26" borderId="6" applyNumberFormat="0" applyAlignment="0" applyProtection="0">
      <alignment vertical="center"/>
    </xf>
    <xf numFmtId="0" fontId="8" fillId="0" borderId="0" applyBorder="0"/>
    <xf numFmtId="0" fontId="37" fillId="49" borderId="14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5" fillId="46" borderId="13" applyNumberFormat="0" applyAlignment="0" applyProtection="0">
      <alignment vertical="center"/>
    </xf>
    <xf numFmtId="0" fontId="56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9" fillId="34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41" fillId="5" borderId="0" applyNumberFormat="0" applyBorder="0" applyAlignment="0" applyProtection="0"/>
    <xf numFmtId="0" fontId="51" fillId="5" borderId="0" applyNumberFormat="0" applyBorder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27" fillId="5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5" fillId="26" borderId="3" applyNumberFormat="0" applyAlignment="0" applyProtection="0">
      <alignment vertical="center"/>
    </xf>
    <xf numFmtId="0" fontId="54" fillId="17" borderId="21" applyNumberFormat="0" applyAlignment="0" applyProtection="0">
      <alignment vertical="center"/>
    </xf>
    <xf numFmtId="0" fontId="25" fillId="26" borderId="3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54" fillId="49" borderId="21" applyNumberFormat="0" applyAlignment="0" applyProtection="0">
      <alignment vertical="center"/>
    </xf>
    <xf numFmtId="0" fontId="22" fillId="28" borderId="7" applyNumberFormat="0" applyAlignment="0" applyProtection="0">
      <alignment vertical="center"/>
    </xf>
    <xf numFmtId="0" fontId="35" fillId="46" borderId="13" applyNumberFormat="0" applyAlignment="0" applyProtection="0">
      <alignment vertical="center"/>
    </xf>
    <xf numFmtId="0" fontId="35" fillId="46" borderId="1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0" fillId="0" borderId="20" applyNumberFormat="0" applyFill="0" applyAlignment="0" applyProtection="0">
      <alignment vertical="center"/>
    </xf>
    <xf numFmtId="0" fontId="56" fillId="0" borderId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/>
    <xf numFmtId="177" fontId="2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56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80" fontId="4" fillId="0" borderId="0" applyFont="0" applyFill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7" fillId="5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7" fillId="58" borderId="0" applyNumberFormat="0" applyBorder="0" applyAlignment="0" applyProtection="0">
      <alignment vertical="center"/>
    </xf>
    <xf numFmtId="0" fontId="17" fillId="58" borderId="0" applyNumberFormat="0" applyBorder="0" applyAlignment="0" applyProtection="0">
      <alignment vertical="center"/>
    </xf>
    <xf numFmtId="0" fontId="17" fillId="58" borderId="0" applyNumberFormat="0" applyBorder="0" applyAlignment="0" applyProtection="0">
      <alignment vertical="center"/>
    </xf>
    <xf numFmtId="0" fontId="17" fillId="58" borderId="0" applyNumberFormat="0" applyBorder="0" applyAlignment="0" applyProtection="0">
      <alignment vertical="center"/>
    </xf>
    <xf numFmtId="0" fontId="17" fillId="58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7" fillId="56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52" fillId="37" borderId="21" applyNumberFormat="0" applyAlignment="0" applyProtection="0">
      <alignment vertical="center"/>
    </xf>
    <xf numFmtId="0" fontId="52" fillId="37" borderId="21" applyNumberFormat="0" applyAlignment="0" applyProtection="0">
      <alignment vertical="center"/>
    </xf>
    <xf numFmtId="0" fontId="52" fillId="37" borderId="21" applyNumberFormat="0" applyAlignment="0" applyProtection="0">
      <alignment vertical="center"/>
    </xf>
    <xf numFmtId="0" fontId="52" fillId="37" borderId="21" applyNumberFormat="0" applyAlignment="0" applyProtection="0">
      <alignment vertical="center"/>
    </xf>
    <xf numFmtId="0" fontId="12" fillId="18" borderId="3" applyNumberFormat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56" fillId="25" borderId="4" applyNumberFormat="0" applyFont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6" fillId="48" borderId="16" applyNumberFormat="0" applyFont="0" applyAlignment="0" applyProtection="0">
      <alignment vertical="center"/>
    </xf>
    <xf numFmtId="0" fontId="56" fillId="25" borderId="4" applyNumberFormat="0" applyFont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 applyAlignment="1">
      <alignment vertical="center" wrapText="1"/>
    </xf>
    <xf numFmtId="49" fontId="0" fillId="0" borderId="0" xfId="0" applyNumberFormat="1">
      <alignment vertical="center"/>
    </xf>
    <xf numFmtId="49" fontId="1" fillId="2" borderId="1" xfId="27" applyNumberFormat="1" applyFont="1" applyFill="1" applyBorder="1" applyAlignment="1">
      <alignment horizontal="center" vertical="center" wrapText="1"/>
    </xf>
    <xf numFmtId="49" fontId="1" fillId="3" borderId="1" xfId="1827" applyNumberFormat="1" applyFont="1" applyFill="1" applyBorder="1" applyAlignment="1">
      <alignment horizontal="center" vertical="center" wrapText="1"/>
    </xf>
    <xf numFmtId="49" fontId="1" fillId="5" borderId="1" xfId="27" applyNumberFormat="1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56" fillId="4" borderId="0" xfId="0" applyFont="1" applyFill="1">
      <alignment vertical="center"/>
    </xf>
    <xf numFmtId="0" fontId="0" fillId="10" borderId="0" xfId="0" applyFill="1">
      <alignment vertical="center"/>
    </xf>
    <xf numFmtId="49" fontId="0" fillId="59" borderId="0" xfId="0" applyNumberFormat="1" applyFill="1" applyAlignment="1">
      <alignment horizontal="center" vertical="center" wrapText="1"/>
    </xf>
    <xf numFmtId="49" fontId="0" fillId="59" borderId="0" xfId="0" applyNumberFormat="1" applyFill="1">
      <alignment vertical="center"/>
    </xf>
    <xf numFmtId="0" fontId="1" fillId="2" borderId="1" xfId="27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14" fontId="1" fillId="2" borderId="1" xfId="27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1" fillId="0" borderId="1" xfId="2583" applyNumberFormat="1" applyFont="1" applyBorder="1" applyAlignment="1">
      <alignment horizontal="center" vertical="center" wrapText="1"/>
    </xf>
    <xf numFmtId="0" fontId="0" fillId="0" borderId="0" xfId="0" applyNumberFormat="1" applyAlignment="1">
      <alignment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0" fontId="1" fillId="60" borderId="1" xfId="0" applyNumberFormat="1" applyFont="1" applyFill="1" applyBorder="1" applyAlignment="1">
      <alignment horizontal="center" vertical="center" wrapText="1"/>
    </xf>
    <xf numFmtId="0" fontId="56" fillId="0" borderId="0" xfId="0" applyNumberFormat="1" applyFont="1" applyFill="1" applyAlignment="1">
      <alignment vertical="center" wrapText="1"/>
    </xf>
  </cellXfs>
  <cellStyles count="3640">
    <cellStyle name="_ET_STYLE_NoName_00_" xfId="88" xr:uid="{00000000-0005-0000-0000-000088000000}"/>
    <cellStyle name="20% - 强调文字颜色 1 2" xfId="1" xr:uid="{00000000-0005-0000-0000-000002000000}"/>
    <cellStyle name="20% - 强调文字颜色 1 2 2" xfId="110" xr:uid="{00000000-0005-0000-0000-00009E000000}"/>
    <cellStyle name="20% - 强调文字颜色 1 2 3" xfId="93" xr:uid="{00000000-0005-0000-0000-00008D000000}"/>
    <cellStyle name="20% - 强调文字颜色 1 2 3 2" xfId="105" xr:uid="{00000000-0005-0000-0000-000099000000}"/>
    <cellStyle name="20% - 强调文字颜色 1 2 3 2 2" xfId="107" xr:uid="{00000000-0005-0000-0000-00009B000000}"/>
    <cellStyle name="20% - 强调文字颜色 1 2 3 3" xfId="113" xr:uid="{00000000-0005-0000-0000-0000A1000000}"/>
    <cellStyle name="20% - 强调文字颜色 1 2 4" xfId="117" xr:uid="{00000000-0005-0000-0000-0000A5000000}"/>
    <cellStyle name="20% - 强调文字颜色 1 2 5" xfId="123" xr:uid="{00000000-0005-0000-0000-0000AB000000}"/>
    <cellStyle name="20% - 强调文字颜色 1 2 5 2" xfId="126" xr:uid="{00000000-0005-0000-0000-0000AE000000}"/>
    <cellStyle name="20% - 强调文字颜色 1 2 6" xfId="130" xr:uid="{00000000-0005-0000-0000-0000B2000000}"/>
    <cellStyle name="20% - 强调文字颜色 1 3" xfId="101" xr:uid="{00000000-0005-0000-0000-000095000000}"/>
    <cellStyle name="20% - 强调文字颜色 1 4" xfId="94" xr:uid="{00000000-0005-0000-0000-00008E000000}"/>
    <cellStyle name="20% - 强调文字颜色 1 5" xfId="89" xr:uid="{00000000-0005-0000-0000-000089000000}"/>
    <cellStyle name="20% - 强调文字颜色 1 6" xfId="95" xr:uid="{00000000-0005-0000-0000-00008F000000}"/>
    <cellStyle name="20% - 强调文字颜色 1 7" xfId="100" xr:uid="{00000000-0005-0000-0000-000094000000}"/>
    <cellStyle name="20% - 强调文字颜色 1 8" xfId="136" xr:uid="{00000000-0005-0000-0000-0000B8000000}"/>
    <cellStyle name="20% - 强调文字颜色 1 8 2" xfId="137" xr:uid="{00000000-0005-0000-0000-0000B9000000}"/>
    <cellStyle name="20% - 强调文字颜色 1 9" xfId="145" xr:uid="{00000000-0005-0000-0000-0000C1000000}"/>
    <cellStyle name="20% - 强调文字颜色 2 2" xfId="147" xr:uid="{00000000-0005-0000-0000-0000C3000000}"/>
    <cellStyle name="20% - 强调文字颜色 2 2 2" xfId="150" xr:uid="{00000000-0005-0000-0000-0000C6000000}"/>
    <cellStyle name="20% - 强调文字颜色 2 2 3" xfId="152" xr:uid="{00000000-0005-0000-0000-0000C8000000}"/>
    <cellStyle name="20% - 强调文字颜色 2 2 3 2" xfId="157" xr:uid="{00000000-0005-0000-0000-0000CD000000}"/>
    <cellStyle name="20% - 强调文字颜色 2 2 3 2 2" xfId="161" xr:uid="{00000000-0005-0000-0000-0000D1000000}"/>
    <cellStyle name="20% - 强调文字颜色 2 2 3 3" xfId="166" xr:uid="{00000000-0005-0000-0000-0000D6000000}"/>
    <cellStyle name="20% - 强调文字颜色 2 2 4" xfId="168" xr:uid="{00000000-0005-0000-0000-0000D8000000}"/>
    <cellStyle name="20% - 强调文字颜色 2 2 5" xfId="172" xr:uid="{00000000-0005-0000-0000-0000DC000000}"/>
    <cellStyle name="20% - 强调文字颜色 2 2 5 2" xfId="178" xr:uid="{00000000-0005-0000-0000-0000E2000000}"/>
    <cellStyle name="20% - 强调文字颜色 2 2 6" xfId="182" xr:uid="{00000000-0005-0000-0000-0000E6000000}"/>
    <cellStyle name="20% - 强调文字颜色 2 3" xfId="183" xr:uid="{00000000-0005-0000-0000-0000E7000000}"/>
    <cellStyle name="20% - 强调文字颜色 2 4" xfId="185" xr:uid="{00000000-0005-0000-0000-0000E9000000}"/>
    <cellStyle name="20% - 强调文字颜色 2 5" xfId="186" xr:uid="{00000000-0005-0000-0000-0000EA000000}"/>
    <cellStyle name="20% - 强调文字颜色 2 6" xfId="187" xr:uid="{00000000-0005-0000-0000-0000EB000000}"/>
    <cellStyle name="20% - 强调文字颜色 2 7" xfId="191" xr:uid="{00000000-0005-0000-0000-0000EF000000}"/>
    <cellStyle name="20% - 强调文字颜色 2 8" xfId="195" xr:uid="{00000000-0005-0000-0000-0000F3000000}"/>
    <cellStyle name="20% - 强调文字颜色 2 8 2" xfId="200" xr:uid="{00000000-0005-0000-0000-0000F8000000}"/>
    <cellStyle name="20% - 强调文字颜色 2 9" xfId="201" xr:uid="{00000000-0005-0000-0000-0000F9000000}"/>
    <cellStyle name="20% - 强调文字颜色 3 2" xfId="203" xr:uid="{00000000-0005-0000-0000-0000FB000000}"/>
    <cellStyle name="20% - 强调文字颜色 3 2 2" xfId="209" xr:uid="{00000000-0005-0000-0000-000001010000}"/>
    <cellStyle name="20% - 强调文字颜色 3 2 3" xfId="215" xr:uid="{00000000-0005-0000-0000-000007010000}"/>
    <cellStyle name="20% - 强调文字颜色 3 2 3 2" xfId="217" xr:uid="{00000000-0005-0000-0000-000009010000}"/>
    <cellStyle name="20% - 强调文字颜色 3 2 3 2 2" xfId="218" xr:uid="{00000000-0005-0000-0000-00000A010000}"/>
    <cellStyle name="20% - 强调文字颜色 3 2 3 3" xfId="3" xr:uid="{00000000-0005-0000-0000-000005000000}"/>
    <cellStyle name="20% - 强调文字颜色 3 2 4" xfId="223" xr:uid="{00000000-0005-0000-0000-00000F010000}"/>
    <cellStyle name="20% - 强调文字颜色 3 2 5" xfId="229" xr:uid="{00000000-0005-0000-0000-000015010000}"/>
    <cellStyle name="20% - 强调文字颜色 3 2 5 2" xfId="230" xr:uid="{00000000-0005-0000-0000-000016010000}"/>
    <cellStyle name="20% - 强调文字颜色 3 2 6" xfId="235" xr:uid="{00000000-0005-0000-0000-00001B010000}"/>
    <cellStyle name="20% - 强调文字颜色 3 3" xfId="63" xr:uid="{00000000-0005-0000-0000-00005E000000}"/>
    <cellStyle name="20% - 强调文字颜色 3 4" xfId="239" xr:uid="{00000000-0005-0000-0000-00001F010000}"/>
    <cellStyle name="20% - 强调文字颜色 3 5" xfId="242" xr:uid="{00000000-0005-0000-0000-000022010000}"/>
    <cellStyle name="20% - 强调文字颜色 3 6" xfId="156" xr:uid="{00000000-0005-0000-0000-0000CC000000}"/>
    <cellStyle name="20% - 强调文字颜色 3 7" xfId="165" xr:uid="{00000000-0005-0000-0000-0000D5000000}"/>
    <cellStyle name="20% - 强调文字颜色 3 8" xfId="246" xr:uid="{00000000-0005-0000-0000-000026010000}"/>
    <cellStyle name="20% - 强调文字颜色 3 8 2" xfId="247" xr:uid="{00000000-0005-0000-0000-000027010000}"/>
    <cellStyle name="20% - 强调文字颜色 3 9" xfId="198" xr:uid="{00000000-0005-0000-0000-0000F6000000}"/>
    <cellStyle name="20% - 强调文字颜色 4 2" xfId="249" xr:uid="{00000000-0005-0000-0000-000029010000}"/>
    <cellStyle name="20% - 强调文字颜色 4 2 2" xfId="253" xr:uid="{00000000-0005-0000-0000-00002D010000}"/>
    <cellStyle name="20% - 强调文字颜色 4 2 3" xfId="257" xr:uid="{00000000-0005-0000-0000-000031010000}"/>
    <cellStyle name="20% - 强调文字颜色 4 2 3 2" xfId="261" xr:uid="{00000000-0005-0000-0000-000035010000}"/>
    <cellStyle name="20% - 强调文字颜色 4 2 3 2 2" xfId="263" xr:uid="{00000000-0005-0000-0000-000037010000}"/>
    <cellStyle name="20% - 强调文字颜色 4 2 3 3" xfId="264" xr:uid="{00000000-0005-0000-0000-000038010000}"/>
    <cellStyle name="20% - 强调文字颜色 4 2 4" xfId="266" xr:uid="{00000000-0005-0000-0000-00003A010000}"/>
    <cellStyle name="20% - 强调文字颜色 4 2 5" xfId="269" xr:uid="{00000000-0005-0000-0000-00003D010000}"/>
    <cellStyle name="20% - 强调文字颜色 4 2 5 2" xfId="271" xr:uid="{00000000-0005-0000-0000-00003F010000}"/>
    <cellStyle name="20% - 强调文字颜色 4 2 6" xfId="273" xr:uid="{00000000-0005-0000-0000-000041010000}"/>
    <cellStyle name="20% - 强调文字颜色 4 3" xfId="275" xr:uid="{00000000-0005-0000-0000-000043010000}"/>
    <cellStyle name="20% - 强调文字颜色 4 4" xfId="278" xr:uid="{00000000-0005-0000-0000-000046010000}"/>
    <cellStyle name="20% - 强调文字颜色 4 5" xfId="17" xr:uid="{00000000-0005-0000-0000-00001E000000}"/>
    <cellStyle name="20% - 强调文字颜色 4 6" xfId="281" xr:uid="{00000000-0005-0000-0000-000049010000}"/>
    <cellStyle name="20% - 强调文字颜色 4 7" xfId="285" xr:uid="{00000000-0005-0000-0000-00004D010000}"/>
    <cellStyle name="20% - 强调文字颜色 4 8" xfId="289" xr:uid="{00000000-0005-0000-0000-000051010000}"/>
    <cellStyle name="20% - 强调文字颜色 4 8 2" xfId="297" xr:uid="{00000000-0005-0000-0000-000059010000}"/>
    <cellStyle name="20% - 强调文字颜色 4 9" xfId="299" xr:uid="{00000000-0005-0000-0000-00005B010000}"/>
    <cellStyle name="20% - 强调文字颜色 5 2" xfId="301" xr:uid="{00000000-0005-0000-0000-00005D010000}"/>
    <cellStyle name="20% - 强调文字颜色 5 2 2" xfId="303" xr:uid="{00000000-0005-0000-0000-00005F010000}"/>
    <cellStyle name="20% - 强调文字颜色 5 2 3" xfId="305" xr:uid="{00000000-0005-0000-0000-000061010000}"/>
    <cellStyle name="20% - 强调文字颜色 5 2 3 2" xfId="308" xr:uid="{00000000-0005-0000-0000-000064010000}"/>
    <cellStyle name="20% - 强调文字颜色 5 2 3 2 2" xfId="184" xr:uid="{00000000-0005-0000-0000-0000E8000000}"/>
    <cellStyle name="20% - 强调文字颜色 5 2 3 3" xfId="39" xr:uid="{00000000-0005-0000-0000-00003B000000}"/>
    <cellStyle name="20% - 强调文字颜色 5 2 4" xfId="311" xr:uid="{00000000-0005-0000-0000-000067010000}"/>
    <cellStyle name="20% - 强调文字颜色 5 2 5" xfId="314" xr:uid="{00000000-0005-0000-0000-00006A010000}"/>
    <cellStyle name="20% - 强调文字颜色 5 2 5 2" xfId="56" xr:uid="{00000000-0005-0000-0000-000054000000}"/>
    <cellStyle name="20% - 强调文字颜色 5 2 6" xfId="316" xr:uid="{00000000-0005-0000-0000-00006C010000}"/>
    <cellStyle name="20% - 强调文字颜色 5 3" xfId="319" xr:uid="{00000000-0005-0000-0000-00006F010000}"/>
    <cellStyle name="20% - 强调文字颜色 5 4" xfId="323" xr:uid="{00000000-0005-0000-0000-000073010000}"/>
    <cellStyle name="20% - 强调文字颜色 5 5" xfId="326" xr:uid="{00000000-0005-0000-0000-000076010000}"/>
    <cellStyle name="20% - 强调文字颜色 5 6" xfId="175" xr:uid="{00000000-0005-0000-0000-0000DF000000}"/>
    <cellStyle name="20% - 强调文字颜色 5 7" xfId="331" xr:uid="{00000000-0005-0000-0000-00007B010000}"/>
    <cellStyle name="20% - 强调文字颜色 5 8" xfId="339" xr:uid="{00000000-0005-0000-0000-000083010000}"/>
    <cellStyle name="20% - 强调文字颜色 5 8 2" xfId="340" xr:uid="{00000000-0005-0000-0000-000084010000}"/>
    <cellStyle name="20% - 强调文字颜色 5 9" xfId="343" xr:uid="{00000000-0005-0000-0000-000087010000}"/>
    <cellStyle name="20% - 强调文字颜色 6 2" xfId="347" xr:uid="{00000000-0005-0000-0000-00008B010000}"/>
    <cellStyle name="20% - 强调文字颜色 6 2 2" xfId="350" xr:uid="{00000000-0005-0000-0000-00008E010000}"/>
    <cellStyle name="20% - 强调文字颜色 6 2 3" xfId="355" xr:uid="{00000000-0005-0000-0000-000093010000}"/>
    <cellStyle name="20% - 强调文字颜色 6 2 3 2" xfId="359" xr:uid="{00000000-0005-0000-0000-000097010000}"/>
    <cellStyle name="20% - 强调文字颜色 6 2 3 2 2" xfId="363" xr:uid="{00000000-0005-0000-0000-00009B010000}"/>
    <cellStyle name="20% - 强调文字颜色 6 2 3 3" xfId="365" xr:uid="{00000000-0005-0000-0000-00009D010000}"/>
    <cellStyle name="20% - 强调文字颜色 6 2 4" xfId="373" xr:uid="{00000000-0005-0000-0000-0000A5010000}"/>
    <cellStyle name="20% - 强调文字颜色 6 2 5" xfId="379" xr:uid="{00000000-0005-0000-0000-0000AB010000}"/>
    <cellStyle name="20% - 强调文字颜色 6 2 5 2" xfId="381" xr:uid="{00000000-0005-0000-0000-0000AD010000}"/>
    <cellStyle name="20% - 强调文字颜色 6 2 6" xfId="383" xr:uid="{00000000-0005-0000-0000-0000AF010000}"/>
    <cellStyle name="20% - 强调文字颜色 6 3" xfId="385" xr:uid="{00000000-0005-0000-0000-0000B1010000}"/>
    <cellStyle name="20% - 强调文字颜色 6 4" xfId="388" xr:uid="{00000000-0005-0000-0000-0000B4010000}"/>
    <cellStyle name="20% - 强调文字颜色 6 5" xfId="392" xr:uid="{00000000-0005-0000-0000-0000B8010000}"/>
    <cellStyle name="20% - 强调文字颜色 6 6" xfId="397" xr:uid="{00000000-0005-0000-0000-0000BD010000}"/>
    <cellStyle name="20% - 强调文字颜色 6 7" xfId="402" xr:uid="{00000000-0005-0000-0000-0000C2010000}"/>
    <cellStyle name="20% - 强调文字颜色 6 8" xfId="407" xr:uid="{00000000-0005-0000-0000-0000C7010000}"/>
    <cellStyle name="20% - 强调文字颜色 6 8 2" xfId="414" xr:uid="{00000000-0005-0000-0000-0000CE010000}"/>
    <cellStyle name="20% - 强调文字颜色 6 9" xfId="419" xr:uid="{00000000-0005-0000-0000-0000D3010000}"/>
    <cellStyle name="40% - 强调文字颜色 1 2" xfId="421" xr:uid="{00000000-0005-0000-0000-0000D5010000}"/>
    <cellStyle name="40% - 强调文字颜色 1 2 2" xfId="422" xr:uid="{00000000-0005-0000-0000-0000D6010000}"/>
    <cellStyle name="40% - 强调文字颜色 1 2 3" xfId="423" xr:uid="{00000000-0005-0000-0000-0000D7010000}"/>
    <cellStyle name="40% - 强调文字颜色 1 2 3 2" xfId="180" xr:uid="{00000000-0005-0000-0000-0000E4000000}"/>
    <cellStyle name="40% - 强调文字颜色 1 2 3 2 2" xfId="396" xr:uid="{00000000-0005-0000-0000-0000BC010000}"/>
    <cellStyle name="40% - 强调文字颜色 1 2 3 3" xfId="425" xr:uid="{00000000-0005-0000-0000-0000D9010000}"/>
    <cellStyle name="40% - 强调文字颜色 1 2 4" xfId="426" xr:uid="{00000000-0005-0000-0000-0000DA010000}"/>
    <cellStyle name="40% - 强调文字颜色 1 2 5" xfId="427" xr:uid="{00000000-0005-0000-0000-0000DB010000}"/>
    <cellStyle name="40% - 强调文字颜色 1 2 5 2" xfId="428" xr:uid="{00000000-0005-0000-0000-0000DC010000}"/>
    <cellStyle name="40% - 强调文字颜色 1 2 6" xfId="431" xr:uid="{00000000-0005-0000-0000-0000DF010000}"/>
    <cellStyle name="40% - 强调文字颜色 1 3" xfId="292" xr:uid="{00000000-0005-0000-0000-000054010000}"/>
    <cellStyle name="40% - 强调文字颜色 1 4" xfId="434" xr:uid="{00000000-0005-0000-0000-0000E2010000}"/>
    <cellStyle name="40% - 强调文字颜色 1 5" xfId="437" xr:uid="{00000000-0005-0000-0000-0000E5010000}"/>
    <cellStyle name="40% - 强调文字颜色 1 6" xfId="442" xr:uid="{00000000-0005-0000-0000-0000EA010000}"/>
    <cellStyle name="40% - 强调文字颜色 1 7" xfId="446" xr:uid="{00000000-0005-0000-0000-0000EE010000}"/>
    <cellStyle name="40% - 强调文字颜色 1 8" xfId="451" xr:uid="{00000000-0005-0000-0000-0000F3010000}"/>
    <cellStyle name="40% - 强调文字颜色 1 8 2" xfId="42" xr:uid="{00000000-0005-0000-0000-00003E000000}"/>
    <cellStyle name="40% - 强调文字颜色 1 9" xfId="453" xr:uid="{00000000-0005-0000-0000-0000F5010000}"/>
    <cellStyle name="40% - 强调文字颜色 2 2" xfId="90" xr:uid="{00000000-0005-0000-0000-00008A000000}"/>
    <cellStyle name="40% - 强调文字颜色 2 2 2" xfId="103" xr:uid="{00000000-0005-0000-0000-000097000000}"/>
    <cellStyle name="40% - 强调文字颜色 2 2 3" xfId="111" xr:uid="{00000000-0005-0000-0000-00009F000000}"/>
    <cellStyle name="40% - 强调文字颜色 2 2 3 2" xfId="454" xr:uid="{00000000-0005-0000-0000-0000F6010000}"/>
    <cellStyle name="40% - 强调文字颜色 2 2 3 2 2" xfId="8" xr:uid="{00000000-0005-0000-0000-00000C000000}"/>
    <cellStyle name="40% - 强调文字颜色 2 2 3 3" xfId="459" xr:uid="{00000000-0005-0000-0000-0000FB010000}"/>
    <cellStyle name="40% - 强调文字颜色 2 2 4" xfId="460" xr:uid="{00000000-0005-0000-0000-0000FC010000}"/>
    <cellStyle name="40% - 强调文字颜色 2 2 5" xfId="461" xr:uid="{00000000-0005-0000-0000-0000FD010000}"/>
    <cellStyle name="40% - 强调文字颜色 2 2 5 2" xfId="462" xr:uid="{00000000-0005-0000-0000-0000FE010000}"/>
    <cellStyle name="40% - 强调文字颜色 2 2 6" xfId="464" xr:uid="{00000000-0005-0000-0000-000000020000}"/>
    <cellStyle name="40% - 强调文字颜色 2 3" xfId="114" xr:uid="{00000000-0005-0000-0000-0000A2000000}"/>
    <cellStyle name="40% - 强调文字颜色 2 4" xfId="118" xr:uid="{00000000-0005-0000-0000-0000A6000000}"/>
    <cellStyle name="40% - 强调文字颜色 2 5" xfId="128" xr:uid="{00000000-0005-0000-0000-0000B0000000}"/>
    <cellStyle name="40% - 强调文字颜色 2 6" xfId="467" xr:uid="{00000000-0005-0000-0000-000003020000}"/>
    <cellStyle name="40% - 强调文字颜色 2 7" xfId="468" xr:uid="{00000000-0005-0000-0000-000004020000}"/>
    <cellStyle name="40% - 强调文字颜色 2 8" xfId="469" xr:uid="{00000000-0005-0000-0000-000005020000}"/>
    <cellStyle name="40% - 强调文字颜色 2 8 2" xfId="470" xr:uid="{00000000-0005-0000-0000-000006020000}"/>
    <cellStyle name="40% - 强调文字颜色 2 9" xfId="473" xr:uid="{00000000-0005-0000-0000-000009020000}"/>
    <cellStyle name="40% - 强调文字颜色 3 2" xfId="476" xr:uid="{00000000-0005-0000-0000-00000C020000}"/>
    <cellStyle name="40% - 强调文字颜色 3 2 2" xfId="478" xr:uid="{00000000-0005-0000-0000-00000E020000}"/>
    <cellStyle name="40% - 强调文字颜色 3 2 3" xfId="480" xr:uid="{00000000-0005-0000-0000-000010020000}"/>
    <cellStyle name="40% - 强调文字颜色 3 2 3 2" xfId="481" xr:uid="{00000000-0005-0000-0000-000011020000}"/>
    <cellStyle name="40% - 强调文字颜色 3 2 3 2 2" xfId="482" xr:uid="{00000000-0005-0000-0000-000012020000}"/>
    <cellStyle name="40% - 强调文字颜色 3 2 3 3" xfId="483" xr:uid="{00000000-0005-0000-0000-000013020000}"/>
    <cellStyle name="40% - 强调文字颜色 3 2 4" xfId="485" xr:uid="{00000000-0005-0000-0000-000015020000}"/>
    <cellStyle name="40% - 强调文字颜色 3 2 5" xfId="486" xr:uid="{00000000-0005-0000-0000-000016020000}"/>
    <cellStyle name="40% - 强调文字颜色 3 2 5 2" xfId="487" xr:uid="{00000000-0005-0000-0000-000017020000}"/>
    <cellStyle name="40% - 强调文字颜色 3 2 6" xfId="489" xr:uid="{00000000-0005-0000-0000-000019020000}"/>
    <cellStyle name="40% - 强调文字颜色 3 3" xfId="492" xr:uid="{00000000-0005-0000-0000-00001C020000}"/>
    <cellStyle name="40% - 强调文字颜色 3 4" xfId="493" xr:uid="{00000000-0005-0000-0000-00001D020000}"/>
    <cellStyle name="40% - 强调文字颜色 3 5" xfId="495" xr:uid="{00000000-0005-0000-0000-00001F020000}"/>
    <cellStyle name="40% - 强调文字颜色 3 6" xfId="498" xr:uid="{00000000-0005-0000-0000-000022020000}"/>
    <cellStyle name="40% - 强调文字颜色 3 7" xfId="309" xr:uid="{00000000-0005-0000-0000-000065010000}"/>
    <cellStyle name="40% - 强调文字颜色 3 8" xfId="40" xr:uid="{00000000-0005-0000-0000-00003C000000}"/>
    <cellStyle name="40% - 强调文字颜色 3 8 2" xfId="237" xr:uid="{00000000-0005-0000-0000-00001D010000}"/>
    <cellStyle name="40% - 强调文字颜色 3 9" xfId="19" xr:uid="{00000000-0005-0000-0000-000020000000}"/>
    <cellStyle name="40% - 强调文字颜色 4 2" xfId="48" xr:uid="{00000000-0005-0000-0000-000049000000}"/>
    <cellStyle name="40% - 强调文字颜色 4 2 2" xfId="502" xr:uid="{00000000-0005-0000-0000-000026020000}"/>
    <cellStyle name="40% - 强调文字颜色 4 2 3" xfId="505" xr:uid="{00000000-0005-0000-0000-000029020000}"/>
    <cellStyle name="40% - 强调文字颜色 4 2 3 2" xfId="66" xr:uid="{00000000-0005-0000-0000-000064000000}"/>
    <cellStyle name="40% - 强调文字颜色 4 2 3 2 2" xfId="508" xr:uid="{00000000-0005-0000-0000-00002C020000}"/>
    <cellStyle name="40% - 强调文字颜色 4 2 3 3" xfId="51" xr:uid="{00000000-0005-0000-0000-00004F000000}"/>
    <cellStyle name="40% - 强调文字颜色 4 2 4" xfId="514" xr:uid="{00000000-0005-0000-0000-000032020000}"/>
    <cellStyle name="40% - 强调文字颜色 4 2 5" xfId="518" xr:uid="{00000000-0005-0000-0000-000036020000}"/>
    <cellStyle name="40% - 强调文字颜色 4 2 5 2" xfId="521" xr:uid="{00000000-0005-0000-0000-000039020000}"/>
    <cellStyle name="40% - 强调文字颜色 4 2 6" xfId="527" xr:uid="{00000000-0005-0000-0000-00003F020000}"/>
    <cellStyle name="40% - 强调文字颜色 4 3" xfId="528" xr:uid="{00000000-0005-0000-0000-000040020000}"/>
    <cellStyle name="40% - 强调文字颜色 4 4" xfId="348" xr:uid="{00000000-0005-0000-0000-00008C010000}"/>
    <cellStyle name="40% - 强调文字颜色 4 5" xfId="352" xr:uid="{00000000-0005-0000-0000-000090010000}"/>
    <cellStyle name="40% - 强调文字颜色 4 6" xfId="368" xr:uid="{00000000-0005-0000-0000-0000A0010000}"/>
    <cellStyle name="40% - 强调文字颜色 4 7" xfId="375" xr:uid="{00000000-0005-0000-0000-0000A7010000}"/>
    <cellStyle name="40% - 强调文字颜色 4 8" xfId="382" xr:uid="{00000000-0005-0000-0000-0000AE010000}"/>
    <cellStyle name="40% - 强调文字颜色 4 8 2" xfId="533" xr:uid="{00000000-0005-0000-0000-000045020000}"/>
    <cellStyle name="40% - 强调文字颜色 4 9" xfId="534" xr:uid="{00000000-0005-0000-0000-000046020000}"/>
    <cellStyle name="40% - 强调文字颜色 5 2" xfId="536" xr:uid="{00000000-0005-0000-0000-000048020000}"/>
    <cellStyle name="40% - 强调文字颜色 5 2 2" xfId="390" xr:uid="{00000000-0005-0000-0000-0000B6010000}"/>
    <cellStyle name="40% - 强调文字颜色 5 2 3" xfId="394" xr:uid="{00000000-0005-0000-0000-0000BA010000}"/>
    <cellStyle name="40% - 强调文字颜色 5 2 3 2" xfId="539" xr:uid="{00000000-0005-0000-0000-00004B020000}"/>
    <cellStyle name="40% - 强调文字颜色 5 2 3 2 2" xfId="97" xr:uid="{00000000-0005-0000-0000-000091000000}"/>
    <cellStyle name="40% - 强调文字颜色 5 2 3 3" xfId="541" xr:uid="{00000000-0005-0000-0000-00004D020000}"/>
    <cellStyle name="40% - 强调文字颜色 5 2 4" xfId="399" xr:uid="{00000000-0005-0000-0000-0000BF010000}"/>
    <cellStyle name="40% - 强调文字颜色 5 2 5" xfId="404" xr:uid="{00000000-0005-0000-0000-0000C4010000}"/>
    <cellStyle name="40% - 强调文字颜色 5 2 5 2" xfId="409" xr:uid="{00000000-0005-0000-0000-0000C9010000}"/>
    <cellStyle name="40% - 强调文字颜色 5 2 6" xfId="417" xr:uid="{00000000-0005-0000-0000-0000D1010000}"/>
    <cellStyle name="40% - 强调文字颜色 5 3" xfId="543" xr:uid="{00000000-0005-0000-0000-00004F020000}"/>
    <cellStyle name="40% - 强调文字颜色 5 4" xfId="544" xr:uid="{00000000-0005-0000-0000-000050020000}"/>
    <cellStyle name="40% - 强调文字颜色 5 5" xfId="550" xr:uid="{00000000-0005-0000-0000-000056020000}"/>
    <cellStyle name="40% - 强调文字颜色 5 6" xfId="557" xr:uid="{00000000-0005-0000-0000-00005D020000}"/>
    <cellStyle name="40% - 强调文字颜色 5 7" xfId="57" xr:uid="{00000000-0005-0000-0000-000055000000}"/>
    <cellStyle name="40% - 强调文字颜色 5 8" xfId="559" xr:uid="{00000000-0005-0000-0000-00005F020000}"/>
    <cellStyle name="40% - 强调文字颜色 5 8 2" xfId="568" xr:uid="{00000000-0005-0000-0000-000068020000}"/>
    <cellStyle name="40% - 强调文字颜色 5 9" xfId="570" xr:uid="{00000000-0005-0000-0000-00006A020000}"/>
    <cellStyle name="40% - 强调文字颜色 6 2" xfId="572" xr:uid="{00000000-0005-0000-0000-00006C020000}"/>
    <cellStyle name="40% - 强调文字颜色 6 2 2" xfId="573" xr:uid="{00000000-0005-0000-0000-00006D020000}"/>
    <cellStyle name="40% - 强调文字颜色 6 2 3" xfId="574" xr:uid="{00000000-0005-0000-0000-00006E020000}"/>
    <cellStyle name="40% - 强调文字颜色 6 2 3 2" xfId="580" xr:uid="{00000000-0005-0000-0000-000074020000}"/>
    <cellStyle name="40% - 强调文字颜色 6 2 3 2 2" xfId="582" xr:uid="{00000000-0005-0000-0000-000076020000}"/>
    <cellStyle name="40% - 强调文字颜色 6 2 3 3" xfId="589" xr:uid="{00000000-0005-0000-0000-00007D020000}"/>
    <cellStyle name="40% - 强调文字颜色 6 2 4" xfId="590" xr:uid="{00000000-0005-0000-0000-00007E020000}"/>
    <cellStyle name="40% - 强调文字颜色 6 2 5" xfId="519" xr:uid="{00000000-0005-0000-0000-000037020000}"/>
    <cellStyle name="40% - 强调文字颜色 6 2 5 2" xfId="592" xr:uid="{00000000-0005-0000-0000-000080020000}"/>
    <cellStyle name="40% - 强调文字颜色 6 2 6" xfId="594" xr:uid="{00000000-0005-0000-0000-000082020000}"/>
    <cellStyle name="40% - 强调文字颜色 6 3" xfId="595" xr:uid="{00000000-0005-0000-0000-000083020000}"/>
    <cellStyle name="40% - 强调文字颜色 6 4" xfId="597" xr:uid="{00000000-0005-0000-0000-000085020000}"/>
    <cellStyle name="40% - 强调文字颜色 6 5" xfId="60" xr:uid="{00000000-0005-0000-0000-000059000000}"/>
    <cellStyle name="40% - 强调文字颜色 6 6" xfId="603" xr:uid="{00000000-0005-0000-0000-00008B020000}"/>
    <cellStyle name="40% - 强调文字颜色 6 7" xfId="607" xr:uid="{00000000-0005-0000-0000-00008F020000}"/>
    <cellStyle name="40% - 强调文字颜色 6 8" xfId="609" xr:uid="{00000000-0005-0000-0000-000091020000}"/>
    <cellStyle name="40% - 强调文字颜色 6 8 2" xfId="612" xr:uid="{00000000-0005-0000-0000-000094020000}"/>
    <cellStyle name="40% - 强调文字颜色 6 9" xfId="479" xr:uid="{00000000-0005-0000-0000-00000F020000}"/>
    <cellStyle name="60% - 强调文字颜色 1 2" xfId="236" xr:uid="{00000000-0005-0000-0000-00001C010000}"/>
    <cellStyle name="60% - 强调文字颜色 1 2 2" xfId="613" xr:uid="{00000000-0005-0000-0000-000095020000}"/>
    <cellStyle name="60% - 强调文字颜色 1 2 3" xfId="614" xr:uid="{00000000-0005-0000-0000-000096020000}"/>
    <cellStyle name="60% - 强调文字颜色 1 2 4" xfId="258" xr:uid="{00000000-0005-0000-0000-000032010000}"/>
    <cellStyle name="60% - 强调文字颜色 1 3" xfId="240" xr:uid="{00000000-0005-0000-0000-000020010000}"/>
    <cellStyle name="60% - 强调文字颜色 1 4" xfId="154" xr:uid="{00000000-0005-0000-0000-0000CA000000}"/>
    <cellStyle name="60% - 强调文字颜色 1 5" xfId="162" xr:uid="{00000000-0005-0000-0000-0000D2000000}"/>
    <cellStyle name="60% - 强调文字颜色 1 6" xfId="243" xr:uid="{00000000-0005-0000-0000-000023010000}"/>
    <cellStyle name="60% - 强调文字颜色 1 7" xfId="196" xr:uid="{00000000-0005-0000-0000-0000F4000000}"/>
    <cellStyle name="60% - 强调文字颜色 1 8" xfId="262" xr:uid="{00000000-0005-0000-0000-000036010000}"/>
    <cellStyle name="60% - 强调文字颜色 1 9" xfId="617" xr:uid="{00000000-0005-0000-0000-000099020000}"/>
    <cellStyle name="60% - 强调文字颜色 2 2" xfId="276" xr:uid="{00000000-0005-0000-0000-000044010000}"/>
    <cellStyle name="60% - 强调文字颜色 2 2 2" xfId="30" xr:uid="{00000000-0005-0000-0000-00002E000000}"/>
    <cellStyle name="60% - 强调文字颜色 2 2 3" xfId="619" xr:uid="{00000000-0005-0000-0000-00009B020000}"/>
    <cellStyle name="60% - 强调文字颜色 2 2 4" xfId="620" xr:uid="{00000000-0005-0000-0000-00009C020000}"/>
    <cellStyle name="60% - 强调文字颜色 2 3" xfId="15" xr:uid="{00000000-0005-0000-0000-00001C000000}"/>
    <cellStyle name="60% - 强调文字颜色 2 4" xfId="279" xr:uid="{00000000-0005-0000-0000-000047010000}"/>
    <cellStyle name="60% - 强调文字颜色 2 5" xfId="282" xr:uid="{00000000-0005-0000-0000-00004A010000}"/>
    <cellStyle name="60% - 强调文字颜色 2 6" xfId="286" xr:uid="{00000000-0005-0000-0000-00004E010000}"/>
    <cellStyle name="60% - 强调文字颜色 2 7" xfId="298" xr:uid="{00000000-0005-0000-0000-00005A010000}"/>
    <cellStyle name="60% - 强调文字颜色 2 8" xfId="621" xr:uid="{00000000-0005-0000-0000-00009D020000}"/>
    <cellStyle name="60% - 强调文字颜色 2 9" xfId="624" xr:uid="{00000000-0005-0000-0000-0000A0020000}"/>
    <cellStyle name="60% - 强调文字颜色 3 2" xfId="320" xr:uid="{00000000-0005-0000-0000-000070010000}"/>
    <cellStyle name="60% - 强调文字颜色 3 2 2" xfId="626" xr:uid="{00000000-0005-0000-0000-0000A2020000}"/>
    <cellStyle name="60% - 强调文字颜色 3 2 3" xfId="628" xr:uid="{00000000-0005-0000-0000-0000A4020000}"/>
    <cellStyle name="60% - 强调文字颜色 3 2 4" xfId="630" xr:uid="{00000000-0005-0000-0000-0000A6020000}"/>
    <cellStyle name="60% - 强调文字颜色 3 3" xfId="324" xr:uid="{00000000-0005-0000-0000-000074010000}"/>
    <cellStyle name="60% - 强调文字颜色 3 4" xfId="174" xr:uid="{00000000-0005-0000-0000-0000DE000000}"/>
    <cellStyle name="60% - 强调文字颜色 3 5" xfId="328" xr:uid="{00000000-0005-0000-0000-000078010000}"/>
    <cellStyle name="60% - 强调文字颜色 3 6" xfId="336" xr:uid="{00000000-0005-0000-0000-000080010000}"/>
    <cellStyle name="60% - 强调文字颜色 3 7" xfId="342" xr:uid="{00000000-0005-0000-0000-000086010000}"/>
    <cellStyle name="60% - 强调文字颜色 3 8" xfId="632" xr:uid="{00000000-0005-0000-0000-0000A8020000}"/>
    <cellStyle name="60% - 强调文字颜色 3 9" xfId="634" xr:uid="{00000000-0005-0000-0000-0000AA020000}"/>
    <cellStyle name="60% - 强调文字颜色 4 2" xfId="386" xr:uid="{00000000-0005-0000-0000-0000B2010000}"/>
    <cellStyle name="60% - 强调文字颜色 4 2 2" xfId="598" xr:uid="{00000000-0005-0000-0000-000086020000}"/>
    <cellStyle name="60% - 强调文字颜色 4 2 3" xfId="61" xr:uid="{00000000-0005-0000-0000-00005A000000}"/>
    <cellStyle name="60% - 强调文字颜色 4 2 4" xfId="604" xr:uid="{00000000-0005-0000-0000-00008C020000}"/>
    <cellStyle name="60% - 强调文字颜色 4 3" xfId="389" xr:uid="{00000000-0005-0000-0000-0000B5010000}"/>
    <cellStyle name="60% - 强调文字颜色 4 4" xfId="393" xr:uid="{00000000-0005-0000-0000-0000B9010000}"/>
    <cellStyle name="60% - 强调文字颜色 4 5" xfId="398" xr:uid="{00000000-0005-0000-0000-0000BE010000}"/>
    <cellStyle name="60% - 强调文字颜色 4 6" xfId="403" xr:uid="{00000000-0005-0000-0000-0000C3010000}"/>
    <cellStyle name="60% - 强调文字颜色 4 7" xfId="415" xr:uid="{00000000-0005-0000-0000-0000CF010000}"/>
    <cellStyle name="60% - 强调文字颜色 4 8" xfId="250" xr:uid="{00000000-0005-0000-0000-00002A010000}"/>
    <cellStyle name="60% - 强调文字颜色 4 9" xfId="254" xr:uid="{00000000-0005-0000-0000-00002E010000}"/>
    <cellStyle name="60% - 强调文字颜色 5 2" xfId="636" xr:uid="{00000000-0005-0000-0000-0000AC020000}"/>
    <cellStyle name="60% - 强调文字颜色 5 2 2" xfId="637" xr:uid="{00000000-0005-0000-0000-0000AD020000}"/>
    <cellStyle name="60% - 强调文字颜色 5 2 3" xfId="640" xr:uid="{00000000-0005-0000-0000-0000B0020000}"/>
    <cellStyle name="60% - 强调文字颜色 5 2 4" xfId="643" xr:uid="{00000000-0005-0000-0000-0000B3020000}"/>
    <cellStyle name="60% - 强调文字颜色 5 3" xfId="644" xr:uid="{00000000-0005-0000-0000-0000B4020000}"/>
    <cellStyle name="60% - 强调文字颜色 5 4" xfId="645" xr:uid="{00000000-0005-0000-0000-0000B5020000}"/>
    <cellStyle name="60% - 强调文字颜色 5 5" xfId="646" xr:uid="{00000000-0005-0000-0000-0000B6020000}"/>
    <cellStyle name="60% - 强调文字颜色 5 6" xfId="647" xr:uid="{00000000-0005-0000-0000-0000B7020000}"/>
    <cellStyle name="60% - 强调文字颜色 5 7" xfId="648" xr:uid="{00000000-0005-0000-0000-0000B8020000}"/>
    <cellStyle name="60% - 强调文字颜色 5 8" xfId="649" xr:uid="{00000000-0005-0000-0000-0000B9020000}"/>
    <cellStyle name="60% - 强调文字颜色 5 9" xfId="654" xr:uid="{00000000-0005-0000-0000-0000BE020000}"/>
    <cellStyle name="60% - 强调文字颜色 6 2" xfId="457" xr:uid="{00000000-0005-0000-0000-0000F9010000}"/>
    <cellStyle name="60% - 强调文字颜色 6 2 2" xfId="655" xr:uid="{00000000-0005-0000-0000-0000BF020000}"/>
    <cellStyle name="60% - 强调文字颜色 6 2 3" xfId="657" xr:uid="{00000000-0005-0000-0000-0000C1020000}"/>
    <cellStyle name="60% - 强调文字颜色 6 2 4" xfId="345" xr:uid="{00000000-0005-0000-0000-000089010000}"/>
    <cellStyle name="60% - 强调文字颜色 6 3" xfId="660" xr:uid="{00000000-0005-0000-0000-0000C4020000}"/>
    <cellStyle name="60% - 强调文字颜色 6 4" xfId="663" xr:uid="{00000000-0005-0000-0000-0000C7020000}"/>
    <cellStyle name="60% - 强调文字颜色 6 5" xfId="667" xr:uid="{00000000-0005-0000-0000-0000CB020000}"/>
    <cellStyle name="60% - 强调文字颜色 6 6" xfId="668" xr:uid="{00000000-0005-0000-0000-0000CC020000}"/>
    <cellStyle name="60% - 强调文字颜色 6 7" xfId="669" xr:uid="{00000000-0005-0000-0000-0000CD020000}"/>
    <cellStyle name="60% - 强调文字颜色 6 8" xfId="29" xr:uid="{00000000-0005-0000-0000-00002D000000}"/>
    <cellStyle name="60% - 强调文字颜色 6 9" xfId="618" xr:uid="{00000000-0005-0000-0000-00009A020000}"/>
    <cellStyle name="Normal" xfId="672" xr:uid="{00000000-0005-0000-0000-0000D0020000}"/>
    <cellStyle name="百分比 10" xfId="547" xr:uid="{00000000-0005-0000-0000-000053020000}"/>
    <cellStyle name="百分比 11" xfId="553" xr:uid="{00000000-0005-0000-0000-000059020000}"/>
    <cellStyle name="百分比 11 2" xfId="675" xr:uid="{00000000-0005-0000-0000-0000D3020000}"/>
    <cellStyle name="百分比 11 2 2" xfId="677" xr:uid="{00000000-0005-0000-0000-0000D5020000}"/>
    <cellStyle name="百分比 11 3" xfId="678" xr:uid="{00000000-0005-0000-0000-0000D6020000}"/>
    <cellStyle name="百分比 12" xfId="54" xr:uid="{00000000-0005-0000-0000-000052000000}"/>
    <cellStyle name="百分比 2" xfId="682" xr:uid="{00000000-0005-0000-0000-0000DA020000}"/>
    <cellStyle name="百分比 2 2" xfId="684" xr:uid="{00000000-0005-0000-0000-0000DC020000}"/>
    <cellStyle name="百分比 2 2 2" xfId="686" xr:uid="{00000000-0005-0000-0000-0000DE020000}"/>
    <cellStyle name="百分比 2 3" xfId="688" xr:uid="{00000000-0005-0000-0000-0000E0020000}"/>
    <cellStyle name="百分比 2 4" xfId="690" xr:uid="{00000000-0005-0000-0000-0000E2020000}"/>
    <cellStyle name="百分比 2 5" xfId="691" xr:uid="{00000000-0005-0000-0000-0000E3020000}"/>
    <cellStyle name="百分比 2 6" xfId="694" xr:uid="{00000000-0005-0000-0000-0000E6020000}"/>
    <cellStyle name="百分比 2 7" xfId="698" xr:uid="{00000000-0005-0000-0000-0000EA020000}"/>
    <cellStyle name="百分比 2 8" xfId="702" xr:uid="{00000000-0005-0000-0000-0000EE020000}"/>
    <cellStyle name="百分比 3" xfId="706" xr:uid="{00000000-0005-0000-0000-0000F2020000}"/>
    <cellStyle name="百分比 3 2" xfId="707" xr:uid="{00000000-0005-0000-0000-0000F3020000}"/>
    <cellStyle name="百分比 3 2 2" xfId="664" xr:uid="{00000000-0005-0000-0000-0000C8020000}"/>
    <cellStyle name="百分比 3 3" xfId="708" xr:uid="{00000000-0005-0000-0000-0000F4020000}"/>
    <cellStyle name="百分比 3 4" xfId="711" xr:uid="{00000000-0005-0000-0000-0000F7020000}"/>
    <cellStyle name="百分比 4" xfId="34" xr:uid="{00000000-0005-0000-0000-000034000000}"/>
    <cellStyle name="百分比 4 2" xfId="714" xr:uid="{00000000-0005-0000-0000-0000FA020000}"/>
    <cellStyle name="百分比 5" xfId="37" xr:uid="{00000000-0005-0000-0000-000038000000}"/>
    <cellStyle name="百分比 6" xfId="44" xr:uid="{00000000-0005-0000-0000-000041000000}"/>
    <cellStyle name="百分比 7" xfId="21" xr:uid="{00000000-0005-0000-0000-000023000000}"/>
    <cellStyle name="百分比 7 2" xfId="722" xr:uid="{00000000-0005-0000-0000-000002030000}"/>
    <cellStyle name="百分比 8" xfId="725" xr:uid="{00000000-0005-0000-0000-000005030000}"/>
    <cellStyle name="百分比 9" xfId="728" xr:uid="{00000000-0005-0000-0000-000008030000}"/>
    <cellStyle name="标题 1 2" xfId="712" xr:uid="{00000000-0005-0000-0000-0000F8020000}"/>
    <cellStyle name="标题 1 2 2" xfId="729" xr:uid="{00000000-0005-0000-0000-000009030000}"/>
    <cellStyle name="标题 1 2 3" xfId="731" xr:uid="{00000000-0005-0000-0000-00000B030000}"/>
    <cellStyle name="标题 1 2 4" xfId="732" xr:uid="{00000000-0005-0000-0000-00000C030000}"/>
    <cellStyle name="标题 1 3" xfId="471" xr:uid="{00000000-0005-0000-0000-000007020000}"/>
    <cellStyle name="标题 1 4" xfId="733" xr:uid="{00000000-0005-0000-0000-00000D030000}"/>
    <cellStyle name="标题 1 5" xfId="734" xr:uid="{00000000-0005-0000-0000-00000E030000}"/>
    <cellStyle name="标题 1 6" xfId="737" xr:uid="{00000000-0005-0000-0000-000011030000}"/>
    <cellStyle name="标题 1 7" xfId="739" xr:uid="{00000000-0005-0000-0000-000013030000}"/>
    <cellStyle name="标题 1 8" xfId="138" xr:uid="{00000000-0005-0000-0000-0000BA000000}"/>
    <cellStyle name="标题 1 9" xfId="740" xr:uid="{00000000-0005-0000-0000-000014030000}"/>
    <cellStyle name="标题 10" xfId="683" xr:uid="{00000000-0005-0000-0000-0000DB020000}"/>
    <cellStyle name="标题 11" xfId="687" xr:uid="{00000000-0005-0000-0000-0000DF020000}"/>
    <cellStyle name="标题 12" xfId="689" xr:uid="{00000000-0005-0000-0000-0000E1020000}"/>
    <cellStyle name="标题 2 2" xfId="741" xr:uid="{00000000-0005-0000-0000-000015030000}"/>
    <cellStyle name="标题 2 2 2" xfId="695" xr:uid="{00000000-0005-0000-0000-0000E7020000}"/>
    <cellStyle name="标题 2 2 3" xfId="699" xr:uid="{00000000-0005-0000-0000-0000EB020000}"/>
    <cellStyle name="标题 2 2 4" xfId="571" xr:uid="{00000000-0005-0000-0000-00006B020000}"/>
    <cellStyle name="标题 2 3" xfId="743" xr:uid="{00000000-0005-0000-0000-000017030000}"/>
    <cellStyle name="标题 2 4" xfId="744" xr:uid="{00000000-0005-0000-0000-000018030000}"/>
    <cellStyle name="标题 2 5" xfId="745" xr:uid="{00000000-0005-0000-0000-000019030000}"/>
    <cellStyle name="标题 2 6" xfId="746" xr:uid="{00000000-0005-0000-0000-00001A030000}"/>
    <cellStyle name="标题 2 7" xfId="748" xr:uid="{00000000-0005-0000-0000-00001C030000}"/>
    <cellStyle name="标题 2 8" xfId="750" xr:uid="{00000000-0005-0000-0000-00001E030000}"/>
    <cellStyle name="标题 2 9" xfId="751" xr:uid="{00000000-0005-0000-0000-00001F030000}"/>
    <cellStyle name="标题 3 2" xfId="753" xr:uid="{00000000-0005-0000-0000-000021030000}"/>
    <cellStyle name="标题 3 2 2" xfId="133" xr:uid="{00000000-0005-0000-0000-0000B5000000}"/>
    <cellStyle name="标题 3 2 3" xfId="143" xr:uid="{00000000-0005-0000-0000-0000BF000000}"/>
    <cellStyle name="标题 3 2 4" xfId="755" xr:uid="{00000000-0005-0000-0000-000023030000}"/>
    <cellStyle name="标题 3 3" xfId="757" xr:uid="{00000000-0005-0000-0000-000025030000}"/>
    <cellStyle name="标题 3 4" xfId="758" xr:uid="{00000000-0005-0000-0000-000026030000}"/>
    <cellStyle name="标题 3 5" xfId="759" xr:uid="{00000000-0005-0000-0000-000027030000}"/>
    <cellStyle name="标题 3 6" xfId="761" xr:uid="{00000000-0005-0000-0000-000029030000}"/>
    <cellStyle name="标题 3 7" xfId="765" xr:uid="{00000000-0005-0000-0000-00002D030000}"/>
    <cellStyle name="标题 3 8" xfId="766" xr:uid="{00000000-0005-0000-0000-00002E030000}"/>
    <cellStyle name="标题 3 9" xfId="767" xr:uid="{00000000-0005-0000-0000-00002F030000}"/>
    <cellStyle name="标题 4 2" xfId="717" xr:uid="{00000000-0005-0000-0000-0000FD020000}"/>
    <cellStyle name="标题 4 2 2" xfId="86" xr:uid="{00000000-0005-0000-0000-000086000000}"/>
    <cellStyle name="标题 4 2 3" xfId="159" xr:uid="{00000000-0005-0000-0000-0000CF000000}"/>
    <cellStyle name="标题 4 2 4" xfId="769" xr:uid="{00000000-0005-0000-0000-000031030000}"/>
    <cellStyle name="标题 4 3" xfId="772" xr:uid="{00000000-0005-0000-0000-000034030000}"/>
    <cellStyle name="标题 4 4" xfId="501" xr:uid="{00000000-0005-0000-0000-000025020000}"/>
    <cellStyle name="标题 4 5" xfId="504" xr:uid="{00000000-0005-0000-0000-000028020000}"/>
    <cellStyle name="标题 4 6" xfId="511" xr:uid="{00000000-0005-0000-0000-00002F020000}"/>
    <cellStyle name="标题 4 7" xfId="516" xr:uid="{00000000-0005-0000-0000-000034020000}"/>
    <cellStyle name="标题 4 8" xfId="523" xr:uid="{00000000-0005-0000-0000-00003B020000}"/>
    <cellStyle name="标题 4 9" xfId="204" xr:uid="{00000000-0005-0000-0000-0000FC000000}"/>
    <cellStyle name="标题 5" xfId="724" xr:uid="{00000000-0005-0000-0000-000004030000}"/>
    <cellStyle name="标题 5 2" xfId="774" xr:uid="{00000000-0005-0000-0000-000036030000}"/>
    <cellStyle name="标题 5 3" xfId="776" xr:uid="{00000000-0005-0000-0000-000038030000}"/>
    <cellStyle name="标题 5 4" xfId="69" xr:uid="{00000000-0005-0000-0000-000068000000}"/>
    <cellStyle name="标题 6" xfId="727" xr:uid="{00000000-0005-0000-0000-000007030000}"/>
    <cellStyle name="标题 7" xfId="563" xr:uid="{00000000-0005-0000-0000-000063020000}"/>
    <cellStyle name="标题 8" xfId="780" xr:uid="{00000000-0005-0000-0000-00003C030000}"/>
    <cellStyle name="标题 9" xfId="784" xr:uid="{00000000-0005-0000-0000-000040030000}"/>
    <cellStyle name="差 2" xfId="786" xr:uid="{00000000-0005-0000-0000-000042030000}"/>
    <cellStyle name="差 2 2" xfId="787" xr:uid="{00000000-0005-0000-0000-000043030000}"/>
    <cellStyle name="差 2 3" xfId="124" xr:uid="{00000000-0005-0000-0000-0000AC000000}"/>
    <cellStyle name="差 2 4" xfId="788" xr:uid="{00000000-0005-0000-0000-000044030000}"/>
    <cellStyle name="差 3" xfId="790" xr:uid="{00000000-0005-0000-0000-000046030000}"/>
    <cellStyle name="差 4" xfId="680" xr:uid="{00000000-0005-0000-0000-0000D8020000}"/>
    <cellStyle name="差 5" xfId="704" xr:uid="{00000000-0005-0000-0000-0000F0020000}"/>
    <cellStyle name="差 6" xfId="33" xr:uid="{00000000-0005-0000-0000-000033000000}"/>
    <cellStyle name="差 7" xfId="36" xr:uid="{00000000-0005-0000-0000-000037000000}"/>
    <cellStyle name="差 8" xfId="43" xr:uid="{00000000-0005-0000-0000-000040000000}"/>
    <cellStyle name="差 9" xfId="20" xr:uid="{00000000-0005-0000-0000-000022000000}"/>
    <cellStyle name="差_1109工厂回款汇总" xfId="792" xr:uid="{00000000-0005-0000-0000-000048030000}"/>
    <cellStyle name="差_1109工厂回款汇总_2012年品种毛利情况" xfId="307" xr:uid="{00000000-0005-0000-0000-000063010000}"/>
    <cellStyle name="差_1109工厂回款汇总_2012年主要品种收入毛利表" xfId="793" xr:uid="{00000000-0005-0000-0000-000049030000}"/>
    <cellStyle name="差_1201工厂收入汇总(1)" xfId="798" xr:uid="{00000000-0005-0000-0000-00004E030000}"/>
    <cellStyle name="差_2011年预计报废(1)" xfId="799" xr:uid="{00000000-0005-0000-0000-00004F030000}"/>
    <cellStyle name="差_2012年1季度利润预计" xfId="803" xr:uid="{00000000-0005-0000-0000-000053030000}"/>
    <cellStyle name="差_2012年各公司收入计划（计划版1.21）(终稿)" xfId="484" xr:uid="{00000000-0005-0000-0000-000014020000}"/>
    <cellStyle name="差_2012年各公司收入计划（计划版1.30）(终稿)" xfId="807" xr:uid="{00000000-0005-0000-0000-000057030000}"/>
    <cellStyle name="差_2012年各公司收入计划（力争版1.20）(终稿)" xfId="562" xr:uid="{00000000-0005-0000-0000-000062020000}"/>
    <cellStyle name="差_2012年利润预计(2012.1.21)" xfId="623" xr:uid="{00000000-0005-0000-0000-00009F020000}"/>
    <cellStyle name="差_2012年营业费用预算（终稿1.16）" xfId="710" xr:uid="{00000000-0005-0000-0000-0000F6020000}"/>
    <cellStyle name="差_2012年主要品种收入毛利表" xfId="141" xr:uid="{00000000-0005-0000-0000-0000BD000000}"/>
    <cellStyle name="差_Book1" xfId="596" xr:uid="{00000000-0005-0000-0000-000084020000}"/>
    <cellStyle name="差_Book3" xfId="599" xr:uid="{00000000-0005-0000-0000-000087020000}"/>
    <cellStyle name="差_Book4" xfId="605" xr:uid="{00000000-0005-0000-0000-00008D020000}"/>
    <cellStyle name="差_Xl0000027" xfId="808" xr:uid="{00000000-0005-0000-0000-000058030000}"/>
    <cellStyle name="差_超亿元品种情况表" xfId="811" xr:uid="{00000000-0005-0000-0000-00005B030000}"/>
    <cellStyle name="差_分析表" xfId="813" xr:uid="{00000000-0005-0000-0000-00005D030000}"/>
    <cellStyle name="差_各公司1-3月收入(1)(1)" xfId="816" xr:uid="{00000000-0005-0000-0000-000060030000}"/>
    <cellStyle name="差_预计管理费用（3.3亿元）" xfId="817" xr:uid="{00000000-0005-0000-0000-000061030000}"/>
    <cellStyle name="常规" xfId="0" builtinId="0"/>
    <cellStyle name="常规 10" xfId="818" xr:uid="{00000000-0005-0000-0000-000062030000}"/>
    <cellStyle name="常规 10 10" xfId="820" xr:uid="{00000000-0005-0000-0000-000064030000}"/>
    <cellStyle name="常规 10 11" xfId="824" xr:uid="{00000000-0005-0000-0000-000068030000}"/>
    <cellStyle name="常规 10 12" xfId="825" xr:uid="{00000000-0005-0000-0000-000069030000}"/>
    <cellStyle name="常规 10 13" xfId="826" xr:uid="{00000000-0005-0000-0000-00006A030000}"/>
    <cellStyle name="常规 10 14" xfId="827" xr:uid="{00000000-0005-0000-0000-00006B030000}"/>
    <cellStyle name="常规 10 15" xfId="828" xr:uid="{00000000-0005-0000-0000-00006C030000}"/>
    <cellStyle name="常规 10 16" xfId="829" xr:uid="{00000000-0005-0000-0000-00006D030000}"/>
    <cellStyle name="常规 10 17" xfId="830" xr:uid="{00000000-0005-0000-0000-00006E030000}"/>
    <cellStyle name="常规 10 18" xfId="831" xr:uid="{00000000-0005-0000-0000-00006F030000}"/>
    <cellStyle name="常规 10 18 2" xfId="760" xr:uid="{00000000-0005-0000-0000-000028030000}"/>
    <cellStyle name="常规 10 18 2 2" xfId="334" xr:uid="{00000000-0005-0000-0000-00007E010000}"/>
    <cellStyle name="常规 10 18 3" xfId="764" xr:uid="{00000000-0005-0000-0000-00002C030000}"/>
    <cellStyle name="常规 10 19" xfId="832" xr:uid="{00000000-0005-0000-0000-000070030000}"/>
    <cellStyle name="常规 10 2" xfId="777" xr:uid="{00000000-0005-0000-0000-000039030000}"/>
    <cellStyle name="常规 10 2 2" xfId="833" xr:uid="{00000000-0005-0000-0000-000071030000}"/>
    <cellStyle name="常规 10 2 2 2" xfId="615" xr:uid="{00000000-0005-0000-0000-000097020000}"/>
    <cellStyle name="常规 10 2 2 3" xfId="14" xr:uid="{00000000-0005-0000-0000-000019000000}"/>
    <cellStyle name="常规 10 2 2 4" xfId="835" xr:uid="{00000000-0005-0000-0000-000073030000}"/>
    <cellStyle name="常规 10 2 3" xfId="836" xr:uid="{00000000-0005-0000-0000-000074030000}"/>
    <cellStyle name="常规 10 2 4" xfId="837" xr:uid="{00000000-0005-0000-0000-000075030000}"/>
    <cellStyle name="常规 10 2 5" xfId="838" xr:uid="{00000000-0005-0000-0000-000076030000}"/>
    <cellStyle name="常规 10 2 6" xfId="840" xr:uid="{00000000-0005-0000-0000-000078030000}"/>
    <cellStyle name="常规 10 2 6 2" xfId="653" xr:uid="{00000000-0005-0000-0000-0000BD020000}"/>
    <cellStyle name="常规 10 2 7" xfId="842" xr:uid="{00000000-0005-0000-0000-00007A030000}"/>
    <cellStyle name="常规 10 2 8" xfId="83" xr:uid="{00000000-0005-0000-0000-000083000000}"/>
    <cellStyle name="常规 10 2 8 2" xfId="843" xr:uid="{00000000-0005-0000-0000-00007B030000}"/>
    <cellStyle name="常规 10 3" xfId="781" xr:uid="{00000000-0005-0000-0000-00003D030000}"/>
    <cellStyle name="常规 10 3 2" xfId="845" xr:uid="{00000000-0005-0000-0000-00007D030000}"/>
    <cellStyle name="常规 10 3 3" xfId="847" xr:uid="{00000000-0005-0000-0000-00007F030000}"/>
    <cellStyle name="常规 10 3 4" xfId="380" xr:uid="{00000000-0005-0000-0000-0000AC010000}"/>
    <cellStyle name="常规 10 3 5" xfId="791" xr:uid="{00000000-0005-0000-0000-000047030000}"/>
    <cellStyle name="常规 10 3 6" xfId="805" xr:uid="{00000000-0005-0000-0000-000055030000}"/>
    <cellStyle name="常规 10 4" xfId="848" xr:uid="{00000000-0005-0000-0000-000080030000}"/>
    <cellStyle name="常规 10 4 2" xfId="852" xr:uid="{00000000-0005-0000-0000-000084030000}"/>
    <cellStyle name="常规 10 4 3" xfId="856" xr:uid="{00000000-0005-0000-0000-000088030000}"/>
    <cellStyle name="常规 10 5" xfId="420" xr:uid="{00000000-0005-0000-0000-0000D4010000}"/>
    <cellStyle name="常规 10 6" xfId="290" xr:uid="{00000000-0005-0000-0000-000052010000}"/>
    <cellStyle name="常规 10 6 2" xfId="583" xr:uid="{00000000-0005-0000-0000-000077020000}"/>
    <cellStyle name="常规 10 6 3" xfId="857" xr:uid="{00000000-0005-0000-0000-000089030000}"/>
    <cellStyle name="常规 10 7" xfId="432" xr:uid="{00000000-0005-0000-0000-0000E0010000}"/>
    <cellStyle name="常规 10 7 2" xfId="858" xr:uid="{00000000-0005-0000-0000-00008A030000}"/>
    <cellStyle name="常规 10 8" xfId="439" xr:uid="{00000000-0005-0000-0000-0000E7010000}"/>
    <cellStyle name="常规 10 9" xfId="444" xr:uid="{00000000-0005-0000-0000-0000EC010000}"/>
    <cellStyle name="常规 100" xfId="861" xr:uid="{00000000-0005-0000-0000-00008D030000}"/>
    <cellStyle name="常规 100 2" xfId="865" xr:uid="{00000000-0005-0000-0000-000091030000}"/>
    <cellStyle name="常规 100 2 2" xfId="867" xr:uid="{00000000-0005-0000-0000-000093030000}"/>
    <cellStyle name="常规 100 2 5" xfId="67" xr:uid="{00000000-0005-0000-0000-000066000000}"/>
    <cellStyle name="常规 100 3" xfId="871" xr:uid="{00000000-0005-0000-0000-000097030000}"/>
    <cellStyle name="常规 101" xfId="874" xr:uid="{00000000-0005-0000-0000-00009A030000}"/>
    <cellStyle name="常规 101 2" xfId="804" xr:uid="{00000000-0005-0000-0000-000054030000}"/>
    <cellStyle name="常规 101 2 2" xfId="875" xr:uid="{00000000-0005-0000-0000-00009B030000}"/>
    <cellStyle name="常规 101 3" xfId="878" xr:uid="{00000000-0005-0000-0000-00009E030000}"/>
    <cellStyle name="常规 102" xfId="851" xr:uid="{00000000-0005-0000-0000-000083030000}"/>
    <cellStyle name="常规 102 2" xfId="438" xr:uid="{00000000-0005-0000-0000-0000E6010000}"/>
    <cellStyle name="常规 102 2 2" xfId="880" xr:uid="{00000000-0005-0000-0000-0000A0030000}"/>
    <cellStyle name="常规 102 3" xfId="443" xr:uid="{00000000-0005-0000-0000-0000EB010000}"/>
    <cellStyle name="常规 103" xfId="855" xr:uid="{00000000-0005-0000-0000-000087030000}"/>
    <cellStyle name="常规 104" xfId="531" xr:uid="{00000000-0005-0000-0000-000043020000}"/>
    <cellStyle name="常规 104 2" xfId="496" xr:uid="{00000000-0005-0000-0000-000020020000}"/>
    <cellStyle name="常规 104 2 2" xfId="881" xr:uid="{00000000-0005-0000-0000-0000A1030000}"/>
    <cellStyle name="常规 104 3" xfId="499" xr:uid="{00000000-0005-0000-0000-000023020000}"/>
    <cellStyle name="常规 105" xfId="884" xr:uid="{00000000-0005-0000-0000-0000A4030000}"/>
    <cellStyle name="常规 105 2" xfId="353" xr:uid="{00000000-0005-0000-0000-000091010000}"/>
    <cellStyle name="常规 105 2 2" xfId="357" xr:uid="{00000000-0005-0000-0000-000095010000}"/>
    <cellStyle name="常规 105 3" xfId="369" xr:uid="{00000000-0005-0000-0000-0000A1010000}"/>
    <cellStyle name="常规 106" xfId="887" xr:uid="{00000000-0005-0000-0000-0000A7030000}"/>
    <cellStyle name="常规 106 2" xfId="549" xr:uid="{00000000-0005-0000-0000-000055020000}"/>
    <cellStyle name="常规 106 2 2" xfId="889" xr:uid="{00000000-0005-0000-0000-0000A9030000}"/>
    <cellStyle name="常规 106 3" xfId="556" xr:uid="{00000000-0005-0000-0000-00005C020000}"/>
    <cellStyle name="常规 107" xfId="892" xr:uid="{00000000-0005-0000-0000-0000AC030000}"/>
    <cellStyle name="常规 107 2" xfId="59" xr:uid="{00000000-0005-0000-0000-000058000000}"/>
    <cellStyle name="常规 107 2 2" xfId="894" xr:uid="{00000000-0005-0000-0000-0000AE030000}"/>
    <cellStyle name="常规 107 3" xfId="602" xr:uid="{00000000-0005-0000-0000-00008A020000}"/>
    <cellStyle name="常规 108" xfId="898" xr:uid="{00000000-0005-0000-0000-0000B2030000}"/>
    <cellStyle name="常规 108 2" xfId="902" xr:uid="{00000000-0005-0000-0000-0000B6030000}"/>
    <cellStyle name="常规 108 2 2" xfId="906" xr:uid="{00000000-0005-0000-0000-0000BA030000}"/>
    <cellStyle name="常规 108 3" xfId="911" xr:uid="{00000000-0005-0000-0000-0000BF030000}"/>
    <cellStyle name="常规 109" xfId="915" xr:uid="{00000000-0005-0000-0000-0000C3030000}"/>
    <cellStyle name="常规 109 2" xfId="918" xr:uid="{00000000-0005-0000-0000-0000C6030000}"/>
    <cellStyle name="常规 109 2 2" xfId="190" xr:uid="{00000000-0005-0000-0000-0000EE000000}"/>
    <cellStyle name="常规 109 3" xfId="921" xr:uid="{00000000-0005-0000-0000-0000C9030000}"/>
    <cellStyle name="常规 11" xfId="922" xr:uid="{00000000-0005-0000-0000-0000CA030000}"/>
    <cellStyle name="常规 11 10" xfId="923" xr:uid="{00000000-0005-0000-0000-0000CB030000}"/>
    <cellStyle name="常规 11 10 2" xfId="925" xr:uid="{00000000-0005-0000-0000-0000CD030000}"/>
    <cellStyle name="常规 11 10 3" xfId="927" xr:uid="{00000000-0005-0000-0000-0000CF030000}"/>
    <cellStyle name="常规 11 11" xfId="928" xr:uid="{00000000-0005-0000-0000-0000D0030000}"/>
    <cellStyle name="常规 11 11 2" xfId="929" xr:uid="{00000000-0005-0000-0000-0000D1030000}"/>
    <cellStyle name="常规 11 11 3" xfId="930" xr:uid="{00000000-0005-0000-0000-0000D2030000}"/>
    <cellStyle name="常规 11 12" xfId="931" xr:uid="{00000000-0005-0000-0000-0000D3030000}"/>
    <cellStyle name="常规 11 12 2" xfId="932" xr:uid="{00000000-0005-0000-0000-0000D4030000}"/>
    <cellStyle name="常规 11 12 3" xfId="934" xr:uid="{00000000-0005-0000-0000-0000D6030000}"/>
    <cellStyle name="常规 11 125" xfId="935" xr:uid="{00000000-0005-0000-0000-0000D7030000}"/>
    <cellStyle name="常规 11 13" xfId="936" xr:uid="{00000000-0005-0000-0000-0000D8030000}"/>
    <cellStyle name="常规 11 13 2" xfId="937" xr:uid="{00000000-0005-0000-0000-0000D9030000}"/>
    <cellStyle name="常规 11 13 3" xfId="940" xr:uid="{00000000-0005-0000-0000-0000DC030000}"/>
    <cellStyle name="常规 11 14" xfId="942" xr:uid="{00000000-0005-0000-0000-0000DE030000}"/>
    <cellStyle name="常规 11 14 2" xfId="943" xr:uid="{00000000-0005-0000-0000-0000DF030000}"/>
    <cellStyle name="常规 11 14 3" xfId="944" xr:uid="{00000000-0005-0000-0000-0000E0030000}"/>
    <cellStyle name="常规 11 15" xfId="945" xr:uid="{00000000-0005-0000-0000-0000E1030000}"/>
    <cellStyle name="常规 11 15 2" xfId="946" xr:uid="{00000000-0005-0000-0000-0000E2030000}"/>
    <cellStyle name="常规 11 16" xfId="947" xr:uid="{00000000-0005-0000-0000-0000E3030000}"/>
    <cellStyle name="常规 11 17" xfId="948" xr:uid="{00000000-0005-0000-0000-0000E4030000}"/>
    <cellStyle name="常规 11 18" xfId="64" xr:uid="{00000000-0005-0000-0000-000060000000}"/>
    <cellStyle name="常规 11 18 2" xfId="950" xr:uid="{00000000-0005-0000-0000-0000E6030000}"/>
    <cellStyle name="常规 11 18 2 2" xfId="954" xr:uid="{00000000-0005-0000-0000-0000EA030000}"/>
    <cellStyle name="常规 11 18 3" xfId="958" xr:uid="{00000000-0005-0000-0000-0000EE030000}"/>
    <cellStyle name="常规 11 19" xfId="959" xr:uid="{00000000-0005-0000-0000-0000EF030000}"/>
    <cellStyle name="常规 11 2" xfId="960" xr:uid="{00000000-0005-0000-0000-0000F0030000}"/>
    <cellStyle name="常规 11 2 10" xfId="532" xr:uid="{00000000-0005-0000-0000-000044020000}"/>
    <cellStyle name="常规 11 2 2" xfId="961" xr:uid="{00000000-0005-0000-0000-0000F1030000}"/>
    <cellStyle name="常规 11 2 2 2" xfId="962" xr:uid="{00000000-0005-0000-0000-0000F2030000}"/>
    <cellStyle name="常规 11 2 2 3" xfId="963" xr:uid="{00000000-0005-0000-0000-0000F3030000}"/>
    <cellStyle name="常规 11 2 2 3 2" xfId="964" xr:uid="{00000000-0005-0000-0000-0000F4030000}"/>
    <cellStyle name="常规 11 2 2 4" xfId="965" xr:uid="{00000000-0005-0000-0000-0000F5030000}"/>
    <cellStyle name="常规 11 2 3" xfId="966" xr:uid="{00000000-0005-0000-0000-0000F6030000}"/>
    <cellStyle name="常规 11 2 4" xfId="967" xr:uid="{00000000-0005-0000-0000-0000F7030000}"/>
    <cellStyle name="常规 11 2 5" xfId="968" xr:uid="{00000000-0005-0000-0000-0000F8030000}"/>
    <cellStyle name="常规 11 2 6" xfId="969" xr:uid="{00000000-0005-0000-0000-0000F9030000}"/>
    <cellStyle name="常规 11 2 7" xfId="970" xr:uid="{00000000-0005-0000-0000-0000FA030000}"/>
    <cellStyle name="常规 11 2 8" xfId="971" xr:uid="{00000000-0005-0000-0000-0000FB030000}"/>
    <cellStyle name="常规 11 2 9" xfId="972" xr:uid="{00000000-0005-0000-0000-0000FC030000}"/>
    <cellStyle name="常规 11 2 9 2" xfId="974" xr:uid="{00000000-0005-0000-0000-0000FE030000}"/>
    <cellStyle name="常规 11 3" xfId="975" xr:uid="{00000000-0005-0000-0000-0000FF030000}"/>
    <cellStyle name="常规 11 3 2" xfId="977" xr:uid="{00000000-0005-0000-0000-000001040000}"/>
    <cellStyle name="常规 11 3 2 2" xfId="981" xr:uid="{00000000-0005-0000-0000-000005040000}"/>
    <cellStyle name="常规 11 3 2 3" xfId="985" xr:uid="{00000000-0005-0000-0000-000009040000}"/>
    <cellStyle name="常规 11 3 3" xfId="987" xr:uid="{00000000-0005-0000-0000-00000B040000}"/>
    <cellStyle name="常规 11 3 4" xfId="988" xr:uid="{00000000-0005-0000-0000-00000C040000}"/>
    <cellStyle name="常规 11 3 4 2" xfId="989" xr:uid="{00000000-0005-0000-0000-00000D040000}"/>
    <cellStyle name="常规 11 3 5" xfId="990" xr:uid="{00000000-0005-0000-0000-00000E040000}"/>
    <cellStyle name="常规 11 4" xfId="991" xr:uid="{00000000-0005-0000-0000-00000F040000}"/>
    <cellStyle name="常规 11 5" xfId="992" xr:uid="{00000000-0005-0000-0000-000010040000}"/>
    <cellStyle name="常规 11 6" xfId="993" xr:uid="{00000000-0005-0000-0000-000011040000}"/>
    <cellStyle name="常规 11 7" xfId="995" xr:uid="{00000000-0005-0000-0000-000013040000}"/>
    <cellStyle name="常规 11 8" xfId="996" xr:uid="{00000000-0005-0000-0000-000014040000}"/>
    <cellStyle name="常规 11 8 2" xfId="998" xr:uid="{00000000-0005-0000-0000-000016040000}"/>
    <cellStyle name="常规 11 8 3" xfId="1000" xr:uid="{00000000-0005-0000-0000-000018040000}"/>
    <cellStyle name="常规 11 9" xfId="1001" xr:uid="{00000000-0005-0000-0000-000019040000}"/>
    <cellStyle name="常规 11 9 2" xfId="1002" xr:uid="{00000000-0005-0000-0000-00001A040000}"/>
    <cellStyle name="常规 11 9 3" xfId="1003" xr:uid="{00000000-0005-0000-0000-00001B040000}"/>
    <cellStyle name="常规 110" xfId="883" xr:uid="{00000000-0005-0000-0000-0000A3030000}"/>
    <cellStyle name="常规 110 2" xfId="351" xr:uid="{00000000-0005-0000-0000-00008F010000}"/>
    <cellStyle name="常规 110 2 2" xfId="356" xr:uid="{00000000-0005-0000-0000-000094010000}"/>
    <cellStyle name="常规 110 3" xfId="367" xr:uid="{00000000-0005-0000-0000-00009F010000}"/>
    <cellStyle name="常规 111" xfId="886" xr:uid="{00000000-0005-0000-0000-0000A6030000}"/>
    <cellStyle name="常规 111 2" xfId="548" xr:uid="{00000000-0005-0000-0000-000054020000}"/>
    <cellStyle name="常规 111 2 2" xfId="888" xr:uid="{00000000-0005-0000-0000-0000A8030000}"/>
    <cellStyle name="常规 111 3" xfId="555" xr:uid="{00000000-0005-0000-0000-00005B020000}"/>
    <cellStyle name="常规 112" xfId="891" xr:uid="{00000000-0005-0000-0000-0000AB030000}"/>
    <cellStyle name="常规 112 2" xfId="58" xr:uid="{00000000-0005-0000-0000-000057000000}"/>
    <cellStyle name="常规 112 2 2" xfId="893" xr:uid="{00000000-0005-0000-0000-0000AD030000}"/>
    <cellStyle name="常规 112 3" xfId="601" xr:uid="{00000000-0005-0000-0000-000089020000}"/>
    <cellStyle name="常规 113" xfId="897" xr:uid="{00000000-0005-0000-0000-0000B1030000}"/>
    <cellStyle name="常规 113 2" xfId="901" xr:uid="{00000000-0005-0000-0000-0000B5030000}"/>
    <cellStyle name="常规 113 2 2" xfId="905" xr:uid="{00000000-0005-0000-0000-0000B9030000}"/>
    <cellStyle name="常规 113 3" xfId="910" xr:uid="{00000000-0005-0000-0000-0000BE030000}"/>
    <cellStyle name="常规 114" xfId="914" xr:uid="{00000000-0005-0000-0000-0000C2030000}"/>
    <cellStyle name="常规 115" xfId="1007" xr:uid="{00000000-0005-0000-0000-00001F040000}"/>
    <cellStyle name="常规 116" xfId="1010" xr:uid="{00000000-0005-0000-0000-000022040000}"/>
    <cellStyle name="常规 116 2" xfId="1012" xr:uid="{00000000-0005-0000-0000-000024040000}"/>
    <cellStyle name="常规 116 2 2" xfId="1016" xr:uid="{00000000-0005-0000-0000-000028040000}"/>
    <cellStyle name="常规 116 3" xfId="1019" xr:uid="{00000000-0005-0000-0000-00002B040000}"/>
    <cellStyle name="常规 117" xfId="1022" xr:uid="{00000000-0005-0000-0000-00002E040000}"/>
    <cellStyle name="常规 117 2" xfId="1024" xr:uid="{00000000-0005-0000-0000-000030040000}"/>
    <cellStyle name="常规 117 2 2" xfId="1026" xr:uid="{00000000-0005-0000-0000-000032040000}"/>
    <cellStyle name="常规 117 3" xfId="1029" xr:uid="{00000000-0005-0000-0000-000035040000}"/>
    <cellStyle name="常规 118" xfId="1032" xr:uid="{00000000-0005-0000-0000-000038040000}"/>
    <cellStyle name="常规 118 2" xfId="1036" xr:uid="{00000000-0005-0000-0000-00003C040000}"/>
    <cellStyle name="常规 118 2 2" xfId="1039" xr:uid="{00000000-0005-0000-0000-00003F040000}"/>
    <cellStyle name="常规 118 3" xfId="1045" xr:uid="{00000000-0005-0000-0000-000045040000}"/>
    <cellStyle name="常规 119" xfId="1048" xr:uid="{00000000-0005-0000-0000-000048040000}"/>
    <cellStyle name="常规 119 2" xfId="1051" xr:uid="{00000000-0005-0000-0000-00004B040000}"/>
    <cellStyle name="常规 119 2 2" xfId="1053" xr:uid="{00000000-0005-0000-0000-00004D040000}"/>
    <cellStyle name="常规 119 3" xfId="1056" xr:uid="{00000000-0005-0000-0000-000050040000}"/>
    <cellStyle name="常规 12" xfId="1057" xr:uid="{00000000-0005-0000-0000-000051040000}"/>
    <cellStyle name="常规 12 10" xfId="890" xr:uid="{00000000-0005-0000-0000-0000AA030000}"/>
    <cellStyle name="常规 12 11" xfId="896" xr:uid="{00000000-0005-0000-0000-0000B0030000}"/>
    <cellStyle name="常规 12 12" xfId="913" xr:uid="{00000000-0005-0000-0000-0000C1030000}"/>
    <cellStyle name="常规 12 13" xfId="1006" xr:uid="{00000000-0005-0000-0000-00001E040000}"/>
    <cellStyle name="常规 12 14" xfId="1009" xr:uid="{00000000-0005-0000-0000-000021040000}"/>
    <cellStyle name="常规 12 15" xfId="1021" xr:uid="{00000000-0005-0000-0000-00002D040000}"/>
    <cellStyle name="常规 12 16" xfId="1031" xr:uid="{00000000-0005-0000-0000-000037040000}"/>
    <cellStyle name="常规 12 16 2" xfId="1035" xr:uid="{00000000-0005-0000-0000-00003B040000}"/>
    <cellStyle name="常规 12 16 2 2" xfId="1038" xr:uid="{00000000-0005-0000-0000-00003E040000}"/>
    <cellStyle name="常规 12 16 3" xfId="1044" xr:uid="{00000000-0005-0000-0000-000044040000}"/>
    <cellStyle name="常规 12 17" xfId="1047" xr:uid="{00000000-0005-0000-0000-000047040000}"/>
    <cellStyle name="常规 12 17 2" xfId="1050" xr:uid="{00000000-0005-0000-0000-00004A040000}"/>
    <cellStyle name="常规 12 17 3" xfId="1055" xr:uid="{00000000-0005-0000-0000-00004F040000}"/>
    <cellStyle name="常规 12 17 4" xfId="1058" xr:uid="{00000000-0005-0000-0000-000052040000}"/>
    <cellStyle name="常规 12 18" xfId="1061" xr:uid="{00000000-0005-0000-0000-000055040000}"/>
    <cellStyle name="常规 12 2" xfId="1062" xr:uid="{00000000-0005-0000-0000-000056040000}"/>
    <cellStyle name="常规 12 2 2" xfId="1064" xr:uid="{00000000-0005-0000-0000-000058040000}"/>
    <cellStyle name="常规 12 2 2 2" xfId="1066" xr:uid="{00000000-0005-0000-0000-00005A040000}"/>
    <cellStyle name="常规 12 2 2 3" xfId="1068" xr:uid="{00000000-0005-0000-0000-00005C040000}"/>
    <cellStyle name="常规 12 2 3" xfId="1070" xr:uid="{00000000-0005-0000-0000-00005E040000}"/>
    <cellStyle name="常规 12 2 3 2" xfId="1073" xr:uid="{00000000-0005-0000-0000-000061040000}"/>
    <cellStyle name="常规 12 2 4" xfId="1075" xr:uid="{00000000-0005-0000-0000-000063040000}"/>
    <cellStyle name="常规 12 3" xfId="1076" xr:uid="{00000000-0005-0000-0000-000064040000}"/>
    <cellStyle name="常规 12 3 2" xfId="1077" xr:uid="{00000000-0005-0000-0000-000065040000}"/>
    <cellStyle name="常规 12 3 3" xfId="1078" xr:uid="{00000000-0005-0000-0000-000066040000}"/>
    <cellStyle name="常规 12 4" xfId="1079" xr:uid="{00000000-0005-0000-0000-000067040000}"/>
    <cellStyle name="常规 12 5" xfId="1080" xr:uid="{00000000-0005-0000-0000-000068040000}"/>
    <cellStyle name="常规 12 6" xfId="1081" xr:uid="{00000000-0005-0000-0000-000069040000}"/>
    <cellStyle name="常规 12 7" xfId="1082" xr:uid="{00000000-0005-0000-0000-00006A040000}"/>
    <cellStyle name="常规 12 8" xfId="1083" xr:uid="{00000000-0005-0000-0000-00006B040000}"/>
    <cellStyle name="常规 12 9" xfId="1084" xr:uid="{00000000-0005-0000-0000-00006C040000}"/>
    <cellStyle name="常规 120" xfId="1005" xr:uid="{00000000-0005-0000-0000-00001D040000}"/>
    <cellStyle name="常规 121" xfId="1008" xr:uid="{00000000-0005-0000-0000-000020040000}"/>
    <cellStyle name="常规 121 2" xfId="1011" xr:uid="{00000000-0005-0000-0000-000023040000}"/>
    <cellStyle name="常规 121 2 2" xfId="1015" xr:uid="{00000000-0005-0000-0000-000027040000}"/>
    <cellStyle name="常规 121 3" xfId="1018" xr:uid="{00000000-0005-0000-0000-00002A040000}"/>
    <cellStyle name="常规 122" xfId="1020" xr:uid="{00000000-0005-0000-0000-00002C040000}"/>
    <cellStyle name="常规 122 2" xfId="1023" xr:uid="{00000000-0005-0000-0000-00002F040000}"/>
    <cellStyle name="常规 122 2 2" xfId="1025" xr:uid="{00000000-0005-0000-0000-000031040000}"/>
    <cellStyle name="常规 122 3" xfId="1028" xr:uid="{00000000-0005-0000-0000-000034040000}"/>
    <cellStyle name="常规 123" xfId="1030" xr:uid="{00000000-0005-0000-0000-000036040000}"/>
    <cellStyle name="常规 123 2" xfId="1034" xr:uid="{00000000-0005-0000-0000-00003A040000}"/>
    <cellStyle name="常规 123 2 2" xfId="1037" xr:uid="{00000000-0005-0000-0000-00003D040000}"/>
    <cellStyle name="常规 123 3" xfId="1043" xr:uid="{00000000-0005-0000-0000-000043040000}"/>
    <cellStyle name="常规 124" xfId="1046" xr:uid="{00000000-0005-0000-0000-000046040000}"/>
    <cellStyle name="常规 124 2" xfId="1049" xr:uid="{00000000-0005-0000-0000-000049040000}"/>
    <cellStyle name="常规 124 2 2" xfId="1052" xr:uid="{00000000-0005-0000-0000-00004C040000}"/>
    <cellStyle name="常规 124 3" xfId="1054" xr:uid="{00000000-0005-0000-0000-00004E040000}"/>
    <cellStyle name="常规 125" xfId="1060" xr:uid="{00000000-0005-0000-0000-000054040000}"/>
    <cellStyle name="常规 125 2" xfId="1086" xr:uid="{00000000-0005-0000-0000-00006E040000}"/>
    <cellStyle name="常规 125 2 2" xfId="1090" xr:uid="{00000000-0005-0000-0000-000072040000}"/>
    <cellStyle name="常规 125 3" xfId="1094" xr:uid="{00000000-0005-0000-0000-000076040000}"/>
    <cellStyle name="常规 126" xfId="1096" xr:uid="{00000000-0005-0000-0000-000078040000}"/>
    <cellStyle name="常规 126 2" xfId="1099" xr:uid="{00000000-0005-0000-0000-00007B040000}"/>
    <cellStyle name="常规 126 2 2" xfId="122" xr:uid="{00000000-0005-0000-0000-0000AA000000}"/>
    <cellStyle name="常规 126 3" xfId="1102" xr:uid="{00000000-0005-0000-0000-00007E040000}"/>
    <cellStyle name="常规 127" xfId="1104" xr:uid="{00000000-0005-0000-0000-000080040000}"/>
    <cellStyle name="常规 127 2" xfId="1106" xr:uid="{00000000-0005-0000-0000-000082040000}"/>
    <cellStyle name="常规 127 2 2" xfId="171" xr:uid="{00000000-0005-0000-0000-0000DB000000}"/>
    <cellStyle name="常规 127 3" xfId="1108" xr:uid="{00000000-0005-0000-0000-000084040000}"/>
    <cellStyle name="常规 128" xfId="1110" xr:uid="{00000000-0005-0000-0000-000086040000}"/>
    <cellStyle name="常规 128 2" xfId="1112" xr:uid="{00000000-0005-0000-0000-000088040000}"/>
    <cellStyle name="常规 128 2 2" xfId="228" xr:uid="{00000000-0005-0000-0000-000014010000}"/>
    <cellStyle name="常规 128 3" xfId="1114" xr:uid="{00000000-0005-0000-0000-00008A040000}"/>
    <cellStyle name="常规 129" xfId="1116" xr:uid="{00000000-0005-0000-0000-00008C040000}"/>
    <cellStyle name="常规 129 2" xfId="1117" xr:uid="{00000000-0005-0000-0000-00008D040000}"/>
    <cellStyle name="常规 129 2 2" xfId="268" xr:uid="{00000000-0005-0000-0000-00003C010000}"/>
    <cellStyle name="常规 129 3" xfId="1118" xr:uid="{00000000-0005-0000-0000-00008E040000}"/>
    <cellStyle name="常规 13" xfId="1119" xr:uid="{00000000-0005-0000-0000-00008F040000}"/>
    <cellStyle name="常规 13 10" xfId="1120" xr:uid="{00000000-0005-0000-0000-000090040000}"/>
    <cellStyle name="常规 13 11" xfId="1121" xr:uid="{00000000-0005-0000-0000-000091040000}"/>
    <cellStyle name="常规 13 12" xfId="1123" xr:uid="{00000000-0005-0000-0000-000093040000}"/>
    <cellStyle name="常规 13 13" xfId="1125" xr:uid="{00000000-0005-0000-0000-000095040000}"/>
    <cellStyle name="常规 13 14" xfId="1127" xr:uid="{00000000-0005-0000-0000-000097040000}"/>
    <cellStyle name="常规 13 15" xfId="1128" xr:uid="{00000000-0005-0000-0000-000098040000}"/>
    <cellStyle name="常规 13 16" xfId="1129" xr:uid="{00000000-0005-0000-0000-000099040000}"/>
    <cellStyle name="常规 13 16 2" xfId="318" xr:uid="{00000000-0005-0000-0000-00006E010000}"/>
    <cellStyle name="常规 13 16 2 2" xfId="1130" xr:uid="{00000000-0005-0000-0000-00009A040000}"/>
    <cellStyle name="常规 13 16 3" xfId="322" xr:uid="{00000000-0005-0000-0000-000072010000}"/>
    <cellStyle name="常规 13 17" xfId="1131" xr:uid="{00000000-0005-0000-0000-00009B040000}"/>
    <cellStyle name="常规 13 17 2" xfId="384" xr:uid="{00000000-0005-0000-0000-0000B0010000}"/>
    <cellStyle name="常规 13 17 3" xfId="387" xr:uid="{00000000-0005-0000-0000-0000B3010000}"/>
    <cellStyle name="常规 13 17 4" xfId="391" xr:uid="{00000000-0005-0000-0000-0000B7010000}"/>
    <cellStyle name="常规 13 18" xfId="1132" xr:uid="{00000000-0005-0000-0000-00009C040000}"/>
    <cellStyle name="常规 13 2" xfId="1133" xr:uid="{00000000-0005-0000-0000-00009D040000}"/>
    <cellStyle name="常规 13 2 2" xfId="1135" xr:uid="{00000000-0005-0000-0000-00009F040000}"/>
    <cellStyle name="常规 13 2 2 2" xfId="1137" xr:uid="{00000000-0005-0000-0000-0000A1040000}"/>
    <cellStyle name="常规 13 2 2 3" xfId="1138" xr:uid="{00000000-0005-0000-0000-0000A2040000}"/>
    <cellStyle name="常规 13 2 3" xfId="1140" xr:uid="{00000000-0005-0000-0000-0000A4040000}"/>
    <cellStyle name="常规 13 2 3 2" xfId="1141" xr:uid="{00000000-0005-0000-0000-0000A5040000}"/>
    <cellStyle name="常规 13 2 4" xfId="1143" xr:uid="{00000000-0005-0000-0000-0000A7040000}"/>
    <cellStyle name="常规 13 3" xfId="1144" xr:uid="{00000000-0005-0000-0000-0000A8040000}"/>
    <cellStyle name="常规 13 4" xfId="1145" xr:uid="{00000000-0005-0000-0000-0000A9040000}"/>
    <cellStyle name="常规 13 5" xfId="49" xr:uid="{00000000-0005-0000-0000-00004B000000}"/>
    <cellStyle name="常规 13 6" xfId="1146" xr:uid="{00000000-0005-0000-0000-0000AA040000}"/>
    <cellStyle name="常规 13 7" xfId="349" xr:uid="{00000000-0005-0000-0000-00008D010000}"/>
    <cellStyle name="常规 13 8" xfId="354" xr:uid="{00000000-0005-0000-0000-000092010000}"/>
    <cellStyle name="常规 13 9" xfId="372" xr:uid="{00000000-0005-0000-0000-0000A4010000}"/>
    <cellStyle name="常规 130" xfId="1059" xr:uid="{00000000-0005-0000-0000-000053040000}"/>
    <cellStyle name="常规 131" xfId="1095" xr:uid="{00000000-0005-0000-0000-000077040000}"/>
    <cellStyle name="常规 131 2" xfId="1098" xr:uid="{00000000-0005-0000-0000-00007A040000}"/>
    <cellStyle name="常规 131 2 2" xfId="121" xr:uid="{00000000-0005-0000-0000-0000A9000000}"/>
    <cellStyle name="常规 131 3" xfId="1101" xr:uid="{00000000-0005-0000-0000-00007D040000}"/>
    <cellStyle name="常规 132" xfId="1103" xr:uid="{00000000-0005-0000-0000-00007F040000}"/>
    <cellStyle name="常规 132 2" xfId="1105" xr:uid="{00000000-0005-0000-0000-000081040000}"/>
    <cellStyle name="常规 132 2 2" xfId="170" xr:uid="{00000000-0005-0000-0000-0000DA000000}"/>
    <cellStyle name="常规 132 3" xfId="1107" xr:uid="{00000000-0005-0000-0000-000083040000}"/>
    <cellStyle name="常规 133" xfId="1109" xr:uid="{00000000-0005-0000-0000-000085040000}"/>
    <cellStyle name="常规 133 2" xfId="1111" xr:uid="{00000000-0005-0000-0000-000087040000}"/>
    <cellStyle name="常规 133 2 2" xfId="227" xr:uid="{00000000-0005-0000-0000-000013010000}"/>
    <cellStyle name="常规 133 3" xfId="1113" xr:uid="{00000000-0005-0000-0000-000089040000}"/>
    <cellStyle name="常规 134" xfId="1115" xr:uid="{00000000-0005-0000-0000-00008B040000}"/>
    <cellStyle name="常规 135" xfId="1148" xr:uid="{00000000-0005-0000-0000-0000AC040000}"/>
    <cellStyle name="常规 135 2" xfId="1149" xr:uid="{00000000-0005-0000-0000-0000AD040000}"/>
    <cellStyle name="常规 135 2 2" xfId="313" xr:uid="{00000000-0005-0000-0000-000069010000}"/>
    <cellStyle name="常规 135 3" xfId="1150" xr:uid="{00000000-0005-0000-0000-0000AE040000}"/>
    <cellStyle name="常规 136" xfId="1152" xr:uid="{00000000-0005-0000-0000-0000B0040000}"/>
    <cellStyle name="常规 136 2" xfId="1157" xr:uid="{00000000-0005-0000-0000-0000B5040000}"/>
    <cellStyle name="常规 136 2 2" xfId="378" xr:uid="{00000000-0005-0000-0000-0000AA010000}"/>
    <cellStyle name="常规 136 3" xfId="1161" xr:uid="{00000000-0005-0000-0000-0000B9040000}"/>
    <cellStyle name="常规 137" xfId="1164" xr:uid="{00000000-0005-0000-0000-0000BC040000}"/>
    <cellStyle name="常规 138" xfId="1167" xr:uid="{00000000-0005-0000-0000-0000BF040000}"/>
    <cellStyle name="常规 138 2" xfId="1170" xr:uid="{00000000-0005-0000-0000-0000C2040000}"/>
    <cellStyle name="常规 138 2 2" xfId="1172" xr:uid="{00000000-0005-0000-0000-0000C4040000}"/>
    <cellStyle name="常规 138 3" xfId="1175" xr:uid="{00000000-0005-0000-0000-0000C7040000}"/>
    <cellStyle name="常规 139" xfId="1179" xr:uid="{00000000-0005-0000-0000-0000CB040000}"/>
    <cellStyle name="常规 139 2" xfId="1181" xr:uid="{00000000-0005-0000-0000-0000CD040000}"/>
    <cellStyle name="常规 139 2 2" xfId="1183" xr:uid="{00000000-0005-0000-0000-0000CF040000}"/>
    <cellStyle name="常规 139 3" xfId="1185" xr:uid="{00000000-0005-0000-0000-0000D1040000}"/>
    <cellStyle name="常规 14" xfId="1186" xr:uid="{00000000-0005-0000-0000-0000D2040000}"/>
    <cellStyle name="常规 14 10" xfId="488" xr:uid="{00000000-0005-0000-0000-000018020000}"/>
    <cellStyle name="常规 14 11" xfId="149" xr:uid="{00000000-0005-0000-0000-0000C5000000}"/>
    <cellStyle name="常规 14 12" xfId="151" xr:uid="{00000000-0005-0000-0000-0000C7000000}"/>
    <cellStyle name="常规 14 13" xfId="167" xr:uid="{00000000-0005-0000-0000-0000D7000000}"/>
    <cellStyle name="常规 14 14" xfId="169" xr:uid="{00000000-0005-0000-0000-0000D9000000}"/>
    <cellStyle name="常规 14 15" xfId="181" xr:uid="{00000000-0005-0000-0000-0000E5000000}"/>
    <cellStyle name="常规 14 16" xfId="1187" xr:uid="{00000000-0005-0000-0000-0000D3040000}"/>
    <cellStyle name="常规 14 16 2" xfId="1188" xr:uid="{00000000-0005-0000-0000-0000D4040000}"/>
    <cellStyle name="常规 14 16 2 2" xfId="11" xr:uid="{00000000-0005-0000-0000-000015000000}"/>
    <cellStyle name="常规 14 16 3" xfId="1189" xr:uid="{00000000-0005-0000-0000-0000D5040000}"/>
    <cellStyle name="常规 14 17" xfId="1190" xr:uid="{00000000-0005-0000-0000-0000D6040000}"/>
    <cellStyle name="常规 14 17 2" xfId="1191" xr:uid="{00000000-0005-0000-0000-0000D7040000}"/>
    <cellStyle name="常规 14 17 3" xfId="1192" xr:uid="{00000000-0005-0000-0000-0000D8040000}"/>
    <cellStyle name="常规 14 17 4" xfId="1193" xr:uid="{00000000-0005-0000-0000-0000D9040000}"/>
    <cellStyle name="常规 14 18" xfId="1194" xr:uid="{00000000-0005-0000-0000-0000DA040000}"/>
    <cellStyle name="常规 14 2" xfId="1195" xr:uid="{00000000-0005-0000-0000-0000DB040000}"/>
    <cellStyle name="常规 14 2 2" xfId="1196" xr:uid="{00000000-0005-0000-0000-0000DC040000}"/>
    <cellStyle name="常规 14 2 3" xfId="1197" xr:uid="{00000000-0005-0000-0000-0000DD040000}"/>
    <cellStyle name="常规 14 2 3 2" xfId="1198" xr:uid="{00000000-0005-0000-0000-0000DE040000}"/>
    <cellStyle name="常规 14 2 4" xfId="1199" xr:uid="{00000000-0005-0000-0000-0000DF040000}"/>
    <cellStyle name="常规 14 3" xfId="1200" xr:uid="{00000000-0005-0000-0000-0000E0040000}"/>
    <cellStyle name="常规 14 4" xfId="1201" xr:uid="{00000000-0005-0000-0000-0000E1040000}"/>
    <cellStyle name="常规 14 5" xfId="1202" xr:uid="{00000000-0005-0000-0000-0000E2040000}"/>
    <cellStyle name="常规 14 6" xfId="1203" xr:uid="{00000000-0005-0000-0000-0000E3040000}"/>
    <cellStyle name="常规 14 7" xfId="1204" xr:uid="{00000000-0005-0000-0000-0000E4040000}"/>
    <cellStyle name="常规 14 8" xfId="1205" xr:uid="{00000000-0005-0000-0000-0000E5040000}"/>
    <cellStyle name="常规 14 9" xfId="1206" xr:uid="{00000000-0005-0000-0000-0000E6040000}"/>
    <cellStyle name="常规 140" xfId="1147" xr:uid="{00000000-0005-0000-0000-0000AB040000}"/>
    <cellStyle name="常规 141" xfId="1151" xr:uid="{00000000-0005-0000-0000-0000AF040000}"/>
    <cellStyle name="常规 141 2" xfId="1156" xr:uid="{00000000-0005-0000-0000-0000B4040000}"/>
    <cellStyle name="常规 141 2 2" xfId="377" xr:uid="{00000000-0005-0000-0000-0000A9010000}"/>
    <cellStyle name="常规 141 3" xfId="1160" xr:uid="{00000000-0005-0000-0000-0000B8040000}"/>
    <cellStyle name="常规 142" xfId="1163" xr:uid="{00000000-0005-0000-0000-0000BB040000}"/>
    <cellStyle name="常规 143" xfId="1166" xr:uid="{00000000-0005-0000-0000-0000BE040000}"/>
    <cellStyle name="常规 143 2" xfId="1169" xr:uid="{00000000-0005-0000-0000-0000C1040000}"/>
    <cellStyle name="常规 143 2 2" xfId="1171" xr:uid="{00000000-0005-0000-0000-0000C3040000}"/>
    <cellStyle name="常规 143 3" xfId="1174" xr:uid="{00000000-0005-0000-0000-0000C6040000}"/>
    <cellStyle name="常规 144" xfId="1178" xr:uid="{00000000-0005-0000-0000-0000CA040000}"/>
    <cellStyle name="常规 145" xfId="1211" xr:uid="{00000000-0005-0000-0000-0000EB040000}"/>
    <cellStyle name="常规 145 2" xfId="1214" xr:uid="{00000000-0005-0000-0000-0000EE040000}"/>
    <cellStyle name="常规 145 2 2" xfId="1217" xr:uid="{00000000-0005-0000-0000-0000F1040000}"/>
    <cellStyle name="常规 145 3" xfId="1220" xr:uid="{00000000-0005-0000-0000-0000F4040000}"/>
    <cellStyle name="常规 146" xfId="1225" xr:uid="{00000000-0005-0000-0000-0000F9040000}"/>
    <cellStyle name="常规 146 2" xfId="1230" xr:uid="{00000000-0005-0000-0000-0000FE040000}"/>
    <cellStyle name="常规 146 2 2" xfId="1233" xr:uid="{00000000-0005-0000-0000-000001050000}"/>
    <cellStyle name="常规 146 3" xfId="1237" xr:uid="{00000000-0005-0000-0000-000005050000}"/>
    <cellStyle name="常规 147" xfId="1242" xr:uid="{00000000-0005-0000-0000-00000A050000}"/>
    <cellStyle name="常规 147 2" xfId="1246" xr:uid="{00000000-0005-0000-0000-00000E050000}"/>
    <cellStyle name="常规 147 2 2" xfId="1250" xr:uid="{00000000-0005-0000-0000-000012050000}"/>
    <cellStyle name="常规 147 3" xfId="1254" xr:uid="{00000000-0005-0000-0000-000016050000}"/>
    <cellStyle name="常规 148" xfId="1258" xr:uid="{00000000-0005-0000-0000-00001A050000}"/>
    <cellStyle name="常规 148 2" xfId="1261" xr:uid="{00000000-0005-0000-0000-00001D050000}"/>
    <cellStyle name="常规 148 2 2" xfId="1264" xr:uid="{00000000-0005-0000-0000-000020050000}"/>
    <cellStyle name="常规 148 3" xfId="1267" xr:uid="{00000000-0005-0000-0000-000023050000}"/>
    <cellStyle name="常规 149" xfId="1271" xr:uid="{00000000-0005-0000-0000-000027050000}"/>
    <cellStyle name="常规 149 2" xfId="1273" xr:uid="{00000000-0005-0000-0000-000029050000}"/>
    <cellStyle name="常规 149 2 2" xfId="1275" xr:uid="{00000000-0005-0000-0000-00002B050000}"/>
    <cellStyle name="常规 149 3" xfId="1277" xr:uid="{00000000-0005-0000-0000-00002D050000}"/>
    <cellStyle name="常规 15" xfId="1279" xr:uid="{00000000-0005-0000-0000-00002F050000}"/>
    <cellStyle name="常规 15 10" xfId="1281" xr:uid="{00000000-0005-0000-0000-000031050000}"/>
    <cellStyle name="常规 15 11" xfId="1285" xr:uid="{00000000-0005-0000-0000-000035050000}"/>
    <cellStyle name="常规 15 12" xfId="1287" xr:uid="{00000000-0005-0000-0000-000037050000}"/>
    <cellStyle name="常规 15 13" xfId="1289" xr:uid="{00000000-0005-0000-0000-000039050000}"/>
    <cellStyle name="常规 15 14" xfId="1291" xr:uid="{00000000-0005-0000-0000-00003B050000}"/>
    <cellStyle name="常规 15 15" xfId="1293" xr:uid="{00000000-0005-0000-0000-00003D050000}"/>
    <cellStyle name="常规 15 16" xfId="1295" xr:uid="{00000000-0005-0000-0000-00003F050000}"/>
    <cellStyle name="常规 15 16 2" xfId="1297" xr:uid="{00000000-0005-0000-0000-000041050000}"/>
    <cellStyle name="常规 15 16 2 2" xfId="371" xr:uid="{00000000-0005-0000-0000-0000A3010000}"/>
    <cellStyle name="常规 15 16 3" xfId="1299" xr:uid="{00000000-0005-0000-0000-000043050000}"/>
    <cellStyle name="常规 15 17" xfId="1301" xr:uid="{00000000-0005-0000-0000-000045050000}"/>
    <cellStyle name="常规 15 17 2" xfId="1302" xr:uid="{00000000-0005-0000-0000-000046050000}"/>
    <cellStyle name="常规 15 17 3" xfId="1303" xr:uid="{00000000-0005-0000-0000-000047050000}"/>
    <cellStyle name="常规 15 17 4" xfId="1304" xr:uid="{00000000-0005-0000-0000-000048050000}"/>
    <cellStyle name="常规 15 18" xfId="1305" xr:uid="{00000000-0005-0000-0000-000049050000}"/>
    <cellStyle name="常规 15 2" xfId="693" xr:uid="{00000000-0005-0000-0000-0000E5020000}"/>
    <cellStyle name="常规 15 2 2" xfId="1307" xr:uid="{00000000-0005-0000-0000-00004B050000}"/>
    <cellStyle name="常规 15 2 3" xfId="1308" xr:uid="{00000000-0005-0000-0000-00004C050000}"/>
    <cellStyle name="常规 15 2 3 2" xfId="1309" xr:uid="{00000000-0005-0000-0000-00004D050000}"/>
    <cellStyle name="常规 15 3" xfId="697" xr:uid="{00000000-0005-0000-0000-0000E9020000}"/>
    <cellStyle name="常规 15 4" xfId="701" xr:uid="{00000000-0005-0000-0000-0000ED020000}"/>
    <cellStyle name="常规 15 5" xfId="953" xr:uid="{00000000-0005-0000-0000-0000E9030000}"/>
    <cellStyle name="常规 15 6" xfId="1312" xr:uid="{00000000-0005-0000-0000-000050050000}"/>
    <cellStyle name="常规 15 7" xfId="1315" xr:uid="{00000000-0005-0000-0000-000053050000}"/>
    <cellStyle name="常规 15 8" xfId="1317" xr:uid="{00000000-0005-0000-0000-000055050000}"/>
    <cellStyle name="常规 15 9" xfId="1319" xr:uid="{00000000-0005-0000-0000-000057050000}"/>
    <cellStyle name="常规 150" xfId="1210" xr:uid="{00000000-0005-0000-0000-0000EA040000}"/>
    <cellStyle name="常规 150 2" xfId="1213" xr:uid="{00000000-0005-0000-0000-0000ED040000}"/>
    <cellStyle name="常规 150 2 2" xfId="1216" xr:uid="{00000000-0005-0000-0000-0000F0040000}"/>
    <cellStyle name="常规 150 3" xfId="1219" xr:uid="{00000000-0005-0000-0000-0000F3040000}"/>
    <cellStyle name="常规 151" xfId="1224" xr:uid="{00000000-0005-0000-0000-0000F8040000}"/>
    <cellStyle name="常规 151 2" xfId="1229" xr:uid="{00000000-0005-0000-0000-0000FD040000}"/>
    <cellStyle name="常规 151 2 2" xfId="1232" xr:uid="{00000000-0005-0000-0000-000000050000}"/>
    <cellStyle name="常规 151 3" xfId="1236" xr:uid="{00000000-0005-0000-0000-000004050000}"/>
    <cellStyle name="常规 152" xfId="1241" xr:uid="{00000000-0005-0000-0000-000009050000}"/>
    <cellStyle name="常规 152 2" xfId="1245" xr:uid="{00000000-0005-0000-0000-00000D050000}"/>
    <cellStyle name="常规 152 2 2" xfId="1249" xr:uid="{00000000-0005-0000-0000-000011050000}"/>
    <cellStyle name="常规 152 3" xfId="1253" xr:uid="{00000000-0005-0000-0000-000015050000}"/>
    <cellStyle name="常规 153" xfId="1257" xr:uid="{00000000-0005-0000-0000-000019050000}"/>
    <cellStyle name="常规 153 2" xfId="1260" xr:uid="{00000000-0005-0000-0000-00001C050000}"/>
    <cellStyle name="常规 153 2 2" xfId="1263" xr:uid="{00000000-0005-0000-0000-00001F050000}"/>
    <cellStyle name="常规 153 3" xfId="1266" xr:uid="{00000000-0005-0000-0000-000022050000}"/>
    <cellStyle name="常规 154" xfId="1270" xr:uid="{00000000-0005-0000-0000-000026050000}"/>
    <cellStyle name="常规 154 2" xfId="1272" xr:uid="{00000000-0005-0000-0000-000028050000}"/>
    <cellStyle name="常规 154 2 2" xfId="1274" xr:uid="{00000000-0005-0000-0000-00002A050000}"/>
    <cellStyle name="常规 154 3" xfId="1276" xr:uid="{00000000-0005-0000-0000-00002C050000}"/>
    <cellStyle name="常规 155" xfId="1323" xr:uid="{00000000-0005-0000-0000-00005B050000}"/>
    <cellStyle name="常规 155 2" xfId="1326" xr:uid="{00000000-0005-0000-0000-00005E050000}"/>
    <cellStyle name="常规 155 2 2" xfId="1328" xr:uid="{00000000-0005-0000-0000-000060050000}"/>
    <cellStyle name="常规 155 3" xfId="1330" xr:uid="{00000000-0005-0000-0000-000062050000}"/>
    <cellStyle name="常规 156" xfId="1334" xr:uid="{00000000-0005-0000-0000-000066050000}"/>
    <cellStyle name="常规 156 2" xfId="1338" xr:uid="{00000000-0005-0000-0000-00006A050000}"/>
    <cellStyle name="常规 156 2 2" xfId="1341" xr:uid="{00000000-0005-0000-0000-00006D050000}"/>
    <cellStyle name="常规 156 3" xfId="1345" xr:uid="{00000000-0005-0000-0000-000071050000}"/>
    <cellStyle name="常规 157" xfId="1349" xr:uid="{00000000-0005-0000-0000-000075050000}"/>
    <cellStyle name="常规 157 2" xfId="639" xr:uid="{00000000-0005-0000-0000-0000AF020000}"/>
    <cellStyle name="常规 157 2 2" xfId="1351" xr:uid="{00000000-0005-0000-0000-000077050000}"/>
    <cellStyle name="常规 157 3" xfId="642" xr:uid="{00000000-0005-0000-0000-0000B2020000}"/>
    <cellStyle name="常规 158" xfId="1355" xr:uid="{00000000-0005-0000-0000-00007B050000}"/>
    <cellStyle name="常规 158 2" xfId="1358" xr:uid="{00000000-0005-0000-0000-00007E050000}"/>
    <cellStyle name="常规 158 2 2" xfId="1361" xr:uid="{00000000-0005-0000-0000-000081050000}"/>
    <cellStyle name="常规 158 3" xfId="1364" xr:uid="{00000000-0005-0000-0000-000084050000}"/>
    <cellStyle name="常规 159" xfId="1368" xr:uid="{00000000-0005-0000-0000-000088050000}"/>
    <cellStyle name="常规 159 2" xfId="1371" xr:uid="{00000000-0005-0000-0000-00008B050000}"/>
    <cellStyle name="常规 159 2 2" xfId="1374" xr:uid="{00000000-0005-0000-0000-00008E050000}"/>
    <cellStyle name="常规 159 3" xfId="1377" xr:uid="{00000000-0005-0000-0000-000091050000}"/>
    <cellStyle name="常规 16" xfId="900" xr:uid="{00000000-0005-0000-0000-0000B4030000}"/>
    <cellStyle name="常规 16 10" xfId="1379" xr:uid="{00000000-0005-0000-0000-000093050000}"/>
    <cellStyle name="常规 16 11" xfId="1381" xr:uid="{00000000-0005-0000-0000-000095050000}"/>
    <cellStyle name="常规 16 12" xfId="1383" xr:uid="{00000000-0005-0000-0000-000097050000}"/>
    <cellStyle name="常规 16 13" xfId="652" xr:uid="{00000000-0005-0000-0000-0000BC020000}"/>
    <cellStyle name="常规 16 14" xfId="1385" xr:uid="{00000000-0005-0000-0000-000099050000}"/>
    <cellStyle name="常规 16 15" xfId="1387" xr:uid="{00000000-0005-0000-0000-00009B050000}"/>
    <cellStyle name="常规 16 16" xfId="1389" xr:uid="{00000000-0005-0000-0000-00009D050000}"/>
    <cellStyle name="常规 16 16 2" xfId="1393" xr:uid="{00000000-0005-0000-0000-0000A1050000}"/>
    <cellStyle name="常规 16 16 2 2" xfId="1396" xr:uid="{00000000-0005-0000-0000-0000A4050000}"/>
    <cellStyle name="常规 16 16 3" xfId="1400" xr:uid="{00000000-0005-0000-0000-0000A8050000}"/>
    <cellStyle name="常规 16 17" xfId="1402" xr:uid="{00000000-0005-0000-0000-0000AA050000}"/>
    <cellStyle name="常规 16 17 2" xfId="1408" xr:uid="{00000000-0005-0000-0000-0000B0050000}"/>
    <cellStyle name="常规 16 17 3" xfId="1413" xr:uid="{00000000-0005-0000-0000-0000B5050000}"/>
    <cellStyle name="常规 16 17 4" xfId="1418" xr:uid="{00000000-0005-0000-0000-0000BA050000}"/>
    <cellStyle name="常规 16 18" xfId="1420" xr:uid="{00000000-0005-0000-0000-0000BC050000}"/>
    <cellStyle name="常规 16 2" xfId="904" xr:uid="{00000000-0005-0000-0000-0000B8030000}"/>
    <cellStyle name="常规 16 2 2" xfId="779" xr:uid="{00000000-0005-0000-0000-00003B030000}"/>
    <cellStyle name="常规 16 2 3" xfId="783" xr:uid="{00000000-0005-0000-0000-00003F030000}"/>
    <cellStyle name="常规 16 2 3 2" xfId="1424" xr:uid="{00000000-0005-0000-0000-0000C0050000}"/>
    <cellStyle name="常规 16 3" xfId="1426" xr:uid="{00000000-0005-0000-0000-0000C2050000}"/>
    <cellStyle name="常规 16 4" xfId="1428" xr:uid="{00000000-0005-0000-0000-0000C4050000}"/>
    <cellStyle name="常规 16 5" xfId="1430" xr:uid="{00000000-0005-0000-0000-0000C6050000}"/>
    <cellStyle name="常规 16 6" xfId="1432" xr:uid="{00000000-0005-0000-0000-0000C8050000}"/>
    <cellStyle name="常规 16 7" xfId="1434" xr:uid="{00000000-0005-0000-0000-0000CA050000}"/>
    <cellStyle name="常规 16 8" xfId="1436" xr:uid="{00000000-0005-0000-0000-0000CC050000}"/>
    <cellStyle name="常规 16 9" xfId="1438" xr:uid="{00000000-0005-0000-0000-0000CE050000}"/>
    <cellStyle name="常规 160" xfId="1322" xr:uid="{00000000-0005-0000-0000-00005A050000}"/>
    <cellStyle name="常规 160 2" xfId="1325" xr:uid="{00000000-0005-0000-0000-00005D050000}"/>
    <cellStyle name="常规 160 2 2" xfId="1327" xr:uid="{00000000-0005-0000-0000-00005F050000}"/>
    <cellStyle name="常规 160 3" xfId="1329" xr:uid="{00000000-0005-0000-0000-000061050000}"/>
    <cellStyle name="常规 161" xfId="1333" xr:uid="{00000000-0005-0000-0000-000065050000}"/>
    <cellStyle name="常规 161 2" xfId="1337" xr:uid="{00000000-0005-0000-0000-000069050000}"/>
    <cellStyle name="常规 161 2 2" xfId="1340" xr:uid="{00000000-0005-0000-0000-00006C050000}"/>
    <cellStyle name="常规 161 3" xfId="1344" xr:uid="{00000000-0005-0000-0000-000070050000}"/>
    <cellStyle name="常规 162" xfId="1348" xr:uid="{00000000-0005-0000-0000-000074050000}"/>
    <cellStyle name="常规 162 2" xfId="638" xr:uid="{00000000-0005-0000-0000-0000AE020000}"/>
    <cellStyle name="常规 162 2 2" xfId="1350" xr:uid="{00000000-0005-0000-0000-000076050000}"/>
    <cellStyle name="常规 162 3" xfId="641" xr:uid="{00000000-0005-0000-0000-0000B1020000}"/>
    <cellStyle name="常规 163" xfId="1354" xr:uid="{00000000-0005-0000-0000-00007A050000}"/>
    <cellStyle name="常规 163 2" xfId="1357" xr:uid="{00000000-0005-0000-0000-00007D050000}"/>
    <cellStyle name="常规 163 2 2" xfId="1360" xr:uid="{00000000-0005-0000-0000-000080050000}"/>
    <cellStyle name="常规 163 3" xfId="1363" xr:uid="{00000000-0005-0000-0000-000083050000}"/>
    <cellStyle name="常规 164" xfId="1367" xr:uid="{00000000-0005-0000-0000-000087050000}"/>
    <cellStyle name="常规 164 2" xfId="1370" xr:uid="{00000000-0005-0000-0000-00008A050000}"/>
    <cellStyle name="常规 164 2 2" xfId="1373" xr:uid="{00000000-0005-0000-0000-00008D050000}"/>
    <cellStyle name="常规 164 3" xfId="1376" xr:uid="{00000000-0005-0000-0000-000090050000}"/>
    <cellStyle name="常规 165" xfId="1442" xr:uid="{00000000-0005-0000-0000-0000D2050000}"/>
    <cellStyle name="常规 165 2" xfId="1445" xr:uid="{00000000-0005-0000-0000-0000D5050000}"/>
    <cellStyle name="常规 165 2 2" xfId="1448" xr:uid="{00000000-0005-0000-0000-0000D8050000}"/>
    <cellStyle name="常规 165 3" xfId="1451" xr:uid="{00000000-0005-0000-0000-0000DB050000}"/>
    <cellStyle name="常规 166" xfId="1456" xr:uid="{00000000-0005-0000-0000-0000E0050000}"/>
    <cellStyle name="常规 166 2" xfId="1460" xr:uid="{00000000-0005-0000-0000-0000E4050000}"/>
    <cellStyle name="常规 166 2 2" xfId="1464" xr:uid="{00000000-0005-0000-0000-0000E8050000}"/>
    <cellStyle name="常规 166 3" xfId="1468" xr:uid="{00000000-0005-0000-0000-0000EC050000}"/>
    <cellStyle name="常规 167" xfId="1475" xr:uid="{00000000-0005-0000-0000-0000F3050000}"/>
    <cellStyle name="常规 167 2" xfId="1477" xr:uid="{00000000-0005-0000-0000-0000F5050000}"/>
    <cellStyle name="常规 167 2 2" xfId="1480" xr:uid="{00000000-0005-0000-0000-0000F8050000}"/>
    <cellStyle name="常规 167 3" xfId="1482" xr:uid="{00000000-0005-0000-0000-0000FA050000}"/>
    <cellStyle name="常规 168" xfId="1487" xr:uid="{00000000-0005-0000-0000-0000FF050000}"/>
    <cellStyle name="常规 168 2" xfId="1489" xr:uid="{00000000-0005-0000-0000-000001060000}"/>
    <cellStyle name="常规 168 2 2" xfId="1491" xr:uid="{00000000-0005-0000-0000-000003060000}"/>
    <cellStyle name="常规 168 3" xfId="1493" xr:uid="{00000000-0005-0000-0000-000005060000}"/>
    <cellStyle name="常规 169" xfId="1498" xr:uid="{00000000-0005-0000-0000-00000A060000}"/>
    <cellStyle name="常规 169 2" xfId="1500" xr:uid="{00000000-0005-0000-0000-00000C060000}"/>
    <cellStyle name="常规 169 2 2" xfId="1502" xr:uid="{00000000-0005-0000-0000-00000E060000}"/>
    <cellStyle name="常规 169 3" xfId="1504" xr:uid="{00000000-0005-0000-0000-000010060000}"/>
    <cellStyle name="常规 17" xfId="909" xr:uid="{00000000-0005-0000-0000-0000BD030000}"/>
    <cellStyle name="常规 17 10" xfId="1508" xr:uid="{00000000-0005-0000-0000-000014060000}"/>
    <cellStyle name="常规 17 11" xfId="1512" xr:uid="{00000000-0005-0000-0000-000018060000}"/>
    <cellStyle name="常规 17 12" xfId="1516" xr:uid="{00000000-0005-0000-0000-00001C060000}"/>
    <cellStyle name="常规 17 13" xfId="1520" xr:uid="{00000000-0005-0000-0000-000020060000}"/>
    <cellStyle name="常规 17 14" xfId="1407" xr:uid="{00000000-0005-0000-0000-0000AF050000}"/>
    <cellStyle name="常规 17 15" xfId="1412" xr:uid="{00000000-0005-0000-0000-0000B4050000}"/>
    <cellStyle name="常规 17 16" xfId="1417" xr:uid="{00000000-0005-0000-0000-0000B9050000}"/>
    <cellStyle name="常规 17 16 2" xfId="1522" xr:uid="{00000000-0005-0000-0000-000022060000}"/>
    <cellStyle name="常规 17 16 2 2" xfId="1525" xr:uid="{00000000-0005-0000-0000-000025060000}"/>
    <cellStyle name="常规 17 16 3" xfId="1527" xr:uid="{00000000-0005-0000-0000-000027060000}"/>
    <cellStyle name="常规 17 17" xfId="1530" xr:uid="{00000000-0005-0000-0000-00002A060000}"/>
    <cellStyle name="常规 17 17 2" xfId="1533" xr:uid="{00000000-0005-0000-0000-00002D060000}"/>
    <cellStyle name="常规 17 17 3" xfId="1536" xr:uid="{00000000-0005-0000-0000-000030060000}"/>
    <cellStyle name="常规 17 17 4" xfId="1539" xr:uid="{00000000-0005-0000-0000-000033060000}"/>
    <cellStyle name="常规 17 18" xfId="1542" xr:uid="{00000000-0005-0000-0000-000036060000}"/>
    <cellStyle name="常规 17 2" xfId="1544" xr:uid="{00000000-0005-0000-0000-000038060000}"/>
    <cellStyle name="常规 17 2 2" xfId="1546" xr:uid="{00000000-0005-0000-0000-00003A060000}"/>
    <cellStyle name="常规 17 2 3" xfId="1548" xr:uid="{00000000-0005-0000-0000-00003C060000}"/>
    <cellStyle name="常规 17 2 3 2" xfId="1550" xr:uid="{00000000-0005-0000-0000-00003E060000}"/>
    <cellStyle name="常规 17 3" xfId="1552" xr:uid="{00000000-0005-0000-0000-000040060000}"/>
    <cellStyle name="常规 17 4" xfId="1554" xr:uid="{00000000-0005-0000-0000-000042060000}"/>
    <cellStyle name="常规 17 5" xfId="1556" xr:uid="{00000000-0005-0000-0000-000044060000}"/>
    <cellStyle name="常规 17 6" xfId="1558" xr:uid="{00000000-0005-0000-0000-000046060000}"/>
    <cellStyle name="常规 17 7" xfId="1560" xr:uid="{00000000-0005-0000-0000-000048060000}"/>
    <cellStyle name="常规 17 8" xfId="1562" xr:uid="{00000000-0005-0000-0000-00004A060000}"/>
    <cellStyle name="常规 17 9" xfId="1564" xr:uid="{00000000-0005-0000-0000-00004C060000}"/>
    <cellStyle name="常规 170" xfId="1441" xr:uid="{00000000-0005-0000-0000-0000D1050000}"/>
    <cellStyle name="常规 170 2" xfId="1444" xr:uid="{00000000-0005-0000-0000-0000D4050000}"/>
    <cellStyle name="常规 170 2 2" xfId="1447" xr:uid="{00000000-0005-0000-0000-0000D7050000}"/>
    <cellStyle name="常规 170 3" xfId="1450" xr:uid="{00000000-0005-0000-0000-0000DA050000}"/>
    <cellStyle name="常规 171" xfId="1455" xr:uid="{00000000-0005-0000-0000-0000DF050000}"/>
    <cellStyle name="常规 171 2" xfId="1459" xr:uid="{00000000-0005-0000-0000-0000E3050000}"/>
    <cellStyle name="常规 171 2 2" xfId="1463" xr:uid="{00000000-0005-0000-0000-0000E7050000}"/>
    <cellStyle name="常规 171 3" xfId="1467" xr:uid="{00000000-0005-0000-0000-0000EB050000}"/>
    <cellStyle name="常规 172" xfId="1474" xr:uid="{00000000-0005-0000-0000-0000F2050000}"/>
    <cellStyle name="常规 173" xfId="1486" xr:uid="{00000000-0005-0000-0000-0000FE050000}"/>
    <cellStyle name="常规 174" xfId="1497" xr:uid="{00000000-0005-0000-0000-000009060000}"/>
    <cellStyle name="常规 175" xfId="1569" xr:uid="{00000000-0005-0000-0000-000051060000}"/>
    <cellStyle name="常规 176" xfId="1575" xr:uid="{00000000-0005-0000-0000-000057060000}"/>
    <cellStyle name="常规 177" xfId="1580" xr:uid="{00000000-0005-0000-0000-00005C060000}"/>
    <cellStyle name="常规 178" xfId="1585" xr:uid="{00000000-0005-0000-0000-000061060000}"/>
    <cellStyle name="常规 179" xfId="1589" xr:uid="{00000000-0005-0000-0000-000065060000}"/>
    <cellStyle name="常规 18" xfId="980" xr:uid="{00000000-0005-0000-0000-000004040000}"/>
    <cellStyle name="常规 18 10" xfId="1591" xr:uid="{00000000-0005-0000-0000-000067060000}"/>
    <cellStyle name="常规 18 11" xfId="1593" xr:uid="{00000000-0005-0000-0000-000069060000}"/>
    <cellStyle name="常规 18 12" xfId="1596" xr:uid="{00000000-0005-0000-0000-00006C060000}"/>
    <cellStyle name="常规 18 13" xfId="1599" xr:uid="{00000000-0005-0000-0000-00006F060000}"/>
    <cellStyle name="常规 18 14" xfId="1602" xr:uid="{00000000-0005-0000-0000-000072060000}"/>
    <cellStyle name="常规 18 15" xfId="1605" xr:uid="{00000000-0005-0000-0000-000075060000}"/>
    <cellStyle name="常规 18 16" xfId="1608" xr:uid="{00000000-0005-0000-0000-000078060000}"/>
    <cellStyle name="常规 18 16 2" xfId="1609" xr:uid="{00000000-0005-0000-0000-000079060000}"/>
    <cellStyle name="常规 18 16 2 2" xfId="1610" xr:uid="{00000000-0005-0000-0000-00007A060000}"/>
    <cellStyle name="常规 18 16 3" xfId="31" xr:uid="{00000000-0005-0000-0000-000031000000}"/>
    <cellStyle name="常规 18 17" xfId="1612" xr:uid="{00000000-0005-0000-0000-00007C060000}"/>
    <cellStyle name="常规 18 17 2" xfId="1614" xr:uid="{00000000-0005-0000-0000-00007E060000}"/>
    <cellStyle name="常规 18 17 3" xfId="1616" xr:uid="{00000000-0005-0000-0000-000080060000}"/>
    <cellStyle name="常规 18 17 4" xfId="1617" xr:uid="{00000000-0005-0000-0000-000081060000}"/>
    <cellStyle name="常规 18 18" xfId="1619" xr:uid="{00000000-0005-0000-0000-000083060000}"/>
    <cellStyle name="常规 18 2" xfId="1622" xr:uid="{00000000-0005-0000-0000-000086060000}"/>
    <cellStyle name="常规 18 2 2" xfId="763" xr:uid="{00000000-0005-0000-0000-00002B030000}"/>
    <cellStyle name="常规 18 2 3" xfId="1624" xr:uid="{00000000-0005-0000-0000-000088060000}"/>
    <cellStyle name="常规 18 2 3 2" xfId="1626" xr:uid="{00000000-0005-0000-0000-00008A060000}"/>
    <cellStyle name="常规 18 2 4" xfId="1628" xr:uid="{00000000-0005-0000-0000-00008C060000}"/>
    <cellStyle name="常规 18 3" xfId="1630" xr:uid="{00000000-0005-0000-0000-00008E060000}"/>
    <cellStyle name="常规 18 3 2" xfId="1632" xr:uid="{00000000-0005-0000-0000-000090060000}"/>
    <cellStyle name="常规 18 3 3" xfId="1634" xr:uid="{00000000-0005-0000-0000-000092060000}"/>
    <cellStyle name="常规 18 4" xfId="1636" xr:uid="{00000000-0005-0000-0000-000094060000}"/>
    <cellStyle name="常规 18 5" xfId="1638" xr:uid="{00000000-0005-0000-0000-000096060000}"/>
    <cellStyle name="常规 18 6" xfId="1640" xr:uid="{00000000-0005-0000-0000-000098060000}"/>
    <cellStyle name="常规 18 7" xfId="1644" xr:uid="{00000000-0005-0000-0000-00009C060000}"/>
    <cellStyle name="常规 18 8" xfId="1646" xr:uid="{00000000-0005-0000-0000-00009E060000}"/>
    <cellStyle name="常规 18 9" xfId="1648" xr:uid="{00000000-0005-0000-0000-0000A0060000}"/>
    <cellStyle name="常规 180" xfId="1568" xr:uid="{00000000-0005-0000-0000-000050060000}"/>
    <cellStyle name="常规 180 2" xfId="1652" xr:uid="{00000000-0005-0000-0000-0000A4060000}"/>
    <cellStyle name="常规 180 2 2" xfId="1655" xr:uid="{00000000-0005-0000-0000-0000A7060000}"/>
    <cellStyle name="常规 180 3" xfId="1661" xr:uid="{00000000-0005-0000-0000-0000AD060000}"/>
    <cellStyle name="常规 181" xfId="1574" xr:uid="{00000000-0005-0000-0000-000056060000}"/>
    <cellStyle name="常规 181 2" xfId="1664" xr:uid="{00000000-0005-0000-0000-0000B0060000}"/>
    <cellStyle name="常规 181 2 2" xfId="1668" xr:uid="{00000000-0005-0000-0000-0000B4060000}"/>
    <cellStyle name="常规 181 3" xfId="1672" xr:uid="{00000000-0005-0000-0000-0000B8060000}"/>
    <cellStyle name="常规 182" xfId="1579" xr:uid="{00000000-0005-0000-0000-00005B060000}"/>
    <cellStyle name="常规 182 2" xfId="1676" xr:uid="{00000000-0005-0000-0000-0000BC060000}"/>
    <cellStyle name="常规 182 2 2" xfId="797" xr:uid="{00000000-0005-0000-0000-00004D030000}"/>
    <cellStyle name="常规 182 3" xfId="1680" xr:uid="{00000000-0005-0000-0000-0000C0060000}"/>
    <cellStyle name="常规 183" xfId="1584" xr:uid="{00000000-0005-0000-0000-000060060000}"/>
    <cellStyle name="常规 183 2" xfId="1683" xr:uid="{00000000-0005-0000-0000-0000C3060000}"/>
    <cellStyle name="常规 183 2 2" xfId="450" xr:uid="{00000000-0005-0000-0000-0000F2010000}"/>
    <cellStyle name="常规 183 3" xfId="1687" xr:uid="{00000000-0005-0000-0000-0000C7060000}"/>
    <cellStyle name="常规 184" xfId="1588" xr:uid="{00000000-0005-0000-0000-000064060000}"/>
    <cellStyle name="常规 184 2" xfId="1690" xr:uid="{00000000-0005-0000-0000-0000CA060000}"/>
    <cellStyle name="常规 184 2 2" xfId="1693" xr:uid="{00000000-0005-0000-0000-0000CD060000}"/>
    <cellStyle name="常规 184 3" xfId="1696" xr:uid="{00000000-0005-0000-0000-0000D0060000}"/>
    <cellStyle name="常规 185" xfId="1700" xr:uid="{00000000-0005-0000-0000-0000D4060000}"/>
    <cellStyle name="常规 185 2" xfId="1704" xr:uid="{00000000-0005-0000-0000-0000D8060000}"/>
    <cellStyle name="常规 185 2 2" xfId="1706" xr:uid="{00000000-0005-0000-0000-0000DA060000}"/>
    <cellStyle name="常规 185 3" xfId="1709" xr:uid="{00000000-0005-0000-0000-0000DD060000}"/>
    <cellStyle name="常规 186" xfId="1713" xr:uid="{00000000-0005-0000-0000-0000E1060000}"/>
    <cellStyle name="常规 186 2" xfId="1717" xr:uid="{00000000-0005-0000-0000-0000E5060000}"/>
    <cellStyle name="常规 186 2 2" xfId="1720" xr:uid="{00000000-0005-0000-0000-0000E8060000}"/>
    <cellStyle name="常规 186 3" xfId="1724" xr:uid="{00000000-0005-0000-0000-0000EC060000}"/>
    <cellStyle name="常规 187" xfId="1729" xr:uid="{00000000-0005-0000-0000-0000F1060000}"/>
    <cellStyle name="常规 187 2" xfId="1732" xr:uid="{00000000-0005-0000-0000-0000F4060000}"/>
    <cellStyle name="常规 187 2 2" xfId="1734" xr:uid="{00000000-0005-0000-0000-0000F6060000}"/>
    <cellStyle name="常规 187 3" xfId="1736" xr:uid="{00000000-0005-0000-0000-0000F8060000}"/>
    <cellStyle name="常规 188" xfId="1741" xr:uid="{00000000-0005-0000-0000-0000FD060000}"/>
    <cellStyle name="常规 188 2" xfId="1744" xr:uid="{00000000-0005-0000-0000-000000070000}"/>
    <cellStyle name="常规 188 2 2" xfId="1746" xr:uid="{00000000-0005-0000-0000-000002070000}"/>
    <cellStyle name="常规 188 3" xfId="1749" xr:uid="{00000000-0005-0000-0000-000005070000}"/>
    <cellStyle name="常规 189" xfId="1756" xr:uid="{00000000-0005-0000-0000-00000C070000}"/>
    <cellStyle name="常规 189 2" xfId="1760" xr:uid="{00000000-0005-0000-0000-000010070000}"/>
    <cellStyle name="常规 189 2 2" xfId="736" xr:uid="{00000000-0005-0000-0000-000010030000}"/>
    <cellStyle name="常规 189 3" xfId="1764" xr:uid="{00000000-0005-0000-0000-000014070000}"/>
    <cellStyle name="常规 19" xfId="984" xr:uid="{00000000-0005-0000-0000-000008040000}"/>
    <cellStyle name="常规 19 10" xfId="526" xr:uid="{00000000-0005-0000-0000-00003E020000}"/>
    <cellStyle name="常规 19 11" xfId="208" xr:uid="{00000000-0005-0000-0000-000000010000}"/>
    <cellStyle name="常规 19 12" xfId="214" xr:uid="{00000000-0005-0000-0000-000006010000}"/>
    <cellStyle name="常规 19 13" xfId="222" xr:uid="{00000000-0005-0000-0000-00000E010000}"/>
    <cellStyle name="常规 19 14" xfId="226" xr:uid="{00000000-0005-0000-0000-000012010000}"/>
    <cellStyle name="常规 19 15" xfId="234" xr:uid="{00000000-0005-0000-0000-00001A010000}"/>
    <cellStyle name="常规 19 16" xfId="1767" xr:uid="{00000000-0005-0000-0000-000017070000}"/>
    <cellStyle name="常规 19 17" xfId="1770" xr:uid="{00000000-0005-0000-0000-00001A070000}"/>
    <cellStyle name="常规 19 17 2" xfId="1772" xr:uid="{00000000-0005-0000-0000-00001C070000}"/>
    <cellStyle name="常规 19 17 2 2" xfId="1773" xr:uid="{00000000-0005-0000-0000-00001D070000}"/>
    <cellStyle name="常规 19 17 3" xfId="1775" xr:uid="{00000000-0005-0000-0000-00001F070000}"/>
    <cellStyle name="常规 19 18" xfId="1777" xr:uid="{00000000-0005-0000-0000-000021070000}"/>
    <cellStyle name="常规 19 19" xfId="1778" xr:uid="{00000000-0005-0000-0000-000022070000}"/>
    <cellStyle name="常规 19 2" xfId="1782" xr:uid="{00000000-0005-0000-0000-000026070000}"/>
    <cellStyle name="常规 19 2 2" xfId="1784" xr:uid="{00000000-0005-0000-0000-000028070000}"/>
    <cellStyle name="常规 19 20" xfId="233" xr:uid="{00000000-0005-0000-0000-000019010000}"/>
    <cellStyle name="常规 19 3" xfId="1788" xr:uid="{00000000-0005-0000-0000-00002C070000}"/>
    <cellStyle name="常规 19 4" xfId="1792" xr:uid="{00000000-0005-0000-0000-000030070000}"/>
    <cellStyle name="常规 19 5" xfId="1797" xr:uid="{00000000-0005-0000-0000-000035070000}"/>
    <cellStyle name="常规 19 6" xfId="1801" xr:uid="{00000000-0005-0000-0000-000039070000}"/>
    <cellStyle name="常规 19 7" xfId="413" xr:uid="{00000000-0005-0000-0000-0000CD010000}"/>
    <cellStyle name="常规 19 8" xfId="1805" xr:uid="{00000000-0005-0000-0000-00003D070000}"/>
    <cellStyle name="常规 19 9" xfId="1809" xr:uid="{00000000-0005-0000-0000-000041070000}"/>
    <cellStyle name="常规 190" xfId="1699" xr:uid="{00000000-0005-0000-0000-0000D3060000}"/>
    <cellStyle name="常规 190 2" xfId="1703" xr:uid="{00000000-0005-0000-0000-0000D7060000}"/>
    <cellStyle name="常规 190 2 2" xfId="1705" xr:uid="{00000000-0005-0000-0000-0000D9060000}"/>
    <cellStyle name="常规 190 3" xfId="1708" xr:uid="{00000000-0005-0000-0000-0000DC060000}"/>
    <cellStyle name="常规 191" xfId="1712" xr:uid="{00000000-0005-0000-0000-0000E0060000}"/>
    <cellStyle name="常规 191 2" xfId="1716" xr:uid="{00000000-0005-0000-0000-0000E4060000}"/>
    <cellStyle name="常规 191 2 2" xfId="1719" xr:uid="{00000000-0005-0000-0000-0000E7060000}"/>
    <cellStyle name="常规 191 3" xfId="1723" xr:uid="{00000000-0005-0000-0000-0000EB060000}"/>
    <cellStyle name="常规 192" xfId="1728" xr:uid="{00000000-0005-0000-0000-0000F0060000}"/>
    <cellStyle name="常规 192 2" xfId="1731" xr:uid="{00000000-0005-0000-0000-0000F3060000}"/>
    <cellStyle name="常规 192 2 2" xfId="1733" xr:uid="{00000000-0005-0000-0000-0000F5060000}"/>
    <cellStyle name="常规 192 3" xfId="1735" xr:uid="{00000000-0005-0000-0000-0000F7060000}"/>
    <cellStyle name="常规 193" xfId="1740" xr:uid="{00000000-0005-0000-0000-0000FC060000}"/>
    <cellStyle name="常规 193 2" xfId="1743" xr:uid="{00000000-0005-0000-0000-0000FF060000}"/>
    <cellStyle name="常规 193 2 2" xfId="1745" xr:uid="{00000000-0005-0000-0000-000001070000}"/>
    <cellStyle name="常规 193 3" xfId="1748" xr:uid="{00000000-0005-0000-0000-000004070000}"/>
    <cellStyle name="常规 194" xfId="1755" xr:uid="{00000000-0005-0000-0000-00000B070000}"/>
    <cellStyle name="常规 194 2" xfId="1759" xr:uid="{00000000-0005-0000-0000-00000F070000}"/>
    <cellStyle name="常规 194 2 2" xfId="735" xr:uid="{00000000-0005-0000-0000-00000F030000}"/>
    <cellStyle name="常规 194 3" xfId="1763" xr:uid="{00000000-0005-0000-0000-000013070000}"/>
    <cellStyle name="常规 195" xfId="28" xr:uid="{00000000-0005-0000-0000-00002C000000}"/>
    <cellStyle name="常规 195 2" xfId="1811" xr:uid="{00000000-0005-0000-0000-000043070000}"/>
    <cellStyle name="常规 195 2 2" xfId="1813" xr:uid="{00000000-0005-0000-0000-000045070000}"/>
    <cellStyle name="常规 195 3" xfId="1815" xr:uid="{00000000-0005-0000-0000-000047070000}"/>
    <cellStyle name="常规 196" xfId="579" xr:uid="{00000000-0005-0000-0000-000073020000}"/>
    <cellStyle name="常规 196 2" xfId="581" xr:uid="{00000000-0005-0000-0000-000075020000}"/>
    <cellStyle name="常规 196 2 2" xfId="1816" xr:uid="{00000000-0005-0000-0000-000048070000}"/>
    <cellStyle name="常规 196 3" xfId="1817" xr:uid="{00000000-0005-0000-0000-000049070000}"/>
    <cellStyle name="常规 197" xfId="588" xr:uid="{00000000-0005-0000-0000-00007C020000}"/>
    <cellStyle name="常规 197 2" xfId="1818" xr:uid="{00000000-0005-0000-0000-00004A070000}"/>
    <cellStyle name="常规 197 2 2" xfId="1823" xr:uid="{00000000-0005-0000-0000-00004F070000}"/>
    <cellStyle name="常规 197 3" xfId="1824" xr:uid="{00000000-0005-0000-0000-000050070000}"/>
    <cellStyle name="常规 198" xfId="1828" xr:uid="{00000000-0005-0000-0000-000054070000}"/>
    <cellStyle name="常规 198 2" xfId="1829" xr:uid="{00000000-0005-0000-0000-000055070000}"/>
    <cellStyle name="常规 198 2 2" xfId="1830" xr:uid="{00000000-0005-0000-0000-000056070000}"/>
    <cellStyle name="常规 198 3" xfId="1831" xr:uid="{00000000-0005-0000-0000-000057070000}"/>
    <cellStyle name="常规 199" xfId="1835" xr:uid="{00000000-0005-0000-0000-00005B070000}"/>
    <cellStyle name="常规 199 2" xfId="1837" xr:uid="{00000000-0005-0000-0000-00005D070000}"/>
    <cellStyle name="常规 199 2 2" xfId="1796" xr:uid="{00000000-0005-0000-0000-000034070000}"/>
    <cellStyle name="常规 199 3" xfId="1839" xr:uid="{00000000-0005-0000-0000-00005F070000}"/>
    <cellStyle name="常规 2" xfId="1840" xr:uid="{00000000-0005-0000-0000-000060070000}"/>
    <cellStyle name="常规 2 10" xfId="1842" xr:uid="{00000000-0005-0000-0000-000062070000}"/>
    <cellStyle name="常规 2 10 2" xfId="1843" xr:uid="{00000000-0005-0000-0000-000063070000}"/>
    <cellStyle name="常规 2 10 3" xfId="1844" xr:uid="{00000000-0005-0000-0000-000064070000}"/>
    <cellStyle name="常规 2 100" xfId="1846" xr:uid="{00000000-0005-0000-0000-000066070000}"/>
    <cellStyle name="常规 2 101" xfId="1848" xr:uid="{00000000-0005-0000-0000-000068070000}"/>
    <cellStyle name="常规 2 102" xfId="1850" xr:uid="{00000000-0005-0000-0000-00006A070000}"/>
    <cellStyle name="常规 2 103" xfId="1852" xr:uid="{00000000-0005-0000-0000-00006C070000}"/>
    <cellStyle name="常规 2 104" xfId="1853" xr:uid="{00000000-0005-0000-0000-00006D070000}"/>
    <cellStyle name="常规 2 105" xfId="1781" xr:uid="{00000000-0005-0000-0000-000025070000}"/>
    <cellStyle name="常规 2 106" xfId="1787" xr:uid="{00000000-0005-0000-0000-00002B070000}"/>
    <cellStyle name="常规 2 107" xfId="1791" xr:uid="{00000000-0005-0000-0000-00002F070000}"/>
    <cellStyle name="常规 2 108" xfId="1795" xr:uid="{00000000-0005-0000-0000-000033070000}"/>
    <cellStyle name="常规 2 109" xfId="1800" xr:uid="{00000000-0005-0000-0000-000038070000}"/>
    <cellStyle name="常规 2 11" xfId="1855" xr:uid="{00000000-0005-0000-0000-00006F070000}"/>
    <cellStyle name="常规 2 11 2" xfId="1857" xr:uid="{00000000-0005-0000-0000-000071070000}"/>
    <cellStyle name="常规 2 11 3" xfId="538" xr:uid="{00000000-0005-0000-0000-00004A020000}"/>
    <cellStyle name="常规 2 110" xfId="1780" xr:uid="{00000000-0005-0000-0000-000024070000}"/>
    <cellStyle name="常规 2 111" xfId="1786" xr:uid="{00000000-0005-0000-0000-00002A070000}"/>
    <cellStyle name="常规 2 112" xfId="1790" xr:uid="{00000000-0005-0000-0000-00002E070000}"/>
    <cellStyle name="常规 2 113" xfId="1794" xr:uid="{00000000-0005-0000-0000-000032070000}"/>
    <cellStyle name="常规 2 114" xfId="1799" xr:uid="{00000000-0005-0000-0000-000037070000}"/>
    <cellStyle name="常规 2 115" xfId="412" xr:uid="{00000000-0005-0000-0000-0000CC010000}"/>
    <cellStyle name="常规 2 116" xfId="1804" xr:uid="{00000000-0005-0000-0000-00003C070000}"/>
    <cellStyle name="常规 2 117" xfId="1808" xr:uid="{00000000-0005-0000-0000-000040070000}"/>
    <cellStyle name="常规 2 118" xfId="1859" xr:uid="{00000000-0005-0000-0000-000073070000}"/>
    <cellStyle name="常规 2 119" xfId="1861" xr:uid="{00000000-0005-0000-0000-000075070000}"/>
    <cellStyle name="常规 2 12" xfId="1863" xr:uid="{00000000-0005-0000-0000-000077070000}"/>
    <cellStyle name="常规 2 12 2" xfId="1865" xr:uid="{00000000-0005-0000-0000-000079070000}"/>
    <cellStyle name="常规 2 12 3" xfId="1866" xr:uid="{00000000-0005-0000-0000-00007A070000}"/>
    <cellStyle name="常规 2 120" xfId="411" xr:uid="{00000000-0005-0000-0000-0000CB010000}"/>
    <cellStyle name="常规 2 121" xfId="1803" xr:uid="{00000000-0005-0000-0000-00003B070000}"/>
    <cellStyle name="常规 2 122" xfId="1807" xr:uid="{00000000-0005-0000-0000-00003F070000}"/>
    <cellStyle name="常规 2 123" xfId="1858" xr:uid="{00000000-0005-0000-0000-000072070000}"/>
    <cellStyle name="常规 2 124" xfId="1860" xr:uid="{00000000-0005-0000-0000-000074070000}"/>
    <cellStyle name="常规 2 125" xfId="1868" xr:uid="{00000000-0005-0000-0000-00007C070000}"/>
    <cellStyle name="常规 2 126" xfId="1870" xr:uid="{00000000-0005-0000-0000-00007E070000}"/>
    <cellStyle name="常规 2 127" xfId="1872" xr:uid="{00000000-0005-0000-0000-000080070000}"/>
    <cellStyle name="常规 2 128" xfId="1874" xr:uid="{00000000-0005-0000-0000-000082070000}"/>
    <cellStyle name="常规 2 129" xfId="1876" xr:uid="{00000000-0005-0000-0000-000084070000}"/>
    <cellStyle name="常规 2 13" xfId="1878" xr:uid="{00000000-0005-0000-0000-000086070000}"/>
    <cellStyle name="常规 2 13 2" xfId="1880" xr:uid="{00000000-0005-0000-0000-000088070000}"/>
    <cellStyle name="常规 2 13 3" xfId="408" xr:uid="{00000000-0005-0000-0000-0000C8010000}"/>
    <cellStyle name="常规 2 130" xfId="1867" xr:uid="{00000000-0005-0000-0000-00007B070000}"/>
    <cellStyle name="常规 2 131" xfId="1869" xr:uid="{00000000-0005-0000-0000-00007D070000}"/>
    <cellStyle name="常规 2 132" xfId="1871" xr:uid="{00000000-0005-0000-0000-00007F070000}"/>
    <cellStyle name="常规 2 133" xfId="1873" xr:uid="{00000000-0005-0000-0000-000081070000}"/>
    <cellStyle name="常规 2 134" xfId="1875" xr:uid="{00000000-0005-0000-0000-000083070000}"/>
    <cellStyle name="常规 2 135" xfId="140" xr:uid="{00000000-0005-0000-0000-0000BC000000}"/>
    <cellStyle name="常规 2 136" xfId="1882" xr:uid="{00000000-0005-0000-0000-00008A070000}"/>
    <cellStyle name="常规 2 137" xfId="1885" xr:uid="{00000000-0005-0000-0000-00008D070000}"/>
    <cellStyle name="常规 2 138" xfId="1888" xr:uid="{00000000-0005-0000-0000-000090070000}"/>
    <cellStyle name="常规 2 139" xfId="1891" xr:uid="{00000000-0005-0000-0000-000093070000}"/>
    <cellStyle name="常规 2 14" xfId="1893" xr:uid="{00000000-0005-0000-0000-000095070000}"/>
    <cellStyle name="常规 2 14 2" xfId="213" xr:uid="{00000000-0005-0000-0000-000005010000}"/>
    <cellStyle name="常规 2 14 3" xfId="221" xr:uid="{00000000-0005-0000-0000-00000D010000}"/>
    <cellStyle name="常规 2 140" xfId="139" xr:uid="{00000000-0005-0000-0000-0000BB000000}"/>
    <cellStyle name="常规 2 141" xfId="1881" xr:uid="{00000000-0005-0000-0000-000089070000}"/>
    <cellStyle name="常规 2 142" xfId="1884" xr:uid="{00000000-0005-0000-0000-00008C070000}"/>
    <cellStyle name="常规 2 143" xfId="1887" xr:uid="{00000000-0005-0000-0000-00008F070000}"/>
    <cellStyle name="常规 2 144" xfId="1890" xr:uid="{00000000-0005-0000-0000-000092070000}"/>
    <cellStyle name="常规 2 145" xfId="1897" xr:uid="{00000000-0005-0000-0000-000099070000}"/>
    <cellStyle name="常规 2 146" xfId="721" xr:uid="{00000000-0005-0000-0000-000001030000}"/>
    <cellStyle name="常规 2 147" xfId="1901" xr:uid="{00000000-0005-0000-0000-00009D070000}"/>
    <cellStyle name="常规 2 148" xfId="1905" xr:uid="{00000000-0005-0000-0000-0000A1070000}"/>
    <cellStyle name="常规 2 149" xfId="1909" xr:uid="{00000000-0005-0000-0000-0000A5070000}"/>
    <cellStyle name="常规 2 15" xfId="1912" xr:uid="{00000000-0005-0000-0000-0000A8070000}"/>
    <cellStyle name="常规 2 15 2" xfId="1915" xr:uid="{00000000-0005-0000-0000-0000AB070000}"/>
    <cellStyle name="常规 2 15 3" xfId="1917" xr:uid="{00000000-0005-0000-0000-0000AD070000}"/>
    <cellStyle name="常规 2 150" xfId="1896" xr:uid="{00000000-0005-0000-0000-000098070000}"/>
    <cellStyle name="常规 2 151" xfId="720" xr:uid="{00000000-0005-0000-0000-000000030000}"/>
    <cellStyle name="常规 2 152" xfId="1900" xr:uid="{00000000-0005-0000-0000-00009C070000}"/>
    <cellStyle name="常规 2 153" xfId="1904" xr:uid="{00000000-0005-0000-0000-0000A0070000}"/>
    <cellStyle name="常规 2 154" xfId="1908" xr:uid="{00000000-0005-0000-0000-0000A4070000}"/>
    <cellStyle name="常规 2 155" xfId="1923" xr:uid="{00000000-0005-0000-0000-0000B3070000}"/>
    <cellStyle name="常规 2 156" xfId="1929" xr:uid="{00000000-0005-0000-0000-0000B9070000}"/>
    <cellStyle name="常规 2 157" xfId="1935" xr:uid="{00000000-0005-0000-0000-0000BF070000}"/>
    <cellStyle name="常规 2 158" xfId="1940" xr:uid="{00000000-0005-0000-0000-0000C4070000}"/>
    <cellStyle name="常规 2 159" xfId="1945" xr:uid="{00000000-0005-0000-0000-0000C9070000}"/>
    <cellStyle name="常规 2 16" xfId="1948" xr:uid="{00000000-0005-0000-0000-0000CC070000}"/>
    <cellStyle name="常规 2 16 2" xfId="1951" xr:uid="{00000000-0005-0000-0000-0000CF070000}"/>
    <cellStyle name="常规 2 16 3" xfId="260" xr:uid="{00000000-0005-0000-0000-000034010000}"/>
    <cellStyle name="常规 2 160" xfId="1922" xr:uid="{00000000-0005-0000-0000-0000B2070000}"/>
    <cellStyle name="常规 2 161" xfId="1928" xr:uid="{00000000-0005-0000-0000-0000B8070000}"/>
    <cellStyle name="常规 2 162" xfId="1934" xr:uid="{00000000-0005-0000-0000-0000BE070000}"/>
    <cellStyle name="常规 2 163" xfId="1939" xr:uid="{00000000-0005-0000-0000-0000C3070000}"/>
    <cellStyle name="常规 2 164" xfId="1944" xr:uid="{00000000-0005-0000-0000-0000C8070000}"/>
    <cellStyle name="常规 2 165" xfId="1956" xr:uid="{00000000-0005-0000-0000-0000D4070000}"/>
    <cellStyle name="常规 2 166" xfId="1961" xr:uid="{00000000-0005-0000-0000-0000D9070000}"/>
    <cellStyle name="常规 2 167" xfId="1966" xr:uid="{00000000-0005-0000-0000-0000DE070000}"/>
    <cellStyle name="常规 2 168" xfId="1970" xr:uid="{00000000-0005-0000-0000-0000E2070000}"/>
    <cellStyle name="常规 2 169" xfId="1974" xr:uid="{00000000-0005-0000-0000-0000E6070000}"/>
    <cellStyle name="常规 2 17" xfId="1976" xr:uid="{00000000-0005-0000-0000-0000E8070000}"/>
    <cellStyle name="常规 2 17 2" xfId="1979" xr:uid="{00000000-0005-0000-0000-0000EB070000}"/>
    <cellStyle name="常规 2 17 3" xfId="671" xr:uid="{00000000-0005-0000-0000-0000CF020000}"/>
    <cellStyle name="常规 2 170" xfId="1955" xr:uid="{00000000-0005-0000-0000-0000D3070000}"/>
    <cellStyle name="常规 2 171" xfId="1960" xr:uid="{00000000-0005-0000-0000-0000D8070000}"/>
    <cellStyle name="常规 2 172" xfId="1965" xr:uid="{00000000-0005-0000-0000-0000DD070000}"/>
    <cellStyle name="常规 2 173" xfId="1969" xr:uid="{00000000-0005-0000-0000-0000E1070000}"/>
    <cellStyle name="常规 2 174" xfId="1973" xr:uid="{00000000-0005-0000-0000-0000E5070000}"/>
    <cellStyle name="常规 2 175" xfId="1984" xr:uid="{00000000-0005-0000-0000-0000F0070000}"/>
    <cellStyle name="常规 2 176" xfId="1989" xr:uid="{00000000-0005-0000-0000-0000F5070000}"/>
    <cellStyle name="常规 2 177" xfId="1993" xr:uid="{00000000-0005-0000-0000-0000F9070000}"/>
    <cellStyle name="常规 2 178" xfId="1997" xr:uid="{00000000-0005-0000-0000-0000FD070000}"/>
    <cellStyle name="常规 2 179" xfId="2001" xr:uid="{00000000-0005-0000-0000-000001080000}"/>
    <cellStyle name="常规 2 18" xfId="2003" xr:uid="{00000000-0005-0000-0000-000003080000}"/>
    <cellStyle name="常规 2 18 2" xfId="2005" xr:uid="{00000000-0005-0000-0000-000005080000}"/>
    <cellStyle name="常规 2 18 3" xfId="270" xr:uid="{00000000-0005-0000-0000-00003E010000}"/>
    <cellStyle name="常规 2 180" xfId="1983" xr:uid="{00000000-0005-0000-0000-0000EF070000}"/>
    <cellStyle name="常规 2 181" xfId="1988" xr:uid="{00000000-0005-0000-0000-0000F4070000}"/>
    <cellStyle name="常规 2 182" xfId="1992" xr:uid="{00000000-0005-0000-0000-0000F8070000}"/>
    <cellStyle name="常规 2 183" xfId="1996" xr:uid="{00000000-0005-0000-0000-0000FC070000}"/>
    <cellStyle name="常规 2 184" xfId="2000" xr:uid="{00000000-0005-0000-0000-000000080000}"/>
    <cellStyle name="常规 2 185" xfId="2008" xr:uid="{00000000-0005-0000-0000-000008080000}"/>
    <cellStyle name="常规 2 186" xfId="2011" xr:uid="{00000000-0005-0000-0000-00000B080000}"/>
    <cellStyle name="常规 2 187" xfId="2015" xr:uid="{00000000-0005-0000-0000-00000F080000}"/>
    <cellStyle name="常规 2 188" xfId="2018" xr:uid="{00000000-0005-0000-0000-000012080000}"/>
    <cellStyle name="常规 2 189" xfId="2021" xr:uid="{00000000-0005-0000-0000-000015080000}"/>
    <cellStyle name="常规 2 19" xfId="2023" xr:uid="{00000000-0005-0000-0000-000017080000}"/>
    <cellStyle name="常规 2 19 2" xfId="2025" xr:uid="{00000000-0005-0000-0000-000019080000}"/>
    <cellStyle name="常规 2 19 2 2" xfId="2027" xr:uid="{00000000-0005-0000-0000-00001B080000}"/>
    <cellStyle name="常规 2 19 2 2 2" xfId="2030" xr:uid="{00000000-0005-0000-0000-00001E080000}"/>
    <cellStyle name="常规 2 19 2 3" xfId="1228" xr:uid="{00000000-0005-0000-0000-0000FC040000}"/>
    <cellStyle name="常规 2 19 3" xfId="2032" xr:uid="{00000000-0005-0000-0000-000020080000}"/>
    <cellStyle name="常规 2 19 4" xfId="2034" xr:uid="{00000000-0005-0000-0000-000022080000}"/>
    <cellStyle name="常规 2 190" xfId="2007" xr:uid="{00000000-0005-0000-0000-000007080000}"/>
    <cellStyle name="常规 2 191" xfId="2010" xr:uid="{00000000-0005-0000-0000-00000A080000}"/>
    <cellStyle name="常规 2 192" xfId="2014" xr:uid="{00000000-0005-0000-0000-00000E080000}"/>
    <cellStyle name="常规 2 193" xfId="2017" xr:uid="{00000000-0005-0000-0000-000011080000}"/>
    <cellStyle name="常规 2 194" xfId="2020" xr:uid="{00000000-0005-0000-0000-000014080000}"/>
    <cellStyle name="常规 2 195" xfId="2036" xr:uid="{00000000-0005-0000-0000-000024080000}"/>
    <cellStyle name="常规 2 196" xfId="2038" xr:uid="{00000000-0005-0000-0000-000026080000}"/>
    <cellStyle name="常规 2 197" xfId="2042" xr:uid="{00000000-0005-0000-0000-00002A080000}"/>
    <cellStyle name="常规 2 198" xfId="71" xr:uid="{00000000-0005-0000-0000-00006B000000}"/>
    <cellStyle name="常规 2 199" xfId="73" xr:uid="{00000000-0005-0000-0000-00006F000000}"/>
    <cellStyle name="常规 2 2" xfId="2043" xr:uid="{00000000-0005-0000-0000-00002B080000}"/>
    <cellStyle name="常规 2 2 10" xfId="2044" xr:uid="{00000000-0005-0000-0000-00002C080000}"/>
    <cellStyle name="常规 2 2 10 2" xfId="2045" xr:uid="{00000000-0005-0000-0000-00002D080000}"/>
    <cellStyle name="常规 2 2 10 3" xfId="2046" xr:uid="{00000000-0005-0000-0000-00002E080000}"/>
    <cellStyle name="常规 2 2 100" xfId="2048" xr:uid="{00000000-0005-0000-0000-000030080000}"/>
    <cellStyle name="常规 2 2 101" xfId="2050" xr:uid="{00000000-0005-0000-0000-000032080000}"/>
    <cellStyle name="常规 2 2 102" xfId="2051" xr:uid="{00000000-0005-0000-0000-000033080000}"/>
    <cellStyle name="常规 2 2 103" xfId="2052" xr:uid="{00000000-0005-0000-0000-000034080000}"/>
    <cellStyle name="常规 2 2 104" xfId="2053" xr:uid="{00000000-0005-0000-0000-000035080000}"/>
    <cellStyle name="常规 2 2 105" xfId="2055" xr:uid="{00000000-0005-0000-0000-000037080000}"/>
    <cellStyle name="常规 2 2 106" xfId="2058" xr:uid="{00000000-0005-0000-0000-00003A080000}"/>
    <cellStyle name="常规 2 2 107" xfId="2061" xr:uid="{00000000-0005-0000-0000-00003D080000}"/>
    <cellStyle name="常规 2 2 108" xfId="2064" xr:uid="{00000000-0005-0000-0000-000040080000}"/>
    <cellStyle name="常规 2 2 109" xfId="2067" xr:uid="{00000000-0005-0000-0000-000043080000}"/>
    <cellStyle name="常规 2 2 11" xfId="2068" xr:uid="{00000000-0005-0000-0000-000044080000}"/>
    <cellStyle name="常规 2 2 11 2" xfId="2070" xr:uid="{00000000-0005-0000-0000-000046080000}"/>
    <cellStyle name="常规 2 2 11 3" xfId="2072" xr:uid="{00000000-0005-0000-0000-000048080000}"/>
    <cellStyle name="常规 2 2 110" xfId="2054" xr:uid="{00000000-0005-0000-0000-000036080000}"/>
    <cellStyle name="常规 2 2 111" xfId="2057" xr:uid="{00000000-0005-0000-0000-000039080000}"/>
    <cellStyle name="常规 2 2 112" xfId="2060" xr:uid="{00000000-0005-0000-0000-00003C080000}"/>
    <cellStyle name="常规 2 2 113" xfId="2063" xr:uid="{00000000-0005-0000-0000-00003F080000}"/>
    <cellStyle name="常规 2 2 114" xfId="2066" xr:uid="{00000000-0005-0000-0000-000042080000}"/>
    <cellStyle name="常规 2 2 115" xfId="2074" xr:uid="{00000000-0005-0000-0000-00004A080000}"/>
    <cellStyle name="常规 2 2 116" xfId="2076" xr:uid="{00000000-0005-0000-0000-00004C080000}"/>
    <cellStyle name="常规 2 2 117" xfId="2080" xr:uid="{00000000-0005-0000-0000-000050080000}"/>
    <cellStyle name="常规 2 2 118" xfId="2086" xr:uid="{00000000-0005-0000-0000-000056080000}"/>
    <cellStyle name="常规 2 2 119" xfId="2090" xr:uid="{00000000-0005-0000-0000-00005A080000}"/>
    <cellStyle name="常规 2 2 12" xfId="2091" xr:uid="{00000000-0005-0000-0000-00005B080000}"/>
    <cellStyle name="常规 2 2 12 2" xfId="815" xr:uid="{00000000-0005-0000-0000-00005F030000}"/>
    <cellStyle name="常规 2 2 12 3" xfId="2092" xr:uid="{00000000-0005-0000-0000-00005C080000}"/>
    <cellStyle name="常规 2 2 12 4" xfId="2093" xr:uid="{00000000-0005-0000-0000-00005D080000}"/>
    <cellStyle name="常规 2 2 120" xfId="2073" xr:uid="{00000000-0005-0000-0000-000049080000}"/>
    <cellStyle name="常规 2 2 121" xfId="2075" xr:uid="{00000000-0005-0000-0000-00004B080000}"/>
    <cellStyle name="常规 2 2 122" xfId="2079" xr:uid="{00000000-0005-0000-0000-00004F080000}"/>
    <cellStyle name="常规 2 2 123" xfId="2085" xr:uid="{00000000-0005-0000-0000-000055080000}"/>
    <cellStyle name="常规 2 2 124" xfId="2089" xr:uid="{00000000-0005-0000-0000-000059080000}"/>
    <cellStyle name="常规 2 2 125" xfId="2097" xr:uid="{00000000-0005-0000-0000-000061080000}"/>
    <cellStyle name="常规 2 2 126" xfId="2101" xr:uid="{00000000-0005-0000-0000-000065080000}"/>
    <cellStyle name="常规 2 2 127" xfId="2105" xr:uid="{00000000-0005-0000-0000-000069080000}"/>
    <cellStyle name="常规 2 2 128" xfId="2109" xr:uid="{00000000-0005-0000-0000-00006D080000}"/>
    <cellStyle name="常规 2 2 129" xfId="2113" xr:uid="{00000000-0005-0000-0000-000071080000}"/>
    <cellStyle name="常规 2 2 13" xfId="2114" xr:uid="{00000000-0005-0000-0000-000072080000}"/>
    <cellStyle name="常规 2 2 13 2" xfId="2115" xr:uid="{00000000-0005-0000-0000-000073080000}"/>
    <cellStyle name="常规 2 2 13 3" xfId="2116" xr:uid="{00000000-0005-0000-0000-000074080000}"/>
    <cellStyle name="常规 2 2 13 3 2" xfId="2117" xr:uid="{00000000-0005-0000-0000-000075080000}"/>
    <cellStyle name="常规 2 2 13 3 2 2" xfId="2118" xr:uid="{00000000-0005-0000-0000-000076080000}"/>
    <cellStyle name="常规 2 2 13 3 3" xfId="2119" xr:uid="{00000000-0005-0000-0000-000077080000}"/>
    <cellStyle name="常规 2 2 130" xfId="2096" xr:uid="{00000000-0005-0000-0000-000060080000}"/>
    <cellStyle name="常规 2 2 131" xfId="2100" xr:uid="{00000000-0005-0000-0000-000064080000}"/>
    <cellStyle name="常规 2 2 132" xfId="2104" xr:uid="{00000000-0005-0000-0000-000068080000}"/>
    <cellStyle name="常规 2 2 133" xfId="2108" xr:uid="{00000000-0005-0000-0000-00006C080000}"/>
    <cellStyle name="常规 2 2 134" xfId="2112" xr:uid="{00000000-0005-0000-0000-000070080000}"/>
    <cellStyle name="常规 2 2 135" xfId="2121" xr:uid="{00000000-0005-0000-0000-000079080000}"/>
    <cellStyle name="常规 2 2 136" xfId="2123" xr:uid="{00000000-0005-0000-0000-00007B080000}"/>
    <cellStyle name="常规 2 2 137" xfId="2126" xr:uid="{00000000-0005-0000-0000-00007E080000}"/>
    <cellStyle name="常规 2 2 138" xfId="2129" xr:uid="{00000000-0005-0000-0000-000081080000}"/>
    <cellStyle name="常规 2 2 139" xfId="2131" xr:uid="{00000000-0005-0000-0000-000083080000}"/>
    <cellStyle name="常规 2 2 14" xfId="2133" xr:uid="{00000000-0005-0000-0000-000085080000}"/>
    <cellStyle name="常规 2 2 140" xfId="2120" xr:uid="{00000000-0005-0000-0000-000078080000}"/>
    <cellStyle name="常规 2 2 141" xfId="2122" xr:uid="{00000000-0005-0000-0000-00007A080000}"/>
    <cellStyle name="常规 2 2 142" xfId="2125" xr:uid="{00000000-0005-0000-0000-00007D080000}"/>
    <cellStyle name="常规 2 2 143" xfId="2128" xr:uid="{00000000-0005-0000-0000-000080080000}"/>
    <cellStyle name="常规 2 2 144" xfId="2130" xr:uid="{00000000-0005-0000-0000-000082080000}"/>
    <cellStyle name="常规 2 2 145" xfId="2136" xr:uid="{00000000-0005-0000-0000-000088080000}"/>
    <cellStyle name="常规 2 2 146" xfId="2140" xr:uid="{00000000-0005-0000-0000-00008C080000}"/>
    <cellStyle name="常规 2 2 147" xfId="2143" xr:uid="{00000000-0005-0000-0000-00008F080000}"/>
    <cellStyle name="常规 2 2 148" xfId="2146" xr:uid="{00000000-0005-0000-0000-000092080000}"/>
    <cellStyle name="常规 2 2 149" xfId="2149" xr:uid="{00000000-0005-0000-0000-000095080000}"/>
    <cellStyle name="常规 2 2 15" xfId="2152" xr:uid="{00000000-0005-0000-0000-000098080000}"/>
    <cellStyle name="常规 2 2 150" xfId="2135" xr:uid="{00000000-0005-0000-0000-000087080000}"/>
    <cellStyle name="常规 2 2 151" xfId="2139" xr:uid="{00000000-0005-0000-0000-00008B080000}"/>
    <cellStyle name="常规 2 2 152" xfId="2142" xr:uid="{00000000-0005-0000-0000-00008E080000}"/>
    <cellStyle name="常规 2 2 153" xfId="2145" xr:uid="{00000000-0005-0000-0000-000091080000}"/>
    <cellStyle name="常规 2 2 154" xfId="2148" xr:uid="{00000000-0005-0000-0000-000094080000}"/>
    <cellStyle name="常规 2 2 155" xfId="2156" xr:uid="{00000000-0005-0000-0000-00009C080000}"/>
    <cellStyle name="常规 2 2 156" xfId="2161" xr:uid="{00000000-0005-0000-0000-0000A1080000}"/>
    <cellStyle name="常规 2 2 157" xfId="2166" xr:uid="{00000000-0005-0000-0000-0000A6080000}"/>
    <cellStyle name="常规 2 2 158" xfId="567" xr:uid="{00000000-0005-0000-0000-000067020000}"/>
    <cellStyle name="常规 2 2 159" xfId="2170" xr:uid="{00000000-0005-0000-0000-0000AA080000}"/>
    <cellStyle name="常规 2 2 16" xfId="2173" xr:uid="{00000000-0005-0000-0000-0000AD080000}"/>
    <cellStyle name="常规 2 2 160" xfId="2155" xr:uid="{00000000-0005-0000-0000-00009B080000}"/>
    <cellStyle name="常规 2 2 161" xfId="2160" xr:uid="{00000000-0005-0000-0000-0000A0080000}"/>
    <cellStyle name="常规 2 2 162" xfId="2165" xr:uid="{00000000-0005-0000-0000-0000A5080000}"/>
    <cellStyle name="常规 2 2 163" xfId="566" xr:uid="{00000000-0005-0000-0000-000066020000}"/>
    <cellStyle name="常规 2 2 164" xfId="2169" xr:uid="{00000000-0005-0000-0000-0000A9080000}"/>
    <cellStyle name="常规 2 2 165" xfId="2177" xr:uid="{00000000-0005-0000-0000-0000B1080000}"/>
    <cellStyle name="常规 2 2 166" xfId="1822" xr:uid="{00000000-0005-0000-0000-00004E070000}"/>
    <cellStyle name="常规 2 2 167" xfId="2181" xr:uid="{00000000-0005-0000-0000-0000B5080000}"/>
    <cellStyle name="常规 2 2 168" xfId="296" xr:uid="{00000000-0005-0000-0000-000058010000}"/>
    <cellStyle name="常规 2 2 169" xfId="2185" xr:uid="{00000000-0005-0000-0000-0000B9080000}"/>
    <cellStyle name="常规 2 2 17" xfId="1155" xr:uid="{00000000-0005-0000-0000-0000B3040000}"/>
    <cellStyle name="常规 2 2 170" xfId="2176" xr:uid="{00000000-0005-0000-0000-0000B0080000}"/>
    <cellStyle name="常规 2 2 171" xfId="1821" xr:uid="{00000000-0005-0000-0000-00004D070000}"/>
    <cellStyle name="常规 2 2 172" xfId="2180" xr:uid="{00000000-0005-0000-0000-0000B4080000}"/>
    <cellStyle name="常规 2 2 173" xfId="295" xr:uid="{00000000-0005-0000-0000-000057010000}"/>
    <cellStyle name="常规 2 2 174" xfId="2184" xr:uid="{00000000-0005-0000-0000-0000B8080000}"/>
    <cellStyle name="常规 2 2 175" xfId="2189" xr:uid="{00000000-0005-0000-0000-0000BD080000}"/>
    <cellStyle name="常规 2 2 176" xfId="2193" xr:uid="{00000000-0005-0000-0000-0000C1080000}"/>
    <cellStyle name="常规 2 2 177" xfId="2197" xr:uid="{00000000-0005-0000-0000-0000C5080000}"/>
    <cellStyle name="常规 2 2 178" xfId="2201" xr:uid="{00000000-0005-0000-0000-0000C9080000}"/>
    <cellStyle name="常规 2 2 179" xfId="2205" xr:uid="{00000000-0005-0000-0000-0000CD080000}"/>
    <cellStyle name="常规 2 2 18" xfId="1159" xr:uid="{00000000-0005-0000-0000-0000B7040000}"/>
    <cellStyle name="常规 2 2 180" xfId="2188" xr:uid="{00000000-0005-0000-0000-0000BC080000}"/>
    <cellStyle name="常规 2 2 181" xfId="2192" xr:uid="{00000000-0005-0000-0000-0000C0080000}"/>
    <cellStyle name="常规 2 2 182" xfId="2196" xr:uid="{00000000-0005-0000-0000-0000C4080000}"/>
    <cellStyle name="常规 2 2 183" xfId="2200" xr:uid="{00000000-0005-0000-0000-0000C8080000}"/>
    <cellStyle name="常规 2 2 184" xfId="2204" xr:uid="{00000000-0005-0000-0000-0000CC080000}"/>
    <cellStyle name="常规 2 2 185" xfId="2208" xr:uid="{00000000-0005-0000-0000-0000D0080000}"/>
    <cellStyle name="常规 2 2 186" xfId="2210" xr:uid="{00000000-0005-0000-0000-0000D2080000}"/>
    <cellStyle name="常规 2 2 187" xfId="2213" xr:uid="{00000000-0005-0000-0000-0000D5080000}"/>
    <cellStyle name="常规 2 2 188" xfId="2216" xr:uid="{00000000-0005-0000-0000-0000D8080000}"/>
    <cellStyle name="常规 2 2 189" xfId="2218" xr:uid="{00000000-0005-0000-0000-0000DA080000}"/>
    <cellStyle name="常规 2 2 19" xfId="2220" xr:uid="{00000000-0005-0000-0000-0000DC080000}"/>
    <cellStyle name="常规 2 2 190" xfId="2207" xr:uid="{00000000-0005-0000-0000-0000CF080000}"/>
    <cellStyle name="常规 2 2 191" xfId="2209" xr:uid="{00000000-0005-0000-0000-0000D1080000}"/>
    <cellStyle name="常规 2 2 192" xfId="2212" xr:uid="{00000000-0005-0000-0000-0000D4080000}"/>
    <cellStyle name="常规 2 2 193" xfId="2215" xr:uid="{00000000-0005-0000-0000-0000D7080000}"/>
    <cellStyle name="常规 2 2 194" xfId="2217" xr:uid="{00000000-0005-0000-0000-0000D9080000}"/>
    <cellStyle name="常规 2 2 195" xfId="2221" xr:uid="{00000000-0005-0000-0000-0000DD080000}"/>
    <cellStyle name="常规 2 2 196" xfId="2222" xr:uid="{00000000-0005-0000-0000-0000DE080000}"/>
    <cellStyle name="常规 2 2 197" xfId="2223" xr:uid="{00000000-0005-0000-0000-0000DF080000}"/>
    <cellStyle name="常规 2 2 198" xfId="2224" xr:uid="{00000000-0005-0000-0000-0000E0080000}"/>
    <cellStyle name="常规 2 2 199" xfId="2227" xr:uid="{00000000-0005-0000-0000-0000E3080000}"/>
    <cellStyle name="常规 2 2 2" xfId="2229" xr:uid="{00000000-0005-0000-0000-0000E5080000}"/>
    <cellStyle name="常规 2 2 2 2" xfId="2230" xr:uid="{00000000-0005-0000-0000-0000E6080000}"/>
    <cellStyle name="常规 2 2 2 2 2" xfId="2231" xr:uid="{00000000-0005-0000-0000-0000E7080000}"/>
    <cellStyle name="常规 2 2 2 2 3" xfId="2232" xr:uid="{00000000-0005-0000-0000-0000E8080000}"/>
    <cellStyle name="常规 2 2 2 2 4" xfId="2233" xr:uid="{00000000-0005-0000-0000-0000E9080000}"/>
    <cellStyle name="常规 2 2 2 2 5" xfId="2234" xr:uid="{00000000-0005-0000-0000-0000EA080000}"/>
    <cellStyle name="常规 2 2 2 3" xfId="2235" xr:uid="{00000000-0005-0000-0000-0000EB080000}"/>
    <cellStyle name="常规 2 2 2 3 2" xfId="2236" xr:uid="{00000000-0005-0000-0000-0000EC080000}"/>
    <cellStyle name="常规 2 2 2 3 3" xfId="2237" xr:uid="{00000000-0005-0000-0000-0000ED080000}"/>
    <cellStyle name="常规 2 2 2 4" xfId="65" xr:uid="{00000000-0005-0000-0000-000063000000}"/>
    <cellStyle name="常规 2 2 2 4 2" xfId="507" xr:uid="{00000000-0005-0000-0000-00002B020000}"/>
    <cellStyle name="常规 2 2 2 4 3" xfId="2239" xr:uid="{00000000-0005-0000-0000-0000EF080000}"/>
    <cellStyle name="常规 2 2 2 5" xfId="50" xr:uid="{00000000-0005-0000-0000-00004E000000}"/>
    <cellStyle name="常规 2 2 2 6" xfId="74" xr:uid="{00000000-0005-0000-0000-000071000000}"/>
    <cellStyle name="常规 2 2 2 7" xfId="75" xr:uid="{00000000-0005-0000-0000-000073000000}"/>
    <cellStyle name="常规 2 2 2 8" xfId="78" xr:uid="{00000000-0005-0000-0000-000079000000}"/>
    <cellStyle name="常规 2 2 2 8 2" xfId="2242" xr:uid="{00000000-0005-0000-0000-0000F2080000}"/>
    <cellStyle name="常规 2 2 2 9" xfId="81" xr:uid="{00000000-0005-0000-0000-00007F000000}"/>
    <cellStyle name="常规 2 2 20" xfId="2151" xr:uid="{00000000-0005-0000-0000-000097080000}"/>
    <cellStyle name="常规 2 2 200" xfId="2134" xr:uid="{00000000-0005-0000-0000-000086080000}"/>
    <cellStyle name="常规 2 2 201" xfId="2138" xr:uid="{00000000-0005-0000-0000-00008A080000}"/>
    <cellStyle name="常规 2 2 202" xfId="2141" xr:uid="{00000000-0005-0000-0000-00008D080000}"/>
    <cellStyle name="常规 2 2 203" xfId="2144" xr:uid="{00000000-0005-0000-0000-000090080000}"/>
    <cellStyle name="常规 2 2 204" xfId="2147" xr:uid="{00000000-0005-0000-0000-000093080000}"/>
    <cellStyle name="常规 2 2 205" xfId="2154" xr:uid="{00000000-0005-0000-0000-00009A080000}"/>
    <cellStyle name="常规 2 2 206" xfId="2159" xr:uid="{00000000-0005-0000-0000-00009F080000}"/>
    <cellStyle name="常规 2 2 207" xfId="2164" xr:uid="{00000000-0005-0000-0000-0000A4080000}"/>
    <cellStyle name="常规 2 2 208" xfId="565" xr:uid="{00000000-0005-0000-0000-000065020000}"/>
    <cellStyle name="常规 2 2 209" xfId="2168" xr:uid="{00000000-0005-0000-0000-0000A8080000}"/>
    <cellStyle name="常规 2 2 21" xfId="2172" xr:uid="{00000000-0005-0000-0000-0000AC080000}"/>
    <cellStyle name="常规 2 2 210" xfId="2153" xr:uid="{00000000-0005-0000-0000-000099080000}"/>
    <cellStyle name="常规 2 2 211" xfId="2158" xr:uid="{00000000-0005-0000-0000-00009E080000}"/>
    <cellStyle name="常规 2 2 212" xfId="2163" xr:uid="{00000000-0005-0000-0000-0000A3080000}"/>
    <cellStyle name="常规 2 2 213" xfId="564" xr:uid="{00000000-0005-0000-0000-000064020000}"/>
    <cellStyle name="常规 2 2 214" xfId="2167" xr:uid="{00000000-0005-0000-0000-0000A7080000}"/>
    <cellStyle name="常规 2 2 215" xfId="2175" xr:uid="{00000000-0005-0000-0000-0000AF080000}"/>
    <cellStyle name="常规 2 2 216" xfId="1820" xr:uid="{00000000-0005-0000-0000-00004C070000}"/>
    <cellStyle name="常规 2 2 217" xfId="2179" xr:uid="{00000000-0005-0000-0000-0000B3080000}"/>
    <cellStyle name="常规 2 2 218" xfId="294" xr:uid="{00000000-0005-0000-0000-000056010000}"/>
    <cellStyle name="常规 2 2 219" xfId="2183" xr:uid="{00000000-0005-0000-0000-0000B7080000}"/>
    <cellStyle name="常规 2 2 22" xfId="1154" xr:uid="{00000000-0005-0000-0000-0000B2040000}"/>
    <cellStyle name="常规 2 2 220" xfId="2174" xr:uid="{00000000-0005-0000-0000-0000AE080000}"/>
    <cellStyle name="常规 2 2 221" xfId="1819" xr:uid="{00000000-0005-0000-0000-00004B070000}"/>
    <cellStyle name="常规 2 2 222" xfId="2178" xr:uid="{00000000-0005-0000-0000-0000B2080000}"/>
    <cellStyle name="常规 2 2 223" xfId="293" xr:uid="{00000000-0005-0000-0000-000055010000}"/>
    <cellStyle name="常规 2 2 224" xfId="2182" xr:uid="{00000000-0005-0000-0000-0000B6080000}"/>
    <cellStyle name="常规 2 2 225" xfId="2187" xr:uid="{00000000-0005-0000-0000-0000BB080000}"/>
    <cellStyle name="常规 2 2 226" xfId="2191" xr:uid="{00000000-0005-0000-0000-0000BF080000}"/>
    <cellStyle name="常规 2 2 227" xfId="2195" xr:uid="{00000000-0005-0000-0000-0000C3080000}"/>
    <cellStyle name="常规 2 2 228" xfId="2199" xr:uid="{00000000-0005-0000-0000-0000C7080000}"/>
    <cellStyle name="常规 2 2 229" xfId="2203" xr:uid="{00000000-0005-0000-0000-0000CB080000}"/>
    <cellStyle name="常规 2 2 23" xfId="1158" xr:uid="{00000000-0005-0000-0000-0000B6040000}"/>
    <cellStyle name="常规 2 2 230" xfId="2186" xr:uid="{00000000-0005-0000-0000-0000BA080000}"/>
    <cellStyle name="常规 2 2 231" xfId="2190" xr:uid="{00000000-0005-0000-0000-0000BE080000}"/>
    <cellStyle name="常规 2 2 232" xfId="2194" xr:uid="{00000000-0005-0000-0000-0000C2080000}"/>
    <cellStyle name="常规 2 2 233" xfId="2198" xr:uid="{00000000-0005-0000-0000-0000C6080000}"/>
    <cellStyle name="常规 2 2 234" xfId="2202" xr:uid="{00000000-0005-0000-0000-0000CA080000}"/>
    <cellStyle name="常规 2 2 235" xfId="2206" xr:uid="{00000000-0005-0000-0000-0000CE080000}"/>
    <cellStyle name="常规 2 2 24" xfId="2219" xr:uid="{00000000-0005-0000-0000-0000DB080000}"/>
    <cellStyle name="常规 2 2 25" xfId="2244" xr:uid="{00000000-0005-0000-0000-0000F4080000}"/>
    <cellStyle name="常规 2 2 26" xfId="2246" xr:uid="{00000000-0005-0000-0000-0000F6080000}"/>
    <cellStyle name="常规 2 2 27" xfId="2248" xr:uid="{00000000-0005-0000-0000-0000F8080000}"/>
    <cellStyle name="常规 2 2 28" xfId="2250" xr:uid="{00000000-0005-0000-0000-0000FA080000}"/>
    <cellStyle name="常规 2 2 29" xfId="2252" xr:uid="{00000000-0005-0000-0000-0000FC080000}"/>
    <cellStyle name="常规 2 2 3" xfId="2253" xr:uid="{00000000-0005-0000-0000-0000FD080000}"/>
    <cellStyle name="常规 2 2 3 2" xfId="2254" xr:uid="{00000000-0005-0000-0000-0000FE080000}"/>
    <cellStyle name="常规 2 2 3 3" xfId="2255" xr:uid="{00000000-0005-0000-0000-0000FF080000}"/>
    <cellStyle name="常规 2 2 3 4" xfId="2257" xr:uid="{00000000-0005-0000-0000-000001090000}"/>
    <cellStyle name="常规 2 2 3 5" xfId="2258" xr:uid="{00000000-0005-0000-0000-000002090000}"/>
    <cellStyle name="常规 2 2 30" xfId="2243" xr:uid="{00000000-0005-0000-0000-0000F3080000}"/>
    <cellStyle name="常规 2 2 31" xfId="2245" xr:uid="{00000000-0005-0000-0000-0000F5080000}"/>
    <cellStyle name="常规 2 2 32" xfId="2247" xr:uid="{00000000-0005-0000-0000-0000F7080000}"/>
    <cellStyle name="常规 2 2 33" xfId="2249" xr:uid="{00000000-0005-0000-0000-0000F9080000}"/>
    <cellStyle name="常规 2 2 34" xfId="2251" xr:uid="{00000000-0005-0000-0000-0000FB080000}"/>
    <cellStyle name="常规 2 2 35" xfId="1014" xr:uid="{00000000-0005-0000-0000-000026040000}"/>
    <cellStyle name="常规 2 2 36" xfId="2260" xr:uid="{00000000-0005-0000-0000-000004090000}"/>
    <cellStyle name="常规 2 2 37" xfId="2262" xr:uid="{00000000-0005-0000-0000-000006090000}"/>
    <cellStyle name="常规 2 2 38" xfId="2264" xr:uid="{00000000-0005-0000-0000-000008090000}"/>
    <cellStyle name="常规 2 2 39" xfId="1392" xr:uid="{00000000-0005-0000-0000-0000A0050000}"/>
    <cellStyle name="常规 2 2 4" xfId="2265" xr:uid="{00000000-0005-0000-0000-000009090000}"/>
    <cellStyle name="常规 2 2 4 2" xfId="2266" xr:uid="{00000000-0005-0000-0000-00000A090000}"/>
    <cellStyle name="常规 2 2 4 3" xfId="2267" xr:uid="{00000000-0005-0000-0000-00000B090000}"/>
    <cellStyle name="常规 2 2 4 4" xfId="520" xr:uid="{00000000-0005-0000-0000-000038020000}"/>
    <cellStyle name="常规 2 2 4 5" xfId="2047" xr:uid="{00000000-0005-0000-0000-00002F080000}"/>
    <cellStyle name="常规 2 2 4 6" xfId="2049" xr:uid="{00000000-0005-0000-0000-000031080000}"/>
    <cellStyle name="常规 2 2 40" xfId="1013" xr:uid="{00000000-0005-0000-0000-000025040000}"/>
    <cellStyle name="常规 2 2 41" xfId="2259" xr:uid="{00000000-0005-0000-0000-000003090000}"/>
    <cellStyle name="常规 2 2 42" xfId="2261" xr:uid="{00000000-0005-0000-0000-000005090000}"/>
    <cellStyle name="常规 2 2 43" xfId="2263" xr:uid="{00000000-0005-0000-0000-000007090000}"/>
    <cellStyle name="常规 2 2 44" xfId="1391" xr:uid="{00000000-0005-0000-0000-00009F050000}"/>
    <cellStyle name="常规 2 2 45" xfId="1399" xr:uid="{00000000-0005-0000-0000-0000A7050000}"/>
    <cellStyle name="常规 2 2 46" xfId="2269" xr:uid="{00000000-0005-0000-0000-00000D090000}"/>
    <cellStyle name="常规 2 2 47" xfId="2271" xr:uid="{00000000-0005-0000-0000-00000F090000}"/>
    <cellStyle name="常规 2 2 48" xfId="2273" xr:uid="{00000000-0005-0000-0000-000011090000}"/>
    <cellStyle name="常规 2 2 49" xfId="2275" xr:uid="{00000000-0005-0000-0000-000013090000}"/>
    <cellStyle name="常规 2 2 5" xfId="2276" xr:uid="{00000000-0005-0000-0000-000014090000}"/>
    <cellStyle name="常规 2 2 5 2" xfId="2124" xr:uid="{00000000-0005-0000-0000-00007C080000}"/>
    <cellStyle name="常规 2 2 5 3" xfId="2127" xr:uid="{00000000-0005-0000-0000-00007F080000}"/>
    <cellStyle name="常规 2 2 50" xfId="1398" xr:uid="{00000000-0005-0000-0000-0000A6050000}"/>
    <cellStyle name="常规 2 2 51" xfId="2268" xr:uid="{00000000-0005-0000-0000-00000C090000}"/>
    <cellStyle name="常规 2 2 52" xfId="2270" xr:uid="{00000000-0005-0000-0000-00000E090000}"/>
    <cellStyle name="常规 2 2 53" xfId="2272" xr:uid="{00000000-0005-0000-0000-000010090000}"/>
    <cellStyle name="常规 2 2 54" xfId="2274" xr:uid="{00000000-0005-0000-0000-000012090000}"/>
    <cellStyle name="常规 2 2 55" xfId="2278" xr:uid="{00000000-0005-0000-0000-000016090000}"/>
    <cellStyle name="常规 2 2 56" xfId="2280" xr:uid="{00000000-0005-0000-0000-000018090000}"/>
    <cellStyle name="常规 2 2 57" xfId="2282" xr:uid="{00000000-0005-0000-0000-00001A090000}"/>
    <cellStyle name="常规 2 2 58" xfId="2284" xr:uid="{00000000-0005-0000-0000-00001C090000}"/>
    <cellStyle name="常规 2 2 59" xfId="2287" xr:uid="{00000000-0005-0000-0000-00001F090000}"/>
    <cellStyle name="常规 2 2 6" xfId="713" xr:uid="{00000000-0005-0000-0000-0000F9020000}"/>
    <cellStyle name="常规 2 2 6 2" xfId="2211" xr:uid="{00000000-0005-0000-0000-0000D3080000}"/>
    <cellStyle name="常规 2 2 6 3" xfId="2214" xr:uid="{00000000-0005-0000-0000-0000D6080000}"/>
    <cellStyle name="常规 2 2 60" xfId="2277" xr:uid="{00000000-0005-0000-0000-000015090000}"/>
    <cellStyle name="常规 2 2 61" xfId="2279" xr:uid="{00000000-0005-0000-0000-000017090000}"/>
    <cellStyle name="常规 2 2 62" xfId="2281" xr:uid="{00000000-0005-0000-0000-000019090000}"/>
    <cellStyle name="常规 2 2 63" xfId="2283" xr:uid="{00000000-0005-0000-0000-00001B090000}"/>
    <cellStyle name="常规 2 2 64" xfId="2286" xr:uid="{00000000-0005-0000-0000-00001E090000}"/>
    <cellStyle name="常规 2 2 65" xfId="2290" xr:uid="{00000000-0005-0000-0000-000022090000}"/>
    <cellStyle name="常规 2 2 66" xfId="2292" xr:uid="{00000000-0005-0000-0000-000024090000}"/>
    <cellStyle name="常规 2 2 67" xfId="2295" xr:uid="{00000000-0005-0000-0000-000027090000}"/>
    <cellStyle name="常规 2 2 68" xfId="2298" xr:uid="{00000000-0005-0000-0000-00002A090000}"/>
    <cellStyle name="常规 2 2 69" xfId="2300" xr:uid="{00000000-0005-0000-0000-00002C090000}"/>
    <cellStyle name="常规 2 2 7" xfId="2301" xr:uid="{00000000-0005-0000-0000-00002D090000}"/>
    <cellStyle name="常规 2 2 7 2" xfId="2303" xr:uid="{00000000-0005-0000-0000-00002F090000}"/>
    <cellStyle name="常规 2 2 7 3" xfId="2305" xr:uid="{00000000-0005-0000-0000-000031090000}"/>
    <cellStyle name="常规 2 2 70" xfId="2289" xr:uid="{00000000-0005-0000-0000-000021090000}"/>
    <cellStyle name="常规 2 2 71" xfId="2291" xr:uid="{00000000-0005-0000-0000-000023090000}"/>
    <cellStyle name="常规 2 2 72" xfId="2294" xr:uid="{00000000-0005-0000-0000-000026090000}"/>
    <cellStyle name="常规 2 2 73" xfId="2297" xr:uid="{00000000-0005-0000-0000-000029090000}"/>
    <cellStyle name="常规 2 2 74" xfId="2299" xr:uid="{00000000-0005-0000-0000-00002B090000}"/>
    <cellStyle name="常规 2 2 75" xfId="2307" xr:uid="{00000000-0005-0000-0000-000033090000}"/>
    <cellStyle name="常规 2 2 76" xfId="2309" xr:uid="{00000000-0005-0000-0000-000035090000}"/>
    <cellStyle name="常规 2 2 77" xfId="2312" xr:uid="{00000000-0005-0000-0000-000038090000}"/>
    <cellStyle name="常规 2 2 78" xfId="2314" xr:uid="{00000000-0005-0000-0000-00003A090000}"/>
    <cellStyle name="常规 2 2 79" xfId="2316" xr:uid="{00000000-0005-0000-0000-00003C090000}"/>
    <cellStyle name="常规 2 2 8" xfId="2317" xr:uid="{00000000-0005-0000-0000-00003D090000}"/>
    <cellStyle name="常规 2 2 8 2" xfId="2318" xr:uid="{00000000-0005-0000-0000-00003E090000}"/>
    <cellStyle name="常规 2 2 8 3" xfId="2319" xr:uid="{00000000-0005-0000-0000-00003F090000}"/>
    <cellStyle name="常规 2 2 80" xfId="2306" xr:uid="{00000000-0005-0000-0000-000032090000}"/>
    <cellStyle name="常规 2 2 81" xfId="2308" xr:uid="{00000000-0005-0000-0000-000034090000}"/>
    <cellStyle name="常规 2 2 82" xfId="2311" xr:uid="{00000000-0005-0000-0000-000037090000}"/>
    <cellStyle name="常规 2 2 83" xfId="2313" xr:uid="{00000000-0005-0000-0000-000039090000}"/>
    <cellStyle name="常规 2 2 84" xfId="2315" xr:uid="{00000000-0005-0000-0000-00003B090000}"/>
    <cellStyle name="常规 2 2 85" xfId="1507" xr:uid="{00000000-0005-0000-0000-000013060000}"/>
    <cellStyle name="常规 2 2 86" xfId="1511" xr:uid="{00000000-0005-0000-0000-000017060000}"/>
    <cellStyle name="常规 2 2 87" xfId="1515" xr:uid="{00000000-0005-0000-0000-00001B060000}"/>
    <cellStyle name="常规 2 2 88" xfId="1519" xr:uid="{00000000-0005-0000-0000-00001F060000}"/>
    <cellStyle name="常规 2 2 89" xfId="1406" xr:uid="{00000000-0005-0000-0000-0000AE050000}"/>
    <cellStyle name="常规 2 2 9" xfId="2320" xr:uid="{00000000-0005-0000-0000-000040090000}"/>
    <cellStyle name="常规 2 2 9 2" xfId="2321" xr:uid="{00000000-0005-0000-0000-000041090000}"/>
    <cellStyle name="常规 2 2 9 3" xfId="2322" xr:uid="{00000000-0005-0000-0000-000042090000}"/>
    <cellStyle name="常规 2 2 90" xfId="1506" xr:uid="{00000000-0005-0000-0000-000012060000}"/>
    <cellStyle name="常规 2 2 91" xfId="1510" xr:uid="{00000000-0005-0000-0000-000016060000}"/>
    <cellStyle name="常规 2 2 92" xfId="1514" xr:uid="{00000000-0005-0000-0000-00001A060000}"/>
    <cellStyle name="常规 2 2 93" xfId="1518" xr:uid="{00000000-0005-0000-0000-00001E060000}"/>
    <cellStyle name="常规 2 2 94" xfId="1405" xr:uid="{00000000-0005-0000-0000-0000AD050000}"/>
    <cellStyle name="常规 2 2 95" xfId="1411" xr:uid="{00000000-0005-0000-0000-0000B3050000}"/>
    <cellStyle name="常规 2 2 96" xfId="1416" xr:uid="{00000000-0005-0000-0000-0000B8050000}"/>
    <cellStyle name="常规 2 2 97" xfId="1529" xr:uid="{00000000-0005-0000-0000-000029060000}"/>
    <cellStyle name="常规 2 2 98" xfId="1541" xr:uid="{00000000-0005-0000-0000-000035060000}"/>
    <cellStyle name="常规 2 2 99" xfId="2323" xr:uid="{00000000-0005-0000-0000-000043090000}"/>
    <cellStyle name="常规 2 20" xfId="1911" xr:uid="{00000000-0005-0000-0000-0000A7070000}"/>
    <cellStyle name="常规 2 20 2" xfId="1914" xr:uid="{00000000-0005-0000-0000-0000AA070000}"/>
    <cellStyle name="常规 2 20 2 2" xfId="2324" xr:uid="{00000000-0005-0000-0000-000044090000}"/>
    <cellStyle name="常规 2 20 2 2 2" xfId="2325" xr:uid="{00000000-0005-0000-0000-000045090000}"/>
    <cellStyle name="常规 2 20 2 3" xfId="2326" xr:uid="{00000000-0005-0000-0000-000046090000}"/>
    <cellStyle name="常规 2 20 3" xfId="1916" xr:uid="{00000000-0005-0000-0000-0000AC070000}"/>
    <cellStyle name="常规 2 20 4" xfId="2327" xr:uid="{00000000-0005-0000-0000-000047090000}"/>
    <cellStyle name="常规 2 200" xfId="1895" xr:uid="{00000000-0005-0000-0000-000097070000}"/>
    <cellStyle name="常规 2 201" xfId="719" xr:uid="{00000000-0005-0000-0000-0000FF020000}"/>
    <cellStyle name="常规 2 202" xfId="1899" xr:uid="{00000000-0005-0000-0000-00009B070000}"/>
    <cellStyle name="常规 2 203" xfId="1903" xr:uid="{00000000-0005-0000-0000-00009F070000}"/>
    <cellStyle name="常规 2 204" xfId="1907" xr:uid="{00000000-0005-0000-0000-0000A3070000}"/>
    <cellStyle name="常规 2 205" xfId="1921" xr:uid="{00000000-0005-0000-0000-0000B1070000}"/>
    <cellStyle name="常规 2 206" xfId="1927" xr:uid="{00000000-0005-0000-0000-0000B7070000}"/>
    <cellStyle name="常规 2 207" xfId="1933" xr:uid="{00000000-0005-0000-0000-0000BD070000}"/>
    <cellStyle name="常规 2 208" xfId="1938" xr:uid="{00000000-0005-0000-0000-0000C2070000}"/>
    <cellStyle name="常规 2 209" xfId="1943" xr:uid="{00000000-0005-0000-0000-0000C7070000}"/>
    <cellStyle name="常规 2 21" xfId="1947" xr:uid="{00000000-0005-0000-0000-0000CB070000}"/>
    <cellStyle name="常规 2 21 2" xfId="1950" xr:uid="{00000000-0005-0000-0000-0000CE070000}"/>
    <cellStyle name="常规 2 21 3" xfId="259" xr:uid="{00000000-0005-0000-0000-000033010000}"/>
    <cellStyle name="常规 2 210" xfId="1920" xr:uid="{00000000-0005-0000-0000-0000B0070000}"/>
    <cellStyle name="常规 2 211" xfId="1926" xr:uid="{00000000-0005-0000-0000-0000B6070000}"/>
    <cellStyle name="常规 2 212" xfId="1932" xr:uid="{00000000-0005-0000-0000-0000BC070000}"/>
    <cellStyle name="常规 2 213" xfId="1937" xr:uid="{00000000-0005-0000-0000-0000C1070000}"/>
    <cellStyle name="常规 2 214" xfId="1942" xr:uid="{00000000-0005-0000-0000-0000C6070000}"/>
    <cellStyle name="常规 2 215" xfId="1954" xr:uid="{00000000-0005-0000-0000-0000D2070000}"/>
    <cellStyle name="常规 2 216" xfId="1959" xr:uid="{00000000-0005-0000-0000-0000D7070000}"/>
    <cellStyle name="常规 2 217" xfId="1964" xr:uid="{00000000-0005-0000-0000-0000DC070000}"/>
    <cellStyle name="常规 2 218" xfId="1968" xr:uid="{00000000-0005-0000-0000-0000E0070000}"/>
    <cellStyle name="常规 2 219" xfId="1972" xr:uid="{00000000-0005-0000-0000-0000E4070000}"/>
    <cellStyle name="常规 2 22" xfId="1975" xr:uid="{00000000-0005-0000-0000-0000E7070000}"/>
    <cellStyle name="常规 2 22 2" xfId="1978" xr:uid="{00000000-0005-0000-0000-0000EA070000}"/>
    <cellStyle name="常规 2 22 3" xfId="670" xr:uid="{00000000-0005-0000-0000-0000CE020000}"/>
    <cellStyle name="常规 2 220" xfId="1953" xr:uid="{00000000-0005-0000-0000-0000D1070000}"/>
    <cellStyle name="常规 2 221" xfId="1958" xr:uid="{00000000-0005-0000-0000-0000D6070000}"/>
    <cellStyle name="常规 2 222" xfId="1963" xr:uid="{00000000-0005-0000-0000-0000DB070000}"/>
    <cellStyle name="常规 2 223" xfId="1967" xr:uid="{00000000-0005-0000-0000-0000DF070000}"/>
    <cellStyle name="常规 2 224" xfId="1971" xr:uid="{00000000-0005-0000-0000-0000E3070000}"/>
    <cellStyle name="常规 2 225" xfId="1982" xr:uid="{00000000-0005-0000-0000-0000EE070000}"/>
    <cellStyle name="常规 2 226" xfId="1987" xr:uid="{00000000-0005-0000-0000-0000F3070000}"/>
    <cellStyle name="常规 2 227" xfId="1991" xr:uid="{00000000-0005-0000-0000-0000F7070000}"/>
    <cellStyle name="常规 2 228" xfId="1995" xr:uid="{00000000-0005-0000-0000-0000FB070000}"/>
    <cellStyle name="常规 2 229" xfId="1999" xr:uid="{00000000-0005-0000-0000-0000FF070000}"/>
    <cellStyle name="常规 2 23" xfId="2002" xr:uid="{00000000-0005-0000-0000-000002080000}"/>
    <cellStyle name="常规 2 230" xfId="1981" xr:uid="{00000000-0005-0000-0000-0000ED070000}"/>
    <cellStyle name="常规 2 231" xfId="1986" xr:uid="{00000000-0005-0000-0000-0000F2070000}"/>
    <cellStyle name="常规 2 232" xfId="1990" xr:uid="{00000000-0005-0000-0000-0000F6070000}"/>
    <cellStyle name="常规 2 233" xfId="1994" xr:uid="{00000000-0005-0000-0000-0000FA070000}"/>
    <cellStyle name="常规 2 234" xfId="1998" xr:uid="{00000000-0005-0000-0000-0000FE070000}"/>
    <cellStyle name="常规 2 235" xfId="2006" xr:uid="{00000000-0005-0000-0000-000006080000}"/>
    <cellStyle name="常规 2 235 2" xfId="2328" xr:uid="{00000000-0005-0000-0000-000048090000}"/>
    <cellStyle name="常规 2 235 2 2" xfId="2330" xr:uid="{00000000-0005-0000-0000-00004A090000}"/>
    <cellStyle name="常规 2 235 3" xfId="2331" xr:uid="{00000000-0005-0000-0000-00004B090000}"/>
    <cellStyle name="常规 2 236" xfId="2009" xr:uid="{00000000-0005-0000-0000-000009080000}"/>
    <cellStyle name="常规 2 237" xfId="2013" xr:uid="{00000000-0005-0000-0000-00000D080000}"/>
    <cellStyle name="常规 2 24" xfId="2022" xr:uid="{00000000-0005-0000-0000-000016080000}"/>
    <cellStyle name="常规 2 25" xfId="2333" xr:uid="{00000000-0005-0000-0000-00004D090000}"/>
    <cellStyle name="常规 2 26" xfId="2335" xr:uid="{00000000-0005-0000-0000-00004F090000}"/>
    <cellStyle name="常规 2 27" xfId="2337" xr:uid="{00000000-0005-0000-0000-000051090000}"/>
    <cellStyle name="常规 2 28" xfId="2340" xr:uid="{00000000-0005-0000-0000-000054090000}"/>
    <cellStyle name="常规 2 29" xfId="2343" xr:uid="{00000000-0005-0000-0000-000057090000}"/>
    <cellStyle name="常规 2 3" xfId="2344" xr:uid="{00000000-0005-0000-0000-000058090000}"/>
    <cellStyle name="常规 2 3 10" xfId="2345" xr:uid="{00000000-0005-0000-0000-000059090000}"/>
    <cellStyle name="常规 2 3 11" xfId="2346" xr:uid="{00000000-0005-0000-0000-00005A090000}"/>
    <cellStyle name="常规 2 3 12" xfId="2347" xr:uid="{00000000-0005-0000-0000-00005B090000}"/>
    <cellStyle name="常规 2 3 13" xfId="2348" xr:uid="{00000000-0005-0000-0000-00005C090000}"/>
    <cellStyle name="常规 2 3 14" xfId="2349" xr:uid="{00000000-0005-0000-0000-00005D090000}"/>
    <cellStyle name="常规 2 3 15" xfId="2350" xr:uid="{00000000-0005-0000-0000-00005E090000}"/>
    <cellStyle name="常规 2 3 16" xfId="2026" xr:uid="{00000000-0005-0000-0000-00001A080000}"/>
    <cellStyle name="常规 2 3 17" xfId="1227" xr:uid="{00000000-0005-0000-0000-0000FB040000}"/>
    <cellStyle name="常规 2 3 18" xfId="1235" xr:uid="{00000000-0005-0000-0000-000003050000}"/>
    <cellStyle name="常规 2 3 19" xfId="2351" xr:uid="{00000000-0005-0000-0000-00005F090000}"/>
    <cellStyle name="常规 2 3 2" xfId="2352" xr:uid="{00000000-0005-0000-0000-000060090000}"/>
    <cellStyle name="常规 2 3 2 2" xfId="2353" xr:uid="{00000000-0005-0000-0000-000061090000}"/>
    <cellStyle name="常规 2 3 2 2 2" xfId="2056" xr:uid="{00000000-0005-0000-0000-000038080000}"/>
    <cellStyle name="常规 2 3 2 2 3" xfId="2059" xr:uid="{00000000-0005-0000-0000-00003B080000}"/>
    <cellStyle name="常规 2 3 2 3" xfId="2354" xr:uid="{00000000-0005-0000-0000-000062090000}"/>
    <cellStyle name="常规 2 3 2 3 2" xfId="2157" xr:uid="{00000000-0005-0000-0000-00009D080000}"/>
    <cellStyle name="常规 2 3 2 3 3" xfId="2162" xr:uid="{00000000-0005-0000-0000-0000A2080000}"/>
    <cellStyle name="常规 2 3 2 4" xfId="2355" xr:uid="{00000000-0005-0000-0000-000063090000}"/>
    <cellStyle name="常规 2 3 2 4 2" xfId="2356" xr:uid="{00000000-0005-0000-0000-000064090000}"/>
    <cellStyle name="常规 2 3 2 5" xfId="2329" xr:uid="{00000000-0005-0000-0000-000049090000}"/>
    <cellStyle name="常规 2 3 2 6" xfId="2357" xr:uid="{00000000-0005-0000-0000-000065090000}"/>
    <cellStyle name="常规 2 3 2 6 2" xfId="2358" xr:uid="{00000000-0005-0000-0000-000066090000}"/>
    <cellStyle name="常规 2 3 3" xfId="2359" xr:uid="{00000000-0005-0000-0000-000067090000}"/>
    <cellStyle name="常规 2 3 3 2" xfId="2360" xr:uid="{00000000-0005-0000-0000-000068090000}"/>
    <cellStyle name="常规 2 3 3 3" xfId="2362" xr:uid="{00000000-0005-0000-0000-00006A090000}"/>
    <cellStyle name="常规 2 3 4" xfId="2363" xr:uid="{00000000-0005-0000-0000-00006B090000}"/>
    <cellStyle name="常规 2 3 4 2" xfId="2364" xr:uid="{00000000-0005-0000-0000-00006C090000}"/>
    <cellStyle name="常规 2 3 4 3" xfId="2366" xr:uid="{00000000-0005-0000-0000-00006E090000}"/>
    <cellStyle name="常规 2 3 5" xfId="2367" xr:uid="{00000000-0005-0000-0000-00006F090000}"/>
    <cellStyle name="常规 2 3 6" xfId="2368" xr:uid="{00000000-0005-0000-0000-000070090000}"/>
    <cellStyle name="常规 2 3 7" xfId="2369" xr:uid="{00000000-0005-0000-0000-000071090000}"/>
    <cellStyle name="常规 2 3 8" xfId="2370" xr:uid="{00000000-0005-0000-0000-000072090000}"/>
    <cellStyle name="常规 2 3 9" xfId="2371" xr:uid="{00000000-0005-0000-0000-000073090000}"/>
    <cellStyle name="常规 2 30" xfId="2332" xr:uid="{00000000-0005-0000-0000-00004C090000}"/>
    <cellStyle name="常规 2 31" xfId="2334" xr:uid="{00000000-0005-0000-0000-00004E090000}"/>
    <cellStyle name="常规 2 32" xfId="2336" xr:uid="{00000000-0005-0000-0000-000050090000}"/>
    <cellStyle name="常规 2 33" xfId="2339" xr:uid="{00000000-0005-0000-0000-000053090000}"/>
    <cellStyle name="常规 2 34" xfId="2342" xr:uid="{00000000-0005-0000-0000-000056090000}"/>
    <cellStyle name="常规 2 35" xfId="2374" xr:uid="{00000000-0005-0000-0000-000076090000}"/>
    <cellStyle name="常规 2 36" xfId="2377" xr:uid="{00000000-0005-0000-0000-000079090000}"/>
    <cellStyle name="常规 2 37" xfId="177" xr:uid="{00000000-0005-0000-0000-0000E1000000}"/>
    <cellStyle name="常规 2 38" xfId="2379" xr:uid="{00000000-0005-0000-0000-00007B090000}"/>
    <cellStyle name="常规 2 39" xfId="333" xr:uid="{00000000-0005-0000-0000-00007D010000}"/>
    <cellStyle name="常规 2 4" xfId="2380" xr:uid="{00000000-0005-0000-0000-00007C090000}"/>
    <cellStyle name="常规 2 4 2" xfId="2381" xr:uid="{00000000-0005-0000-0000-00007D090000}"/>
    <cellStyle name="常规 2 4 2 2" xfId="2383" xr:uid="{00000000-0005-0000-0000-00007F090000}"/>
    <cellStyle name="常规 2 4 2 2 2" xfId="2384" xr:uid="{00000000-0005-0000-0000-000080090000}"/>
    <cellStyle name="常规 2 4 2 2 3" xfId="2385" xr:uid="{00000000-0005-0000-0000-000081090000}"/>
    <cellStyle name="常规 2 4 2 3" xfId="2387" xr:uid="{00000000-0005-0000-0000-000083090000}"/>
    <cellStyle name="常规 2 4 2 3 2" xfId="2389" xr:uid="{00000000-0005-0000-0000-000085090000}"/>
    <cellStyle name="常规 2 4 2 3 3" xfId="2390" xr:uid="{00000000-0005-0000-0000-000086090000}"/>
    <cellStyle name="常规 2 4 2 4" xfId="2392" xr:uid="{00000000-0005-0000-0000-000088090000}"/>
    <cellStyle name="常规 2 4 2 4 2" xfId="153" xr:uid="{00000000-0005-0000-0000-0000C9000000}"/>
    <cellStyle name="常规 2 4 2 5" xfId="2393" xr:uid="{00000000-0005-0000-0000-000089090000}"/>
    <cellStyle name="常规 2 4 2 6" xfId="2394" xr:uid="{00000000-0005-0000-0000-00008A090000}"/>
    <cellStyle name="常规 2 4 3" xfId="2395" xr:uid="{00000000-0005-0000-0000-00008B090000}"/>
    <cellStyle name="常规 2 4 3 2" xfId="2396" xr:uid="{00000000-0005-0000-0000-00008C090000}"/>
    <cellStyle name="常规 2 4 3 2 2" xfId="839" xr:uid="{00000000-0005-0000-0000-000077030000}"/>
    <cellStyle name="常规 2 4 3 2 2 2" xfId="651" xr:uid="{00000000-0005-0000-0000-0000BB020000}"/>
    <cellStyle name="常规 2 4 3 2 3" xfId="841" xr:uid="{00000000-0005-0000-0000-000079030000}"/>
    <cellStyle name="常规 2 4 3 3" xfId="2397" xr:uid="{00000000-0005-0000-0000-00008D090000}"/>
    <cellStyle name="常规 2 4 3 4" xfId="2398" xr:uid="{00000000-0005-0000-0000-00008E090000}"/>
    <cellStyle name="常规 2 4 3 4 2" xfId="2399" xr:uid="{00000000-0005-0000-0000-00008F090000}"/>
    <cellStyle name="常规 2 4 3 5" xfId="2228" xr:uid="{00000000-0005-0000-0000-0000E4080000}"/>
    <cellStyle name="常规 2 4 4" xfId="2400" xr:uid="{00000000-0005-0000-0000-000090090000}"/>
    <cellStyle name="常规 2 4 4 2" xfId="2401" xr:uid="{00000000-0005-0000-0000-000091090000}"/>
    <cellStyle name="常规 2 4 4 3" xfId="2403" xr:uid="{00000000-0005-0000-0000-000093090000}"/>
    <cellStyle name="常规 2 4 5" xfId="1845" xr:uid="{00000000-0005-0000-0000-000065070000}"/>
    <cellStyle name="常规 2 4 6" xfId="1847" xr:uid="{00000000-0005-0000-0000-000067070000}"/>
    <cellStyle name="常规 2 4 7" xfId="1849" xr:uid="{00000000-0005-0000-0000-000069070000}"/>
    <cellStyle name="常规 2 4 8" xfId="1851" xr:uid="{00000000-0005-0000-0000-00006B070000}"/>
    <cellStyle name="常规 2 40" xfId="2373" xr:uid="{00000000-0005-0000-0000-000075090000}"/>
    <cellStyle name="常规 2 41" xfId="2376" xr:uid="{00000000-0005-0000-0000-000078090000}"/>
    <cellStyle name="常规 2 42" xfId="176" xr:uid="{00000000-0005-0000-0000-0000E0000000}"/>
    <cellStyle name="常规 2 43" xfId="2378" xr:uid="{00000000-0005-0000-0000-00007A090000}"/>
    <cellStyle name="常规 2 44" xfId="332" xr:uid="{00000000-0005-0000-0000-00007C010000}"/>
    <cellStyle name="常规 2 45" xfId="2405" xr:uid="{00000000-0005-0000-0000-000095090000}"/>
    <cellStyle name="常规 2 46" xfId="2407" xr:uid="{00000000-0005-0000-0000-000097090000}"/>
    <cellStyle name="常规 2 47" xfId="2409" xr:uid="{00000000-0005-0000-0000-000099090000}"/>
    <cellStyle name="常规 2 48" xfId="2411" xr:uid="{00000000-0005-0000-0000-00009B090000}"/>
    <cellStyle name="常规 2 49" xfId="2414" xr:uid="{00000000-0005-0000-0000-00009E090000}"/>
    <cellStyle name="常规 2 5" xfId="2415" xr:uid="{00000000-0005-0000-0000-00009F090000}"/>
    <cellStyle name="常规 2 5 10" xfId="173" xr:uid="{00000000-0005-0000-0000-0000DD000000}"/>
    <cellStyle name="常规 2 5 11" xfId="327" xr:uid="{00000000-0005-0000-0000-000077010000}"/>
    <cellStyle name="常规 2 5 12" xfId="335" xr:uid="{00000000-0005-0000-0000-00007F010000}"/>
    <cellStyle name="常规 2 5 13" xfId="341" xr:uid="{00000000-0005-0000-0000-000085010000}"/>
    <cellStyle name="常规 2 5 14" xfId="631" xr:uid="{00000000-0005-0000-0000-0000A7020000}"/>
    <cellStyle name="常规 2 5 15" xfId="633" xr:uid="{00000000-0005-0000-0000-0000A9020000}"/>
    <cellStyle name="常规 2 5 16" xfId="2416" xr:uid="{00000000-0005-0000-0000-0000A0090000}"/>
    <cellStyle name="常规 2 5 17" xfId="1458" xr:uid="{00000000-0005-0000-0000-0000E2050000}"/>
    <cellStyle name="常规 2 5 18" xfId="1466" xr:uid="{00000000-0005-0000-0000-0000EA050000}"/>
    <cellStyle name="常规 2 5 2" xfId="1883" xr:uid="{00000000-0005-0000-0000-00008B070000}"/>
    <cellStyle name="常规 2 5 2 2" xfId="2418" xr:uid="{00000000-0005-0000-0000-0000A2090000}"/>
    <cellStyle name="常规 2 5 2 2 2" xfId="2419" xr:uid="{00000000-0005-0000-0000-0000A3090000}"/>
    <cellStyle name="常规 2 5 2 2 3" xfId="681" xr:uid="{00000000-0005-0000-0000-0000D9020000}"/>
    <cellStyle name="常规 2 5 2 2 4" xfId="705" xr:uid="{00000000-0005-0000-0000-0000F1020000}"/>
    <cellStyle name="常规 2 5 2 3" xfId="2421" xr:uid="{00000000-0005-0000-0000-0000A5090000}"/>
    <cellStyle name="常规 2 5 2 4" xfId="2423" xr:uid="{00000000-0005-0000-0000-0000A7090000}"/>
    <cellStyle name="常规 2 5 2 5" xfId="2425" xr:uid="{00000000-0005-0000-0000-0000A9090000}"/>
    <cellStyle name="常规 2 5 2 6" xfId="2426" xr:uid="{00000000-0005-0000-0000-0000AA090000}"/>
    <cellStyle name="常规 2 5 2 6 2" xfId="2427" xr:uid="{00000000-0005-0000-0000-0000AB090000}"/>
    <cellStyle name="常规 2 5 2 7" xfId="2428" xr:uid="{00000000-0005-0000-0000-0000AC090000}"/>
    <cellStyle name="常规 2 5 2 8" xfId="146" xr:uid="{00000000-0005-0000-0000-0000C2000000}"/>
    <cellStyle name="常规 2 5 2 8 2" xfId="148" xr:uid="{00000000-0005-0000-0000-0000C4000000}"/>
    <cellStyle name="常规 2 5 3" xfId="1886" xr:uid="{00000000-0005-0000-0000-00008E070000}"/>
    <cellStyle name="常规 2 5 3 2" xfId="2429" xr:uid="{00000000-0005-0000-0000-0000AD090000}"/>
    <cellStyle name="常规 2 5 3 3" xfId="2430" xr:uid="{00000000-0005-0000-0000-0000AE090000}"/>
    <cellStyle name="常规 2 5 4" xfId="1889" xr:uid="{00000000-0005-0000-0000-000091070000}"/>
    <cellStyle name="常规 2 5 4 2" xfId="2431" xr:uid="{00000000-0005-0000-0000-0000AF090000}"/>
    <cellStyle name="常规 2 5 4 3" xfId="2432" xr:uid="{00000000-0005-0000-0000-0000B0090000}"/>
    <cellStyle name="常规 2 5 5" xfId="1894" xr:uid="{00000000-0005-0000-0000-000096070000}"/>
    <cellStyle name="常规 2 5 6" xfId="718" xr:uid="{00000000-0005-0000-0000-0000FE020000}"/>
    <cellStyle name="常规 2 5 7" xfId="1898" xr:uid="{00000000-0005-0000-0000-00009A070000}"/>
    <cellStyle name="常规 2 5 7 2" xfId="2433" xr:uid="{00000000-0005-0000-0000-0000B1090000}"/>
    <cellStyle name="常规 2 5 7 3" xfId="2434" xr:uid="{00000000-0005-0000-0000-0000B2090000}"/>
    <cellStyle name="常规 2 5 8" xfId="1902" xr:uid="{00000000-0005-0000-0000-00009E070000}"/>
    <cellStyle name="常规 2 5 9" xfId="1906" xr:uid="{00000000-0005-0000-0000-0000A2070000}"/>
    <cellStyle name="常规 2 50" xfId="2404" xr:uid="{00000000-0005-0000-0000-000094090000}"/>
    <cellStyle name="常规 2 51" xfId="2406" xr:uid="{00000000-0005-0000-0000-000096090000}"/>
    <cellStyle name="常规 2 52" xfId="2408" xr:uid="{00000000-0005-0000-0000-000098090000}"/>
    <cellStyle name="常规 2 53" xfId="2410" xr:uid="{00000000-0005-0000-0000-00009A090000}"/>
    <cellStyle name="常规 2 54" xfId="2413" xr:uid="{00000000-0005-0000-0000-00009D090000}"/>
    <cellStyle name="常规 2 55" xfId="2437" xr:uid="{00000000-0005-0000-0000-0000B5090000}"/>
    <cellStyle name="常规 2 56" xfId="2441" xr:uid="{00000000-0005-0000-0000-0000B9090000}"/>
    <cellStyle name="常规 2 57" xfId="2444" xr:uid="{00000000-0005-0000-0000-0000BC090000}"/>
    <cellStyle name="常规 2 58" xfId="2447" xr:uid="{00000000-0005-0000-0000-0000BF090000}"/>
    <cellStyle name="常规 2 59" xfId="2450" xr:uid="{00000000-0005-0000-0000-0000C2090000}"/>
    <cellStyle name="常规 2 6" xfId="2451" xr:uid="{00000000-0005-0000-0000-0000C3090000}"/>
    <cellStyle name="常规 2 6 2" xfId="2012" xr:uid="{00000000-0005-0000-0000-00000C080000}"/>
    <cellStyle name="常规 2 6 2 2" xfId="2452" xr:uid="{00000000-0005-0000-0000-0000C4090000}"/>
    <cellStyle name="常规 2 6 2 3" xfId="2454" xr:uid="{00000000-0005-0000-0000-0000C6090000}"/>
    <cellStyle name="常规 2 6 2 4" xfId="2456" xr:uid="{00000000-0005-0000-0000-0000C8090000}"/>
    <cellStyle name="常规 2 6 2 5" xfId="2458" xr:uid="{00000000-0005-0000-0000-0000CA090000}"/>
    <cellStyle name="常规 2 6 2 6" xfId="2460" xr:uid="{00000000-0005-0000-0000-0000CC090000}"/>
    <cellStyle name="常规 2 6 2 7" xfId="2462" xr:uid="{00000000-0005-0000-0000-0000CE090000}"/>
    <cellStyle name="常规 2 6 2 8" xfId="1423" xr:uid="{00000000-0005-0000-0000-0000BF050000}"/>
    <cellStyle name="常规 2 6 3" xfId="2016" xr:uid="{00000000-0005-0000-0000-000010080000}"/>
    <cellStyle name="常规 2 6 4" xfId="2019" xr:uid="{00000000-0005-0000-0000-000013080000}"/>
    <cellStyle name="常规 2 6 5" xfId="2035" xr:uid="{00000000-0005-0000-0000-000023080000}"/>
    <cellStyle name="常规 2 6 6" xfId="2037" xr:uid="{00000000-0005-0000-0000-000025080000}"/>
    <cellStyle name="常规 2 6 7" xfId="2041" xr:uid="{00000000-0005-0000-0000-000029080000}"/>
    <cellStyle name="常规 2 6 7 2" xfId="2464" xr:uid="{00000000-0005-0000-0000-0000D0090000}"/>
    <cellStyle name="常规 2 6 8" xfId="70" xr:uid="{00000000-0005-0000-0000-00006A000000}"/>
    <cellStyle name="常规 2 6 9" xfId="72" xr:uid="{00000000-0005-0000-0000-00006E000000}"/>
    <cellStyle name="常规 2 60" xfId="2436" xr:uid="{00000000-0005-0000-0000-0000B4090000}"/>
    <cellStyle name="常规 2 61" xfId="2440" xr:uid="{00000000-0005-0000-0000-0000B8090000}"/>
    <cellStyle name="常规 2 62" xfId="2443" xr:uid="{00000000-0005-0000-0000-0000BB090000}"/>
    <cellStyle name="常规 2 63" xfId="2446" xr:uid="{00000000-0005-0000-0000-0000BE090000}"/>
    <cellStyle name="常规 2 64" xfId="2449" xr:uid="{00000000-0005-0000-0000-0000C1090000}"/>
    <cellStyle name="常规 2 65" xfId="2467" xr:uid="{00000000-0005-0000-0000-0000D3090000}"/>
    <cellStyle name="常规 2 66" xfId="2470" xr:uid="{00000000-0005-0000-0000-0000D6090000}"/>
    <cellStyle name="常规 2 67" xfId="2472" xr:uid="{00000000-0005-0000-0000-0000D8090000}"/>
    <cellStyle name="常规 2 68" xfId="2474" xr:uid="{00000000-0005-0000-0000-0000DA090000}"/>
    <cellStyle name="常规 2 69" xfId="2476" xr:uid="{00000000-0005-0000-0000-0000DC090000}"/>
    <cellStyle name="常规 2 7" xfId="2477" xr:uid="{00000000-0005-0000-0000-0000DD090000}"/>
    <cellStyle name="常规 2 7 10" xfId="2478" xr:uid="{00000000-0005-0000-0000-0000DE090000}"/>
    <cellStyle name="常规 2 7 11" xfId="2479" xr:uid="{00000000-0005-0000-0000-0000DF090000}"/>
    <cellStyle name="常规 2 7 12" xfId="2480" xr:uid="{00000000-0005-0000-0000-0000E0090000}"/>
    <cellStyle name="常规 2 7 13" xfId="924" xr:uid="{00000000-0005-0000-0000-0000CC030000}"/>
    <cellStyle name="常规 2 7 14" xfId="926" xr:uid="{00000000-0005-0000-0000-0000CE030000}"/>
    <cellStyle name="常规 2 7 15" xfId="2481" xr:uid="{00000000-0005-0000-0000-0000E1090000}"/>
    <cellStyle name="常规 2 7 16" xfId="2482" xr:uid="{00000000-0005-0000-0000-0000E2090000}"/>
    <cellStyle name="常规 2 7 17" xfId="1715" xr:uid="{00000000-0005-0000-0000-0000E3060000}"/>
    <cellStyle name="常规 2 7 18" xfId="1722" xr:uid="{00000000-0005-0000-0000-0000EA060000}"/>
    <cellStyle name="常规 2 7 2" xfId="2483" xr:uid="{00000000-0005-0000-0000-0000E3090000}"/>
    <cellStyle name="常规 2 7 2 2" xfId="2132" xr:uid="{00000000-0005-0000-0000-000084080000}"/>
    <cellStyle name="常规 2 7 2 3" xfId="2150" xr:uid="{00000000-0005-0000-0000-000096080000}"/>
    <cellStyle name="常规 2 7 2 3 2" xfId="2484" xr:uid="{00000000-0005-0000-0000-0000E4090000}"/>
    <cellStyle name="常规 2 7 2 4" xfId="2171" xr:uid="{00000000-0005-0000-0000-0000AB080000}"/>
    <cellStyle name="常规 2 7 2 5" xfId="1153" xr:uid="{00000000-0005-0000-0000-0000B1040000}"/>
    <cellStyle name="常规 2 7 2 5 2" xfId="376" xr:uid="{00000000-0005-0000-0000-0000A8010000}"/>
    <cellStyle name="常规 2 7 3" xfId="2485" xr:uid="{00000000-0005-0000-0000-0000E5090000}"/>
    <cellStyle name="常规 2 7 3 2" xfId="2285" xr:uid="{00000000-0005-0000-0000-00001D090000}"/>
    <cellStyle name="常规 2 7 3 3" xfId="2288" xr:uid="{00000000-0005-0000-0000-000020090000}"/>
    <cellStyle name="常规 2 7 4" xfId="2486" xr:uid="{00000000-0005-0000-0000-0000E6090000}"/>
    <cellStyle name="常规 2 7 4 2" xfId="2487" xr:uid="{00000000-0005-0000-0000-0000E7090000}"/>
    <cellStyle name="常规 2 7 5" xfId="1667" xr:uid="{00000000-0005-0000-0000-0000B3060000}"/>
    <cellStyle name="常规 2 7 6" xfId="2488" xr:uid="{00000000-0005-0000-0000-0000E8090000}"/>
    <cellStyle name="常规 2 7 7" xfId="2489" xr:uid="{00000000-0005-0000-0000-0000E9090000}"/>
    <cellStyle name="常规 2 7 8" xfId="2490" xr:uid="{00000000-0005-0000-0000-0000EA090000}"/>
    <cellStyle name="常规 2 7 9" xfId="2492" xr:uid="{00000000-0005-0000-0000-0000EC090000}"/>
    <cellStyle name="常规 2 70" xfId="2466" xr:uid="{00000000-0005-0000-0000-0000D2090000}"/>
    <cellStyle name="常规 2 71" xfId="2469" xr:uid="{00000000-0005-0000-0000-0000D5090000}"/>
    <cellStyle name="常规 2 72" xfId="2471" xr:uid="{00000000-0005-0000-0000-0000D7090000}"/>
    <cellStyle name="常规 2 73" xfId="2473" xr:uid="{00000000-0005-0000-0000-0000D9090000}"/>
    <cellStyle name="常规 2 74" xfId="2475" xr:uid="{00000000-0005-0000-0000-0000DB090000}"/>
    <cellStyle name="常规 2 75" xfId="2494" xr:uid="{00000000-0005-0000-0000-0000EE090000}"/>
    <cellStyle name="常规 2 76" xfId="2496" xr:uid="{00000000-0005-0000-0000-0000F0090000}"/>
    <cellStyle name="常规 2 77" xfId="2498" xr:uid="{00000000-0005-0000-0000-0000F2090000}"/>
    <cellStyle name="常规 2 78" xfId="2501" xr:uid="{00000000-0005-0000-0000-0000F5090000}"/>
    <cellStyle name="常规 2 79" xfId="2504" xr:uid="{00000000-0005-0000-0000-0000F8090000}"/>
    <cellStyle name="常规 2 8" xfId="2506" xr:uid="{00000000-0005-0000-0000-0000FA090000}"/>
    <cellStyle name="常规 2 8 2" xfId="2508" xr:uid="{00000000-0005-0000-0000-0000FC090000}"/>
    <cellStyle name="常规 2 8 3" xfId="2510" xr:uid="{00000000-0005-0000-0000-0000FE090000}"/>
    <cellStyle name="常规 2 8 4" xfId="2513" xr:uid="{00000000-0005-0000-0000-0000010A0000}"/>
    <cellStyle name="常规 2 8 5" xfId="2516" xr:uid="{00000000-0005-0000-0000-0000040A0000}"/>
    <cellStyle name="常规 2 8 6" xfId="2519" xr:uid="{00000000-0005-0000-0000-0000070A0000}"/>
    <cellStyle name="常规 2 80" xfId="2493" xr:uid="{00000000-0005-0000-0000-0000ED090000}"/>
    <cellStyle name="常规 2 81" xfId="2495" xr:uid="{00000000-0005-0000-0000-0000EF090000}"/>
    <cellStyle name="常规 2 82" xfId="2497" xr:uid="{00000000-0005-0000-0000-0000F1090000}"/>
    <cellStyle name="常规 2 83" xfId="2500" xr:uid="{00000000-0005-0000-0000-0000F4090000}"/>
    <cellStyle name="常规 2 84" xfId="2503" xr:uid="{00000000-0005-0000-0000-0000F7090000}"/>
    <cellStyle name="常规 2 85" xfId="2522" xr:uid="{00000000-0005-0000-0000-00000A0A0000}"/>
    <cellStyle name="常规 2 86" xfId="2524" xr:uid="{00000000-0005-0000-0000-00000C0A0000}"/>
    <cellStyle name="常规 2 87" xfId="2526" xr:uid="{00000000-0005-0000-0000-00000E0A0000}"/>
    <cellStyle name="常规 2 88" xfId="2528" xr:uid="{00000000-0005-0000-0000-0000100A0000}"/>
    <cellStyle name="常规 2 89" xfId="2530" xr:uid="{00000000-0005-0000-0000-0000120A0000}"/>
    <cellStyle name="常规 2 9" xfId="2532" xr:uid="{00000000-0005-0000-0000-0000140A0000}"/>
    <cellStyle name="常规 2 9 2" xfId="2533" xr:uid="{00000000-0005-0000-0000-0000150A0000}"/>
    <cellStyle name="常规 2 9 3" xfId="2534" xr:uid="{00000000-0005-0000-0000-0000160A0000}"/>
    <cellStyle name="常规 2 90" xfId="2521" xr:uid="{00000000-0005-0000-0000-0000090A0000}"/>
    <cellStyle name="常规 2 91" xfId="2523" xr:uid="{00000000-0005-0000-0000-00000B0A0000}"/>
    <cellStyle name="常规 2 92" xfId="2525" xr:uid="{00000000-0005-0000-0000-00000D0A0000}"/>
    <cellStyle name="常规 2 93" xfId="2527" xr:uid="{00000000-0005-0000-0000-00000F0A0000}"/>
    <cellStyle name="常规 2 94" xfId="2529" xr:uid="{00000000-0005-0000-0000-0000110A0000}"/>
    <cellStyle name="常规 2 95" xfId="2535" xr:uid="{00000000-0005-0000-0000-0000170A0000}"/>
    <cellStyle name="常规 2 96" xfId="2536" xr:uid="{00000000-0005-0000-0000-0000180A0000}"/>
    <cellStyle name="常规 2 97" xfId="2537" xr:uid="{00000000-0005-0000-0000-0000190A0000}"/>
    <cellStyle name="常规 2 98" xfId="2538" xr:uid="{00000000-0005-0000-0000-00001A0A0000}"/>
    <cellStyle name="常规 2 99" xfId="2241" xr:uid="{00000000-0005-0000-0000-0000F1080000}"/>
    <cellStyle name="常规 2_2014年集团总部职能部门绩效考核表（人力资源部）" xfId="2539" xr:uid="{00000000-0005-0000-0000-00001B0A0000}"/>
    <cellStyle name="常规 20" xfId="1278" xr:uid="{00000000-0005-0000-0000-00002E050000}"/>
    <cellStyle name="常规 20 10" xfId="1280" xr:uid="{00000000-0005-0000-0000-000030050000}"/>
    <cellStyle name="常规 20 11" xfId="1284" xr:uid="{00000000-0005-0000-0000-000034050000}"/>
    <cellStyle name="常规 20 12" xfId="1286" xr:uid="{00000000-0005-0000-0000-000036050000}"/>
    <cellStyle name="常规 20 13" xfId="1288" xr:uid="{00000000-0005-0000-0000-000038050000}"/>
    <cellStyle name="常规 20 14" xfId="1290" xr:uid="{00000000-0005-0000-0000-00003A050000}"/>
    <cellStyle name="常规 20 15" xfId="1292" xr:uid="{00000000-0005-0000-0000-00003C050000}"/>
    <cellStyle name="常规 20 16" xfId="1294" xr:uid="{00000000-0005-0000-0000-00003E050000}"/>
    <cellStyle name="常规 20 16 2" xfId="1296" xr:uid="{00000000-0005-0000-0000-000040050000}"/>
    <cellStyle name="常规 20 16 2 2" xfId="370" xr:uid="{00000000-0005-0000-0000-0000A2010000}"/>
    <cellStyle name="常规 20 16 3" xfId="1298" xr:uid="{00000000-0005-0000-0000-000042050000}"/>
    <cellStyle name="常规 20 17" xfId="1300" xr:uid="{00000000-0005-0000-0000-000044050000}"/>
    <cellStyle name="常规 20 2" xfId="692" xr:uid="{00000000-0005-0000-0000-0000E4020000}"/>
    <cellStyle name="常规 20 2 2" xfId="1306" xr:uid="{00000000-0005-0000-0000-00004A050000}"/>
    <cellStyle name="常规 20 3" xfId="696" xr:uid="{00000000-0005-0000-0000-0000E8020000}"/>
    <cellStyle name="常规 20 4" xfId="700" xr:uid="{00000000-0005-0000-0000-0000EC020000}"/>
    <cellStyle name="常规 20 5" xfId="952" xr:uid="{00000000-0005-0000-0000-0000E8030000}"/>
    <cellStyle name="常规 20 6" xfId="1311" xr:uid="{00000000-0005-0000-0000-00004F050000}"/>
    <cellStyle name="常规 20 7" xfId="1314" xr:uid="{00000000-0005-0000-0000-000052050000}"/>
    <cellStyle name="常规 20 8" xfId="1316" xr:uid="{00000000-0005-0000-0000-000054050000}"/>
    <cellStyle name="常规 20 9" xfId="1318" xr:uid="{00000000-0005-0000-0000-000056050000}"/>
    <cellStyle name="常规 200" xfId="1209" xr:uid="{00000000-0005-0000-0000-0000E9040000}"/>
    <cellStyle name="常规 200 2" xfId="1212" xr:uid="{00000000-0005-0000-0000-0000EC040000}"/>
    <cellStyle name="常规 200 2 2" xfId="1215" xr:uid="{00000000-0005-0000-0000-0000EF040000}"/>
    <cellStyle name="常规 200 3" xfId="1218" xr:uid="{00000000-0005-0000-0000-0000F2040000}"/>
    <cellStyle name="常规 201" xfId="1223" xr:uid="{00000000-0005-0000-0000-0000F7040000}"/>
    <cellStyle name="常规 201 2" xfId="1226" xr:uid="{00000000-0005-0000-0000-0000FA040000}"/>
    <cellStyle name="常规 201 2 2" xfId="1231" xr:uid="{00000000-0005-0000-0000-0000FF040000}"/>
    <cellStyle name="常规 201 3" xfId="1234" xr:uid="{00000000-0005-0000-0000-000002050000}"/>
    <cellStyle name="常规 202" xfId="1240" xr:uid="{00000000-0005-0000-0000-000008050000}"/>
    <cellStyle name="常规 202 2" xfId="1244" xr:uid="{00000000-0005-0000-0000-00000C050000}"/>
    <cellStyle name="常规 202 2 2" xfId="1248" xr:uid="{00000000-0005-0000-0000-000010050000}"/>
    <cellStyle name="常规 202 3" xfId="1252" xr:uid="{00000000-0005-0000-0000-000014050000}"/>
    <cellStyle name="常规 203" xfId="1256" xr:uid="{00000000-0005-0000-0000-000018050000}"/>
    <cellStyle name="常规 203 2" xfId="1259" xr:uid="{00000000-0005-0000-0000-00001B050000}"/>
    <cellStyle name="常规 203 2 2" xfId="1262" xr:uid="{00000000-0005-0000-0000-00001E050000}"/>
    <cellStyle name="常规 203 3" xfId="1265" xr:uid="{00000000-0005-0000-0000-000021050000}"/>
    <cellStyle name="常规 204" xfId="1269" xr:uid="{00000000-0005-0000-0000-000025050000}"/>
    <cellStyle name="常规 205" xfId="1321" xr:uid="{00000000-0005-0000-0000-000059050000}"/>
    <cellStyle name="常规 206" xfId="1332" xr:uid="{00000000-0005-0000-0000-000064050000}"/>
    <cellStyle name="常规 207" xfId="1347" xr:uid="{00000000-0005-0000-0000-000073050000}"/>
    <cellStyle name="常规 208" xfId="1353" xr:uid="{00000000-0005-0000-0000-000079050000}"/>
    <cellStyle name="常规 209" xfId="1366" xr:uid="{00000000-0005-0000-0000-000086050000}"/>
    <cellStyle name="常规 209 2" xfId="1369" xr:uid="{00000000-0005-0000-0000-000089050000}"/>
    <cellStyle name="常规 209 2 2" xfId="1372" xr:uid="{00000000-0005-0000-0000-00008C050000}"/>
    <cellStyle name="常规 209 3" xfId="1375" xr:uid="{00000000-0005-0000-0000-00008F050000}"/>
    <cellStyle name="常规 21" xfId="899" xr:uid="{00000000-0005-0000-0000-0000B3030000}"/>
    <cellStyle name="常规 21 10" xfId="1378" xr:uid="{00000000-0005-0000-0000-000092050000}"/>
    <cellStyle name="常规 21 11" xfId="1380" xr:uid="{00000000-0005-0000-0000-000094050000}"/>
    <cellStyle name="常规 21 12" xfId="1382" xr:uid="{00000000-0005-0000-0000-000096050000}"/>
    <cellStyle name="常规 21 13" xfId="650" xr:uid="{00000000-0005-0000-0000-0000BA020000}"/>
    <cellStyle name="常规 21 14" xfId="1384" xr:uid="{00000000-0005-0000-0000-000098050000}"/>
    <cellStyle name="常规 21 15" xfId="1386" xr:uid="{00000000-0005-0000-0000-00009A050000}"/>
    <cellStyle name="常规 21 16" xfId="1388" xr:uid="{00000000-0005-0000-0000-00009C050000}"/>
    <cellStyle name="常规 21 16 2" xfId="1390" xr:uid="{00000000-0005-0000-0000-00009E050000}"/>
    <cellStyle name="常规 21 16 2 2" xfId="1395" xr:uid="{00000000-0005-0000-0000-0000A3050000}"/>
    <cellStyle name="常规 21 16 3" xfId="1397" xr:uid="{00000000-0005-0000-0000-0000A5050000}"/>
    <cellStyle name="常规 21 17" xfId="1401" xr:uid="{00000000-0005-0000-0000-0000A9050000}"/>
    <cellStyle name="常规 21 17 2" xfId="1404" xr:uid="{00000000-0005-0000-0000-0000AC050000}"/>
    <cellStyle name="常规 21 17 3" xfId="1410" xr:uid="{00000000-0005-0000-0000-0000B2050000}"/>
    <cellStyle name="常规 21 17 4" xfId="1415" xr:uid="{00000000-0005-0000-0000-0000B7050000}"/>
    <cellStyle name="常规 21 18" xfId="1419" xr:uid="{00000000-0005-0000-0000-0000BB050000}"/>
    <cellStyle name="常规 21 2" xfId="903" xr:uid="{00000000-0005-0000-0000-0000B7030000}"/>
    <cellStyle name="常规 21 2 2" xfId="778" xr:uid="{00000000-0005-0000-0000-00003A030000}"/>
    <cellStyle name="常规 21 2 3" xfId="782" xr:uid="{00000000-0005-0000-0000-00003E030000}"/>
    <cellStyle name="常规 21 2 3 2" xfId="1422" xr:uid="{00000000-0005-0000-0000-0000BE050000}"/>
    <cellStyle name="常规 21 3" xfId="1425" xr:uid="{00000000-0005-0000-0000-0000C1050000}"/>
    <cellStyle name="常规 21 4" xfId="1427" xr:uid="{00000000-0005-0000-0000-0000C3050000}"/>
    <cellStyle name="常规 21 5" xfId="1429" xr:uid="{00000000-0005-0000-0000-0000C5050000}"/>
    <cellStyle name="常规 21 6" xfId="1431" xr:uid="{00000000-0005-0000-0000-0000C7050000}"/>
    <cellStyle name="常规 21 7" xfId="1433" xr:uid="{00000000-0005-0000-0000-0000C9050000}"/>
    <cellStyle name="常规 21 8" xfId="1435" xr:uid="{00000000-0005-0000-0000-0000CB050000}"/>
    <cellStyle name="常规 21 9" xfId="1437" xr:uid="{00000000-0005-0000-0000-0000CD050000}"/>
    <cellStyle name="常规 210" xfId="1320" xr:uid="{00000000-0005-0000-0000-000058050000}"/>
    <cellStyle name="常规 211" xfId="1331" xr:uid="{00000000-0005-0000-0000-000063050000}"/>
    <cellStyle name="常规 211 2" xfId="1336" xr:uid="{00000000-0005-0000-0000-000068050000}"/>
    <cellStyle name="常规 211 2 2" xfId="1339" xr:uid="{00000000-0005-0000-0000-00006B050000}"/>
    <cellStyle name="常规 211 3" xfId="1343" xr:uid="{00000000-0005-0000-0000-00006F050000}"/>
    <cellStyle name="常规 212" xfId="1346" xr:uid="{00000000-0005-0000-0000-000072050000}"/>
    <cellStyle name="常规 213" xfId="1352" xr:uid="{00000000-0005-0000-0000-000078050000}"/>
    <cellStyle name="常规 213 2" xfId="1356" xr:uid="{00000000-0005-0000-0000-00007C050000}"/>
    <cellStyle name="常规 213 2 2" xfId="1359" xr:uid="{00000000-0005-0000-0000-00007F050000}"/>
    <cellStyle name="常规 213 3" xfId="1362" xr:uid="{00000000-0005-0000-0000-000082050000}"/>
    <cellStyle name="常规 214" xfId="1365" xr:uid="{00000000-0005-0000-0000-000085050000}"/>
    <cellStyle name="常规 215" xfId="1440" xr:uid="{00000000-0005-0000-0000-0000D0050000}"/>
    <cellStyle name="常规 215 2" xfId="1443" xr:uid="{00000000-0005-0000-0000-0000D3050000}"/>
    <cellStyle name="常规 215 2 2" xfId="1446" xr:uid="{00000000-0005-0000-0000-0000D6050000}"/>
    <cellStyle name="常规 215 3" xfId="1449" xr:uid="{00000000-0005-0000-0000-0000D9050000}"/>
    <cellStyle name="常规 216" xfId="1454" xr:uid="{00000000-0005-0000-0000-0000DE050000}"/>
    <cellStyle name="常规 217" xfId="1473" xr:uid="{00000000-0005-0000-0000-0000F1050000}"/>
    <cellStyle name="常规 217 2" xfId="1476" xr:uid="{00000000-0005-0000-0000-0000F4050000}"/>
    <cellStyle name="常规 217 2 2" xfId="1479" xr:uid="{00000000-0005-0000-0000-0000F7050000}"/>
    <cellStyle name="常规 217 3" xfId="1481" xr:uid="{00000000-0005-0000-0000-0000F9050000}"/>
    <cellStyle name="常规 218" xfId="1485" xr:uid="{00000000-0005-0000-0000-0000FD050000}"/>
    <cellStyle name="常规 219" xfId="1496" xr:uid="{00000000-0005-0000-0000-000008060000}"/>
    <cellStyle name="常规 219 2" xfId="1499" xr:uid="{00000000-0005-0000-0000-00000B060000}"/>
    <cellStyle name="常规 219 2 2" xfId="1501" xr:uid="{00000000-0005-0000-0000-00000D060000}"/>
    <cellStyle name="常规 219 3" xfId="1503" xr:uid="{00000000-0005-0000-0000-00000F060000}"/>
    <cellStyle name="常规 22" xfId="908" xr:uid="{00000000-0005-0000-0000-0000BC030000}"/>
    <cellStyle name="常规 22 10" xfId="1505" xr:uid="{00000000-0005-0000-0000-000011060000}"/>
    <cellStyle name="常规 22 11" xfId="1509" xr:uid="{00000000-0005-0000-0000-000015060000}"/>
    <cellStyle name="常规 22 12" xfId="1513" xr:uid="{00000000-0005-0000-0000-000019060000}"/>
    <cellStyle name="常规 22 13" xfId="1517" xr:uid="{00000000-0005-0000-0000-00001D060000}"/>
    <cellStyle name="常规 22 14" xfId="1403" xr:uid="{00000000-0005-0000-0000-0000AB050000}"/>
    <cellStyle name="常规 22 15" xfId="1409" xr:uid="{00000000-0005-0000-0000-0000B1050000}"/>
    <cellStyle name="常规 22 16" xfId="1414" xr:uid="{00000000-0005-0000-0000-0000B6050000}"/>
    <cellStyle name="常规 22 16 2" xfId="1521" xr:uid="{00000000-0005-0000-0000-000021060000}"/>
    <cellStyle name="常规 22 16 2 2" xfId="1524" xr:uid="{00000000-0005-0000-0000-000024060000}"/>
    <cellStyle name="常规 22 16 3" xfId="1526" xr:uid="{00000000-0005-0000-0000-000026060000}"/>
    <cellStyle name="常规 22 17" xfId="1528" xr:uid="{00000000-0005-0000-0000-000028060000}"/>
    <cellStyle name="常规 22 17 2" xfId="1532" xr:uid="{00000000-0005-0000-0000-00002C060000}"/>
    <cellStyle name="常规 22 17 3" xfId="1535" xr:uid="{00000000-0005-0000-0000-00002F060000}"/>
    <cellStyle name="常规 22 17 4" xfId="1538" xr:uid="{00000000-0005-0000-0000-000032060000}"/>
    <cellStyle name="常规 22 18" xfId="1540" xr:uid="{00000000-0005-0000-0000-000034060000}"/>
    <cellStyle name="常规 22 2" xfId="1543" xr:uid="{00000000-0005-0000-0000-000037060000}"/>
    <cellStyle name="常规 22 2 2" xfId="1545" xr:uid="{00000000-0005-0000-0000-000039060000}"/>
    <cellStyle name="常规 22 2 3" xfId="1547" xr:uid="{00000000-0005-0000-0000-00003B060000}"/>
    <cellStyle name="常规 22 2 3 2" xfId="1549" xr:uid="{00000000-0005-0000-0000-00003D060000}"/>
    <cellStyle name="常规 22 2 4" xfId="2540" xr:uid="{00000000-0005-0000-0000-00001C0A0000}"/>
    <cellStyle name="常规 22 3" xfId="1551" xr:uid="{00000000-0005-0000-0000-00003F060000}"/>
    <cellStyle name="常规 22 4" xfId="1553" xr:uid="{00000000-0005-0000-0000-000041060000}"/>
    <cellStyle name="常规 22 5" xfId="1555" xr:uid="{00000000-0005-0000-0000-000043060000}"/>
    <cellStyle name="常规 22 6" xfId="1557" xr:uid="{00000000-0005-0000-0000-000045060000}"/>
    <cellStyle name="常规 22 7" xfId="1559" xr:uid="{00000000-0005-0000-0000-000047060000}"/>
    <cellStyle name="常规 22 8" xfId="1561" xr:uid="{00000000-0005-0000-0000-000049060000}"/>
    <cellStyle name="常规 22 9" xfId="1563" xr:uid="{00000000-0005-0000-0000-00004B060000}"/>
    <cellStyle name="常规 220" xfId="1439" xr:uid="{00000000-0005-0000-0000-0000CF050000}"/>
    <cellStyle name="常规 221" xfId="1453" xr:uid="{00000000-0005-0000-0000-0000DD050000}"/>
    <cellStyle name="常规 221 2" xfId="1457" xr:uid="{00000000-0005-0000-0000-0000E1050000}"/>
    <cellStyle name="常规 221 2 2" xfId="1462" xr:uid="{00000000-0005-0000-0000-0000E6050000}"/>
    <cellStyle name="常规 221 3" xfId="1465" xr:uid="{00000000-0005-0000-0000-0000E9050000}"/>
    <cellStyle name="常规 222" xfId="1472" xr:uid="{00000000-0005-0000-0000-0000F0050000}"/>
    <cellStyle name="常规 223" xfId="1484" xr:uid="{00000000-0005-0000-0000-0000FC050000}"/>
    <cellStyle name="常规 223 2" xfId="1488" xr:uid="{00000000-0005-0000-0000-000000060000}"/>
    <cellStyle name="常规 223 2 2" xfId="1490" xr:uid="{00000000-0005-0000-0000-000002060000}"/>
    <cellStyle name="常规 223 3" xfId="1492" xr:uid="{00000000-0005-0000-0000-000004060000}"/>
    <cellStyle name="常规 224" xfId="1495" xr:uid="{00000000-0005-0000-0000-000007060000}"/>
    <cellStyle name="常规 225" xfId="1567" xr:uid="{00000000-0005-0000-0000-00004F060000}"/>
    <cellStyle name="常规 225 2" xfId="1651" xr:uid="{00000000-0005-0000-0000-0000A3060000}"/>
    <cellStyle name="常规 225 2 2" xfId="1654" xr:uid="{00000000-0005-0000-0000-0000A6060000}"/>
    <cellStyle name="常规 225 3" xfId="1660" xr:uid="{00000000-0005-0000-0000-0000AC060000}"/>
    <cellStyle name="常规 226" xfId="1573" xr:uid="{00000000-0005-0000-0000-000055060000}"/>
    <cellStyle name="常规 226 2" xfId="1663" xr:uid="{00000000-0005-0000-0000-0000AF060000}"/>
    <cellStyle name="常规 226 2 2" xfId="1666" xr:uid="{00000000-0005-0000-0000-0000B2060000}"/>
    <cellStyle name="常规 226 3" xfId="1671" xr:uid="{00000000-0005-0000-0000-0000B7060000}"/>
    <cellStyle name="常规 227" xfId="1578" xr:uid="{00000000-0005-0000-0000-00005A060000}"/>
    <cellStyle name="常规 227 2" xfId="1675" xr:uid="{00000000-0005-0000-0000-0000BB060000}"/>
    <cellStyle name="常规 227 2 2" xfId="796" xr:uid="{00000000-0005-0000-0000-00004C030000}"/>
    <cellStyle name="常规 227 3" xfId="1679" xr:uid="{00000000-0005-0000-0000-0000BF060000}"/>
    <cellStyle name="常规 228" xfId="1583" xr:uid="{00000000-0005-0000-0000-00005F060000}"/>
    <cellStyle name="常规 228 2" xfId="1682" xr:uid="{00000000-0005-0000-0000-0000C2060000}"/>
    <cellStyle name="常规 228 2 2" xfId="449" xr:uid="{00000000-0005-0000-0000-0000F1010000}"/>
    <cellStyle name="常规 228 3" xfId="1686" xr:uid="{00000000-0005-0000-0000-0000C6060000}"/>
    <cellStyle name="常规 229" xfId="1587" xr:uid="{00000000-0005-0000-0000-000063060000}"/>
    <cellStyle name="常规 229 2" xfId="1689" xr:uid="{00000000-0005-0000-0000-0000C9060000}"/>
    <cellStyle name="常规 229 2 2" xfId="1692" xr:uid="{00000000-0005-0000-0000-0000CC060000}"/>
    <cellStyle name="常规 229 3" xfId="1695" xr:uid="{00000000-0005-0000-0000-0000CF060000}"/>
    <cellStyle name="常规 23" xfId="979" xr:uid="{00000000-0005-0000-0000-000003040000}"/>
    <cellStyle name="常规 23 10" xfId="1590" xr:uid="{00000000-0005-0000-0000-000066060000}"/>
    <cellStyle name="常规 23 11" xfId="1592" xr:uid="{00000000-0005-0000-0000-000068060000}"/>
    <cellStyle name="常规 23 12" xfId="1595" xr:uid="{00000000-0005-0000-0000-00006B060000}"/>
    <cellStyle name="常规 23 13" xfId="1598" xr:uid="{00000000-0005-0000-0000-00006E060000}"/>
    <cellStyle name="常规 23 14" xfId="1601" xr:uid="{00000000-0005-0000-0000-000071060000}"/>
    <cellStyle name="常规 23 15" xfId="1604" xr:uid="{00000000-0005-0000-0000-000074060000}"/>
    <cellStyle name="常规 23 16" xfId="1607" xr:uid="{00000000-0005-0000-0000-000077060000}"/>
    <cellStyle name="常规 23 17" xfId="1611" xr:uid="{00000000-0005-0000-0000-00007B060000}"/>
    <cellStyle name="常规 23 17 2" xfId="1613" xr:uid="{00000000-0005-0000-0000-00007D060000}"/>
    <cellStyle name="常规 23 17 2 2" xfId="2541" xr:uid="{00000000-0005-0000-0000-00001D0A0000}"/>
    <cellStyle name="常规 23 17 3" xfId="1615" xr:uid="{00000000-0005-0000-0000-00007F060000}"/>
    <cellStyle name="常规 23 18" xfId="1618" xr:uid="{00000000-0005-0000-0000-000082060000}"/>
    <cellStyle name="常规 23 2" xfId="1621" xr:uid="{00000000-0005-0000-0000-000085060000}"/>
    <cellStyle name="常规 23 2 2" xfId="762" xr:uid="{00000000-0005-0000-0000-00002A030000}"/>
    <cellStyle name="常规 23 2 3" xfId="1623" xr:uid="{00000000-0005-0000-0000-000087060000}"/>
    <cellStyle name="常规 23 2 3 2" xfId="1625" xr:uid="{00000000-0005-0000-0000-000089060000}"/>
    <cellStyle name="常规 23 2 4" xfId="1627" xr:uid="{00000000-0005-0000-0000-00008B060000}"/>
    <cellStyle name="常规 23 2 5" xfId="2542" xr:uid="{00000000-0005-0000-0000-00001E0A0000}"/>
    <cellStyle name="常规 23 2 5 2" xfId="2543" xr:uid="{00000000-0005-0000-0000-00001F0A0000}"/>
    <cellStyle name="常规 23 3" xfId="1629" xr:uid="{00000000-0005-0000-0000-00008D060000}"/>
    <cellStyle name="常规 23 3 2" xfId="1631" xr:uid="{00000000-0005-0000-0000-00008F060000}"/>
    <cellStyle name="常规 23 3 3" xfId="1633" xr:uid="{00000000-0005-0000-0000-000091060000}"/>
    <cellStyle name="常规 23 4" xfId="1635" xr:uid="{00000000-0005-0000-0000-000093060000}"/>
    <cellStyle name="常规 23 4 2" xfId="2545" xr:uid="{00000000-0005-0000-0000-0000210A0000}"/>
    <cellStyle name="常规 23 4 3" xfId="2546" xr:uid="{00000000-0005-0000-0000-0000220A0000}"/>
    <cellStyle name="常规 23 5" xfId="1637" xr:uid="{00000000-0005-0000-0000-000095060000}"/>
    <cellStyle name="常规 23 5 2" xfId="2548" xr:uid="{00000000-0005-0000-0000-0000240A0000}"/>
    <cellStyle name="常规 23 6" xfId="1639" xr:uid="{00000000-0005-0000-0000-000097060000}"/>
    <cellStyle name="常规 23 7" xfId="1643" xr:uid="{00000000-0005-0000-0000-00009B060000}"/>
    <cellStyle name="常规 23 8" xfId="1645" xr:uid="{00000000-0005-0000-0000-00009D060000}"/>
    <cellStyle name="常规 23 9" xfId="1647" xr:uid="{00000000-0005-0000-0000-00009F060000}"/>
    <cellStyle name="常规 230" xfId="1566" xr:uid="{00000000-0005-0000-0000-00004E060000}"/>
    <cellStyle name="常规 230 2" xfId="1650" xr:uid="{00000000-0005-0000-0000-0000A2060000}"/>
    <cellStyle name="常规 230 2 2" xfId="1653" xr:uid="{00000000-0005-0000-0000-0000A5060000}"/>
    <cellStyle name="常规 230 3" xfId="1659" xr:uid="{00000000-0005-0000-0000-0000AB060000}"/>
    <cellStyle name="常规 231" xfId="1572" xr:uid="{00000000-0005-0000-0000-000054060000}"/>
    <cellStyle name="常规 231 2" xfId="1662" xr:uid="{00000000-0005-0000-0000-0000AE060000}"/>
    <cellStyle name="常规 231 2 2" xfId="1665" xr:uid="{00000000-0005-0000-0000-0000B1060000}"/>
    <cellStyle name="常规 231 3" xfId="1670" xr:uid="{00000000-0005-0000-0000-0000B6060000}"/>
    <cellStyle name="常规 232" xfId="1577" xr:uid="{00000000-0005-0000-0000-000059060000}"/>
    <cellStyle name="常规 232 2" xfId="1674" xr:uid="{00000000-0005-0000-0000-0000BA060000}"/>
    <cellStyle name="常规 232 2 2" xfId="795" xr:uid="{00000000-0005-0000-0000-00004B030000}"/>
    <cellStyle name="常规 232 3" xfId="1678" xr:uid="{00000000-0005-0000-0000-0000BE060000}"/>
    <cellStyle name="常规 233" xfId="1582" xr:uid="{00000000-0005-0000-0000-00005E060000}"/>
    <cellStyle name="常规 233 2" xfId="1681" xr:uid="{00000000-0005-0000-0000-0000C1060000}"/>
    <cellStyle name="常规 233 2 2" xfId="448" xr:uid="{00000000-0005-0000-0000-0000F0010000}"/>
    <cellStyle name="常规 233 3" xfId="1685" xr:uid="{00000000-0005-0000-0000-0000C5060000}"/>
    <cellStyle name="常规 234" xfId="1586" xr:uid="{00000000-0005-0000-0000-000062060000}"/>
    <cellStyle name="常规 234 2" xfId="1688" xr:uid="{00000000-0005-0000-0000-0000C8060000}"/>
    <cellStyle name="常规 234 2 2" xfId="1691" xr:uid="{00000000-0005-0000-0000-0000CB060000}"/>
    <cellStyle name="常规 234 3" xfId="1694" xr:uid="{00000000-0005-0000-0000-0000CE060000}"/>
    <cellStyle name="常规 235" xfId="1698" xr:uid="{00000000-0005-0000-0000-0000D2060000}"/>
    <cellStyle name="常规 235 2" xfId="1702" xr:uid="{00000000-0005-0000-0000-0000D6060000}"/>
    <cellStyle name="常规 236" xfId="1711" xr:uid="{00000000-0005-0000-0000-0000DF060000}"/>
    <cellStyle name="常规 237" xfId="1727" xr:uid="{00000000-0005-0000-0000-0000EF060000}"/>
    <cellStyle name="常规 238" xfId="1739" xr:uid="{00000000-0005-0000-0000-0000FB060000}"/>
    <cellStyle name="常规 239" xfId="1754" xr:uid="{00000000-0005-0000-0000-00000A070000}"/>
    <cellStyle name="常规 24" xfId="983" xr:uid="{00000000-0005-0000-0000-000007040000}"/>
    <cellStyle name="常规 24 10" xfId="525" xr:uid="{00000000-0005-0000-0000-00003D020000}"/>
    <cellStyle name="常规 24 11" xfId="207" xr:uid="{00000000-0005-0000-0000-0000FF000000}"/>
    <cellStyle name="常规 24 12" xfId="212" xr:uid="{00000000-0005-0000-0000-000004010000}"/>
    <cellStyle name="常规 24 13" xfId="220" xr:uid="{00000000-0005-0000-0000-00000C010000}"/>
    <cellStyle name="常规 24 14" xfId="225" xr:uid="{00000000-0005-0000-0000-000011010000}"/>
    <cellStyle name="常规 24 15" xfId="232" xr:uid="{00000000-0005-0000-0000-000018010000}"/>
    <cellStyle name="常规 24 16" xfId="1766" xr:uid="{00000000-0005-0000-0000-000016070000}"/>
    <cellStyle name="常规 24 16 2" xfId="2549" xr:uid="{00000000-0005-0000-0000-0000250A0000}"/>
    <cellStyle name="常规 24 16 2 2" xfId="2550" xr:uid="{00000000-0005-0000-0000-0000260A0000}"/>
    <cellStyle name="常规 24 16 3" xfId="2551" xr:uid="{00000000-0005-0000-0000-0000270A0000}"/>
    <cellStyle name="常规 24 17" xfId="1769" xr:uid="{00000000-0005-0000-0000-000019070000}"/>
    <cellStyle name="常规 24 17 2" xfId="1771" xr:uid="{00000000-0005-0000-0000-00001B070000}"/>
    <cellStyle name="常规 24 17 3" xfId="1774" xr:uid="{00000000-0005-0000-0000-00001E070000}"/>
    <cellStyle name="常规 24 17 4" xfId="2552" xr:uid="{00000000-0005-0000-0000-0000280A0000}"/>
    <cellStyle name="常规 24 18" xfId="1776" xr:uid="{00000000-0005-0000-0000-000020070000}"/>
    <cellStyle name="常规 24 2" xfId="1779" xr:uid="{00000000-0005-0000-0000-000023070000}"/>
    <cellStyle name="常规 24 2 2" xfId="1783" xr:uid="{00000000-0005-0000-0000-000027070000}"/>
    <cellStyle name="常规 24 2 3" xfId="2553" xr:uid="{00000000-0005-0000-0000-0000290A0000}"/>
    <cellStyle name="常规 24 2 3 2" xfId="2554" xr:uid="{00000000-0005-0000-0000-00002A0A0000}"/>
    <cellStyle name="常规 24 3" xfId="1785" xr:uid="{00000000-0005-0000-0000-000029070000}"/>
    <cellStyle name="常规 24 4" xfId="1789" xr:uid="{00000000-0005-0000-0000-00002D070000}"/>
    <cellStyle name="常规 24 5" xfId="1793" xr:uid="{00000000-0005-0000-0000-000031070000}"/>
    <cellStyle name="常规 24 6" xfId="1798" xr:uid="{00000000-0005-0000-0000-000036070000}"/>
    <cellStyle name="常规 24 7" xfId="410" xr:uid="{00000000-0005-0000-0000-0000CA010000}"/>
    <cellStyle name="常规 24 8" xfId="1802" xr:uid="{00000000-0005-0000-0000-00003A070000}"/>
    <cellStyle name="常规 24 9" xfId="1806" xr:uid="{00000000-0005-0000-0000-00003E070000}"/>
    <cellStyle name="常规 240" xfId="1697" xr:uid="{00000000-0005-0000-0000-0000D1060000}"/>
    <cellStyle name="常规 240 2" xfId="1701" xr:uid="{00000000-0005-0000-0000-0000D5060000}"/>
    <cellStyle name="常规 240 3" xfId="1707" xr:uid="{00000000-0005-0000-0000-0000DB060000}"/>
    <cellStyle name="常规 240 4" xfId="2555" xr:uid="{00000000-0005-0000-0000-00002B0A0000}"/>
    <cellStyle name="常规 241" xfId="1710" xr:uid="{00000000-0005-0000-0000-0000DE060000}"/>
    <cellStyle name="常规 241 2" xfId="1714" xr:uid="{00000000-0005-0000-0000-0000E2060000}"/>
    <cellStyle name="常规 241 2 2" xfId="1718" xr:uid="{00000000-0005-0000-0000-0000E6060000}"/>
    <cellStyle name="常规 241 3" xfId="1721" xr:uid="{00000000-0005-0000-0000-0000E9060000}"/>
    <cellStyle name="常规 241 4" xfId="2556" xr:uid="{00000000-0005-0000-0000-00002C0A0000}"/>
    <cellStyle name="常规 242" xfId="1726" xr:uid="{00000000-0005-0000-0000-0000EE060000}"/>
    <cellStyle name="常规 243" xfId="1738" xr:uid="{00000000-0005-0000-0000-0000FA060000}"/>
    <cellStyle name="常规 244" xfId="1753" xr:uid="{00000000-0005-0000-0000-000009070000}"/>
    <cellStyle name="常规 245" xfId="27" xr:uid="{00000000-0005-0000-0000-00002B000000}"/>
    <cellStyle name="常规 246" xfId="578" xr:uid="{00000000-0005-0000-0000-000072020000}"/>
    <cellStyle name="常规 247" xfId="587" xr:uid="{00000000-0005-0000-0000-00007B020000}"/>
    <cellStyle name="常规 248" xfId="1827" xr:uid="{00000000-0005-0000-0000-000053070000}"/>
    <cellStyle name="常规 249" xfId="1834" xr:uid="{00000000-0005-0000-0000-00005A070000}"/>
    <cellStyle name="常规 25" xfId="2560" xr:uid="{00000000-0005-0000-0000-0000300A0000}"/>
    <cellStyle name="常规 25 10" xfId="2562" xr:uid="{00000000-0005-0000-0000-0000320A0000}"/>
    <cellStyle name="常规 25 11" xfId="2565" xr:uid="{00000000-0005-0000-0000-0000350A0000}"/>
    <cellStyle name="常规 25 12" xfId="2024" xr:uid="{00000000-0005-0000-0000-000018080000}"/>
    <cellStyle name="常规 25 13" xfId="2031" xr:uid="{00000000-0005-0000-0000-00001F080000}"/>
    <cellStyle name="常规 25 14" xfId="2033" xr:uid="{00000000-0005-0000-0000-000021080000}"/>
    <cellStyle name="常规 25 15" xfId="2566" xr:uid="{00000000-0005-0000-0000-0000360A0000}"/>
    <cellStyle name="常规 25 16" xfId="2567" xr:uid="{00000000-0005-0000-0000-0000370A0000}"/>
    <cellStyle name="常规 25 16 2" xfId="2568" xr:uid="{00000000-0005-0000-0000-0000380A0000}"/>
    <cellStyle name="常规 25 16 2 2" xfId="2569" xr:uid="{00000000-0005-0000-0000-0000390A0000}"/>
    <cellStyle name="常规 25 16 3" xfId="1324" xr:uid="{00000000-0005-0000-0000-00005C050000}"/>
    <cellStyle name="常规 25 17" xfId="2570" xr:uid="{00000000-0005-0000-0000-00003A0A0000}"/>
    <cellStyle name="常规 25 17 2" xfId="2571" xr:uid="{00000000-0005-0000-0000-00003B0A0000}"/>
    <cellStyle name="常规 25 17 3" xfId="1335" xr:uid="{00000000-0005-0000-0000-000067050000}"/>
    <cellStyle name="常规 25 17 4" xfId="1342" xr:uid="{00000000-0005-0000-0000-00006E050000}"/>
    <cellStyle name="常规 25 18" xfId="635" xr:uid="{00000000-0005-0000-0000-0000AB020000}"/>
    <cellStyle name="常规 25 2" xfId="1919" xr:uid="{00000000-0005-0000-0000-0000AF070000}"/>
    <cellStyle name="常规 25 2 2" xfId="2573" xr:uid="{00000000-0005-0000-0000-00003D0A0000}"/>
    <cellStyle name="常规 25 2 3" xfId="2575" xr:uid="{00000000-0005-0000-0000-00003F0A0000}"/>
    <cellStyle name="常规 25 2 3 2" xfId="2579" xr:uid="{00000000-0005-0000-0000-0000430A0000}"/>
    <cellStyle name="常规 25 3" xfId="1925" xr:uid="{00000000-0005-0000-0000-0000B5070000}"/>
    <cellStyle name="常规 25 4" xfId="1931" xr:uid="{00000000-0005-0000-0000-0000BB070000}"/>
    <cellStyle name="常规 25 5" xfId="1936" xr:uid="{00000000-0005-0000-0000-0000C0070000}"/>
    <cellStyle name="常规 25 6" xfId="1941" xr:uid="{00000000-0005-0000-0000-0000C5070000}"/>
    <cellStyle name="常规 25 7" xfId="1952" xr:uid="{00000000-0005-0000-0000-0000D0070000}"/>
    <cellStyle name="常规 25 8" xfId="1957" xr:uid="{00000000-0005-0000-0000-0000D5070000}"/>
    <cellStyle name="常规 25 9" xfId="1962" xr:uid="{00000000-0005-0000-0000-0000DA070000}"/>
    <cellStyle name="常规 250" xfId="26" xr:uid="{00000000-0005-0000-0000-00002A000000}"/>
    <cellStyle name="常规 251" xfId="577" xr:uid="{00000000-0005-0000-0000-000071020000}"/>
    <cellStyle name="常规 252" xfId="586" xr:uid="{00000000-0005-0000-0000-00007A020000}"/>
    <cellStyle name="常规 253" xfId="1826" xr:uid="{00000000-0005-0000-0000-000052070000}"/>
    <cellStyle name="常规 254" xfId="1833" xr:uid="{00000000-0005-0000-0000-000059070000}"/>
    <cellStyle name="常规 255" xfId="2581" xr:uid="{00000000-0005-0000-0000-0000450A0000}"/>
    <cellStyle name="常规 256" xfId="2583" xr:uid="{00000000-0005-0000-0000-0000470A0000}"/>
    <cellStyle name="常规 257" xfId="2585" xr:uid="{00000000-0005-0000-0000-0000490A0000}"/>
    <cellStyle name="常规 26" xfId="2587" xr:uid="{00000000-0005-0000-0000-00004B0A0000}"/>
    <cellStyle name="常规 26 2" xfId="10" xr:uid="{00000000-0005-0000-0000-00000F000000}"/>
    <cellStyle name="常规 26 2 2" xfId="475" xr:uid="{00000000-0005-0000-0000-00000B020000}"/>
    <cellStyle name="常规 26 2 3" xfId="491" xr:uid="{00000000-0005-0000-0000-00001B020000}"/>
    <cellStyle name="常规 26 2 3 2" xfId="2559" xr:uid="{00000000-0005-0000-0000-00002F0A0000}"/>
    <cellStyle name="常规 26 3" xfId="77" xr:uid="{00000000-0005-0000-0000-000077000000}"/>
    <cellStyle name="常规 26 4" xfId="80" xr:uid="{00000000-0005-0000-0000-00007C000000}"/>
    <cellStyle name="常规 262" xfId="2584" xr:uid="{00000000-0005-0000-0000-0000480A0000}"/>
    <cellStyle name="常规 262 2" xfId="656" xr:uid="{00000000-0005-0000-0000-0000C0020000}"/>
    <cellStyle name="常规 262 3" xfId="344" xr:uid="{00000000-0005-0000-0000-000088010000}"/>
    <cellStyle name="常规 27" xfId="2589" xr:uid="{00000000-0005-0000-0000-00004D0A0000}"/>
    <cellStyle name="常规 27 2" xfId="2592" xr:uid="{00000000-0005-0000-0000-0000500A0000}"/>
    <cellStyle name="常规 27 2 2" xfId="2594" xr:uid="{00000000-0005-0000-0000-0000520A0000}"/>
    <cellStyle name="常规 27 2 3" xfId="2595" xr:uid="{00000000-0005-0000-0000-0000530A0000}"/>
    <cellStyle name="常规 27 2 3 2" xfId="2596" xr:uid="{00000000-0005-0000-0000-0000540A0000}"/>
    <cellStyle name="常规 27 3" xfId="2598" xr:uid="{00000000-0005-0000-0000-0000560A0000}"/>
    <cellStyle name="常规 27 4" xfId="2600" xr:uid="{00000000-0005-0000-0000-0000580A0000}"/>
    <cellStyle name="常规 28" xfId="2602" xr:uid="{00000000-0005-0000-0000-00005A0A0000}"/>
    <cellStyle name="常规 28 2" xfId="2605" xr:uid="{00000000-0005-0000-0000-00005D0A0000}"/>
    <cellStyle name="常规 28 2 2" xfId="957" xr:uid="{00000000-0005-0000-0000-0000ED030000}"/>
    <cellStyle name="常规 28 3" xfId="2608" xr:uid="{00000000-0005-0000-0000-0000600A0000}"/>
    <cellStyle name="常规 29" xfId="2610" xr:uid="{00000000-0005-0000-0000-0000620A0000}"/>
    <cellStyle name="常规 29 2" xfId="2612" xr:uid="{00000000-0005-0000-0000-0000640A0000}"/>
    <cellStyle name="常规 29 2 2" xfId="2614" xr:uid="{00000000-0005-0000-0000-0000660A0000}"/>
    <cellStyle name="常规 29 3" xfId="2616" xr:uid="{00000000-0005-0000-0000-0000680A0000}"/>
    <cellStyle name="常规 3" xfId="2618" xr:uid="{00000000-0005-0000-0000-00006A0A0000}"/>
    <cellStyle name="常规 3 10" xfId="2069" xr:uid="{00000000-0005-0000-0000-000045080000}"/>
    <cellStyle name="常规 3 10 2" xfId="2619" xr:uid="{00000000-0005-0000-0000-00006B0A0000}"/>
    <cellStyle name="常规 3 10 3" xfId="2621" xr:uid="{00000000-0005-0000-0000-00006D0A0000}"/>
    <cellStyle name="常规 3 11" xfId="2071" xr:uid="{00000000-0005-0000-0000-000047080000}"/>
    <cellStyle name="常规 3 11 2" xfId="2622" xr:uid="{00000000-0005-0000-0000-00006E0A0000}"/>
    <cellStyle name="常规 3 11 3" xfId="2623" xr:uid="{00000000-0005-0000-0000-00006F0A0000}"/>
    <cellStyle name="常规 3 12" xfId="2624" xr:uid="{00000000-0005-0000-0000-0000700A0000}"/>
    <cellStyle name="常规 3 12 2" xfId="2625" xr:uid="{00000000-0005-0000-0000-0000710A0000}"/>
    <cellStyle name="常规 3 12 3" xfId="2626" xr:uid="{00000000-0005-0000-0000-0000720A0000}"/>
    <cellStyle name="常规 3 13" xfId="2627" xr:uid="{00000000-0005-0000-0000-0000730A0000}"/>
    <cellStyle name="常规 3 14" xfId="2628" xr:uid="{00000000-0005-0000-0000-0000740A0000}"/>
    <cellStyle name="常规 3 15" xfId="2629" xr:uid="{00000000-0005-0000-0000-0000750A0000}"/>
    <cellStyle name="常规 3 15 2" xfId="2630" xr:uid="{00000000-0005-0000-0000-0000760A0000}"/>
    <cellStyle name="常规 3 15 3" xfId="2631" xr:uid="{00000000-0005-0000-0000-0000770A0000}"/>
    <cellStyle name="常规 3 16" xfId="2632" xr:uid="{00000000-0005-0000-0000-0000780A0000}"/>
    <cellStyle name="常规 3 17" xfId="2633" xr:uid="{00000000-0005-0000-0000-0000790A0000}"/>
    <cellStyle name="常规 3 18" xfId="2634" xr:uid="{00000000-0005-0000-0000-00007A0A0000}"/>
    <cellStyle name="常规 3 19" xfId="2635" xr:uid="{00000000-0005-0000-0000-00007B0A0000}"/>
    <cellStyle name="常规 3 2" xfId="2453" xr:uid="{00000000-0005-0000-0000-0000C5090000}"/>
    <cellStyle name="常规 3 2 10" xfId="2636" xr:uid="{00000000-0005-0000-0000-00007C0A0000}"/>
    <cellStyle name="常规 3 2 11" xfId="2637" xr:uid="{00000000-0005-0000-0000-00007D0A0000}"/>
    <cellStyle name="常规 3 2 12" xfId="625" xr:uid="{00000000-0005-0000-0000-0000A1020000}"/>
    <cellStyle name="常规 3 2 13" xfId="627" xr:uid="{00000000-0005-0000-0000-0000A3020000}"/>
    <cellStyle name="常规 3 2 14" xfId="629" xr:uid="{00000000-0005-0000-0000-0000A5020000}"/>
    <cellStyle name="常规 3 2 15" xfId="2638" xr:uid="{00000000-0005-0000-0000-00007E0A0000}"/>
    <cellStyle name="常规 3 2 16" xfId="2639" xr:uid="{00000000-0005-0000-0000-00007F0A0000}"/>
    <cellStyle name="常规 3 2 17" xfId="102" xr:uid="{00000000-0005-0000-0000-000096000000}"/>
    <cellStyle name="常规 3 2 2" xfId="2640" xr:uid="{00000000-0005-0000-0000-0000800A0000}"/>
    <cellStyle name="常规 3 2 2 2" xfId="2641" xr:uid="{00000000-0005-0000-0000-0000810A0000}"/>
    <cellStyle name="常规 3 2 2 2 2" xfId="2642" xr:uid="{00000000-0005-0000-0000-0000820A0000}"/>
    <cellStyle name="常规 3 2 2 2 3" xfId="2643" xr:uid="{00000000-0005-0000-0000-0000830A0000}"/>
    <cellStyle name="常规 3 2 2 2 4" xfId="2644" xr:uid="{00000000-0005-0000-0000-0000840A0000}"/>
    <cellStyle name="常规 3 2 2 2 5" xfId="2645" xr:uid="{00000000-0005-0000-0000-0000850A0000}"/>
    <cellStyle name="常规 3 2 2 2 6" xfId="2646" xr:uid="{00000000-0005-0000-0000-0000860A0000}"/>
    <cellStyle name="常规 3 2 2 3" xfId="1856" xr:uid="{00000000-0005-0000-0000-000070070000}"/>
    <cellStyle name="常规 3 2 2 4" xfId="537" xr:uid="{00000000-0005-0000-0000-000049020000}"/>
    <cellStyle name="常规 3 2 2 5" xfId="540" xr:uid="{00000000-0005-0000-0000-00004C020000}"/>
    <cellStyle name="常规 3 2 2 6" xfId="2647" xr:uid="{00000000-0005-0000-0000-0000870A0000}"/>
    <cellStyle name="常规 3 2 2 7" xfId="2648" xr:uid="{00000000-0005-0000-0000-0000880A0000}"/>
    <cellStyle name="常规 3 2 2 8" xfId="2649" xr:uid="{00000000-0005-0000-0000-0000890A0000}"/>
    <cellStyle name="常规 3 2 2 9" xfId="2650" xr:uid="{00000000-0005-0000-0000-00008A0A0000}"/>
    <cellStyle name="常规 3 2 3" xfId="2651" xr:uid="{00000000-0005-0000-0000-00008B0A0000}"/>
    <cellStyle name="常规 3 2 3 2" xfId="2652" xr:uid="{00000000-0005-0000-0000-00008C0A0000}"/>
    <cellStyle name="常规 3 2 3 3" xfId="1864" xr:uid="{00000000-0005-0000-0000-000078070000}"/>
    <cellStyle name="常规 3 2 4" xfId="2653" xr:uid="{00000000-0005-0000-0000-00008D0A0000}"/>
    <cellStyle name="常规 3 2 4 2" xfId="2654" xr:uid="{00000000-0005-0000-0000-00008E0A0000}"/>
    <cellStyle name="常规 3 2 4 3" xfId="1879" xr:uid="{00000000-0005-0000-0000-000087070000}"/>
    <cellStyle name="常规 3 2 5" xfId="202" xr:uid="{00000000-0005-0000-0000-0000FA000000}"/>
    <cellStyle name="常规 3 2 5 2" xfId="206" xr:uid="{00000000-0005-0000-0000-0000FE000000}"/>
    <cellStyle name="常规 3 2 5 3" xfId="211" xr:uid="{00000000-0005-0000-0000-000003010000}"/>
    <cellStyle name="常规 3 2 6" xfId="62" xr:uid="{00000000-0005-0000-0000-00005D000000}"/>
    <cellStyle name="常规 3 2 6 2" xfId="2655" xr:uid="{00000000-0005-0000-0000-00008F0A0000}"/>
    <cellStyle name="常规 3 2 6 3" xfId="1913" xr:uid="{00000000-0005-0000-0000-0000A9070000}"/>
    <cellStyle name="常规 3 2 7" xfId="238" xr:uid="{00000000-0005-0000-0000-00001E010000}"/>
    <cellStyle name="常规 3 2 7 2" xfId="2656" xr:uid="{00000000-0005-0000-0000-0000900A0000}"/>
    <cellStyle name="常规 3 2 7 3" xfId="1949" xr:uid="{00000000-0005-0000-0000-0000CD070000}"/>
    <cellStyle name="常规 3 2 8" xfId="241" xr:uid="{00000000-0005-0000-0000-000021010000}"/>
    <cellStyle name="常规 3 2 8 2" xfId="2657" xr:uid="{00000000-0005-0000-0000-0000910A0000}"/>
    <cellStyle name="常规 3 2 8 3" xfId="1977" xr:uid="{00000000-0005-0000-0000-0000E9070000}"/>
    <cellStyle name="常规 3 2 9" xfId="155" xr:uid="{00000000-0005-0000-0000-0000CB000000}"/>
    <cellStyle name="常规 3 2 9 2" xfId="2658" xr:uid="{00000000-0005-0000-0000-0000920A0000}"/>
    <cellStyle name="常规 3 2 9 3" xfId="2004" xr:uid="{00000000-0005-0000-0000-000004080000}"/>
    <cellStyle name="常规 3 3" xfId="2455" xr:uid="{00000000-0005-0000-0000-0000C7090000}"/>
    <cellStyle name="常规 3 3 10" xfId="2659" xr:uid="{00000000-0005-0000-0000-0000930A0000}"/>
    <cellStyle name="常规 3 3 11" xfId="2660" xr:uid="{00000000-0005-0000-0000-0000940A0000}"/>
    <cellStyle name="常规 3 3 12" xfId="2661" xr:uid="{00000000-0005-0000-0000-0000950A0000}"/>
    <cellStyle name="常规 3 3 13" xfId="2663" xr:uid="{00000000-0005-0000-0000-0000970A0000}"/>
    <cellStyle name="常规 3 3 14" xfId="179" xr:uid="{00000000-0005-0000-0000-0000E3000000}"/>
    <cellStyle name="常规 3 3 15" xfId="424" xr:uid="{00000000-0005-0000-0000-0000D8010000}"/>
    <cellStyle name="常规 3 3 16" xfId="2664" xr:uid="{00000000-0005-0000-0000-0000980A0000}"/>
    <cellStyle name="常规 3 3 17" xfId="2665" xr:uid="{00000000-0005-0000-0000-0000990A0000}"/>
    <cellStyle name="常规 3 3 18" xfId="2666" xr:uid="{00000000-0005-0000-0000-00009A0A0000}"/>
    <cellStyle name="常规 3 3 2" xfId="2667" xr:uid="{00000000-0005-0000-0000-00009B0A0000}"/>
    <cellStyle name="常规 3 3 2 2" xfId="2668" xr:uid="{00000000-0005-0000-0000-00009C0A0000}"/>
    <cellStyle name="常规 3 3 2 2 2" xfId="2671" xr:uid="{00000000-0005-0000-0000-00009F0A0000}"/>
    <cellStyle name="常规 3 3 2 2 3" xfId="2675" xr:uid="{00000000-0005-0000-0000-0000A30A0000}"/>
    <cellStyle name="常规 3 3 2 3" xfId="2676" xr:uid="{00000000-0005-0000-0000-0000A40A0000}"/>
    <cellStyle name="常规 3 3 2 4" xfId="2677" xr:uid="{00000000-0005-0000-0000-0000A50A0000}"/>
    <cellStyle name="常规 3 3 2 5" xfId="2678" xr:uid="{00000000-0005-0000-0000-0000A60A0000}"/>
    <cellStyle name="常规 3 3 2 6" xfId="2679" xr:uid="{00000000-0005-0000-0000-0000A70A0000}"/>
    <cellStyle name="常规 3 3 2 7" xfId="2680" xr:uid="{00000000-0005-0000-0000-0000A80A0000}"/>
    <cellStyle name="常规 3 3 2 7 2" xfId="2681" xr:uid="{00000000-0005-0000-0000-0000A90A0000}"/>
    <cellStyle name="常规 3 3 2 8" xfId="2682" xr:uid="{00000000-0005-0000-0000-0000AA0A0000}"/>
    <cellStyle name="常规 3 3 3" xfId="2683" xr:uid="{00000000-0005-0000-0000-0000AB0A0000}"/>
    <cellStyle name="常规 3 3 3 2" xfId="2684" xr:uid="{00000000-0005-0000-0000-0000AC0A0000}"/>
    <cellStyle name="常规 3 3 3 3" xfId="2685" xr:uid="{00000000-0005-0000-0000-0000AD0A0000}"/>
    <cellStyle name="常规 3 3 4" xfId="2686" xr:uid="{00000000-0005-0000-0000-0000AE0A0000}"/>
    <cellStyle name="常规 3 3 4 2" xfId="2687" xr:uid="{00000000-0005-0000-0000-0000AF0A0000}"/>
    <cellStyle name="常规 3 3 4 3" xfId="2688" xr:uid="{00000000-0005-0000-0000-0000B00A0000}"/>
    <cellStyle name="常规 3 3 5" xfId="248" xr:uid="{00000000-0005-0000-0000-000028010000}"/>
    <cellStyle name="常规 3 3 5 2" xfId="252" xr:uid="{00000000-0005-0000-0000-00002C010000}"/>
    <cellStyle name="常规 3 3 5 3" xfId="256" xr:uid="{00000000-0005-0000-0000-000030010000}"/>
    <cellStyle name="常规 3 3 6" xfId="274" xr:uid="{00000000-0005-0000-0000-000042010000}"/>
    <cellStyle name="常规 3 3 6 2" xfId="2689" xr:uid="{00000000-0005-0000-0000-0000B10A0000}"/>
    <cellStyle name="常规 3 3 6 3" xfId="2690" xr:uid="{00000000-0005-0000-0000-0000B20A0000}"/>
    <cellStyle name="常规 3 3 7" xfId="277" xr:uid="{00000000-0005-0000-0000-000045010000}"/>
    <cellStyle name="常规 3 3 7 2" xfId="2691" xr:uid="{00000000-0005-0000-0000-0000B30A0000}"/>
    <cellStyle name="常规 3 3 8" xfId="18" xr:uid="{00000000-0005-0000-0000-00001F000000}"/>
    <cellStyle name="常规 3 3 9" xfId="280" xr:uid="{00000000-0005-0000-0000-000048010000}"/>
    <cellStyle name="常规 3 4" xfId="2457" xr:uid="{00000000-0005-0000-0000-0000C9090000}"/>
    <cellStyle name="常规 3 4 2" xfId="2692" xr:uid="{00000000-0005-0000-0000-0000B40A0000}"/>
    <cellStyle name="常规 3 4 2 2" xfId="2693" xr:uid="{00000000-0005-0000-0000-0000B50A0000}"/>
    <cellStyle name="常规 3 4 2 2 2" xfId="2694" xr:uid="{00000000-0005-0000-0000-0000B60A0000}"/>
    <cellStyle name="常规 3 4 2 2 3" xfId="2696" xr:uid="{00000000-0005-0000-0000-0000B80A0000}"/>
    <cellStyle name="常规 3 4 2 3" xfId="2697" xr:uid="{00000000-0005-0000-0000-0000B90A0000}"/>
    <cellStyle name="常规 3 4 2 4" xfId="2698" xr:uid="{00000000-0005-0000-0000-0000BA0A0000}"/>
    <cellStyle name="常规 3 4 2 4 2" xfId="2699" xr:uid="{00000000-0005-0000-0000-0000BB0A0000}"/>
    <cellStyle name="常规 3 4 2 5" xfId="2700" xr:uid="{00000000-0005-0000-0000-0000BC0A0000}"/>
    <cellStyle name="常规 3 4 3" xfId="7" xr:uid="{00000000-0005-0000-0000-00000B000000}"/>
    <cellStyle name="常规 3 4 3 2" xfId="2702" xr:uid="{00000000-0005-0000-0000-0000BE0A0000}"/>
    <cellStyle name="常规 3 4 3 3" xfId="2704" xr:uid="{00000000-0005-0000-0000-0000C00A0000}"/>
    <cellStyle name="常规 3 4 4" xfId="2705" xr:uid="{00000000-0005-0000-0000-0000C10A0000}"/>
    <cellStyle name="常规 3 4 5" xfId="300" xr:uid="{00000000-0005-0000-0000-00005C010000}"/>
    <cellStyle name="常规 3 4 6" xfId="317" xr:uid="{00000000-0005-0000-0000-00006D010000}"/>
    <cellStyle name="常规 3 4 7" xfId="321" xr:uid="{00000000-0005-0000-0000-000071010000}"/>
    <cellStyle name="常规 3 4 8" xfId="325" xr:uid="{00000000-0005-0000-0000-000075010000}"/>
    <cellStyle name="常规 3 5" xfId="2459" xr:uid="{00000000-0005-0000-0000-0000CB090000}"/>
    <cellStyle name="常规 3 5 2" xfId="2706" xr:uid="{00000000-0005-0000-0000-0000C20A0000}"/>
    <cellStyle name="常规 3 5 3" xfId="2707" xr:uid="{00000000-0005-0000-0000-0000C30A0000}"/>
    <cellStyle name="常规 3 5 3 2" xfId="994" xr:uid="{00000000-0005-0000-0000-000012040000}"/>
    <cellStyle name="常规 3 5 4" xfId="2708" xr:uid="{00000000-0005-0000-0000-0000C40A0000}"/>
    <cellStyle name="常规 3 5 5" xfId="346" xr:uid="{00000000-0005-0000-0000-00008A010000}"/>
    <cellStyle name="常规 3 6" xfId="2461" xr:uid="{00000000-0005-0000-0000-0000CD090000}"/>
    <cellStyle name="常规 3 6 2" xfId="2709" xr:uid="{00000000-0005-0000-0000-0000C50A0000}"/>
    <cellStyle name="常规 3 6 3" xfId="2710" xr:uid="{00000000-0005-0000-0000-0000C60A0000}"/>
    <cellStyle name="常规 3 6 4" xfId="2711" xr:uid="{00000000-0005-0000-0000-0000C70A0000}"/>
    <cellStyle name="常规 3 6 5" xfId="2712" xr:uid="{00000000-0005-0000-0000-0000C80A0000}"/>
    <cellStyle name="常规 3 7" xfId="1421" xr:uid="{00000000-0005-0000-0000-0000BD050000}"/>
    <cellStyle name="常规 3 7 2" xfId="2713" xr:uid="{00000000-0005-0000-0000-0000C90A0000}"/>
    <cellStyle name="常规 3 7 3" xfId="2714" xr:uid="{00000000-0005-0000-0000-0000CA0A0000}"/>
    <cellStyle name="常规 3 8" xfId="2715" xr:uid="{00000000-0005-0000-0000-0000CB0A0000}"/>
    <cellStyle name="常规 3 8 2" xfId="2716" xr:uid="{00000000-0005-0000-0000-0000CC0A0000}"/>
    <cellStyle name="常规 3 8 3" xfId="2717" xr:uid="{00000000-0005-0000-0000-0000CD0A0000}"/>
    <cellStyle name="常规 3 9" xfId="2718" xr:uid="{00000000-0005-0000-0000-0000CE0A0000}"/>
    <cellStyle name="常规 3 9 2" xfId="2719" xr:uid="{00000000-0005-0000-0000-0000CF0A0000}"/>
    <cellStyle name="常规 3 9 3" xfId="2720" xr:uid="{00000000-0005-0000-0000-0000D00A0000}"/>
    <cellStyle name="常规 30" xfId="2558" xr:uid="{00000000-0005-0000-0000-00002E0A0000}"/>
    <cellStyle name="常规 30 2" xfId="1918" xr:uid="{00000000-0005-0000-0000-0000AE070000}"/>
    <cellStyle name="常规 30 2 2" xfId="2572" xr:uid="{00000000-0005-0000-0000-00003C0A0000}"/>
    <cellStyle name="常规 30 2 3" xfId="2574" xr:uid="{00000000-0005-0000-0000-00003E0A0000}"/>
    <cellStyle name="常规 30 2 3 2" xfId="2578" xr:uid="{00000000-0005-0000-0000-0000420A0000}"/>
    <cellStyle name="常规 30 3" xfId="1924" xr:uid="{00000000-0005-0000-0000-0000B4070000}"/>
    <cellStyle name="常规 30 4" xfId="1930" xr:uid="{00000000-0005-0000-0000-0000BA070000}"/>
    <cellStyle name="常规 31" xfId="2586" xr:uid="{00000000-0005-0000-0000-00004A0A0000}"/>
    <cellStyle name="常规 31 10" xfId="2721" xr:uid="{00000000-0005-0000-0000-0000D10A0000}"/>
    <cellStyle name="常规 31 11" xfId="2722" xr:uid="{00000000-0005-0000-0000-0000D20A0000}"/>
    <cellStyle name="常规 31 12" xfId="2723" xr:uid="{00000000-0005-0000-0000-0000D30A0000}"/>
    <cellStyle name="常规 31 13" xfId="35" xr:uid="{00000000-0005-0000-0000-000036000000}"/>
    <cellStyle name="常规 31 14" xfId="38" xr:uid="{00000000-0005-0000-0000-00003A000000}"/>
    <cellStyle name="常规 31 15" xfId="45" xr:uid="{00000000-0005-0000-0000-000043000000}"/>
    <cellStyle name="常规 31 16" xfId="22" xr:uid="{00000000-0005-0000-0000-000025000000}"/>
    <cellStyle name="常规 31 16 2" xfId="716" xr:uid="{00000000-0005-0000-0000-0000FC020000}"/>
    <cellStyle name="常规 31 16 2 2" xfId="85" xr:uid="{00000000-0005-0000-0000-000085000000}"/>
    <cellStyle name="常规 31 16 3" xfId="771" xr:uid="{00000000-0005-0000-0000-000033030000}"/>
    <cellStyle name="常规 31 17" xfId="723" xr:uid="{00000000-0005-0000-0000-000003030000}"/>
    <cellStyle name="常规 31 17 2" xfId="773" xr:uid="{00000000-0005-0000-0000-000035030000}"/>
    <cellStyle name="常规 31 17 3" xfId="775" xr:uid="{00000000-0005-0000-0000-000037030000}"/>
    <cellStyle name="常规 31 17 4" xfId="68" xr:uid="{00000000-0005-0000-0000-000067000000}"/>
    <cellStyle name="常规 31 18" xfId="726" xr:uid="{00000000-0005-0000-0000-000006030000}"/>
    <cellStyle name="常规 31 2" xfId="9" xr:uid="{00000000-0005-0000-0000-00000E000000}"/>
    <cellStyle name="常规 31 2 2" xfId="474" xr:uid="{00000000-0005-0000-0000-00000A020000}"/>
    <cellStyle name="常规 31 2 3" xfId="490" xr:uid="{00000000-0005-0000-0000-00001A020000}"/>
    <cellStyle name="常规 31 2 3 2" xfId="2557" xr:uid="{00000000-0005-0000-0000-00002D0A0000}"/>
    <cellStyle name="常规 31 3" xfId="76" xr:uid="{00000000-0005-0000-0000-000076000000}"/>
    <cellStyle name="常规 31 4" xfId="79" xr:uid="{00000000-0005-0000-0000-00007B000000}"/>
    <cellStyle name="常规 31 5" xfId="82" xr:uid="{00000000-0005-0000-0000-000081000000}"/>
    <cellStyle name="常规 31 6" xfId="2724" xr:uid="{00000000-0005-0000-0000-0000D40A0000}"/>
    <cellStyle name="常规 31 7" xfId="2725" xr:uid="{00000000-0005-0000-0000-0000D50A0000}"/>
    <cellStyle name="常规 31 8" xfId="2726" xr:uid="{00000000-0005-0000-0000-0000D60A0000}"/>
    <cellStyle name="常规 31 9" xfId="2727" xr:uid="{00000000-0005-0000-0000-0000D70A0000}"/>
    <cellStyle name="常规 32" xfId="2588" xr:uid="{00000000-0005-0000-0000-00004C0A0000}"/>
    <cellStyle name="常规 32 10" xfId="2729" xr:uid="{00000000-0005-0000-0000-0000D90A0000}"/>
    <cellStyle name="常规 32 11" xfId="2730" xr:uid="{00000000-0005-0000-0000-0000DA0A0000}"/>
    <cellStyle name="常规 32 12" xfId="2731" xr:uid="{00000000-0005-0000-0000-0000DB0A0000}"/>
    <cellStyle name="常规 32 13" xfId="2732" xr:uid="{00000000-0005-0000-0000-0000DC0A0000}"/>
    <cellStyle name="常规 32 14" xfId="2733" xr:uid="{00000000-0005-0000-0000-0000DD0A0000}"/>
    <cellStyle name="常规 32 15" xfId="2734" xr:uid="{00000000-0005-0000-0000-0000DE0A0000}"/>
    <cellStyle name="常规 32 16" xfId="2735" xr:uid="{00000000-0005-0000-0000-0000DF0A0000}"/>
    <cellStyle name="常规 32 16 2" xfId="2491" xr:uid="{00000000-0005-0000-0000-0000EB090000}"/>
    <cellStyle name="常规 32 16 2 2" xfId="2736" xr:uid="{00000000-0005-0000-0000-0000E00A0000}"/>
    <cellStyle name="常规 32 16 3" xfId="2591" xr:uid="{00000000-0005-0000-0000-00004F0A0000}"/>
    <cellStyle name="常规 32 17" xfId="2737" xr:uid="{00000000-0005-0000-0000-0000E10A0000}"/>
    <cellStyle name="常规 32 2" xfId="2590" xr:uid="{00000000-0005-0000-0000-00004E0A0000}"/>
    <cellStyle name="常规 32 2 2" xfId="2593" xr:uid="{00000000-0005-0000-0000-0000510A0000}"/>
    <cellStyle name="常规 32 3" xfId="2597" xr:uid="{00000000-0005-0000-0000-0000550A0000}"/>
    <cellStyle name="常规 32 4" xfId="2599" xr:uid="{00000000-0005-0000-0000-0000570A0000}"/>
    <cellStyle name="常规 32 5" xfId="2738" xr:uid="{00000000-0005-0000-0000-0000E20A0000}"/>
    <cellStyle name="常规 32 6" xfId="2739" xr:uid="{00000000-0005-0000-0000-0000E30A0000}"/>
    <cellStyle name="常规 32 7" xfId="2740" xr:uid="{00000000-0005-0000-0000-0000E40A0000}"/>
    <cellStyle name="常规 32 8" xfId="2741" xr:uid="{00000000-0005-0000-0000-0000E50A0000}"/>
    <cellStyle name="常规 32 9" xfId="2742" xr:uid="{00000000-0005-0000-0000-0000E60A0000}"/>
    <cellStyle name="常规 33" xfId="2601" xr:uid="{00000000-0005-0000-0000-0000590A0000}"/>
    <cellStyle name="常规 33 10" xfId="2743" xr:uid="{00000000-0005-0000-0000-0000E70A0000}"/>
    <cellStyle name="常规 33 11" xfId="2744" xr:uid="{00000000-0005-0000-0000-0000E80A0000}"/>
    <cellStyle name="常规 33 12" xfId="2746" xr:uid="{00000000-0005-0000-0000-0000EA0A0000}"/>
    <cellStyle name="常规 33 13" xfId="2749" xr:uid="{00000000-0005-0000-0000-0000ED0A0000}"/>
    <cellStyle name="常规 33 14" xfId="2751" xr:uid="{00000000-0005-0000-0000-0000EF0A0000}"/>
    <cellStyle name="常规 33 15" xfId="2752" xr:uid="{00000000-0005-0000-0000-0000F00A0000}"/>
    <cellStyle name="常规 33 16" xfId="2753" xr:uid="{00000000-0005-0000-0000-0000F10A0000}"/>
    <cellStyle name="常规 33 16 2" xfId="2755" xr:uid="{00000000-0005-0000-0000-0000F30A0000}"/>
    <cellStyle name="常规 33 16 2 2" xfId="2757" xr:uid="{00000000-0005-0000-0000-0000F50A0000}"/>
    <cellStyle name="常规 33 16 3" xfId="2761" xr:uid="{00000000-0005-0000-0000-0000F90A0000}"/>
    <cellStyle name="常规 33 17" xfId="2763" xr:uid="{00000000-0005-0000-0000-0000FB0A0000}"/>
    <cellStyle name="常规 33 2" xfId="2604" xr:uid="{00000000-0005-0000-0000-00005C0A0000}"/>
    <cellStyle name="常规 33 2 2" xfId="956" xr:uid="{00000000-0005-0000-0000-0000EC030000}"/>
    <cellStyle name="常规 33 3" xfId="2607" xr:uid="{00000000-0005-0000-0000-00005F0A0000}"/>
    <cellStyle name="常规 33 4" xfId="2764" xr:uid="{00000000-0005-0000-0000-0000FC0A0000}"/>
    <cellStyle name="常规 33 5" xfId="2765" xr:uid="{00000000-0005-0000-0000-0000FD0A0000}"/>
    <cellStyle name="常规 33 6" xfId="2767" xr:uid="{00000000-0005-0000-0000-0000FF0A0000}"/>
    <cellStyle name="常规 33 7" xfId="2769" xr:uid="{00000000-0005-0000-0000-0000010B0000}"/>
    <cellStyle name="常规 33 8" xfId="2771" xr:uid="{00000000-0005-0000-0000-0000030B0000}"/>
    <cellStyle name="常规 33 9" xfId="2773" xr:uid="{00000000-0005-0000-0000-0000050B0000}"/>
    <cellStyle name="常规 34" xfId="2609" xr:uid="{00000000-0005-0000-0000-0000610A0000}"/>
    <cellStyle name="常规 34 10" xfId="416" xr:uid="{00000000-0005-0000-0000-0000D0010000}"/>
    <cellStyle name="常规 34 11" xfId="251" xr:uid="{00000000-0005-0000-0000-00002B010000}"/>
    <cellStyle name="常规 34 12" xfId="255" xr:uid="{00000000-0005-0000-0000-00002F010000}"/>
    <cellStyle name="常规 34 13" xfId="265" xr:uid="{00000000-0005-0000-0000-000039010000}"/>
    <cellStyle name="常规 34 14" xfId="267" xr:uid="{00000000-0005-0000-0000-00003B010000}"/>
    <cellStyle name="常规 34 15" xfId="272" xr:uid="{00000000-0005-0000-0000-000040010000}"/>
    <cellStyle name="常规 34 16" xfId="844" xr:uid="{00000000-0005-0000-0000-00007C030000}"/>
    <cellStyle name="常规 34 16 2" xfId="2774" xr:uid="{00000000-0005-0000-0000-0000060B0000}"/>
    <cellStyle name="常规 34 16 2 2" xfId="2775" xr:uid="{00000000-0005-0000-0000-0000070B0000}"/>
    <cellStyle name="常规 34 16 3" xfId="2778" xr:uid="{00000000-0005-0000-0000-00000A0B0000}"/>
    <cellStyle name="常规 34 17" xfId="846" xr:uid="{00000000-0005-0000-0000-00007E030000}"/>
    <cellStyle name="常规 34 2" xfId="2611" xr:uid="{00000000-0005-0000-0000-0000630A0000}"/>
    <cellStyle name="常规 34 2 2" xfId="2613" xr:uid="{00000000-0005-0000-0000-0000650A0000}"/>
    <cellStyle name="常规 34 3" xfId="2615" xr:uid="{00000000-0005-0000-0000-0000670A0000}"/>
    <cellStyle name="常规 34 4" xfId="87" xr:uid="{00000000-0005-0000-0000-000087000000}"/>
    <cellStyle name="常规 34 5" xfId="2779" xr:uid="{00000000-0005-0000-0000-00000B0B0000}"/>
    <cellStyle name="常规 34 6" xfId="2781" xr:uid="{00000000-0005-0000-0000-00000D0B0000}"/>
    <cellStyle name="常规 34 7" xfId="2783" xr:uid="{00000000-0005-0000-0000-00000F0B0000}"/>
    <cellStyle name="常规 34 8" xfId="2785" xr:uid="{00000000-0005-0000-0000-0000110B0000}"/>
    <cellStyle name="常规 34 9" xfId="2787" xr:uid="{00000000-0005-0000-0000-0000130B0000}"/>
    <cellStyle name="常规 35" xfId="2789" xr:uid="{00000000-0005-0000-0000-0000150B0000}"/>
    <cellStyle name="常规 35 10" xfId="2078" xr:uid="{00000000-0005-0000-0000-00004E080000}"/>
    <cellStyle name="常规 35 11" xfId="2084" xr:uid="{00000000-0005-0000-0000-000054080000}"/>
    <cellStyle name="常规 35 12" xfId="2088" xr:uid="{00000000-0005-0000-0000-000058080000}"/>
    <cellStyle name="常规 35 13" xfId="2095" xr:uid="{00000000-0005-0000-0000-00005F080000}"/>
    <cellStyle name="常规 35 14" xfId="2099" xr:uid="{00000000-0005-0000-0000-000063080000}"/>
    <cellStyle name="常规 35 15" xfId="2103" xr:uid="{00000000-0005-0000-0000-000067080000}"/>
    <cellStyle name="常规 35 16" xfId="2107" xr:uid="{00000000-0005-0000-0000-00006B080000}"/>
    <cellStyle name="常规 35 16 2" xfId="2791" xr:uid="{00000000-0005-0000-0000-0000170B0000}"/>
    <cellStyle name="常规 35 16 2 2" xfId="2226" xr:uid="{00000000-0005-0000-0000-0000E2080000}"/>
    <cellStyle name="常规 35 16 3" xfId="2793" xr:uid="{00000000-0005-0000-0000-0000190B0000}"/>
    <cellStyle name="常规 35 17" xfId="2111" xr:uid="{00000000-0005-0000-0000-00006F080000}"/>
    <cellStyle name="常规 35 2" xfId="2795" xr:uid="{00000000-0005-0000-0000-00001B0B0000}"/>
    <cellStyle name="常规 35 2 2" xfId="2797" xr:uid="{00000000-0005-0000-0000-00001D0B0000}"/>
    <cellStyle name="常规 35 3" xfId="2799" xr:uid="{00000000-0005-0000-0000-00001F0B0000}"/>
    <cellStyle name="常规 35 4" xfId="2801" xr:uid="{00000000-0005-0000-0000-0000210B0000}"/>
    <cellStyle name="常规 35 5" xfId="2803" xr:uid="{00000000-0005-0000-0000-0000230B0000}"/>
    <cellStyle name="常规 35 6" xfId="2806" xr:uid="{00000000-0005-0000-0000-0000260B0000}"/>
    <cellStyle name="常规 35 7" xfId="2809" xr:uid="{00000000-0005-0000-0000-0000290B0000}"/>
    <cellStyle name="常规 35 8" xfId="2811" xr:uid="{00000000-0005-0000-0000-00002B0B0000}"/>
    <cellStyle name="常规 35 9" xfId="2814" xr:uid="{00000000-0005-0000-0000-00002E0B0000}"/>
    <cellStyle name="常规 36" xfId="2816" xr:uid="{00000000-0005-0000-0000-0000300B0000}"/>
    <cellStyle name="常规 36 10" xfId="2818" xr:uid="{00000000-0005-0000-0000-0000320B0000}"/>
    <cellStyle name="常规 36 11" xfId="2820" xr:uid="{00000000-0005-0000-0000-0000340B0000}"/>
    <cellStyle name="常规 36 12" xfId="2822" xr:uid="{00000000-0005-0000-0000-0000360B0000}"/>
    <cellStyle name="常规 36 13" xfId="2824" xr:uid="{00000000-0005-0000-0000-0000380B0000}"/>
    <cellStyle name="常规 36 14" xfId="2826" xr:uid="{00000000-0005-0000-0000-00003A0B0000}"/>
    <cellStyle name="常规 36 15" xfId="2828" xr:uid="{00000000-0005-0000-0000-00003C0B0000}"/>
    <cellStyle name="常规 36 16" xfId="2830" xr:uid="{00000000-0005-0000-0000-00003E0B0000}"/>
    <cellStyle name="常规 36 16 2" xfId="561" xr:uid="{00000000-0005-0000-0000-000061020000}"/>
    <cellStyle name="常规 36 16 2 2" xfId="2831" xr:uid="{00000000-0005-0000-0000-00003F0B0000}"/>
    <cellStyle name="常规 36 16 3" xfId="2832" xr:uid="{00000000-0005-0000-0000-0000400B0000}"/>
    <cellStyle name="常规 36 17" xfId="2834" xr:uid="{00000000-0005-0000-0000-0000420B0000}"/>
    <cellStyle name="常规 36 18" xfId="2029" xr:uid="{00000000-0005-0000-0000-00001D080000}"/>
    <cellStyle name="常规 36 2" xfId="2836" xr:uid="{00000000-0005-0000-0000-0000440B0000}"/>
    <cellStyle name="常规 36 2 2" xfId="546" xr:uid="{00000000-0005-0000-0000-000052020000}"/>
    <cellStyle name="常规 36 2 3" xfId="552" xr:uid="{00000000-0005-0000-0000-000058020000}"/>
    <cellStyle name="常规 36 2 3 2" xfId="674" xr:uid="{00000000-0005-0000-0000-0000D2020000}"/>
    <cellStyle name="常规 36 2 4" xfId="53" xr:uid="{00000000-0005-0000-0000-000051000000}"/>
    <cellStyle name="常规 36 2 5" xfId="2838" xr:uid="{00000000-0005-0000-0000-0000460B0000}"/>
    <cellStyle name="常规 36 2 5 2" xfId="2310" xr:uid="{00000000-0005-0000-0000-000036090000}"/>
    <cellStyle name="常规 36 3" xfId="2840" xr:uid="{00000000-0005-0000-0000-0000480B0000}"/>
    <cellStyle name="常规 36 4" xfId="2842" xr:uid="{00000000-0005-0000-0000-00004A0B0000}"/>
    <cellStyle name="常规 36 5" xfId="2844" xr:uid="{00000000-0005-0000-0000-00004C0B0000}"/>
    <cellStyle name="常规 36 6" xfId="2847" xr:uid="{00000000-0005-0000-0000-00004F0B0000}"/>
    <cellStyle name="常规 36 7" xfId="2850" xr:uid="{00000000-0005-0000-0000-0000520B0000}"/>
    <cellStyle name="常规 36 8" xfId="2852" xr:uid="{00000000-0005-0000-0000-0000540B0000}"/>
    <cellStyle name="常规 36 9" xfId="2854" xr:uid="{00000000-0005-0000-0000-0000560B0000}"/>
    <cellStyle name="常规 37" xfId="2856" xr:uid="{00000000-0005-0000-0000-0000580B0000}"/>
    <cellStyle name="常规 37 10" xfId="2858" xr:uid="{00000000-0005-0000-0000-00005A0B0000}"/>
    <cellStyle name="常规 37 11" xfId="362" xr:uid="{00000000-0005-0000-0000-00009A010000}"/>
    <cellStyle name="常规 37 12" xfId="2861" xr:uid="{00000000-0005-0000-0000-00005D0B0000}"/>
    <cellStyle name="常规 37 13" xfId="2863" xr:uid="{00000000-0005-0000-0000-00005F0B0000}"/>
    <cellStyle name="常规 37 14" xfId="2865" xr:uid="{00000000-0005-0000-0000-0000610B0000}"/>
    <cellStyle name="常规 37 15" xfId="2867" xr:uid="{00000000-0005-0000-0000-0000630B0000}"/>
    <cellStyle name="常规 37 16" xfId="2869" xr:uid="{00000000-0005-0000-0000-0000650B0000}"/>
    <cellStyle name="常规 37 16 2" xfId="2361" xr:uid="{00000000-0005-0000-0000-000069090000}"/>
    <cellStyle name="常规 37 16 2 2" xfId="2870" xr:uid="{00000000-0005-0000-0000-0000660B0000}"/>
    <cellStyle name="常规 37 16 3" xfId="2871" xr:uid="{00000000-0005-0000-0000-0000670B0000}"/>
    <cellStyle name="常规 37 17" xfId="2873" xr:uid="{00000000-0005-0000-0000-0000690B0000}"/>
    <cellStyle name="常规 37 2" xfId="430" xr:uid="{00000000-0005-0000-0000-0000DE010000}"/>
    <cellStyle name="常规 37 2 2" xfId="2875" xr:uid="{00000000-0005-0000-0000-00006B0B0000}"/>
    <cellStyle name="常规 37 3" xfId="2877" xr:uid="{00000000-0005-0000-0000-00006D0B0000}"/>
    <cellStyle name="常规 37 4" xfId="2879" xr:uid="{00000000-0005-0000-0000-00006F0B0000}"/>
    <cellStyle name="常规 37 5" xfId="2881" xr:uid="{00000000-0005-0000-0000-0000710B0000}"/>
    <cellStyle name="常规 37 6" xfId="1089" xr:uid="{00000000-0005-0000-0000-000071040000}"/>
    <cellStyle name="常规 37 7" xfId="2884" xr:uid="{00000000-0005-0000-0000-0000740B0000}"/>
    <cellStyle name="常规 37 8" xfId="2886" xr:uid="{00000000-0005-0000-0000-0000760B0000}"/>
    <cellStyle name="常规 37 9" xfId="2888" xr:uid="{00000000-0005-0000-0000-0000780B0000}"/>
    <cellStyle name="常规 38" xfId="2891" xr:uid="{00000000-0005-0000-0000-00007B0B0000}"/>
    <cellStyle name="常规 38 10" xfId="2760" xr:uid="{00000000-0005-0000-0000-0000F80A0000}"/>
    <cellStyle name="常规 38 11" xfId="2894" xr:uid="{00000000-0005-0000-0000-00007E0B0000}"/>
    <cellStyle name="常规 38 12" xfId="2898" xr:uid="{00000000-0005-0000-0000-0000820B0000}"/>
    <cellStyle name="常规 38 13" xfId="2902" xr:uid="{00000000-0005-0000-0000-0000860B0000}"/>
    <cellStyle name="常规 38 14" xfId="2907" xr:uid="{00000000-0005-0000-0000-00008B0B0000}"/>
    <cellStyle name="常规 38 15" xfId="2911" xr:uid="{00000000-0005-0000-0000-00008F0B0000}"/>
    <cellStyle name="常规 38 16" xfId="2915" xr:uid="{00000000-0005-0000-0000-0000930B0000}"/>
    <cellStyle name="常规 38 16 2" xfId="2916" xr:uid="{00000000-0005-0000-0000-0000940B0000}"/>
    <cellStyle name="常规 38 16 2 2" xfId="2917" xr:uid="{00000000-0005-0000-0000-0000950B0000}"/>
    <cellStyle name="常规 38 16 3" xfId="2918" xr:uid="{00000000-0005-0000-0000-0000960B0000}"/>
    <cellStyle name="常规 38 17" xfId="2922" xr:uid="{00000000-0005-0000-0000-00009A0B0000}"/>
    <cellStyle name="常规 38 2" xfId="2924" xr:uid="{00000000-0005-0000-0000-00009C0B0000}"/>
    <cellStyle name="常规 38 2 2" xfId="1093" xr:uid="{00000000-0005-0000-0000-000075040000}"/>
    <cellStyle name="常规 38 3" xfId="2926" xr:uid="{00000000-0005-0000-0000-00009E0B0000}"/>
    <cellStyle name="常规 38 4" xfId="2928" xr:uid="{00000000-0005-0000-0000-0000A00B0000}"/>
    <cellStyle name="常规 38 5" xfId="2670" xr:uid="{00000000-0005-0000-0000-00009E0A0000}"/>
    <cellStyle name="常规 38 6" xfId="2674" xr:uid="{00000000-0005-0000-0000-0000A20A0000}"/>
    <cellStyle name="常规 38 7" xfId="2931" xr:uid="{00000000-0005-0000-0000-0000A30B0000}"/>
    <cellStyle name="常规 38 8" xfId="2933" xr:uid="{00000000-0005-0000-0000-0000A50B0000}"/>
    <cellStyle name="常规 38 9" xfId="2935" xr:uid="{00000000-0005-0000-0000-0000A70B0000}"/>
    <cellStyle name="常规 39" xfId="6" xr:uid="{00000000-0005-0000-0000-000008000000}"/>
    <cellStyle name="常规 39 10" xfId="593" xr:uid="{00000000-0005-0000-0000-000081020000}"/>
    <cellStyle name="常规 39 11" xfId="302" xr:uid="{00000000-0005-0000-0000-00005E010000}"/>
    <cellStyle name="常规 39 12" xfId="304" xr:uid="{00000000-0005-0000-0000-000060010000}"/>
    <cellStyle name="常规 39 13" xfId="310" xr:uid="{00000000-0005-0000-0000-000066010000}"/>
    <cellStyle name="常规 39 14" xfId="312" xr:uid="{00000000-0005-0000-0000-000068010000}"/>
    <cellStyle name="常规 39 15" xfId="315" xr:uid="{00000000-0005-0000-0000-00006B010000}"/>
    <cellStyle name="常规 39 16" xfId="976" xr:uid="{00000000-0005-0000-0000-000000040000}"/>
    <cellStyle name="常规 39 16 2" xfId="978" xr:uid="{00000000-0005-0000-0000-000002040000}"/>
    <cellStyle name="常规 39 16 2 2" xfId="1620" xr:uid="{00000000-0005-0000-0000-000084060000}"/>
    <cellStyle name="常规 39 16 3" xfId="982" xr:uid="{00000000-0005-0000-0000-000006040000}"/>
    <cellStyle name="常规 39 17" xfId="986" xr:uid="{00000000-0005-0000-0000-00000A040000}"/>
    <cellStyle name="常规 39 2" xfId="2938" xr:uid="{00000000-0005-0000-0000-0000AA0B0000}"/>
    <cellStyle name="常规 39 2 2" xfId="1658" xr:uid="{00000000-0005-0000-0000-0000AA060000}"/>
    <cellStyle name="常规 39 3" xfId="2940" xr:uid="{00000000-0005-0000-0000-0000AC0B0000}"/>
    <cellStyle name="常规 39 4" xfId="2942" xr:uid="{00000000-0005-0000-0000-0000AE0B0000}"/>
    <cellStyle name="常规 39 5" xfId="2944" xr:uid="{00000000-0005-0000-0000-0000B00B0000}"/>
    <cellStyle name="常规 39 6" xfId="2948" xr:uid="{00000000-0005-0000-0000-0000B40B0000}"/>
    <cellStyle name="常规 39 7" xfId="2951" xr:uid="{00000000-0005-0000-0000-0000B70B0000}"/>
    <cellStyle name="常规 39 8" xfId="2952" xr:uid="{00000000-0005-0000-0000-0000B80B0000}"/>
    <cellStyle name="常规 39 9" xfId="2953" xr:uid="{00000000-0005-0000-0000-0000B90B0000}"/>
    <cellStyle name="常规 4" xfId="2954" xr:uid="{00000000-0005-0000-0000-0000BA0B0000}"/>
    <cellStyle name="常规 4 10" xfId="2955" xr:uid="{00000000-0005-0000-0000-0000BB0B0000}"/>
    <cellStyle name="常规 4 10 2" xfId="1980" xr:uid="{00000000-0005-0000-0000-0000EC070000}"/>
    <cellStyle name="常规 4 10 3" xfId="1985" xr:uid="{00000000-0005-0000-0000-0000F1070000}"/>
    <cellStyle name="常规 4 11" xfId="2956" xr:uid="{00000000-0005-0000-0000-0000BC0B0000}"/>
    <cellStyle name="常规 4 11 2" xfId="2957" xr:uid="{00000000-0005-0000-0000-0000BD0B0000}"/>
    <cellStyle name="常规 4 11 3" xfId="2958" xr:uid="{00000000-0005-0000-0000-0000BE0B0000}"/>
    <cellStyle name="常规 4 12" xfId="1063" xr:uid="{00000000-0005-0000-0000-000057040000}"/>
    <cellStyle name="常规 4 12 2" xfId="1065" xr:uid="{00000000-0005-0000-0000-000059040000}"/>
    <cellStyle name="常规 4 12 3" xfId="1067" xr:uid="{00000000-0005-0000-0000-00005B040000}"/>
    <cellStyle name="常规 4 13" xfId="1069" xr:uid="{00000000-0005-0000-0000-00005D040000}"/>
    <cellStyle name="常规 4 13 2" xfId="1072" xr:uid="{00000000-0005-0000-0000-000060040000}"/>
    <cellStyle name="常规 4 13 3" xfId="2959" xr:uid="{00000000-0005-0000-0000-0000BF0B0000}"/>
    <cellStyle name="常规 4 14" xfId="1074" xr:uid="{00000000-0005-0000-0000-000062040000}"/>
    <cellStyle name="常规 4 14 2" xfId="2961" xr:uid="{00000000-0005-0000-0000-0000C10B0000}"/>
    <cellStyle name="常规 4 14 3" xfId="2963" xr:uid="{00000000-0005-0000-0000-0000C30B0000}"/>
    <cellStyle name="常规 4 15" xfId="2964" xr:uid="{00000000-0005-0000-0000-0000C40B0000}"/>
    <cellStyle name="常规 4 15 2" xfId="2965" xr:uid="{00000000-0005-0000-0000-0000C50B0000}"/>
    <cellStyle name="常规 4 15 3" xfId="2966" xr:uid="{00000000-0005-0000-0000-0000C60B0000}"/>
    <cellStyle name="常规 4 16" xfId="2967" xr:uid="{00000000-0005-0000-0000-0000C70B0000}"/>
    <cellStyle name="常规 4 16 2" xfId="458" xr:uid="{00000000-0005-0000-0000-0000FA010000}"/>
    <cellStyle name="常规 4 16 3" xfId="2968" xr:uid="{00000000-0005-0000-0000-0000C80B0000}"/>
    <cellStyle name="常规 4 17" xfId="2969" xr:uid="{00000000-0005-0000-0000-0000C90B0000}"/>
    <cellStyle name="常规 4 18" xfId="2970" xr:uid="{00000000-0005-0000-0000-0000CA0B0000}"/>
    <cellStyle name="常规 4 19" xfId="2972" xr:uid="{00000000-0005-0000-0000-0000CC0B0000}"/>
    <cellStyle name="常规 4 2" xfId="2973" xr:uid="{00000000-0005-0000-0000-0000CD0B0000}"/>
    <cellStyle name="常规 4 2 10" xfId="2974" xr:uid="{00000000-0005-0000-0000-0000CE0B0000}"/>
    <cellStyle name="常规 4 2 10 2" xfId="2975" xr:uid="{00000000-0005-0000-0000-0000CF0B0000}"/>
    <cellStyle name="常规 4 2 10 2 2" xfId="2977" xr:uid="{00000000-0005-0000-0000-0000D10B0000}"/>
    <cellStyle name="常规 4 2 10 3" xfId="560" xr:uid="{00000000-0005-0000-0000-000060020000}"/>
    <cellStyle name="常规 4 2 2" xfId="2979" xr:uid="{00000000-0005-0000-0000-0000D30B0000}"/>
    <cellStyle name="常规 4 2 2 2" xfId="1752" xr:uid="{00000000-0005-0000-0000-000008070000}"/>
    <cellStyle name="常规 4 2 2 2 2" xfId="1758" xr:uid="{00000000-0005-0000-0000-00000E070000}"/>
    <cellStyle name="常规 4 2 2 2 3" xfId="1762" xr:uid="{00000000-0005-0000-0000-000012070000}"/>
    <cellStyle name="常规 4 2 2 2 4" xfId="2980" xr:uid="{00000000-0005-0000-0000-0000D40B0000}"/>
    <cellStyle name="常规 4 2 2 2 5" xfId="2981" xr:uid="{00000000-0005-0000-0000-0000D50B0000}"/>
    <cellStyle name="常规 4 2 2 3" xfId="25" xr:uid="{00000000-0005-0000-0000-000029000000}"/>
    <cellStyle name="常规 4 2 2 4" xfId="576" xr:uid="{00000000-0005-0000-0000-000070020000}"/>
    <cellStyle name="常规 4 2 2 5" xfId="585" xr:uid="{00000000-0005-0000-0000-000079020000}"/>
    <cellStyle name="常规 4 2 2 6" xfId="1825" xr:uid="{00000000-0005-0000-0000-000051070000}"/>
    <cellStyle name="常规 4 2 2 7" xfId="1832" xr:uid="{00000000-0005-0000-0000-000058070000}"/>
    <cellStyle name="常规 4 2 2 8" xfId="2580" xr:uid="{00000000-0005-0000-0000-0000440A0000}"/>
    <cellStyle name="常规 4 2 2 8 2" xfId="2982" xr:uid="{00000000-0005-0000-0000-0000D60B0000}"/>
    <cellStyle name="常规 4 2 2 9" xfId="2582" xr:uid="{00000000-0005-0000-0000-0000460A0000}"/>
    <cellStyle name="常规 4 2 3" xfId="860" xr:uid="{00000000-0005-0000-0000-00008C030000}"/>
    <cellStyle name="常规 4 2 3 2" xfId="864" xr:uid="{00000000-0005-0000-0000-000090030000}"/>
    <cellStyle name="常规 4 2 3 3" xfId="870" xr:uid="{00000000-0005-0000-0000-000096030000}"/>
    <cellStyle name="常规 4 2 4" xfId="873" xr:uid="{00000000-0005-0000-0000-000099030000}"/>
    <cellStyle name="常规 4 2 5" xfId="850" xr:uid="{00000000-0005-0000-0000-000082030000}"/>
    <cellStyle name="常规 4 2 6" xfId="854" xr:uid="{00000000-0005-0000-0000-000086030000}"/>
    <cellStyle name="常规 4 2 7" xfId="530" xr:uid="{00000000-0005-0000-0000-000042020000}"/>
    <cellStyle name="常规 4 2 8" xfId="882" xr:uid="{00000000-0005-0000-0000-0000A2030000}"/>
    <cellStyle name="常规 4 2 9" xfId="885" xr:uid="{00000000-0005-0000-0000-0000A5030000}"/>
    <cellStyle name="常规 4 3" xfId="2983" xr:uid="{00000000-0005-0000-0000-0000D70B0000}"/>
    <cellStyle name="常规 4 3 2" xfId="1177" xr:uid="{00000000-0005-0000-0000-0000C9040000}"/>
    <cellStyle name="常规 4 3 3" xfId="1208" xr:uid="{00000000-0005-0000-0000-0000E8040000}"/>
    <cellStyle name="常规 4 3 4" xfId="1222" xr:uid="{00000000-0005-0000-0000-0000F6040000}"/>
    <cellStyle name="常规 4 3 5" xfId="1239" xr:uid="{00000000-0005-0000-0000-000007050000}"/>
    <cellStyle name="常规 4 3 5 2" xfId="1243" xr:uid="{00000000-0005-0000-0000-00000B050000}"/>
    <cellStyle name="常规 4 3 5 2 2" xfId="1247" xr:uid="{00000000-0005-0000-0000-00000F050000}"/>
    <cellStyle name="常规 4 3 5 3" xfId="1251" xr:uid="{00000000-0005-0000-0000-000013050000}"/>
    <cellStyle name="常规 4 4" xfId="2978" xr:uid="{00000000-0005-0000-0000-0000D20B0000}"/>
    <cellStyle name="常规 4 4 2" xfId="1751" xr:uid="{00000000-0005-0000-0000-000007070000}"/>
    <cellStyle name="常规 4 4 2 2" xfId="1757" xr:uid="{00000000-0005-0000-0000-00000D070000}"/>
    <cellStyle name="常规 4 4 2 3" xfId="1761" xr:uid="{00000000-0005-0000-0000-000011070000}"/>
    <cellStyle name="常规 4 4 3" xfId="24" xr:uid="{00000000-0005-0000-0000-000028000000}"/>
    <cellStyle name="常规 4 4 4" xfId="575" xr:uid="{00000000-0005-0000-0000-00006F020000}"/>
    <cellStyle name="常规 4 4 5" xfId="584" xr:uid="{00000000-0005-0000-0000-000078020000}"/>
    <cellStyle name="常规 4 5" xfId="859" xr:uid="{00000000-0005-0000-0000-00008B030000}"/>
    <cellStyle name="常规 4 5 2" xfId="863" xr:uid="{00000000-0005-0000-0000-00008F030000}"/>
    <cellStyle name="常规 4 5 3" xfId="869" xr:uid="{00000000-0005-0000-0000-000095030000}"/>
    <cellStyle name="常规 4 6" xfId="872" xr:uid="{00000000-0005-0000-0000-000098030000}"/>
    <cellStyle name="常规 4 6 2" xfId="802" xr:uid="{00000000-0005-0000-0000-000052030000}"/>
    <cellStyle name="常规 4 6 3" xfId="877" xr:uid="{00000000-0005-0000-0000-00009D030000}"/>
    <cellStyle name="常规 4 7" xfId="849" xr:uid="{00000000-0005-0000-0000-000081030000}"/>
    <cellStyle name="常规 4 7 2" xfId="436" xr:uid="{00000000-0005-0000-0000-0000E4010000}"/>
    <cellStyle name="常规 4 7 3" xfId="441" xr:uid="{00000000-0005-0000-0000-0000E9010000}"/>
    <cellStyle name="常规 4 8" xfId="853" xr:uid="{00000000-0005-0000-0000-000085030000}"/>
    <cellStyle name="常规 4 8 2" xfId="127" xr:uid="{00000000-0005-0000-0000-0000AF000000}"/>
    <cellStyle name="常规 4 8 3" xfId="466" xr:uid="{00000000-0005-0000-0000-000002020000}"/>
    <cellStyle name="常规 4 9" xfId="529" xr:uid="{00000000-0005-0000-0000-000041020000}"/>
    <cellStyle name="常规 4 9 2" xfId="494" xr:uid="{00000000-0005-0000-0000-00001E020000}"/>
    <cellStyle name="常规 4 9 3" xfId="497" xr:uid="{00000000-0005-0000-0000-000021020000}"/>
    <cellStyle name="常规 40" xfId="2788" xr:uid="{00000000-0005-0000-0000-0000140B0000}"/>
    <cellStyle name="常规 40 10" xfId="2077" xr:uid="{00000000-0005-0000-0000-00004D080000}"/>
    <cellStyle name="常规 40 11" xfId="2083" xr:uid="{00000000-0005-0000-0000-000053080000}"/>
    <cellStyle name="常规 40 12" xfId="2087" xr:uid="{00000000-0005-0000-0000-000057080000}"/>
    <cellStyle name="常规 40 13" xfId="2094" xr:uid="{00000000-0005-0000-0000-00005E080000}"/>
    <cellStyle name="常规 40 14" xfId="2098" xr:uid="{00000000-0005-0000-0000-000062080000}"/>
    <cellStyle name="常规 40 15" xfId="2102" xr:uid="{00000000-0005-0000-0000-000066080000}"/>
    <cellStyle name="常规 40 16" xfId="2106" xr:uid="{00000000-0005-0000-0000-00006A080000}"/>
    <cellStyle name="常规 40 16 2" xfId="2790" xr:uid="{00000000-0005-0000-0000-0000160B0000}"/>
    <cellStyle name="常规 40 16 2 2" xfId="2225" xr:uid="{00000000-0005-0000-0000-0000E1080000}"/>
    <cellStyle name="常规 40 16 3" xfId="2792" xr:uid="{00000000-0005-0000-0000-0000180B0000}"/>
    <cellStyle name="常规 40 17" xfId="2110" xr:uid="{00000000-0005-0000-0000-00006E080000}"/>
    <cellStyle name="常规 40 2" xfId="2794" xr:uid="{00000000-0005-0000-0000-00001A0B0000}"/>
    <cellStyle name="常规 40 2 2" xfId="2796" xr:uid="{00000000-0005-0000-0000-00001C0B0000}"/>
    <cellStyle name="常规 40 3" xfId="2798" xr:uid="{00000000-0005-0000-0000-00001E0B0000}"/>
    <cellStyle name="常规 40 4" xfId="2800" xr:uid="{00000000-0005-0000-0000-0000200B0000}"/>
    <cellStyle name="常规 40 5" xfId="2802" xr:uid="{00000000-0005-0000-0000-0000220B0000}"/>
    <cellStyle name="常规 40 6" xfId="2805" xr:uid="{00000000-0005-0000-0000-0000250B0000}"/>
    <cellStyle name="常规 40 7" xfId="2808" xr:uid="{00000000-0005-0000-0000-0000280B0000}"/>
    <cellStyle name="常规 40 8" xfId="2810" xr:uid="{00000000-0005-0000-0000-00002A0B0000}"/>
    <cellStyle name="常规 40 9" xfId="2813" xr:uid="{00000000-0005-0000-0000-00002D0B0000}"/>
    <cellStyle name="常规 41" xfId="2815" xr:uid="{00000000-0005-0000-0000-00002F0B0000}"/>
    <cellStyle name="常规 41 10" xfId="2817" xr:uid="{00000000-0005-0000-0000-0000310B0000}"/>
    <cellStyle name="常规 41 11" xfId="2819" xr:uid="{00000000-0005-0000-0000-0000330B0000}"/>
    <cellStyle name="常规 41 12" xfId="2821" xr:uid="{00000000-0005-0000-0000-0000350B0000}"/>
    <cellStyle name="常规 41 13" xfId="2823" xr:uid="{00000000-0005-0000-0000-0000370B0000}"/>
    <cellStyle name="常规 41 14" xfId="2825" xr:uid="{00000000-0005-0000-0000-0000390B0000}"/>
    <cellStyle name="常规 41 15" xfId="2827" xr:uid="{00000000-0005-0000-0000-00003B0B0000}"/>
    <cellStyle name="常规 41 16" xfId="2829" xr:uid="{00000000-0005-0000-0000-00003D0B0000}"/>
    <cellStyle name="常规 41 17" xfId="2833" xr:uid="{00000000-0005-0000-0000-0000410B0000}"/>
    <cellStyle name="常规 41 18" xfId="2028" xr:uid="{00000000-0005-0000-0000-00001C080000}"/>
    <cellStyle name="常规 41 2" xfId="2835" xr:uid="{00000000-0005-0000-0000-0000430B0000}"/>
    <cellStyle name="常规 41 2 2" xfId="545" xr:uid="{00000000-0005-0000-0000-000051020000}"/>
    <cellStyle name="常规 41 2 3" xfId="551" xr:uid="{00000000-0005-0000-0000-000057020000}"/>
    <cellStyle name="常规 41 2 3 2" xfId="673" xr:uid="{00000000-0005-0000-0000-0000D1020000}"/>
    <cellStyle name="常规 41 2 4" xfId="52" xr:uid="{00000000-0005-0000-0000-000050000000}"/>
    <cellStyle name="常规 41 3" xfId="2839" xr:uid="{00000000-0005-0000-0000-0000470B0000}"/>
    <cellStyle name="常规 41 4" xfId="2841" xr:uid="{00000000-0005-0000-0000-0000490B0000}"/>
    <cellStyle name="常规 41 5" xfId="2843" xr:uid="{00000000-0005-0000-0000-00004B0B0000}"/>
    <cellStyle name="常规 41 6" xfId="2846" xr:uid="{00000000-0005-0000-0000-00004E0B0000}"/>
    <cellStyle name="常规 41 7" xfId="2849" xr:uid="{00000000-0005-0000-0000-0000510B0000}"/>
    <cellStyle name="常规 41 8" xfId="2851" xr:uid="{00000000-0005-0000-0000-0000530B0000}"/>
    <cellStyle name="常规 41 9" xfId="2853" xr:uid="{00000000-0005-0000-0000-0000550B0000}"/>
    <cellStyle name="常规 42" xfId="2855" xr:uid="{00000000-0005-0000-0000-0000570B0000}"/>
    <cellStyle name="常规 42 10" xfId="2857" xr:uid="{00000000-0005-0000-0000-0000590B0000}"/>
    <cellStyle name="常规 42 11" xfId="361" xr:uid="{00000000-0005-0000-0000-000099010000}"/>
    <cellStyle name="常规 42 12" xfId="2860" xr:uid="{00000000-0005-0000-0000-00005C0B0000}"/>
    <cellStyle name="常规 42 13" xfId="2862" xr:uid="{00000000-0005-0000-0000-00005E0B0000}"/>
    <cellStyle name="常规 42 14" xfId="2864" xr:uid="{00000000-0005-0000-0000-0000600B0000}"/>
    <cellStyle name="常规 42 15" xfId="2866" xr:uid="{00000000-0005-0000-0000-0000620B0000}"/>
    <cellStyle name="常规 42 16" xfId="2868" xr:uid="{00000000-0005-0000-0000-0000640B0000}"/>
    <cellStyle name="常规 42 17" xfId="2872" xr:uid="{00000000-0005-0000-0000-0000680B0000}"/>
    <cellStyle name="常规 42 17 2" xfId="2365" xr:uid="{00000000-0005-0000-0000-00006D090000}"/>
    <cellStyle name="常规 42 17 3" xfId="2984" xr:uid="{00000000-0005-0000-0000-0000D80B0000}"/>
    <cellStyle name="常规 42 17 4" xfId="2985" xr:uid="{00000000-0005-0000-0000-0000D90B0000}"/>
    <cellStyle name="常规 42 18" xfId="2986" xr:uid="{00000000-0005-0000-0000-0000DA0B0000}"/>
    <cellStyle name="常规 42 19" xfId="2987" xr:uid="{00000000-0005-0000-0000-0000DB0B0000}"/>
    <cellStyle name="常规 42 2" xfId="429" xr:uid="{00000000-0005-0000-0000-0000DD010000}"/>
    <cellStyle name="常规 42 2 2" xfId="2874" xr:uid="{00000000-0005-0000-0000-00006A0B0000}"/>
    <cellStyle name="常规 42 2 3" xfId="973" xr:uid="{00000000-0005-0000-0000-0000FD030000}"/>
    <cellStyle name="常规 42 2 3 2" xfId="2988" xr:uid="{00000000-0005-0000-0000-0000DC0B0000}"/>
    <cellStyle name="常规 42 2 4" xfId="752" xr:uid="{00000000-0005-0000-0000-000020030000}"/>
    <cellStyle name="常规 42 2 4 2" xfId="132" xr:uid="{00000000-0005-0000-0000-0000B4000000}"/>
    <cellStyle name="常规 42 2 5" xfId="756" xr:uid="{00000000-0005-0000-0000-000024030000}"/>
    <cellStyle name="常规 42 3" xfId="2876" xr:uid="{00000000-0005-0000-0000-00006C0B0000}"/>
    <cellStyle name="常规 42 4" xfId="2878" xr:uid="{00000000-0005-0000-0000-00006E0B0000}"/>
    <cellStyle name="常规 42 5" xfId="2880" xr:uid="{00000000-0005-0000-0000-0000700B0000}"/>
    <cellStyle name="常规 42 6" xfId="1088" xr:uid="{00000000-0005-0000-0000-000070040000}"/>
    <cellStyle name="常规 42 7" xfId="2883" xr:uid="{00000000-0005-0000-0000-0000730B0000}"/>
    <cellStyle name="常规 42 8" xfId="2885" xr:uid="{00000000-0005-0000-0000-0000750B0000}"/>
    <cellStyle name="常规 42 9" xfId="2887" xr:uid="{00000000-0005-0000-0000-0000770B0000}"/>
    <cellStyle name="常规 43" xfId="2890" xr:uid="{00000000-0005-0000-0000-00007A0B0000}"/>
    <cellStyle name="常规 43 10" xfId="2759" xr:uid="{00000000-0005-0000-0000-0000F70A0000}"/>
    <cellStyle name="常规 43 11" xfId="2893" xr:uid="{00000000-0005-0000-0000-00007D0B0000}"/>
    <cellStyle name="常规 43 12" xfId="2897" xr:uid="{00000000-0005-0000-0000-0000810B0000}"/>
    <cellStyle name="常规 43 13" xfId="2901" xr:uid="{00000000-0005-0000-0000-0000850B0000}"/>
    <cellStyle name="常规 43 14" xfId="2906" xr:uid="{00000000-0005-0000-0000-00008A0B0000}"/>
    <cellStyle name="常规 43 15" xfId="2910" xr:uid="{00000000-0005-0000-0000-00008E0B0000}"/>
    <cellStyle name="常规 43 16" xfId="2914" xr:uid="{00000000-0005-0000-0000-0000920B0000}"/>
    <cellStyle name="常规 43 17" xfId="2921" xr:uid="{00000000-0005-0000-0000-0000990B0000}"/>
    <cellStyle name="常规 43 18" xfId="2991" xr:uid="{00000000-0005-0000-0000-0000DF0B0000}"/>
    <cellStyle name="常规 43 2" xfId="2923" xr:uid="{00000000-0005-0000-0000-00009B0B0000}"/>
    <cellStyle name="常规 43 2 2" xfId="1092" xr:uid="{00000000-0005-0000-0000-000074040000}"/>
    <cellStyle name="常规 43 2 3" xfId="2993" xr:uid="{00000000-0005-0000-0000-0000E10B0000}"/>
    <cellStyle name="常规 43 2 3 2" xfId="2947" xr:uid="{00000000-0005-0000-0000-0000B30B0000}"/>
    <cellStyle name="常规 43 2 4" xfId="2995" xr:uid="{00000000-0005-0000-0000-0000E30B0000}"/>
    <cellStyle name="常规 43 3" xfId="2925" xr:uid="{00000000-0005-0000-0000-00009D0B0000}"/>
    <cellStyle name="常规 43 4" xfId="2927" xr:uid="{00000000-0005-0000-0000-00009F0B0000}"/>
    <cellStyle name="常规 43 5" xfId="2669" xr:uid="{00000000-0005-0000-0000-00009D0A0000}"/>
    <cellStyle name="常规 43 6" xfId="2673" xr:uid="{00000000-0005-0000-0000-0000A10A0000}"/>
    <cellStyle name="常规 43 7" xfId="2930" xr:uid="{00000000-0005-0000-0000-0000A20B0000}"/>
    <cellStyle name="常规 43 8" xfId="2932" xr:uid="{00000000-0005-0000-0000-0000A40B0000}"/>
    <cellStyle name="常规 43 9" xfId="2934" xr:uid="{00000000-0005-0000-0000-0000A60B0000}"/>
    <cellStyle name="常规 44" xfId="5" xr:uid="{00000000-0005-0000-0000-000007000000}"/>
    <cellStyle name="常规 44 2" xfId="2937" xr:uid="{00000000-0005-0000-0000-0000A90B0000}"/>
    <cellStyle name="常规 44 2 2" xfId="1657" xr:uid="{00000000-0005-0000-0000-0000A9060000}"/>
    <cellStyle name="常规 44 2 3" xfId="2997" xr:uid="{00000000-0005-0000-0000-0000E50B0000}"/>
    <cellStyle name="常规 44 2 3 2" xfId="2998" xr:uid="{00000000-0005-0000-0000-0000E60B0000}"/>
    <cellStyle name="常规 44 2 4" xfId="3000" xr:uid="{00000000-0005-0000-0000-0000E80B0000}"/>
    <cellStyle name="常规 44 3" xfId="2939" xr:uid="{00000000-0005-0000-0000-0000AB0B0000}"/>
    <cellStyle name="常规 44 3 2" xfId="1669" xr:uid="{00000000-0005-0000-0000-0000B5060000}"/>
    <cellStyle name="常规 44 3 2 2" xfId="2515" xr:uid="{00000000-0005-0000-0000-0000030A0000}"/>
    <cellStyle name="常规 44 3 2 2 2" xfId="939" xr:uid="{00000000-0005-0000-0000-0000DB030000}"/>
    <cellStyle name="常规 44 3 2 3" xfId="2518" xr:uid="{00000000-0005-0000-0000-0000060A0000}"/>
    <cellStyle name="常规 44 3 3" xfId="3001" xr:uid="{00000000-0005-0000-0000-0000E90B0000}"/>
    <cellStyle name="常规 44 3 4" xfId="3002" xr:uid="{00000000-0005-0000-0000-0000EA0B0000}"/>
    <cellStyle name="常规 44 3 4 2" xfId="3003" xr:uid="{00000000-0005-0000-0000-0000EB0B0000}"/>
    <cellStyle name="常规 44 3 5" xfId="3004" xr:uid="{00000000-0005-0000-0000-0000EC0B0000}"/>
    <cellStyle name="常规 44 4" xfId="2941" xr:uid="{00000000-0005-0000-0000-0000AD0B0000}"/>
    <cellStyle name="常规 44 5" xfId="2943" xr:uid="{00000000-0005-0000-0000-0000AF0B0000}"/>
    <cellStyle name="常规 44 5 2" xfId="1684" xr:uid="{00000000-0005-0000-0000-0000C4060000}"/>
    <cellStyle name="常规 44 5 3" xfId="3005" xr:uid="{00000000-0005-0000-0000-0000ED0B0000}"/>
    <cellStyle name="常规 44 5 4" xfId="3006" xr:uid="{00000000-0005-0000-0000-0000EE0B0000}"/>
    <cellStyle name="常规 44 6" xfId="2946" xr:uid="{00000000-0005-0000-0000-0000B20B0000}"/>
    <cellStyle name="常规 44 7" xfId="2950" xr:uid="{00000000-0005-0000-0000-0000B60B0000}"/>
    <cellStyle name="常规 45" xfId="3009" xr:uid="{00000000-0005-0000-0000-0000F10B0000}"/>
    <cellStyle name="常规 45 10" xfId="3010" xr:uid="{00000000-0005-0000-0000-0000F20B0000}"/>
    <cellStyle name="常规 45 11" xfId="3013" xr:uid="{00000000-0005-0000-0000-0000F50B0000}"/>
    <cellStyle name="常规 45 12" xfId="3014" xr:uid="{00000000-0005-0000-0000-0000F60B0000}"/>
    <cellStyle name="常规 45 13" xfId="3015" xr:uid="{00000000-0005-0000-0000-0000F70B0000}"/>
    <cellStyle name="常规 45 14" xfId="676" xr:uid="{00000000-0005-0000-0000-0000D4020000}"/>
    <cellStyle name="常规 45 15" xfId="3016" xr:uid="{00000000-0005-0000-0000-0000F80B0000}"/>
    <cellStyle name="常规 45 16" xfId="997" xr:uid="{00000000-0005-0000-0000-000015040000}"/>
    <cellStyle name="常规 45 16 2" xfId="3017" xr:uid="{00000000-0005-0000-0000-0000F90B0000}"/>
    <cellStyle name="常规 45 16 2 2" xfId="3020" xr:uid="{00000000-0005-0000-0000-0000FC0B0000}"/>
    <cellStyle name="常规 45 16 3" xfId="3021" xr:uid="{00000000-0005-0000-0000-0000FD0B0000}"/>
    <cellStyle name="常规 45 17" xfId="999" xr:uid="{00000000-0005-0000-0000-000017040000}"/>
    <cellStyle name="常规 45 2" xfId="3024" xr:uid="{00000000-0005-0000-0000-0000000C0000}"/>
    <cellStyle name="常规 45 2 2" xfId="3026" xr:uid="{00000000-0005-0000-0000-0000020C0000}"/>
    <cellStyle name="常规 45 3" xfId="3019" xr:uid="{00000000-0005-0000-0000-0000FB0B0000}"/>
    <cellStyle name="常规 45 4" xfId="3027" xr:uid="{00000000-0005-0000-0000-0000030C0000}"/>
    <cellStyle name="常规 45 5" xfId="3028" xr:uid="{00000000-0005-0000-0000-0000040C0000}"/>
    <cellStyle name="常规 45 6" xfId="3030" xr:uid="{00000000-0005-0000-0000-0000060C0000}"/>
    <cellStyle name="常规 45 7" xfId="3032" xr:uid="{00000000-0005-0000-0000-0000080C0000}"/>
    <cellStyle name="常规 45 8" xfId="3033" xr:uid="{00000000-0005-0000-0000-0000090C0000}"/>
    <cellStyle name="常规 45 9" xfId="3034" xr:uid="{00000000-0005-0000-0000-00000A0C0000}"/>
    <cellStyle name="常规 46" xfId="3037" xr:uid="{00000000-0005-0000-0000-00000D0C0000}"/>
    <cellStyle name="常规 46 2" xfId="3040" xr:uid="{00000000-0005-0000-0000-0000100C0000}"/>
    <cellStyle name="常规 46 2 2" xfId="3043" xr:uid="{00000000-0005-0000-0000-0000130C0000}"/>
    <cellStyle name="常规 46 3" xfId="3046" xr:uid="{00000000-0005-0000-0000-0000160C0000}"/>
    <cellStyle name="常规 47" xfId="3049" xr:uid="{00000000-0005-0000-0000-0000190C0000}"/>
    <cellStyle name="常规 47 2" xfId="3052" xr:uid="{00000000-0005-0000-0000-00001C0C0000}"/>
    <cellStyle name="常规 47 2 2" xfId="2040" xr:uid="{00000000-0005-0000-0000-000028080000}"/>
    <cellStyle name="常规 47 3" xfId="3057" xr:uid="{00000000-0005-0000-0000-0000210C0000}"/>
    <cellStyle name="常规 48" xfId="3060" xr:uid="{00000000-0005-0000-0000-0000240C0000}"/>
    <cellStyle name="常规 48 2" xfId="3062" xr:uid="{00000000-0005-0000-0000-0000260C0000}"/>
    <cellStyle name="常规 48 2 2" xfId="3064" xr:uid="{00000000-0005-0000-0000-0000280C0000}"/>
    <cellStyle name="常规 48 3" xfId="3066" xr:uid="{00000000-0005-0000-0000-00002A0C0000}"/>
    <cellStyle name="常规 49" xfId="3069" xr:uid="{00000000-0005-0000-0000-00002D0C0000}"/>
    <cellStyle name="常规 49 2" xfId="3072" xr:uid="{00000000-0005-0000-0000-0000300C0000}"/>
    <cellStyle name="常规 49 2 2" xfId="3076" xr:uid="{00000000-0005-0000-0000-0000340C0000}"/>
    <cellStyle name="常规 49 3" xfId="3079" xr:uid="{00000000-0005-0000-0000-0000370C0000}"/>
    <cellStyle name="常规 5" xfId="3080" xr:uid="{00000000-0005-0000-0000-0000380C0000}"/>
    <cellStyle name="常规 5 10" xfId="3081" xr:uid="{00000000-0005-0000-0000-0000390C0000}"/>
    <cellStyle name="常规 5 11" xfId="3082" xr:uid="{00000000-0005-0000-0000-00003A0C0000}"/>
    <cellStyle name="常规 5 12" xfId="3083" xr:uid="{00000000-0005-0000-0000-00003B0C0000}"/>
    <cellStyle name="常规 5 13" xfId="3084" xr:uid="{00000000-0005-0000-0000-00003C0C0000}"/>
    <cellStyle name="常规 5 2" xfId="1162" xr:uid="{00000000-0005-0000-0000-0000BA040000}"/>
    <cellStyle name="常规 5 2 2" xfId="2293" xr:uid="{00000000-0005-0000-0000-000025090000}"/>
    <cellStyle name="常规 5 2 2 2" xfId="3085" xr:uid="{00000000-0005-0000-0000-00003D0C0000}"/>
    <cellStyle name="常规 5 2 2 3" xfId="3086" xr:uid="{00000000-0005-0000-0000-00003E0C0000}"/>
    <cellStyle name="常规 5 2 3" xfId="2296" xr:uid="{00000000-0005-0000-0000-000028090000}"/>
    <cellStyle name="常规 5 3" xfId="1165" xr:uid="{00000000-0005-0000-0000-0000BD040000}"/>
    <cellStyle name="常规 5 3 2" xfId="1168" xr:uid="{00000000-0005-0000-0000-0000C0040000}"/>
    <cellStyle name="常规 5 3 3" xfId="1173" xr:uid="{00000000-0005-0000-0000-0000C5040000}"/>
    <cellStyle name="常规 5 4" xfId="1176" xr:uid="{00000000-0005-0000-0000-0000C8040000}"/>
    <cellStyle name="常规 5 4 2" xfId="1180" xr:uid="{00000000-0005-0000-0000-0000CC040000}"/>
    <cellStyle name="常规 5 4 3" xfId="1184" xr:uid="{00000000-0005-0000-0000-0000D0040000}"/>
    <cellStyle name="常规 5 5" xfId="1207" xr:uid="{00000000-0005-0000-0000-0000E7040000}"/>
    <cellStyle name="常规 5 6" xfId="1221" xr:uid="{00000000-0005-0000-0000-0000F5040000}"/>
    <cellStyle name="常规 5 7" xfId="1238" xr:uid="{00000000-0005-0000-0000-000006050000}"/>
    <cellStyle name="常规 5 8" xfId="1255" xr:uid="{00000000-0005-0000-0000-000017050000}"/>
    <cellStyle name="常规 5 9" xfId="1268" xr:uid="{00000000-0005-0000-0000-000024050000}"/>
    <cellStyle name="常规 50" xfId="3008" xr:uid="{00000000-0005-0000-0000-0000F00B0000}"/>
    <cellStyle name="常规 50 2" xfId="3023" xr:uid="{00000000-0005-0000-0000-0000FF0B0000}"/>
    <cellStyle name="常规 50 2 2" xfId="3025" xr:uid="{00000000-0005-0000-0000-0000010C0000}"/>
    <cellStyle name="常规 50 3" xfId="3018" xr:uid="{00000000-0005-0000-0000-0000FA0B0000}"/>
    <cellStyle name="常规 51" xfId="3036" xr:uid="{00000000-0005-0000-0000-00000C0C0000}"/>
    <cellStyle name="常规 51 2" xfId="3039" xr:uid="{00000000-0005-0000-0000-00000F0C0000}"/>
    <cellStyle name="常规 51 2 2" xfId="3042" xr:uid="{00000000-0005-0000-0000-0000120C0000}"/>
    <cellStyle name="常规 51 2 3" xfId="3087" xr:uid="{00000000-0005-0000-0000-00003F0C0000}"/>
    <cellStyle name="常规 51 2 3 2" xfId="513" xr:uid="{00000000-0005-0000-0000-000031020000}"/>
    <cellStyle name="常规 51 3" xfId="3045" xr:uid="{00000000-0005-0000-0000-0000150C0000}"/>
    <cellStyle name="常规 51 4" xfId="3089" xr:uid="{00000000-0005-0000-0000-0000410C0000}"/>
    <cellStyle name="常规 52" xfId="3048" xr:uid="{00000000-0005-0000-0000-0000180C0000}"/>
    <cellStyle name="常规 52 2" xfId="3051" xr:uid="{00000000-0005-0000-0000-00001B0C0000}"/>
    <cellStyle name="常规 52 2 2" xfId="2039" xr:uid="{00000000-0005-0000-0000-000027080000}"/>
    <cellStyle name="常规 52 3" xfId="3056" xr:uid="{00000000-0005-0000-0000-0000200C0000}"/>
    <cellStyle name="常规 53" xfId="3059" xr:uid="{00000000-0005-0000-0000-0000230C0000}"/>
    <cellStyle name="常规 53 2" xfId="3061" xr:uid="{00000000-0005-0000-0000-0000250C0000}"/>
    <cellStyle name="常规 53 2 2" xfId="3063" xr:uid="{00000000-0005-0000-0000-0000270C0000}"/>
    <cellStyle name="常规 53 3" xfId="3065" xr:uid="{00000000-0005-0000-0000-0000290C0000}"/>
    <cellStyle name="常规 54" xfId="3068" xr:uid="{00000000-0005-0000-0000-00002C0C0000}"/>
    <cellStyle name="常规 54 2" xfId="3071" xr:uid="{00000000-0005-0000-0000-00002F0C0000}"/>
    <cellStyle name="常规 54 2 2" xfId="3075" xr:uid="{00000000-0005-0000-0000-0000330C0000}"/>
    <cellStyle name="常规 54 3" xfId="3078" xr:uid="{00000000-0005-0000-0000-0000360C0000}"/>
    <cellStyle name="常规 55" xfId="3092" xr:uid="{00000000-0005-0000-0000-0000440C0000}"/>
    <cellStyle name="常规 55 2" xfId="3094" xr:uid="{00000000-0005-0000-0000-0000460C0000}"/>
    <cellStyle name="常规 55 2 2" xfId="3096" xr:uid="{00000000-0005-0000-0000-0000480C0000}"/>
    <cellStyle name="常规 55 3" xfId="3098" xr:uid="{00000000-0005-0000-0000-00004A0C0000}"/>
    <cellStyle name="常规 56" xfId="3100" xr:uid="{00000000-0005-0000-0000-00004C0C0000}"/>
    <cellStyle name="常规 56 2" xfId="3103" xr:uid="{00000000-0005-0000-0000-00004F0C0000}"/>
    <cellStyle name="常规 56 2 2" xfId="3106" xr:uid="{00000000-0005-0000-0000-0000520C0000}"/>
    <cellStyle name="常规 56 3" xfId="3108" xr:uid="{00000000-0005-0000-0000-0000540C0000}"/>
    <cellStyle name="常规 57" xfId="3110" xr:uid="{00000000-0005-0000-0000-0000560C0000}"/>
    <cellStyle name="常规 57 2" xfId="3112" xr:uid="{00000000-0005-0000-0000-0000580C0000}"/>
    <cellStyle name="常规 57 2 2" xfId="3114" xr:uid="{00000000-0005-0000-0000-00005A0C0000}"/>
    <cellStyle name="常规 57 3" xfId="3116" xr:uid="{00000000-0005-0000-0000-00005C0C0000}"/>
    <cellStyle name="常规 58" xfId="3118" xr:uid="{00000000-0005-0000-0000-00005E0C0000}"/>
    <cellStyle name="常规 58 2" xfId="3120" xr:uid="{00000000-0005-0000-0000-0000600C0000}"/>
    <cellStyle name="常规 58 2 2" xfId="3122" xr:uid="{00000000-0005-0000-0000-0000620C0000}"/>
    <cellStyle name="常规 58 3" xfId="3124" xr:uid="{00000000-0005-0000-0000-0000640C0000}"/>
    <cellStyle name="常规 59" xfId="3126" xr:uid="{00000000-0005-0000-0000-0000660C0000}"/>
    <cellStyle name="常规 59 2" xfId="3128" xr:uid="{00000000-0005-0000-0000-0000680C0000}"/>
    <cellStyle name="常规 59 2 2" xfId="3055" xr:uid="{00000000-0005-0000-0000-00001F0C0000}"/>
    <cellStyle name="常规 59 3" xfId="3130" xr:uid="{00000000-0005-0000-0000-00006A0C0000}"/>
    <cellStyle name="常规 6" xfId="3131" xr:uid="{00000000-0005-0000-0000-00006B0C0000}"/>
    <cellStyle name="常规 6 2" xfId="1725" xr:uid="{00000000-0005-0000-0000-0000ED060000}"/>
    <cellStyle name="常规 6 2 2" xfId="1730" xr:uid="{00000000-0005-0000-0000-0000F2060000}"/>
    <cellStyle name="常规 6 3" xfId="1737" xr:uid="{00000000-0005-0000-0000-0000F9060000}"/>
    <cellStyle name="常规 6 4" xfId="1750" xr:uid="{00000000-0005-0000-0000-000006070000}"/>
    <cellStyle name="常规 6 5" xfId="23" xr:uid="{00000000-0005-0000-0000-000027000000}"/>
    <cellStyle name="常规 60" xfId="3091" xr:uid="{00000000-0005-0000-0000-0000430C0000}"/>
    <cellStyle name="常规 60 2" xfId="3093" xr:uid="{00000000-0005-0000-0000-0000450C0000}"/>
    <cellStyle name="常规 60 2 2" xfId="3095" xr:uid="{00000000-0005-0000-0000-0000470C0000}"/>
    <cellStyle name="常规 60 3" xfId="3097" xr:uid="{00000000-0005-0000-0000-0000490C0000}"/>
    <cellStyle name="常规 61" xfId="3099" xr:uid="{00000000-0005-0000-0000-00004B0C0000}"/>
    <cellStyle name="常规 61 2" xfId="3102" xr:uid="{00000000-0005-0000-0000-00004E0C0000}"/>
    <cellStyle name="常规 61 2 2" xfId="3105" xr:uid="{00000000-0005-0000-0000-0000510C0000}"/>
    <cellStyle name="常规 61 3" xfId="3107" xr:uid="{00000000-0005-0000-0000-0000530C0000}"/>
    <cellStyle name="常规 62" xfId="3109" xr:uid="{00000000-0005-0000-0000-0000550C0000}"/>
    <cellStyle name="常规 62 2" xfId="3111" xr:uid="{00000000-0005-0000-0000-0000570C0000}"/>
    <cellStyle name="常规 62 2 2" xfId="3113" xr:uid="{00000000-0005-0000-0000-0000590C0000}"/>
    <cellStyle name="常规 62 3" xfId="3115" xr:uid="{00000000-0005-0000-0000-00005B0C0000}"/>
    <cellStyle name="常规 63" xfId="3117" xr:uid="{00000000-0005-0000-0000-00005D0C0000}"/>
    <cellStyle name="常规 63 2" xfId="3119" xr:uid="{00000000-0005-0000-0000-00005F0C0000}"/>
    <cellStyle name="常规 63 2 2" xfId="3121" xr:uid="{00000000-0005-0000-0000-0000610C0000}"/>
    <cellStyle name="常规 63 3" xfId="3123" xr:uid="{00000000-0005-0000-0000-0000630C0000}"/>
    <cellStyle name="常规 64" xfId="3125" xr:uid="{00000000-0005-0000-0000-0000650C0000}"/>
    <cellStyle name="常规 64 2" xfId="3127" xr:uid="{00000000-0005-0000-0000-0000670C0000}"/>
    <cellStyle name="常规 64 2 2" xfId="3054" xr:uid="{00000000-0005-0000-0000-00001E0C0000}"/>
    <cellStyle name="常规 64 3" xfId="3129" xr:uid="{00000000-0005-0000-0000-0000690C0000}"/>
    <cellStyle name="常规 65" xfId="3133" xr:uid="{00000000-0005-0000-0000-00006D0C0000}"/>
    <cellStyle name="常规 65 2" xfId="99" xr:uid="{00000000-0005-0000-0000-000093000000}"/>
    <cellStyle name="常规 65 2 2" xfId="823" xr:uid="{00000000-0005-0000-0000-000067030000}"/>
    <cellStyle name="常规 65 3" xfId="135" xr:uid="{00000000-0005-0000-0000-0000B7000000}"/>
    <cellStyle name="常规 66" xfId="917" xr:uid="{00000000-0005-0000-0000-0000C5030000}"/>
    <cellStyle name="常规 66 2" xfId="189" xr:uid="{00000000-0005-0000-0000-0000ED000000}"/>
    <cellStyle name="常规 66 2 2" xfId="1283" xr:uid="{00000000-0005-0000-0000-000033050000}"/>
    <cellStyle name="常规 66 3" xfId="194" xr:uid="{00000000-0005-0000-0000-0000F2000000}"/>
    <cellStyle name="常规 67" xfId="920" xr:uid="{00000000-0005-0000-0000-0000C8030000}"/>
    <cellStyle name="常规 67 10" xfId="3136" xr:uid="{00000000-0005-0000-0000-0000700C0000}"/>
    <cellStyle name="常规 67 11" xfId="3139" xr:uid="{00000000-0005-0000-0000-0000730C0000}"/>
    <cellStyle name="常规 67 12" xfId="3142" xr:uid="{00000000-0005-0000-0000-0000760C0000}"/>
    <cellStyle name="常规 67 13" xfId="3145" xr:uid="{00000000-0005-0000-0000-0000790C0000}"/>
    <cellStyle name="常规 67 14" xfId="1531" xr:uid="{00000000-0005-0000-0000-00002B060000}"/>
    <cellStyle name="常规 67 15" xfId="1534" xr:uid="{00000000-0005-0000-0000-00002E060000}"/>
    <cellStyle name="常规 67 16" xfId="1537" xr:uid="{00000000-0005-0000-0000-000031060000}"/>
    <cellStyle name="常规 67 16 2" xfId="3146" xr:uid="{00000000-0005-0000-0000-00007A0C0000}"/>
    <cellStyle name="常规 67 16 2 2" xfId="3147" xr:uid="{00000000-0005-0000-0000-00007B0C0000}"/>
    <cellStyle name="常规 67 16 3" xfId="3148" xr:uid="{00000000-0005-0000-0000-00007C0C0000}"/>
    <cellStyle name="常规 67 17" xfId="3149" xr:uid="{00000000-0005-0000-0000-00007D0C0000}"/>
    <cellStyle name="常规 67 2" xfId="164" xr:uid="{00000000-0005-0000-0000-0000D4000000}"/>
    <cellStyle name="常规 67 2 2" xfId="2564" xr:uid="{00000000-0005-0000-0000-0000340A0000}"/>
    <cellStyle name="常规 67 3" xfId="245" xr:uid="{00000000-0005-0000-0000-000025010000}"/>
    <cellStyle name="常规 67 4" xfId="197" xr:uid="{00000000-0005-0000-0000-0000F5000000}"/>
    <cellStyle name="常规 67 5" xfId="3150" xr:uid="{00000000-0005-0000-0000-00007E0C0000}"/>
    <cellStyle name="常规 67 6" xfId="3151" xr:uid="{00000000-0005-0000-0000-00007F0C0000}"/>
    <cellStyle name="常规 67 7" xfId="3152" xr:uid="{00000000-0005-0000-0000-0000800C0000}"/>
    <cellStyle name="常规 67 8" xfId="3153" xr:uid="{00000000-0005-0000-0000-0000810C0000}"/>
    <cellStyle name="常规 67 9" xfId="3154" xr:uid="{00000000-0005-0000-0000-0000820C0000}"/>
    <cellStyle name="常规 68" xfId="3156" xr:uid="{00000000-0005-0000-0000-0000840C0000}"/>
    <cellStyle name="常规 68 2" xfId="284" xr:uid="{00000000-0005-0000-0000-00004C010000}"/>
    <cellStyle name="常规 68 2 2" xfId="2082" xr:uid="{00000000-0005-0000-0000-000052080000}"/>
    <cellStyle name="常规 68 3" xfId="288" xr:uid="{00000000-0005-0000-0000-000050010000}"/>
    <cellStyle name="常规 69" xfId="3158" xr:uid="{00000000-0005-0000-0000-0000860C0000}"/>
    <cellStyle name="常规 69 2" xfId="330" xr:uid="{00000000-0005-0000-0000-00007A010000}"/>
    <cellStyle name="常规 69 2 2" xfId="3012" xr:uid="{00000000-0005-0000-0000-0000F40B0000}"/>
    <cellStyle name="常规 69 3" xfId="338" xr:uid="{00000000-0005-0000-0000-000082010000}"/>
    <cellStyle name="常规 7" xfId="3159" xr:uid="{00000000-0005-0000-0000-0000870C0000}"/>
    <cellStyle name="常规 7 10" xfId="3160" xr:uid="{00000000-0005-0000-0000-0000880C0000}"/>
    <cellStyle name="常规 7 11" xfId="3161" xr:uid="{00000000-0005-0000-0000-0000890C0000}"/>
    <cellStyle name="常规 7 12" xfId="3162" xr:uid="{00000000-0005-0000-0000-00008A0C0000}"/>
    <cellStyle name="常规 7 13" xfId="3163" xr:uid="{00000000-0005-0000-0000-00008B0C0000}"/>
    <cellStyle name="常规 7 14" xfId="3164" xr:uid="{00000000-0005-0000-0000-00008C0C0000}"/>
    <cellStyle name="常规 7 15" xfId="3165" xr:uid="{00000000-0005-0000-0000-00008D0C0000}"/>
    <cellStyle name="常规 7 16" xfId="3166" xr:uid="{00000000-0005-0000-0000-00008E0C0000}"/>
    <cellStyle name="常规 7 17" xfId="3167" xr:uid="{00000000-0005-0000-0000-00008F0C0000}"/>
    <cellStyle name="常规 7 17 2" xfId="366" xr:uid="{00000000-0005-0000-0000-00009E010000}"/>
    <cellStyle name="常规 7 17 2 2" xfId="3168" xr:uid="{00000000-0005-0000-0000-0000900C0000}"/>
    <cellStyle name="常规 7 17 3" xfId="374" xr:uid="{00000000-0005-0000-0000-0000A6010000}"/>
    <cellStyle name="常规 7 18" xfId="3170" xr:uid="{00000000-0005-0000-0000-0000920C0000}"/>
    <cellStyle name="常规 7 19" xfId="3172" xr:uid="{00000000-0005-0000-0000-0000940C0000}"/>
    <cellStyle name="常规 7 2" xfId="3173" xr:uid="{00000000-0005-0000-0000-0000950C0000}"/>
    <cellStyle name="常规 7 2 2" xfId="3174" xr:uid="{00000000-0005-0000-0000-0000960C0000}"/>
    <cellStyle name="常规 7 2 3" xfId="3175" xr:uid="{00000000-0005-0000-0000-0000970C0000}"/>
    <cellStyle name="常规 7 2 4" xfId="3176" xr:uid="{00000000-0005-0000-0000-0000980C0000}"/>
    <cellStyle name="常规 7 2 4 2" xfId="3177" xr:uid="{00000000-0005-0000-0000-0000990C0000}"/>
    <cellStyle name="常规 7 3" xfId="3178" xr:uid="{00000000-0005-0000-0000-00009A0C0000}"/>
    <cellStyle name="常规 7 3 2" xfId="3179" xr:uid="{00000000-0005-0000-0000-00009B0C0000}"/>
    <cellStyle name="常规 7 3 3" xfId="3180" xr:uid="{00000000-0005-0000-0000-00009C0C0000}"/>
    <cellStyle name="常规 7 4" xfId="862" xr:uid="{00000000-0005-0000-0000-00008E030000}"/>
    <cellStyle name="常规 7 4 2" xfId="866" xr:uid="{00000000-0005-0000-0000-000092030000}"/>
    <cellStyle name="常规 7 4 3" xfId="3181" xr:uid="{00000000-0005-0000-0000-00009D0C0000}"/>
    <cellStyle name="常规 7 5" xfId="868" xr:uid="{00000000-0005-0000-0000-000094030000}"/>
    <cellStyle name="常规 7 6" xfId="3182" xr:uid="{00000000-0005-0000-0000-00009E0C0000}"/>
    <cellStyle name="常规 7 7" xfId="3183" xr:uid="{00000000-0005-0000-0000-00009F0C0000}"/>
    <cellStyle name="常规 7 8" xfId="3184" xr:uid="{00000000-0005-0000-0000-0000A00C0000}"/>
    <cellStyle name="常规 7 9" xfId="3185" xr:uid="{00000000-0005-0000-0000-0000A10C0000}"/>
    <cellStyle name="常规 70" xfId="3132" xr:uid="{00000000-0005-0000-0000-00006C0C0000}"/>
    <cellStyle name="常规 70 10" xfId="622" xr:uid="{00000000-0005-0000-0000-00009E020000}"/>
    <cellStyle name="常规 70 11" xfId="3188" xr:uid="{00000000-0005-0000-0000-0000A40C0000}"/>
    <cellStyle name="常规 70 12" xfId="3189" xr:uid="{00000000-0005-0000-0000-0000A50C0000}"/>
    <cellStyle name="常规 70 13" xfId="3190" xr:uid="{00000000-0005-0000-0000-0000A60C0000}"/>
    <cellStyle name="常规 70 14" xfId="3191" xr:uid="{00000000-0005-0000-0000-0000A70C0000}"/>
    <cellStyle name="常规 70 15" xfId="3192" xr:uid="{00000000-0005-0000-0000-0000A80C0000}"/>
    <cellStyle name="常规 70 16" xfId="358" xr:uid="{00000000-0005-0000-0000-000096010000}"/>
    <cellStyle name="常规 70 16 2" xfId="360" xr:uid="{00000000-0005-0000-0000-000098010000}"/>
    <cellStyle name="常规 70 16 2 2" xfId="3193" xr:uid="{00000000-0005-0000-0000-0000A90C0000}"/>
    <cellStyle name="常规 70 16 3" xfId="2859" xr:uid="{00000000-0005-0000-0000-00005B0B0000}"/>
    <cellStyle name="常规 70 17" xfId="364" xr:uid="{00000000-0005-0000-0000-00009C010000}"/>
    <cellStyle name="常规 70 2" xfId="98" xr:uid="{00000000-0005-0000-0000-000092000000}"/>
    <cellStyle name="常规 70 2 2" xfId="822" xr:uid="{00000000-0005-0000-0000-000066030000}"/>
    <cellStyle name="常规 70 3" xfId="134" xr:uid="{00000000-0005-0000-0000-0000B6000000}"/>
    <cellStyle name="常规 70 4" xfId="144" xr:uid="{00000000-0005-0000-0000-0000C0000000}"/>
    <cellStyle name="常规 70 5" xfId="3194" xr:uid="{00000000-0005-0000-0000-0000AA0C0000}"/>
    <cellStyle name="常规 70 6" xfId="3195" xr:uid="{00000000-0005-0000-0000-0000AB0C0000}"/>
    <cellStyle name="常规 70 7" xfId="3196" xr:uid="{00000000-0005-0000-0000-0000AC0C0000}"/>
    <cellStyle name="常规 70 8" xfId="3197" xr:uid="{00000000-0005-0000-0000-0000AD0C0000}"/>
    <cellStyle name="常规 70 9" xfId="3198" xr:uid="{00000000-0005-0000-0000-0000AE0C0000}"/>
    <cellStyle name="常规 71" xfId="916" xr:uid="{00000000-0005-0000-0000-0000C4030000}"/>
    <cellStyle name="常规 71 2" xfId="188" xr:uid="{00000000-0005-0000-0000-0000EC000000}"/>
    <cellStyle name="常规 71 2 2" xfId="1282" xr:uid="{00000000-0005-0000-0000-000032050000}"/>
    <cellStyle name="常规 71 3" xfId="193" xr:uid="{00000000-0005-0000-0000-0000F1000000}"/>
    <cellStyle name="常规 72" xfId="919" xr:uid="{00000000-0005-0000-0000-0000C7030000}"/>
    <cellStyle name="常规 72 2" xfId="163" xr:uid="{00000000-0005-0000-0000-0000D3000000}"/>
    <cellStyle name="常规 72 2 2" xfId="2563" xr:uid="{00000000-0005-0000-0000-0000330A0000}"/>
    <cellStyle name="常规 72 3" xfId="244" xr:uid="{00000000-0005-0000-0000-000024010000}"/>
    <cellStyle name="常规 73" xfId="3155" xr:uid="{00000000-0005-0000-0000-0000830C0000}"/>
    <cellStyle name="常规 73 2" xfId="283" xr:uid="{00000000-0005-0000-0000-00004B010000}"/>
    <cellStyle name="常规 73 2 2" xfId="2081" xr:uid="{00000000-0005-0000-0000-000051080000}"/>
    <cellStyle name="常规 73 3" xfId="287" xr:uid="{00000000-0005-0000-0000-00004F010000}"/>
    <cellStyle name="常规 74" xfId="3157" xr:uid="{00000000-0005-0000-0000-0000850C0000}"/>
    <cellStyle name="常规 74 2" xfId="329" xr:uid="{00000000-0005-0000-0000-000079010000}"/>
    <cellStyle name="常规 74 2 2" xfId="3011" xr:uid="{00000000-0005-0000-0000-0000F30B0000}"/>
    <cellStyle name="常规 74 3" xfId="337" xr:uid="{00000000-0005-0000-0000-000081010000}"/>
    <cellStyle name="常规 75" xfId="810" xr:uid="{00000000-0005-0000-0000-00005A030000}"/>
    <cellStyle name="常规 75 2" xfId="401" xr:uid="{00000000-0005-0000-0000-0000C1010000}"/>
    <cellStyle name="常规 75 2 2" xfId="1642" xr:uid="{00000000-0005-0000-0000-00009A060000}"/>
    <cellStyle name="常规 75 3" xfId="406" xr:uid="{00000000-0005-0000-0000-0000C6010000}"/>
    <cellStyle name="常规 76" xfId="3200" xr:uid="{00000000-0005-0000-0000-0000B00C0000}"/>
    <cellStyle name="常规 76 2" xfId="3202" xr:uid="{00000000-0005-0000-0000-0000B20C0000}"/>
    <cellStyle name="常规 76 2 2" xfId="3187" xr:uid="{00000000-0005-0000-0000-0000A30C0000}"/>
    <cellStyle name="常规 76 3" xfId="3204" xr:uid="{00000000-0005-0000-0000-0000B40C0000}"/>
    <cellStyle name="常规 77" xfId="3206" xr:uid="{00000000-0005-0000-0000-0000B60C0000}"/>
    <cellStyle name="常规 77 2" xfId="3208" xr:uid="{00000000-0005-0000-0000-0000B80C0000}"/>
    <cellStyle name="常规 77 2 2" xfId="1471" xr:uid="{00000000-0005-0000-0000-0000EF050000}"/>
    <cellStyle name="常规 77 3" xfId="3210" xr:uid="{00000000-0005-0000-0000-0000BA0C0000}"/>
    <cellStyle name="常规 78" xfId="3212" xr:uid="{00000000-0005-0000-0000-0000BC0C0000}"/>
    <cellStyle name="常规 78 2" xfId="3214" xr:uid="{00000000-0005-0000-0000-0000BE0C0000}"/>
    <cellStyle name="常规 78 2 2" xfId="3217" xr:uid="{00000000-0005-0000-0000-0000C10C0000}"/>
    <cellStyle name="常规 78 3" xfId="3219" xr:uid="{00000000-0005-0000-0000-0000C30C0000}"/>
    <cellStyle name="常规 79" xfId="3221" xr:uid="{00000000-0005-0000-0000-0000C50C0000}"/>
    <cellStyle name="常规 79 2" xfId="3223" xr:uid="{00000000-0005-0000-0000-0000C70C0000}"/>
    <cellStyle name="常规 79 2 2" xfId="3226" xr:uid="{00000000-0005-0000-0000-0000CA0C0000}"/>
    <cellStyle name="常规 79 3" xfId="3228" xr:uid="{00000000-0005-0000-0000-0000CC0C0000}"/>
    <cellStyle name="常规 8" xfId="3229" xr:uid="{00000000-0005-0000-0000-0000CD0C0000}"/>
    <cellStyle name="常规 8 10" xfId="3230" xr:uid="{00000000-0005-0000-0000-0000CE0C0000}"/>
    <cellStyle name="常规 8 11" xfId="3231" xr:uid="{00000000-0005-0000-0000-0000CF0C0000}"/>
    <cellStyle name="常规 8 12" xfId="3232" xr:uid="{00000000-0005-0000-0000-0000D00C0000}"/>
    <cellStyle name="常规 8 13" xfId="3233" xr:uid="{00000000-0005-0000-0000-0000D10C0000}"/>
    <cellStyle name="常规 8 14" xfId="3234" xr:uid="{00000000-0005-0000-0000-0000D20C0000}"/>
    <cellStyle name="常规 8 15" xfId="3235" xr:uid="{00000000-0005-0000-0000-0000D30C0000}"/>
    <cellStyle name="常规 8 16" xfId="3236" xr:uid="{00000000-0005-0000-0000-0000D40C0000}"/>
    <cellStyle name="常规 8 17" xfId="3237" xr:uid="{00000000-0005-0000-0000-0000D50C0000}"/>
    <cellStyle name="常规 8 17 2" xfId="3238" xr:uid="{00000000-0005-0000-0000-0000D60C0000}"/>
    <cellStyle name="常规 8 17 2 2" xfId="3239" xr:uid="{00000000-0005-0000-0000-0000D70C0000}"/>
    <cellStyle name="常规 8 17 3" xfId="3240" xr:uid="{00000000-0005-0000-0000-0000D80C0000}"/>
    <cellStyle name="常规 8 18" xfId="3241" xr:uid="{00000000-0005-0000-0000-0000D90C0000}"/>
    <cellStyle name="常规 8 18 2" xfId="3242" xr:uid="{00000000-0005-0000-0000-0000DA0C0000}"/>
    <cellStyle name="常规 8 18 3" xfId="3243" xr:uid="{00000000-0005-0000-0000-0000DB0C0000}"/>
    <cellStyle name="常规 8 18 4" xfId="3244" xr:uid="{00000000-0005-0000-0000-0000DC0C0000}"/>
    <cellStyle name="常规 8 19" xfId="3245" xr:uid="{00000000-0005-0000-0000-0000DD0C0000}"/>
    <cellStyle name="常规 8 2" xfId="3247" xr:uid="{00000000-0005-0000-0000-0000DF0C0000}"/>
    <cellStyle name="常规 8 2 2" xfId="2338" xr:uid="{00000000-0005-0000-0000-000052090000}"/>
    <cellStyle name="常规 8 2 3" xfId="2341" xr:uid="{00000000-0005-0000-0000-000055090000}"/>
    <cellStyle name="常规 8 2 4" xfId="2372" xr:uid="{00000000-0005-0000-0000-000074090000}"/>
    <cellStyle name="常规 8 2 4 2" xfId="3248" xr:uid="{00000000-0005-0000-0000-0000E00C0000}"/>
    <cellStyle name="常规 8 2 5" xfId="2375" xr:uid="{00000000-0005-0000-0000-000077090000}"/>
    <cellStyle name="常规 8 3" xfId="3250" xr:uid="{00000000-0005-0000-0000-0000E20C0000}"/>
    <cellStyle name="常规 8 3 2" xfId="2499" xr:uid="{00000000-0005-0000-0000-0000F3090000}"/>
    <cellStyle name="常规 8 3 3" xfId="2502" xr:uid="{00000000-0005-0000-0000-0000F6090000}"/>
    <cellStyle name="常规 8 4" xfId="801" xr:uid="{00000000-0005-0000-0000-000051030000}"/>
    <cellStyle name="常规 8 5" xfId="876" xr:uid="{00000000-0005-0000-0000-00009C030000}"/>
    <cellStyle name="常规 8 6" xfId="591" xr:uid="{00000000-0005-0000-0000-00007F020000}"/>
    <cellStyle name="常规 8 7" xfId="3251" xr:uid="{00000000-0005-0000-0000-0000E30C0000}"/>
    <cellStyle name="常规 8 8" xfId="3252" xr:uid="{00000000-0005-0000-0000-0000E40C0000}"/>
    <cellStyle name="常规 8 9" xfId="3074" xr:uid="{00000000-0005-0000-0000-0000320C0000}"/>
    <cellStyle name="常规 80" xfId="809" xr:uid="{00000000-0005-0000-0000-000059030000}"/>
    <cellStyle name="常规 80 10" xfId="1452" xr:uid="{00000000-0005-0000-0000-0000DC050000}"/>
    <cellStyle name="常规 80 11" xfId="1470" xr:uid="{00000000-0005-0000-0000-0000EE050000}"/>
    <cellStyle name="常规 80 12" xfId="1483" xr:uid="{00000000-0005-0000-0000-0000FB050000}"/>
    <cellStyle name="常规 80 13" xfId="1494" xr:uid="{00000000-0005-0000-0000-000006060000}"/>
    <cellStyle name="常规 80 14" xfId="1565" xr:uid="{00000000-0005-0000-0000-00004D060000}"/>
    <cellStyle name="常规 80 15" xfId="1571" xr:uid="{00000000-0005-0000-0000-000053060000}"/>
    <cellStyle name="常规 80 16" xfId="1576" xr:uid="{00000000-0005-0000-0000-000058060000}"/>
    <cellStyle name="常规 80 16 2" xfId="1673" xr:uid="{00000000-0005-0000-0000-0000B9060000}"/>
    <cellStyle name="常规 80 16 2 2" xfId="794" xr:uid="{00000000-0005-0000-0000-00004A030000}"/>
    <cellStyle name="常规 80 16 3" xfId="1677" xr:uid="{00000000-0005-0000-0000-0000BD060000}"/>
    <cellStyle name="常规 80 17" xfId="1581" xr:uid="{00000000-0005-0000-0000-00005D060000}"/>
    <cellStyle name="常规 80 2" xfId="400" xr:uid="{00000000-0005-0000-0000-0000C0010000}"/>
    <cellStyle name="常规 80 2 2" xfId="1641" xr:uid="{00000000-0005-0000-0000-000099060000}"/>
    <cellStyle name="常规 80 3" xfId="405" xr:uid="{00000000-0005-0000-0000-0000C5010000}"/>
    <cellStyle name="常规 80 4" xfId="418" xr:uid="{00000000-0005-0000-0000-0000D2010000}"/>
    <cellStyle name="常规 80 5" xfId="3253" xr:uid="{00000000-0005-0000-0000-0000E50C0000}"/>
    <cellStyle name="常规 80 6" xfId="3254" xr:uid="{00000000-0005-0000-0000-0000E60C0000}"/>
    <cellStyle name="常规 80 7" xfId="3255" xr:uid="{00000000-0005-0000-0000-0000E70C0000}"/>
    <cellStyle name="常规 80 8" xfId="3256" xr:uid="{00000000-0005-0000-0000-0000E80C0000}"/>
    <cellStyle name="常规 80 9" xfId="3257" xr:uid="{00000000-0005-0000-0000-0000E90C0000}"/>
    <cellStyle name="常规 81" xfId="3199" xr:uid="{00000000-0005-0000-0000-0000AF0C0000}"/>
    <cellStyle name="常规 81 10" xfId="3258" xr:uid="{00000000-0005-0000-0000-0000EA0C0000}"/>
    <cellStyle name="常规 81 11" xfId="3259" xr:uid="{00000000-0005-0000-0000-0000EB0C0000}"/>
    <cellStyle name="常规 81 12" xfId="3260" xr:uid="{00000000-0005-0000-0000-0000EC0C0000}"/>
    <cellStyle name="常规 81 13" xfId="3261" xr:uid="{00000000-0005-0000-0000-0000ED0C0000}"/>
    <cellStyle name="常规 81 14" xfId="3262" xr:uid="{00000000-0005-0000-0000-0000EE0C0000}"/>
    <cellStyle name="常规 81 15" xfId="3263" xr:uid="{00000000-0005-0000-0000-0000EF0C0000}"/>
    <cellStyle name="常规 81 16" xfId="3264" xr:uid="{00000000-0005-0000-0000-0000F00C0000}"/>
    <cellStyle name="常规 81 16 2" xfId="472" xr:uid="{00000000-0005-0000-0000-000008020000}"/>
    <cellStyle name="常规 81 16 2 2" xfId="742" xr:uid="{00000000-0005-0000-0000-000016030000}"/>
    <cellStyle name="常规 81 16 3" xfId="3265" xr:uid="{00000000-0005-0000-0000-0000F10C0000}"/>
    <cellStyle name="常规 81 17" xfId="3266" xr:uid="{00000000-0005-0000-0000-0000F20C0000}"/>
    <cellStyle name="常规 81 2" xfId="3201" xr:uid="{00000000-0005-0000-0000-0000B10C0000}"/>
    <cellStyle name="常规 81 2 2" xfId="3186" xr:uid="{00000000-0005-0000-0000-0000A20C0000}"/>
    <cellStyle name="常规 81 3" xfId="3203" xr:uid="{00000000-0005-0000-0000-0000B30C0000}"/>
    <cellStyle name="常规 81 4" xfId="3267" xr:uid="{00000000-0005-0000-0000-0000F30C0000}"/>
    <cellStyle name="常规 81 5" xfId="3268" xr:uid="{00000000-0005-0000-0000-0000F40C0000}"/>
    <cellStyle name="常规 81 6" xfId="3269" xr:uid="{00000000-0005-0000-0000-0000F50C0000}"/>
    <cellStyle name="常规 81 7" xfId="3270" xr:uid="{00000000-0005-0000-0000-0000F60C0000}"/>
    <cellStyle name="常规 81 8" xfId="3271" xr:uid="{00000000-0005-0000-0000-0000F70C0000}"/>
    <cellStyle name="常规 81 9" xfId="3272" xr:uid="{00000000-0005-0000-0000-0000F80C0000}"/>
    <cellStyle name="常规 82" xfId="3205" xr:uid="{00000000-0005-0000-0000-0000B50C0000}"/>
    <cellStyle name="常规 82 10" xfId="2889" xr:uid="{00000000-0005-0000-0000-0000790B0000}"/>
    <cellStyle name="常规 82 11" xfId="4" xr:uid="{00000000-0005-0000-0000-000006000000}"/>
    <cellStyle name="常规 82 12" xfId="3007" xr:uid="{00000000-0005-0000-0000-0000EF0B0000}"/>
    <cellStyle name="常规 82 13" xfId="3035" xr:uid="{00000000-0005-0000-0000-00000B0C0000}"/>
    <cellStyle name="常规 82 14" xfId="3047" xr:uid="{00000000-0005-0000-0000-0000170C0000}"/>
    <cellStyle name="常规 82 15" xfId="3058" xr:uid="{00000000-0005-0000-0000-0000220C0000}"/>
    <cellStyle name="常规 82 16" xfId="3067" xr:uid="{00000000-0005-0000-0000-00002B0C0000}"/>
    <cellStyle name="常规 82 16 2" xfId="3070" xr:uid="{00000000-0005-0000-0000-00002E0C0000}"/>
    <cellStyle name="常规 82 16 2 2" xfId="3073" xr:uid="{00000000-0005-0000-0000-0000310C0000}"/>
    <cellStyle name="常规 82 16 3" xfId="3077" xr:uid="{00000000-0005-0000-0000-0000350C0000}"/>
    <cellStyle name="常规 82 17" xfId="3090" xr:uid="{00000000-0005-0000-0000-0000420C0000}"/>
    <cellStyle name="常规 82 2" xfId="3207" xr:uid="{00000000-0005-0000-0000-0000B70C0000}"/>
    <cellStyle name="常规 82 2 2" xfId="1469" xr:uid="{00000000-0005-0000-0000-0000ED050000}"/>
    <cellStyle name="常规 82 3" xfId="3209" xr:uid="{00000000-0005-0000-0000-0000B90C0000}"/>
    <cellStyle name="常规 82 4" xfId="3274" xr:uid="{00000000-0005-0000-0000-0000FA0C0000}"/>
    <cellStyle name="常规 82 5" xfId="3276" xr:uid="{00000000-0005-0000-0000-0000FC0C0000}"/>
    <cellStyle name="常规 82 6" xfId="3278" xr:uid="{00000000-0005-0000-0000-0000FE0C0000}"/>
    <cellStyle name="常规 82 7" xfId="3279" xr:uid="{00000000-0005-0000-0000-0000FF0C0000}"/>
    <cellStyle name="常规 82 8" xfId="3280" xr:uid="{00000000-0005-0000-0000-0000000D0000}"/>
    <cellStyle name="常规 82 9" xfId="3281" xr:uid="{00000000-0005-0000-0000-0000010D0000}"/>
    <cellStyle name="常规 83" xfId="3211" xr:uid="{00000000-0005-0000-0000-0000BB0C0000}"/>
    <cellStyle name="常规 83 10" xfId="13" xr:uid="{00000000-0005-0000-0000-000018000000}"/>
    <cellStyle name="常规 83 11" xfId="834" xr:uid="{00000000-0005-0000-0000-000072030000}"/>
    <cellStyle name="常规 83 12" xfId="3282" xr:uid="{00000000-0005-0000-0000-0000020D0000}"/>
    <cellStyle name="常规 83 13" xfId="3283" xr:uid="{00000000-0005-0000-0000-0000030D0000}"/>
    <cellStyle name="常规 83 14" xfId="3284" xr:uid="{00000000-0005-0000-0000-0000040D0000}"/>
    <cellStyle name="常规 83 15" xfId="3285" xr:uid="{00000000-0005-0000-0000-0000050D0000}"/>
    <cellStyle name="常规 83 16" xfId="685" xr:uid="{00000000-0005-0000-0000-0000DD020000}"/>
    <cellStyle name="常规 83 16 2" xfId="3286" xr:uid="{00000000-0005-0000-0000-0000060D0000}"/>
    <cellStyle name="常规 83 16 2 2" xfId="3287" xr:uid="{00000000-0005-0000-0000-0000070D0000}"/>
    <cellStyle name="常规 83 16 3" xfId="3288" xr:uid="{00000000-0005-0000-0000-0000080D0000}"/>
    <cellStyle name="常规 83 17" xfId="3289" xr:uid="{00000000-0005-0000-0000-0000090D0000}"/>
    <cellStyle name="常规 83 2" xfId="3213" xr:uid="{00000000-0005-0000-0000-0000BD0C0000}"/>
    <cellStyle name="常规 83 2 2" xfId="3216" xr:uid="{00000000-0005-0000-0000-0000C00C0000}"/>
    <cellStyle name="常规 83 3" xfId="3218" xr:uid="{00000000-0005-0000-0000-0000C20C0000}"/>
    <cellStyle name="常规 83 3 2" xfId="3290" xr:uid="{00000000-0005-0000-0000-00000A0D0000}"/>
    <cellStyle name="常规 83 3 3" xfId="306" xr:uid="{00000000-0005-0000-0000-000062010000}"/>
    <cellStyle name="常规 83 4" xfId="3291" xr:uid="{00000000-0005-0000-0000-00000B0D0000}"/>
    <cellStyle name="常规 83 5" xfId="3292" xr:uid="{00000000-0005-0000-0000-00000C0D0000}"/>
    <cellStyle name="常规 83 6" xfId="3294" xr:uid="{00000000-0005-0000-0000-00000E0D0000}"/>
    <cellStyle name="常规 83 7" xfId="3296" xr:uid="{00000000-0005-0000-0000-0000100D0000}"/>
    <cellStyle name="常规 83 8" xfId="3298" xr:uid="{00000000-0005-0000-0000-0000120D0000}"/>
    <cellStyle name="常规 83 9" xfId="3299" xr:uid="{00000000-0005-0000-0000-0000130D0000}"/>
    <cellStyle name="常规 84" xfId="3220" xr:uid="{00000000-0005-0000-0000-0000C40C0000}"/>
    <cellStyle name="常规 84 10" xfId="3300" xr:uid="{00000000-0005-0000-0000-0000140D0000}"/>
    <cellStyle name="常规 84 11" xfId="3301" xr:uid="{00000000-0005-0000-0000-0000150D0000}"/>
    <cellStyle name="常规 84 12" xfId="3302" xr:uid="{00000000-0005-0000-0000-0000160D0000}"/>
    <cellStyle name="常规 84 13" xfId="3304" xr:uid="{00000000-0005-0000-0000-0000180D0000}"/>
    <cellStyle name="常规 84 14" xfId="1182" xr:uid="{00000000-0005-0000-0000-0000CE040000}"/>
    <cellStyle name="常规 84 15" xfId="3305" xr:uid="{00000000-0005-0000-0000-0000190D0000}"/>
    <cellStyle name="常规 84 16" xfId="3306" xr:uid="{00000000-0005-0000-0000-00001A0D0000}"/>
    <cellStyle name="常规 84 16 2" xfId="3307" xr:uid="{00000000-0005-0000-0000-00001B0D0000}"/>
    <cellStyle name="常规 84 16 2 2" xfId="3308" xr:uid="{00000000-0005-0000-0000-00001C0D0000}"/>
    <cellStyle name="常规 84 16 3" xfId="3309" xr:uid="{00000000-0005-0000-0000-00001D0D0000}"/>
    <cellStyle name="常规 84 17" xfId="3310" xr:uid="{00000000-0005-0000-0000-00001E0D0000}"/>
    <cellStyle name="常规 84 2" xfId="3222" xr:uid="{00000000-0005-0000-0000-0000C60C0000}"/>
    <cellStyle name="常规 84 2 2" xfId="3225" xr:uid="{00000000-0005-0000-0000-0000C90C0000}"/>
    <cellStyle name="常规 84 3" xfId="3227" xr:uid="{00000000-0005-0000-0000-0000CB0C0000}"/>
    <cellStyle name="常规 84 4" xfId="3311" xr:uid="{00000000-0005-0000-0000-00001F0D0000}"/>
    <cellStyle name="常规 84 5" xfId="3312" xr:uid="{00000000-0005-0000-0000-0000200D0000}"/>
    <cellStyle name="常规 84 6" xfId="3313" xr:uid="{00000000-0005-0000-0000-0000210D0000}"/>
    <cellStyle name="常规 84 7" xfId="3314" xr:uid="{00000000-0005-0000-0000-0000220D0000}"/>
    <cellStyle name="常规 84 8" xfId="3315" xr:uid="{00000000-0005-0000-0000-0000230D0000}"/>
    <cellStyle name="常规 84 9" xfId="3316" xr:uid="{00000000-0005-0000-0000-0000240D0000}"/>
    <cellStyle name="常规 85" xfId="47" xr:uid="{00000000-0005-0000-0000-000047000000}"/>
    <cellStyle name="常规 85 10" xfId="3317" xr:uid="{00000000-0005-0000-0000-0000250D0000}"/>
    <cellStyle name="常规 85 11" xfId="3215" xr:uid="{00000000-0005-0000-0000-0000BF0C0000}"/>
    <cellStyle name="常规 85 12" xfId="3318" xr:uid="{00000000-0005-0000-0000-0000260D0000}"/>
    <cellStyle name="常规 85 13" xfId="3319" xr:uid="{00000000-0005-0000-0000-0000270D0000}"/>
    <cellStyle name="常规 85 14" xfId="3320" xr:uid="{00000000-0005-0000-0000-0000280D0000}"/>
    <cellStyle name="常规 85 15" xfId="812" xr:uid="{00000000-0005-0000-0000-00005C030000}"/>
    <cellStyle name="常规 85 16" xfId="3321" xr:uid="{00000000-0005-0000-0000-0000290D0000}"/>
    <cellStyle name="常规 85 16 2" xfId="3322" xr:uid="{00000000-0005-0000-0000-00002A0D0000}"/>
    <cellStyle name="常规 85 16 2 2" xfId="2561" xr:uid="{00000000-0005-0000-0000-0000310A0000}"/>
    <cellStyle name="常规 85 16 3" xfId="3323" xr:uid="{00000000-0005-0000-0000-00002B0D0000}"/>
    <cellStyle name="常规 85 17" xfId="3324" xr:uid="{00000000-0005-0000-0000-00002C0D0000}"/>
    <cellStyle name="常规 85 2" xfId="3327" xr:uid="{00000000-0005-0000-0000-00002F0D0000}"/>
    <cellStyle name="常规 85 2 2" xfId="3330" xr:uid="{00000000-0005-0000-0000-0000320D0000}"/>
    <cellStyle name="常规 85 3" xfId="3333" xr:uid="{00000000-0005-0000-0000-0000350D0000}"/>
    <cellStyle name="常规 85 4" xfId="3335" xr:uid="{00000000-0005-0000-0000-0000370D0000}"/>
    <cellStyle name="常规 85 5" xfId="3337" xr:uid="{00000000-0005-0000-0000-0000390D0000}"/>
    <cellStyle name="常规 85 6" xfId="3339" xr:uid="{00000000-0005-0000-0000-00003B0D0000}"/>
    <cellStyle name="常规 85 7" xfId="3341" xr:uid="{00000000-0005-0000-0000-00003D0D0000}"/>
    <cellStyle name="常规 85 8" xfId="3343" xr:uid="{00000000-0005-0000-0000-00003F0D0000}"/>
    <cellStyle name="常规 85 9" xfId="3345" xr:uid="{00000000-0005-0000-0000-0000410D0000}"/>
    <cellStyle name="常规 86" xfId="3347" xr:uid="{00000000-0005-0000-0000-0000430D0000}"/>
    <cellStyle name="常规 86 10" xfId="3349" xr:uid="{00000000-0005-0000-0000-0000450D0000}"/>
    <cellStyle name="常规 86 11" xfId="3352" xr:uid="{00000000-0005-0000-0000-0000480D0000}"/>
    <cellStyle name="常规 86 12" xfId="3354" xr:uid="{00000000-0005-0000-0000-00004A0D0000}"/>
    <cellStyle name="常规 86 13" xfId="3356" xr:uid="{00000000-0005-0000-0000-00004C0D0000}"/>
    <cellStyle name="常规 86 14" xfId="3358" xr:uid="{00000000-0005-0000-0000-00004E0D0000}"/>
    <cellStyle name="常规 86 15" xfId="3360" xr:uid="{00000000-0005-0000-0000-0000500D0000}"/>
    <cellStyle name="常规 86 16" xfId="3362" xr:uid="{00000000-0005-0000-0000-0000520D0000}"/>
    <cellStyle name="常规 86 16 2" xfId="3364" xr:uid="{00000000-0005-0000-0000-0000540D0000}"/>
    <cellStyle name="常规 86 16 2 2" xfId="3366" xr:uid="{00000000-0005-0000-0000-0000560D0000}"/>
    <cellStyle name="常规 86 16 3" xfId="3368" xr:uid="{00000000-0005-0000-0000-0000580D0000}"/>
    <cellStyle name="常规 86 17" xfId="3370" xr:uid="{00000000-0005-0000-0000-00005A0D0000}"/>
    <cellStyle name="常规 86 2" xfId="3373" xr:uid="{00000000-0005-0000-0000-00005D0D0000}"/>
    <cellStyle name="常规 86 2 2" xfId="3376" xr:uid="{00000000-0005-0000-0000-0000600D0000}"/>
    <cellStyle name="常规 86 3" xfId="3378" xr:uid="{00000000-0005-0000-0000-0000620D0000}"/>
    <cellStyle name="常规 86 4" xfId="3380" xr:uid="{00000000-0005-0000-0000-0000640D0000}"/>
    <cellStyle name="常规 86 5" xfId="3382" xr:uid="{00000000-0005-0000-0000-0000660D0000}"/>
    <cellStyle name="常规 86 6" xfId="3384" xr:uid="{00000000-0005-0000-0000-0000680D0000}"/>
    <cellStyle name="常规 86 7" xfId="3386" xr:uid="{00000000-0005-0000-0000-00006A0D0000}"/>
    <cellStyle name="常规 86 8" xfId="3388" xr:uid="{00000000-0005-0000-0000-00006C0D0000}"/>
    <cellStyle name="常规 86 9" xfId="3390" xr:uid="{00000000-0005-0000-0000-00006E0D0000}"/>
    <cellStyle name="常规 87" xfId="3392" xr:uid="{00000000-0005-0000-0000-0000700D0000}"/>
    <cellStyle name="常规 87 2" xfId="463" xr:uid="{00000000-0005-0000-0000-0000FF010000}"/>
    <cellStyle name="常规 87 2 2" xfId="3393" xr:uid="{00000000-0005-0000-0000-0000710D0000}"/>
    <cellStyle name="常规 87 3" xfId="109" xr:uid="{00000000-0005-0000-0000-00009D000000}"/>
    <cellStyle name="常规 87 4" xfId="92" xr:uid="{00000000-0005-0000-0000-00008C000000}"/>
    <cellStyle name="常规 87 4 2" xfId="104" xr:uid="{00000000-0005-0000-0000-000098000000}"/>
    <cellStyle name="常规 87 4 2 2" xfId="106" xr:uid="{00000000-0005-0000-0000-00009A000000}"/>
    <cellStyle name="常规 87 4 3" xfId="112" xr:uid="{00000000-0005-0000-0000-0000A0000000}"/>
    <cellStyle name="常规 87 5" xfId="116" xr:uid="{00000000-0005-0000-0000-0000A4000000}"/>
    <cellStyle name="常规 87 6" xfId="120" xr:uid="{00000000-0005-0000-0000-0000A8000000}"/>
    <cellStyle name="常规 87 6 2" xfId="125" xr:uid="{00000000-0005-0000-0000-0000AD000000}"/>
    <cellStyle name="常规 87 7" xfId="129" xr:uid="{00000000-0005-0000-0000-0000B1000000}"/>
    <cellStyle name="常规 88" xfId="3395" xr:uid="{00000000-0005-0000-0000-0000730D0000}"/>
    <cellStyle name="常规 88 10" xfId="2777" xr:uid="{00000000-0005-0000-0000-0000090B0000}"/>
    <cellStyle name="常规 88 11" xfId="2577" xr:uid="{00000000-0005-0000-0000-0000410A0000}"/>
    <cellStyle name="常规 88 12" xfId="3397" xr:uid="{00000000-0005-0000-0000-0000750D0000}"/>
    <cellStyle name="常规 88 13" xfId="3399" xr:uid="{00000000-0005-0000-0000-0000770D0000}"/>
    <cellStyle name="常规 88 14" xfId="456" xr:uid="{00000000-0005-0000-0000-0000F8010000}"/>
    <cellStyle name="常规 88 15" xfId="659" xr:uid="{00000000-0005-0000-0000-0000C3020000}"/>
    <cellStyle name="常规 88 16" xfId="662" xr:uid="{00000000-0005-0000-0000-0000C6020000}"/>
    <cellStyle name="常规 88 16 2" xfId="3401" xr:uid="{00000000-0005-0000-0000-0000790D0000}"/>
    <cellStyle name="常规 88 16 2 2" xfId="3403" xr:uid="{00000000-0005-0000-0000-00007B0D0000}"/>
    <cellStyle name="常规 88 16 3" xfId="3405" xr:uid="{00000000-0005-0000-0000-00007D0D0000}"/>
    <cellStyle name="常规 88 17" xfId="666" xr:uid="{00000000-0005-0000-0000-0000CA020000}"/>
    <cellStyle name="常规 88 2" xfId="3407" xr:uid="{00000000-0005-0000-0000-00007F0D0000}"/>
    <cellStyle name="常规 88 2 2" xfId="3409" xr:uid="{00000000-0005-0000-0000-0000810D0000}"/>
    <cellStyle name="常规 88 3" xfId="3411" xr:uid="{00000000-0005-0000-0000-0000830D0000}"/>
    <cellStyle name="常规 88 4" xfId="3413" xr:uid="{00000000-0005-0000-0000-0000850D0000}"/>
    <cellStyle name="常规 88 5" xfId="3415" xr:uid="{00000000-0005-0000-0000-0000870D0000}"/>
    <cellStyle name="常规 88 6" xfId="3135" xr:uid="{00000000-0005-0000-0000-00006F0C0000}"/>
    <cellStyle name="常规 88 7" xfId="3138" xr:uid="{00000000-0005-0000-0000-0000720C0000}"/>
    <cellStyle name="常规 88 8" xfId="3141" xr:uid="{00000000-0005-0000-0000-0000750C0000}"/>
    <cellStyle name="常规 88 9" xfId="3144" xr:uid="{00000000-0005-0000-0000-0000780C0000}"/>
    <cellStyle name="常规 89" xfId="3417" xr:uid="{00000000-0005-0000-0000-0000890D0000}"/>
    <cellStyle name="常规 9" xfId="3418" xr:uid="{00000000-0005-0000-0000-00008A0D0000}"/>
    <cellStyle name="常规 9 10" xfId="3419" xr:uid="{00000000-0005-0000-0000-00008B0D0000}"/>
    <cellStyle name="常规 9 10 2" xfId="3420" xr:uid="{00000000-0005-0000-0000-00008C0D0000}"/>
    <cellStyle name="常规 9 10 3" xfId="3421" xr:uid="{00000000-0005-0000-0000-00008D0D0000}"/>
    <cellStyle name="常规 9 11" xfId="1523" xr:uid="{00000000-0005-0000-0000-000023060000}"/>
    <cellStyle name="常规 9 12" xfId="1134" xr:uid="{00000000-0005-0000-0000-00009E040000}"/>
    <cellStyle name="常规 9 13" xfId="1139" xr:uid="{00000000-0005-0000-0000-0000A3040000}"/>
    <cellStyle name="常规 9 14" xfId="1142" xr:uid="{00000000-0005-0000-0000-0000A6040000}"/>
    <cellStyle name="常规 9 15" xfId="3422" xr:uid="{00000000-0005-0000-0000-00008E0D0000}"/>
    <cellStyle name="常规 9 16" xfId="3423" xr:uid="{00000000-0005-0000-0000-00008F0D0000}"/>
    <cellStyle name="常规 9 17" xfId="3424" xr:uid="{00000000-0005-0000-0000-0000900D0000}"/>
    <cellStyle name="常规 9 17 2" xfId="3425" xr:uid="{00000000-0005-0000-0000-0000910D0000}"/>
    <cellStyle name="常规 9 17 2 2" xfId="3426" xr:uid="{00000000-0005-0000-0000-0000920D0000}"/>
    <cellStyle name="常规 9 17 3" xfId="3427" xr:uid="{00000000-0005-0000-0000-0000930D0000}"/>
    <cellStyle name="常规 9 18" xfId="3428" xr:uid="{00000000-0005-0000-0000-0000940D0000}"/>
    <cellStyle name="常规 9 2" xfId="291" xr:uid="{00000000-0005-0000-0000-000053010000}"/>
    <cellStyle name="常规 9 2 2" xfId="3430" xr:uid="{00000000-0005-0000-0000-0000960D0000}"/>
    <cellStyle name="常规 9 2 2 2" xfId="1017" xr:uid="{00000000-0005-0000-0000-000029040000}"/>
    <cellStyle name="常规 9 2 2 3" xfId="3431" xr:uid="{00000000-0005-0000-0000-0000970D0000}"/>
    <cellStyle name="常规 9 2 3" xfId="3433" xr:uid="{00000000-0005-0000-0000-0000990D0000}"/>
    <cellStyle name="常规 9 2 4" xfId="3435" xr:uid="{00000000-0005-0000-0000-00009B0D0000}"/>
    <cellStyle name="常规 9 2 4 2" xfId="1042" xr:uid="{00000000-0005-0000-0000-000042040000}"/>
    <cellStyle name="常规 9 3" xfId="433" xr:uid="{00000000-0005-0000-0000-0000E1010000}"/>
    <cellStyle name="常规 9 3 2" xfId="3436" xr:uid="{00000000-0005-0000-0000-00009C0D0000}"/>
    <cellStyle name="常规 9 3 3" xfId="3437" xr:uid="{00000000-0005-0000-0000-00009D0D0000}"/>
    <cellStyle name="常规 9 4" xfId="435" xr:uid="{00000000-0005-0000-0000-0000E3010000}"/>
    <cellStyle name="常规 9 4 2" xfId="879" xr:uid="{00000000-0005-0000-0000-00009F030000}"/>
    <cellStyle name="常规 9 4 3" xfId="3438" xr:uid="{00000000-0005-0000-0000-00009E0D0000}"/>
    <cellStyle name="常规 9 5" xfId="440" xr:uid="{00000000-0005-0000-0000-0000E8010000}"/>
    <cellStyle name="常规 9 5 2" xfId="3439" xr:uid="{00000000-0005-0000-0000-00009F0D0000}"/>
    <cellStyle name="常规 9 5 3" xfId="3440" xr:uid="{00000000-0005-0000-0000-0000A00D0000}"/>
    <cellStyle name="常规 9 6" xfId="445" xr:uid="{00000000-0005-0000-0000-0000ED010000}"/>
    <cellStyle name="常规 9 6 2" xfId="3441" xr:uid="{00000000-0005-0000-0000-0000A10D0000}"/>
    <cellStyle name="常规 9 6 3" xfId="3442" xr:uid="{00000000-0005-0000-0000-0000A20D0000}"/>
    <cellStyle name="常规 9 7" xfId="447" xr:uid="{00000000-0005-0000-0000-0000EF010000}"/>
    <cellStyle name="常规 9 7 2" xfId="41" xr:uid="{00000000-0005-0000-0000-00003D000000}"/>
    <cellStyle name="常规 9 7 3" xfId="3443" xr:uid="{00000000-0005-0000-0000-0000A30D0000}"/>
    <cellStyle name="常规 9 8" xfId="452" xr:uid="{00000000-0005-0000-0000-0000F4010000}"/>
    <cellStyle name="常规 9 8 2" xfId="3444" xr:uid="{00000000-0005-0000-0000-0000A40D0000}"/>
    <cellStyle name="常规 9 8 3" xfId="3445" xr:uid="{00000000-0005-0000-0000-0000A50D0000}"/>
    <cellStyle name="常规 9 9" xfId="3446" xr:uid="{00000000-0005-0000-0000-0000A60D0000}"/>
    <cellStyle name="常规 9 9 2" xfId="2837" xr:uid="{00000000-0005-0000-0000-0000450B0000}"/>
    <cellStyle name="常规 9 9 3" xfId="3447" xr:uid="{00000000-0005-0000-0000-0000A70D0000}"/>
    <cellStyle name="常规 90" xfId="46" xr:uid="{00000000-0005-0000-0000-000046000000}"/>
    <cellStyle name="常规 90 2" xfId="3326" xr:uid="{00000000-0005-0000-0000-00002E0D0000}"/>
    <cellStyle name="常规 90 2 2" xfId="3329" xr:uid="{00000000-0005-0000-0000-0000310D0000}"/>
    <cellStyle name="常规 90 2 2 2" xfId="2386" xr:uid="{00000000-0005-0000-0000-000082090000}"/>
    <cellStyle name="常规 90 2 2 2 2" xfId="2388" xr:uid="{00000000-0005-0000-0000-000084090000}"/>
    <cellStyle name="常规 90 2 2 3" xfId="2391" xr:uid="{00000000-0005-0000-0000-000087090000}"/>
    <cellStyle name="常规 90 2 3" xfId="3449" xr:uid="{00000000-0005-0000-0000-0000A90D0000}"/>
    <cellStyle name="常规 90 2 4" xfId="3451" xr:uid="{00000000-0005-0000-0000-0000AB0D0000}"/>
    <cellStyle name="常规 90 2 4 2" xfId="2402" xr:uid="{00000000-0005-0000-0000-000092090000}"/>
    <cellStyle name="常规 90 2 5" xfId="3452" xr:uid="{00000000-0005-0000-0000-0000AC0D0000}"/>
    <cellStyle name="常规 90 3" xfId="3332" xr:uid="{00000000-0005-0000-0000-0000340D0000}"/>
    <cellStyle name="常规 91" xfId="3346" xr:uid="{00000000-0005-0000-0000-0000420D0000}"/>
    <cellStyle name="常规 91 10" xfId="3348" xr:uid="{00000000-0005-0000-0000-0000440D0000}"/>
    <cellStyle name="常规 91 11" xfId="3351" xr:uid="{00000000-0005-0000-0000-0000470D0000}"/>
    <cellStyle name="常规 91 12" xfId="3353" xr:uid="{00000000-0005-0000-0000-0000490D0000}"/>
    <cellStyle name="常规 91 13" xfId="3355" xr:uid="{00000000-0005-0000-0000-00004B0D0000}"/>
    <cellStyle name="常规 91 14" xfId="3357" xr:uid="{00000000-0005-0000-0000-00004D0D0000}"/>
    <cellStyle name="常规 91 15" xfId="3359" xr:uid="{00000000-0005-0000-0000-00004F0D0000}"/>
    <cellStyle name="常规 91 16" xfId="3361" xr:uid="{00000000-0005-0000-0000-0000510D0000}"/>
    <cellStyle name="常规 91 16 2" xfId="3363" xr:uid="{00000000-0005-0000-0000-0000530D0000}"/>
    <cellStyle name="常规 91 16 2 2" xfId="3365" xr:uid="{00000000-0005-0000-0000-0000550D0000}"/>
    <cellStyle name="常规 91 16 3" xfId="3367" xr:uid="{00000000-0005-0000-0000-0000570D0000}"/>
    <cellStyle name="常规 91 17" xfId="3369" xr:uid="{00000000-0005-0000-0000-0000590D0000}"/>
    <cellStyle name="常规 91 2" xfId="3372" xr:uid="{00000000-0005-0000-0000-00005C0D0000}"/>
    <cellStyle name="常规 91 2 2" xfId="3375" xr:uid="{00000000-0005-0000-0000-00005F0D0000}"/>
    <cellStyle name="常规 91 3" xfId="3377" xr:uid="{00000000-0005-0000-0000-0000610D0000}"/>
    <cellStyle name="常规 91 4" xfId="3379" xr:uid="{00000000-0005-0000-0000-0000630D0000}"/>
    <cellStyle name="常规 91 5" xfId="3381" xr:uid="{00000000-0005-0000-0000-0000650D0000}"/>
    <cellStyle name="常规 91 6" xfId="3383" xr:uid="{00000000-0005-0000-0000-0000670D0000}"/>
    <cellStyle name="常规 91 7" xfId="3385" xr:uid="{00000000-0005-0000-0000-0000690D0000}"/>
    <cellStyle name="常规 91 8" xfId="3387" xr:uid="{00000000-0005-0000-0000-00006B0D0000}"/>
    <cellStyle name="常规 91 9" xfId="3389" xr:uid="{00000000-0005-0000-0000-00006D0D0000}"/>
    <cellStyle name="常规 92" xfId="3391" xr:uid="{00000000-0005-0000-0000-00006F0D0000}"/>
    <cellStyle name="常规 92 2" xfId="465" xr:uid="{00000000-0005-0000-0000-000001020000}"/>
    <cellStyle name="常规 92 3" xfId="108" xr:uid="{00000000-0005-0000-0000-00009C000000}"/>
    <cellStyle name="常规 92 4" xfId="91" xr:uid="{00000000-0005-0000-0000-00008B000000}"/>
    <cellStyle name="常规 92 5" xfId="115" xr:uid="{00000000-0005-0000-0000-0000A3000000}"/>
    <cellStyle name="常规 92 6" xfId="119" xr:uid="{00000000-0005-0000-0000-0000A7000000}"/>
    <cellStyle name="常规 93" xfId="3394" xr:uid="{00000000-0005-0000-0000-0000720D0000}"/>
    <cellStyle name="常规 93 10" xfId="2776" xr:uid="{00000000-0005-0000-0000-0000080B0000}"/>
    <cellStyle name="常规 93 11" xfId="2576" xr:uid="{00000000-0005-0000-0000-0000400A0000}"/>
    <cellStyle name="常规 93 12" xfId="3396" xr:uid="{00000000-0005-0000-0000-0000740D0000}"/>
    <cellStyle name="常规 93 13" xfId="3398" xr:uid="{00000000-0005-0000-0000-0000760D0000}"/>
    <cellStyle name="常规 93 14" xfId="455" xr:uid="{00000000-0005-0000-0000-0000F7010000}"/>
    <cellStyle name="常规 93 15" xfId="658" xr:uid="{00000000-0005-0000-0000-0000C2020000}"/>
    <cellStyle name="常规 93 16" xfId="661" xr:uid="{00000000-0005-0000-0000-0000C5020000}"/>
    <cellStyle name="常规 93 16 2" xfId="3400" xr:uid="{00000000-0005-0000-0000-0000780D0000}"/>
    <cellStyle name="常规 93 16 2 2" xfId="3402" xr:uid="{00000000-0005-0000-0000-00007A0D0000}"/>
    <cellStyle name="常规 93 16 3" xfId="3404" xr:uid="{00000000-0005-0000-0000-00007C0D0000}"/>
    <cellStyle name="常规 93 17" xfId="665" xr:uid="{00000000-0005-0000-0000-0000C9020000}"/>
    <cellStyle name="常规 93 2" xfId="3406" xr:uid="{00000000-0005-0000-0000-00007E0D0000}"/>
    <cellStyle name="常规 93 2 2" xfId="3408" xr:uid="{00000000-0005-0000-0000-0000800D0000}"/>
    <cellStyle name="常规 93 3" xfId="3410" xr:uid="{00000000-0005-0000-0000-0000820D0000}"/>
    <cellStyle name="常规 93 4" xfId="3412" xr:uid="{00000000-0005-0000-0000-0000840D0000}"/>
    <cellStyle name="常规 93 5" xfId="3414" xr:uid="{00000000-0005-0000-0000-0000860D0000}"/>
    <cellStyle name="常规 93 6" xfId="3134" xr:uid="{00000000-0005-0000-0000-00006E0C0000}"/>
    <cellStyle name="常规 93 7" xfId="3137" xr:uid="{00000000-0005-0000-0000-0000710C0000}"/>
    <cellStyle name="常规 93 8" xfId="3140" xr:uid="{00000000-0005-0000-0000-0000740C0000}"/>
    <cellStyle name="常规 93 9" xfId="3143" xr:uid="{00000000-0005-0000-0000-0000770C0000}"/>
    <cellStyle name="常规 94" xfId="3416" xr:uid="{00000000-0005-0000-0000-0000880D0000}"/>
    <cellStyle name="常规 95" xfId="3453" xr:uid="{00000000-0005-0000-0000-0000AD0D0000}"/>
    <cellStyle name="常规 95 10" xfId="3454" xr:uid="{00000000-0005-0000-0000-0000AE0D0000}"/>
    <cellStyle name="常规 95 11" xfId="3224" xr:uid="{00000000-0005-0000-0000-0000C80C0000}"/>
    <cellStyle name="常规 95 12" xfId="3455" xr:uid="{00000000-0005-0000-0000-0000AF0D0000}"/>
    <cellStyle name="常规 95 13" xfId="3456" xr:uid="{00000000-0005-0000-0000-0000B00D0000}"/>
    <cellStyle name="常规 95 14" xfId="709" xr:uid="{00000000-0005-0000-0000-0000F5020000}"/>
    <cellStyle name="常规 95 15" xfId="3457" xr:uid="{00000000-0005-0000-0000-0000B10D0000}"/>
    <cellStyle name="常规 95 16" xfId="3458" xr:uid="{00000000-0005-0000-0000-0000B20D0000}"/>
    <cellStyle name="常规 95 16 2" xfId="3459" xr:uid="{00000000-0005-0000-0000-0000B30D0000}"/>
    <cellStyle name="常规 95 16 2 2" xfId="2439" xr:uid="{00000000-0005-0000-0000-0000B7090000}"/>
    <cellStyle name="常规 95 16 3" xfId="3371" xr:uid="{00000000-0005-0000-0000-00005B0D0000}"/>
    <cellStyle name="常规 95 17" xfId="3460" xr:uid="{00000000-0005-0000-0000-0000B40D0000}"/>
    <cellStyle name="常规 95 2" xfId="3461" xr:uid="{00000000-0005-0000-0000-0000B50D0000}"/>
    <cellStyle name="常规 95 2 2" xfId="16" xr:uid="{00000000-0005-0000-0000-00001D000000}"/>
    <cellStyle name="常规 95 3" xfId="3462" xr:uid="{00000000-0005-0000-0000-0000B60D0000}"/>
    <cellStyle name="常规 95 4" xfId="3463" xr:uid="{00000000-0005-0000-0000-0000B70D0000}"/>
    <cellStyle name="常规 95 5" xfId="3464" xr:uid="{00000000-0005-0000-0000-0000B80D0000}"/>
    <cellStyle name="常规 95 6" xfId="3465" xr:uid="{00000000-0005-0000-0000-0000B90D0000}"/>
    <cellStyle name="常规 95 7" xfId="3466" xr:uid="{00000000-0005-0000-0000-0000BA0D0000}"/>
    <cellStyle name="常规 95 8" xfId="3467" xr:uid="{00000000-0005-0000-0000-0000BB0D0000}"/>
    <cellStyle name="常规 95 9" xfId="3468" xr:uid="{00000000-0005-0000-0000-0000BC0D0000}"/>
    <cellStyle name="常规 96" xfId="3469" xr:uid="{00000000-0005-0000-0000-0000BD0D0000}"/>
    <cellStyle name="常规 97" xfId="3470" xr:uid="{00000000-0005-0000-0000-0000BE0D0000}"/>
    <cellStyle name="常规 97 2" xfId="819" xr:uid="{00000000-0005-0000-0000-000063030000}"/>
    <cellStyle name="常规 97 2 2" xfId="3471" xr:uid="{00000000-0005-0000-0000-0000BF0D0000}"/>
    <cellStyle name="常规 97 3" xfId="821" xr:uid="{00000000-0005-0000-0000-000065030000}"/>
    <cellStyle name="常规 98" xfId="3472" xr:uid="{00000000-0005-0000-0000-0000C00D0000}"/>
    <cellStyle name="常规 98 2" xfId="738" xr:uid="{00000000-0005-0000-0000-000012030000}"/>
    <cellStyle name="常规 98 2 2" xfId="3473" xr:uid="{00000000-0005-0000-0000-0000C10D0000}"/>
    <cellStyle name="常规 98 2 2 2" xfId="3474" xr:uid="{00000000-0005-0000-0000-0000C20D0000}"/>
    <cellStyle name="常规 98 2 3" xfId="2382" xr:uid="{00000000-0005-0000-0000-00007E090000}"/>
    <cellStyle name="常规 99" xfId="3475" xr:uid="{00000000-0005-0000-0000-0000C30D0000}"/>
    <cellStyle name="常规 99 2" xfId="747" xr:uid="{00000000-0005-0000-0000-00001B030000}"/>
    <cellStyle name="常规 99 2 2" xfId="3477" xr:uid="{00000000-0005-0000-0000-0000C50D0000}"/>
    <cellStyle name="常规 99 3" xfId="749" xr:uid="{00000000-0005-0000-0000-00001D030000}"/>
    <cellStyle name="超链接 2" xfId="2662" xr:uid="{00000000-0005-0000-0000-0000960A0000}"/>
    <cellStyle name="超链接 2 2" xfId="3478" xr:uid="{00000000-0005-0000-0000-0000C60D0000}"/>
    <cellStyle name="超链接 2 2 2" xfId="3479" xr:uid="{00000000-0005-0000-0000-0000C70D0000}"/>
    <cellStyle name="超链接 2 3" xfId="3480" xr:uid="{00000000-0005-0000-0000-0000C80D0000}"/>
    <cellStyle name="好 2" xfId="3481" xr:uid="{00000000-0005-0000-0000-0000C90D0000}"/>
    <cellStyle name="好 2 2" xfId="3482" xr:uid="{00000000-0005-0000-0000-0000CA0D0000}"/>
    <cellStyle name="好 2 3" xfId="535" xr:uid="{00000000-0005-0000-0000-000047020000}"/>
    <cellStyle name="好 2 4" xfId="542" xr:uid="{00000000-0005-0000-0000-00004E020000}"/>
    <cellStyle name="好 3" xfId="3483" xr:uid="{00000000-0005-0000-0000-0000CB0D0000}"/>
    <cellStyle name="好 4" xfId="96" xr:uid="{00000000-0005-0000-0000-000090000000}"/>
    <cellStyle name="好 5" xfId="131" xr:uid="{00000000-0005-0000-0000-0000B3000000}"/>
    <cellStyle name="好 6" xfId="142" xr:uid="{00000000-0005-0000-0000-0000BE000000}"/>
    <cellStyle name="好 7" xfId="754" xr:uid="{00000000-0005-0000-0000-000022030000}"/>
    <cellStyle name="好 8" xfId="1461" xr:uid="{00000000-0005-0000-0000-0000E5050000}"/>
    <cellStyle name="好 9" xfId="3484" xr:uid="{00000000-0005-0000-0000-0000CC0D0000}"/>
    <cellStyle name="好_1109工厂回款汇总" xfId="3486" xr:uid="{00000000-0005-0000-0000-0000CE0D0000}"/>
    <cellStyle name="好_1109工厂回款汇总_2012年品种毛利情况" xfId="907" xr:uid="{00000000-0005-0000-0000-0000BB030000}"/>
    <cellStyle name="好_1109工厂回款汇总_2012年主要品种收入毛利表" xfId="730" xr:uid="{00000000-0005-0000-0000-00000A030000}"/>
    <cellStyle name="好_1201工厂收入汇总(1)" xfId="3487" xr:uid="{00000000-0005-0000-0000-0000CF0D0000}"/>
    <cellStyle name="好_2011年预计报废(1)" xfId="3489" xr:uid="{00000000-0005-0000-0000-0000D10D0000}"/>
    <cellStyle name="好_2012年1季度利润预计" xfId="2976" xr:uid="{00000000-0005-0000-0000-0000D00B0000}"/>
    <cellStyle name="好_2012年各公司收入计划（计划版1.21）(终稿)" xfId="510" xr:uid="{00000000-0005-0000-0000-00002E020000}"/>
    <cellStyle name="好_2012年各公司收入计划（计划版1.30）(终稿)" xfId="3490" xr:uid="{00000000-0005-0000-0000-0000D20D0000}"/>
    <cellStyle name="好_2012年各公司收入计划（力争版1.20）(终稿)" xfId="3491" xr:uid="{00000000-0005-0000-0000-0000D30D0000}"/>
    <cellStyle name="好_2012年利润预计(2012.1.21)" xfId="941" xr:uid="{00000000-0005-0000-0000-0000DD030000}"/>
    <cellStyle name="好_2012年营业费用预算（终稿1.16）" xfId="2748" xr:uid="{00000000-0005-0000-0000-0000EC0A0000}"/>
    <cellStyle name="好_2012年主要品种收入毛利表" xfId="1570" xr:uid="{00000000-0005-0000-0000-000052060000}"/>
    <cellStyle name="好_Book1" xfId="3492" xr:uid="{00000000-0005-0000-0000-0000D40D0000}"/>
    <cellStyle name="好_Book3" xfId="3494" xr:uid="{00000000-0005-0000-0000-0000D60D0000}"/>
    <cellStyle name="好_Book4" xfId="3496" xr:uid="{00000000-0005-0000-0000-0000D80D0000}"/>
    <cellStyle name="好_Xl0000027" xfId="3101" xr:uid="{00000000-0005-0000-0000-00004D0C0000}"/>
    <cellStyle name="好_超亿元品种情况表" xfId="616" xr:uid="{00000000-0005-0000-0000-000098020000}"/>
    <cellStyle name="好_分析表" xfId="2971" xr:uid="{00000000-0005-0000-0000-0000CB0B0000}"/>
    <cellStyle name="好_各公司1-3月收入(1)(1)" xfId="3303" xr:uid="{00000000-0005-0000-0000-0000170D0000}"/>
    <cellStyle name="好_预计管理费用（3.3亿元）" xfId="3497" xr:uid="{00000000-0005-0000-0000-0000D90D0000}"/>
    <cellStyle name="汇总 2" xfId="3498" xr:uid="{00000000-0005-0000-0000-0000DA0D0000}"/>
    <cellStyle name="汇总 2 2" xfId="2762" xr:uid="{00000000-0005-0000-0000-0000FA0A0000}"/>
    <cellStyle name="汇总 2 3" xfId="3499" xr:uid="{00000000-0005-0000-0000-0000DB0D0000}"/>
    <cellStyle name="汇总 2 4" xfId="3500" xr:uid="{00000000-0005-0000-0000-0000DC0D0000}"/>
    <cellStyle name="汇总 3" xfId="2302" xr:uid="{00000000-0005-0000-0000-00002E090000}"/>
    <cellStyle name="汇总 4" xfId="2304" xr:uid="{00000000-0005-0000-0000-000030090000}"/>
    <cellStyle name="汇总 5" xfId="216" xr:uid="{00000000-0005-0000-0000-000008010000}"/>
    <cellStyle name="汇总 6" xfId="2" xr:uid="{00000000-0005-0000-0000-000004000000}"/>
    <cellStyle name="汇总 7" xfId="3501" xr:uid="{00000000-0005-0000-0000-0000DD0D0000}"/>
    <cellStyle name="汇总 8" xfId="3502" xr:uid="{00000000-0005-0000-0000-0000DE0D0000}"/>
    <cellStyle name="汇总 9" xfId="3503" xr:uid="{00000000-0005-0000-0000-0000DF0D0000}"/>
    <cellStyle name="货币 2" xfId="2936" xr:uid="{00000000-0005-0000-0000-0000A80B0000}"/>
    <cellStyle name="计算 2" xfId="3504" xr:uid="{00000000-0005-0000-0000-0000E00D0000}"/>
    <cellStyle name="计算 2 2" xfId="3505" xr:uid="{00000000-0005-0000-0000-0000E10D0000}"/>
    <cellStyle name="计算 2 3" xfId="3506" xr:uid="{00000000-0005-0000-0000-0000E20D0000}"/>
    <cellStyle name="计算 2 4" xfId="3507" xr:uid="{00000000-0005-0000-0000-0000E30D0000}"/>
    <cellStyle name="计算 3" xfId="3508" xr:uid="{00000000-0005-0000-0000-0000E40D0000}"/>
    <cellStyle name="计算 4" xfId="3509" xr:uid="{00000000-0005-0000-0000-0000E50D0000}"/>
    <cellStyle name="计算 5" xfId="3510" xr:uid="{00000000-0005-0000-0000-0000E60D0000}"/>
    <cellStyle name="计算 6" xfId="3511" xr:uid="{00000000-0005-0000-0000-0000E70D0000}"/>
    <cellStyle name="计算 7" xfId="3512" xr:uid="{00000000-0005-0000-0000-0000E80D0000}"/>
    <cellStyle name="计算 8" xfId="1033" xr:uid="{00000000-0005-0000-0000-000039040000}"/>
    <cellStyle name="计算 9" xfId="1041" xr:uid="{00000000-0005-0000-0000-000041040000}"/>
    <cellStyle name="检查单元格 2" xfId="3513" xr:uid="{00000000-0005-0000-0000-0000E90D0000}"/>
    <cellStyle name="检查单元格 2 2" xfId="895" xr:uid="{00000000-0005-0000-0000-0000AF030000}"/>
    <cellStyle name="检查单元格 2 3" xfId="912" xr:uid="{00000000-0005-0000-0000-0000C0030000}"/>
    <cellStyle name="检查单元格 2 4" xfId="1004" xr:uid="{00000000-0005-0000-0000-00001C040000}"/>
    <cellStyle name="检查单元格 3" xfId="3514" xr:uid="{00000000-0005-0000-0000-0000EA0D0000}"/>
    <cellStyle name="检查单元格 4" xfId="3515" xr:uid="{00000000-0005-0000-0000-0000EB0D0000}"/>
    <cellStyle name="检查单元格 5" xfId="3476" xr:uid="{00000000-0005-0000-0000-0000C40D0000}"/>
    <cellStyle name="检查单元格 6" xfId="2417" xr:uid="{00000000-0005-0000-0000-0000A1090000}"/>
    <cellStyle name="检查单元格 7" xfId="2420" xr:uid="{00000000-0005-0000-0000-0000A4090000}"/>
    <cellStyle name="检查单元格 8" xfId="2422" xr:uid="{00000000-0005-0000-0000-0000A6090000}"/>
    <cellStyle name="检查单元格 9" xfId="2424" xr:uid="{00000000-0005-0000-0000-0000A8090000}"/>
    <cellStyle name="解释性文本 2" xfId="3516" xr:uid="{00000000-0005-0000-0000-0000EC0D0000}"/>
    <cellStyle name="解释性文本 2 2" xfId="3517" xr:uid="{00000000-0005-0000-0000-0000ED0D0000}"/>
    <cellStyle name="解释性文本 2 3" xfId="3518" xr:uid="{00000000-0005-0000-0000-0000EE0D0000}"/>
    <cellStyle name="解释性文本 2 4" xfId="3519" xr:uid="{00000000-0005-0000-0000-0000EF0D0000}"/>
    <cellStyle name="解释性文本 3" xfId="3520" xr:uid="{00000000-0005-0000-0000-0000F00D0000}"/>
    <cellStyle name="解释性文本 4" xfId="3521" xr:uid="{00000000-0005-0000-0000-0000F10D0000}"/>
    <cellStyle name="解释性文本 5" xfId="785" xr:uid="{00000000-0005-0000-0000-000041030000}"/>
    <cellStyle name="解释性文本 6" xfId="789" xr:uid="{00000000-0005-0000-0000-000045030000}"/>
    <cellStyle name="解释性文本 7" xfId="679" xr:uid="{00000000-0005-0000-0000-0000D7020000}"/>
    <cellStyle name="解释性文本 8" xfId="703" xr:uid="{00000000-0005-0000-0000-0000EF020000}"/>
    <cellStyle name="解释性文本 9" xfId="32" xr:uid="{00000000-0005-0000-0000-000032000000}"/>
    <cellStyle name="警告文本 2" xfId="1810" xr:uid="{00000000-0005-0000-0000-000042070000}"/>
    <cellStyle name="警告文本 2 2" xfId="1812" xr:uid="{00000000-0005-0000-0000-000044070000}"/>
    <cellStyle name="警告文本 2 3" xfId="3522" xr:uid="{00000000-0005-0000-0000-0000F20D0000}"/>
    <cellStyle name="警告文本 2 4" xfId="199" xr:uid="{00000000-0005-0000-0000-0000F7000000}"/>
    <cellStyle name="警告文本 3" xfId="1814" xr:uid="{00000000-0005-0000-0000-000046070000}"/>
    <cellStyle name="警告文本 4" xfId="3523" xr:uid="{00000000-0005-0000-0000-0000F30D0000}"/>
    <cellStyle name="警告文本 5" xfId="3524" xr:uid="{00000000-0005-0000-0000-0000F40D0000}"/>
    <cellStyle name="警告文本 6" xfId="3525" xr:uid="{00000000-0005-0000-0000-0000F50D0000}"/>
    <cellStyle name="警告文本 7" xfId="3526" xr:uid="{00000000-0005-0000-0000-0000F60D0000}"/>
    <cellStyle name="警告文本 8" xfId="3527" xr:uid="{00000000-0005-0000-0000-0000F70D0000}"/>
    <cellStyle name="警告文本 9" xfId="3528" xr:uid="{00000000-0005-0000-0000-0000F80D0000}"/>
    <cellStyle name="链接单元格 2" xfId="3529" xr:uid="{00000000-0005-0000-0000-0000F90D0000}"/>
    <cellStyle name="链接单元格 2 2" xfId="3488" xr:uid="{00000000-0005-0000-0000-0000D00D0000}"/>
    <cellStyle name="链接单元格 2 3" xfId="3530" xr:uid="{00000000-0005-0000-0000-0000FA0D0000}"/>
    <cellStyle name="链接单元格 2 4" xfId="3531" xr:uid="{00000000-0005-0000-0000-0000FB0D0000}"/>
    <cellStyle name="链接单元格 3" xfId="3532" xr:uid="{00000000-0005-0000-0000-0000FC0D0000}"/>
    <cellStyle name="链接单元格 4" xfId="3533" xr:uid="{00000000-0005-0000-0000-0000FD0D0000}"/>
    <cellStyle name="链接单元格 5" xfId="3485" xr:uid="{00000000-0005-0000-0000-0000CD0D0000}"/>
    <cellStyle name="链接单元格 6" xfId="2463" xr:uid="{00000000-0005-0000-0000-0000CF090000}"/>
    <cellStyle name="链接单元格 7" xfId="3246" xr:uid="{00000000-0005-0000-0000-0000DE0C0000}"/>
    <cellStyle name="链接单元格 8" xfId="3249" xr:uid="{00000000-0005-0000-0000-0000E10C0000}"/>
    <cellStyle name="链接单元格 9" xfId="800" xr:uid="{00000000-0005-0000-0000-000050030000}"/>
    <cellStyle name="普通" xfId="12" xr:uid="{00000000-0005-0000-0000-000017000000}"/>
    <cellStyle name="普通 2" xfId="3534" xr:uid="{00000000-0005-0000-0000-0000FE0D0000}"/>
    <cellStyle name="千位分隔 10" xfId="2754" xr:uid="{00000000-0005-0000-0000-0000F20A0000}"/>
    <cellStyle name="千位分隔 10 10" xfId="3535" xr:uid="{00000000-0005-0000-0000-0000FF0D0000}"/>
    <cellStyle name="千位分隔 10 2" xfId="2756" xr:uid="{00000000-0005-0000-0000-0000F40A0000}"/>
    <cellStyle name="千位分隔 10 3" xfId="3536" xr:uid="{00000000-0005-0000-0000-0000000E0000}"/>
    <cellStyle name="千位分隔 10 4" xfId="1649" xr:uid="{00000000-0005-0000-0000-0000A1060000}"/>
    <cellStyle name="千位分隔 10 5" xfId="1656" xr:uid="{00000000-0005-0000-0000-0000A8060000}"/>
    <cellStyle name="千位分隔 10 5 2" xfId="2695" xr:uid="{00000000-0005-0000-0000-0000B70A0000}"/>
    <cellStyle name="千位分隔 10 6" xfId="2996" xr:uid="{00000000-0005-0000-0000-0000E40B0000}"/>
    <cellStyle name="千位分隔 10 7" xfId="2999" xr:uid="{00000000-0005-0000-0000-0000E70B0000}"/>
    <cellStyle name="千位分隔 10 8" xfId="3537" xr:uid="{00000000-0005-0000-0000-0000010E0000}"/>
    <cellStyle name="千位分隔 10 9" xfId="3538" xr:uid="{00000000-0005-0000-0000-0000020E0000}"/>
    <cellStyle name="千位分隔 11" xfId="2758" xr:uid="{00000000-0005-0000-0000-0000F60A0000}"/>
    <cellStyle name="千位分隔 12" xfId="2892" xr:uid="{00000000-0005-0000-0000-00007C0B0000}"/>
    <cellStyle name="千位分隔 13" xfId="2896" xr:uid="{00000000-0005-0000-0000-0000800B0000}"/>
    <cellStyle name="千位分隔 14" xfId="2900" xr:uid="{00000000-0005-0000-0000-0000840B0000}"/>
    <cellStyle name="千位分隔 15" xfId="2905" xr:uid="{00000000-0005-0000-0000-0000890B0000}"/>
    <cellStyle name="千位分隔 16" xfId="2909" xr:uid="{00000000-0005-0000-0000-00008D0B0000}"/>
    <cellStyle name="千位分隔 17" xfId="2913" xr:uid="{00000000-0005-0000-0000-0000910B0000}"/>
    <cellStyle name="千位分隔 18" xfId="2920" xr:uid="{00000000-0005-0000-0000-0000980B0000}"/>
    <cellStyle name="千位分隔 19" xfId="2990" xr:uid="{00000000-0005-0000-0000-0000DE0B0000}"/>
    <cellStyle name="千位分隔 2" xfId="3539" xr:uid="{00000000-0005-0000-0000-0000030E0000}"/>
    <cellStyle name="千位分隔 2 10" xfId="512" xr:uid="{00000000-0005-0000-0000-000030020000}"/>
    <cellStyle name="千位分隔 2 10 2" xfId="2256" xr:uid="{00000000-0005-0000-0000-000000090000}"/>
    <cellStyle name="千位分隔 2 10 2 2" xfId="2812" xr:uid="{00000000-0005-0000-0000-00002C0B0000}"/>
    <cellStyle name="千位分隔 2 10 2 3" xfId="1394" xr:uid="{00000000-0005-0000-0000-0000A2050000}"/>
    <cellStyle name="千位分隔 2 11" xfId="517" xr:uid="{00000000-0005-0000-0000-000035020000}"/>
    <cellStyle name="千位分隔 2 12" xfId="524" xr:uid="{00000000-0005-0000-0000-00003C020000}"/>
    <cellStyle name="千位分隔 2 13" xfId="205" xr:uid="{00000000-0005-0000-0000-0000FD000000}"/>
    <cellStyle name="千位分隔 2 14" xfId="210" xr:uid="{00000000-0005-0000-0000-000002010000}"/>
    <cellStyle name="千位分隔 2 15" xfId="219" xr:uid="{00000000-0005-0000-0000-00000B010000}"/>
    <cellStyle name="千位分隔 2 16" xfId="224" xr:uid="{00000000-0005-0000-0000-000010010000}"/>
    <cellStyle name="千位分隔 2 17" xfId="231" xr:uid="{00000000-0005-0000-0000-000017010000}"/>
    <cellStyle name="千位分隔 2 18" xfId="1765" xr:uid="{00000000-0005-0000-0000-000015070000}"/>
    <cellStyle name="千位分隔 2 19" xfId="1768" xr:uid="{00000000-0005-0000-0000-000018070000}"/>
    <cellStyle name="千位分隔 2 2" xfId="3540" xr:uid="{00000000-0005-0000-0000-0000040E0000}"/>
    <cellStyle name="千位分隔 2 2 2" xfId="2766" xr:uid="{00000000-0005-0000-0000-0000FE0A0000}"/>
    <cellStyle name="千位分隔 2 2 2 2" xfId="3541" xr:uid="{00000000-0005-0000-0000-0000050E0000}"/>
    <cellStyle name="千位分隔 2 2 2 2 2" xfId="3542" xr:uid="{00000000-0005-0000-0000-0000060E0000}"/>
    <cellStyle name="千位分隔 2 2 2 2 2 2" xfId="3543" xr:uid="{00000000-0005-0000-0000-0000070E0000}"/>
    <cellStyle name="千位分隔 2 2 2 2 2 3" xfId="611" xr:uid="{00000000-0005-0000-0000-000093020000}"/>
    <cellStyle name="千位分隔 2 2 2 2 2 3 2" xfId="3544" xr:uid="{00000000-0005-0000-0000-0000080E0000}"/>
    <cellStyle name="千位分隔 2 2 2 2 2 4" xfId="3545" xr:uid="{00000000-0005-0000-0000-0000090E0000}"/>
    <cellStyle name="千位分隔 2 2 2 2 2 4 2" xfId="3546" xr:uid="{00000000-0005-0000-0000-00000A0E0000}"/>
    <cellStyle name="千位分隔 2 2 2 2 3" xfId="3547" xr:uid="{00000000-0005-0000-0000-00000B0E0000}"/>
    <cellStyle name="千位分隔 2 2 2 2 4" xfId="3548" xr:uid="{00000000-0005-0000-0000-00000C0E0000}"/>
    <cellStyle name="千位分隔 2 2 2 3" xfId="3549" xr:uid="{00000000-0005-0000-0000-00000D0E0000}"/>
    <cellStyle name="千位分隔 2 2 2 4" xfId="3550" xr:uid="{00000000-0005-0000-0000-00000E0E0000}"/>
    <cellStyle name="千位分隔 2 2 2 5" xfId="3551" xr:uid="{00000000-0005-0000-0000-00000F0E0000}"/>
    <cellStyle name="千位分隔 2 2 3" xfId="2768" xr:uid="{00000000-0005-0000-0000-0000000B0000}"/>
    <cellStyle name="千位分隔 2 2 4" xfId="2770" xr:uid="{00000000-0005-0000-0000-0000020B0000}"/>
    <cellStyle name="千位分隔 2 2 5" xfId="2772" xr:uid="{00000000-0005-0000-0000-0000040B0000}"/>
    <cellStyle name="千位分隔 2 2 5 2" xfId="3552" xr:uid="{00000000-0005-0000-0000-0000100E0000}"/>
    <cellStyle name="千位分隔 2 2 6" xfId="3553" xr:uid="{00000000-0005-0000-0000-0000110E0000}"/>
    <cellStyle name="千位分隔 2 2 7" xfId="3554" xr:uid="{00000000-0005-0000-0000-0000120E0000}"/>
    <cellStyle name="千位分隔 2 2 7 2" xfId="2137" xr:uid="{00000000-0005-0000-0000-000089080000}"/>
    <cellStyle name="千位分隔 2 2 8" xfId="1071" xr:uid="{00000000-0005-0000-0000-00005F040000}"/>
    <cellStyle name="千位分隔 2 3" xfId="3555" xr:uid="{00000000-0005-0000-0000-0000130E0000}"/>
    <cellStyle name="千位分隔 2 3 10" xfId="3556" xr:uid="{00000000-0005-0000-0000-0000140E0000}"/>
    <cellStyle name="千位分隔 2 3 2" xfId="2780" xr:uid="{00000000-0005-0000-0000-00000C0B0000}"/>
    <cellStyle name="千位分隔 2 3 2 2" xfId="3557" xr:uid="{00000000-0005-0000-0000-0000150E0000}"/>
    <cellStyle name="千位分隔 2 3 2 2 2" xfId="3559" xr:uid="{00000000-0005-0000-0000-0000170E0000}"/>
    <cellStyle name="千位分隔 2 3 2 2 3" xfId="3561" xr:uid="{00000000-0005-0000-0000-0000190E0000}"/>
    <cellStyle name="千位分隔 2 3 2 2 4" xfId="3562" xr:uid="{00000000-0005-0000-0000-00001A0E0000}"/>
    <cellStyle name="千位分隔 2 3 2 3" xfId="3563" xr:uid="{00000000-0005-0000-0000-00001B0E0000}"/>
    <cellStyle name="千位分隔 2 3 2 3 2" xfId="3564" xr:uid="{00000000-0005-0000-0000-00001C0E0000}"/>
    <cellStyle name="千位分隔 2 3 2 4" xfId="3565" xr:uid="{00000000-0005-0000-0000-00001D0E0000}"/>
    <cellStyle name="千位分隔 2 3 2 5" xfId="3566" xr:uid="{00000000-0005-0000-0000-00001E0E0000}"/>
    <cellStyle name="千位分隔 2 3 2 5 2" xfId="3567" xr:uid="{00000000-0005-0000-0000-00001F0E0000}"/>
    <cellStyle name="千位分隔 2 3 2 6" xfId="3568" xr:uid="{00000000-0005-0000-0000-0000200E0000}"/>
    <cellStyle name="千位分隔 2 3 3" xfId="2782" xr:uid="{00000000-0005-0000-0000-00000E0B0000}"/>
    <cellStyle name="千位分隔 2 3 4" xfId="2784" xr:uid="{00000000-0005-0000-0000-0000100B0000}"/>
    <cellStyle name="千位分隔 2 3 5" xfId="2786" xr:uid="{00000000-0005-0000-0000-0000120B0000}"/>
    <cellStyle name="千位分隔 2 3 6" xfId="3569" xr:uid="{00000000-0005-0000-0000-0000210E0000}"/>
    <cellStyle name="千位分隔 2 3 7" xfId="3570" xr:uid="{00000000-0005-0000-0000-0000220E0000}"/>
    <cellStyle name="千位分隔 2 3 7 2" xfId="3571" xr:uid="{00000000-0005-0000-0000-0000230E0000}"/>
    <cellStyle name="千位分隔 2 3 8" xfId="2960" xr:uid="{00000000-0005-0000-0000-0000C00B0000}"/>
    <cellStyle name="千位分隔 2 3 9" xfId="2962" xr:uid="{00000000-0005-0000-0000-0000C20B0000}"/>
    <cellStyle name="千位分隔 2 4" xfId="3572" xr:uid="{00000000-0005-0000-0000-0000240E0000}"/>
    <cellStyle name="千位分隔 2 4 2" xfId="2804" xr:uid="{00000000-0005-0000-0000-0000240B0000}"/>
    <cellStyle name="千位分隔 2 4 3" xfId="2807" xr:uid="{00000000-0005-0000-0000-0000270B0000}"/>
    <cellStyle name="千位分隔 2 5" xfId="3573" xr:uid="{00000000-0005-0000-0000-0000250E0000}"/>
    <cellStyle name="千位分隔 2 5 2" xfId="2845" xr:uid="{00000000-0005-0000-0000-00004D0B0000}"/>
    <cellStyle name="千位分隔 2 5 3" xfId="2848" xr:uid="{00000000-0005-0000-0000-0000500B0000}"/>
    <cellStyle name="千位分隔 2 6" xfId="1085" xr:uid="{00000000-0005-0000-0000-00006D040000}"/>
    <cellStyle name="千位分隔 2 6 2" xfId="1087" xr:uid="{00000000-0005-0000-0000-00006F040000}"/>
    <cellStyle name="千位分隔 2 6 3" xfId="2882" xr:uid="{00000000-0005-0000-0000-0000720B0000}"/>
    <cellStyle name="千位分隔 2 7" xfId="1091" xr:uid="{00000000-0005-0000-0000-000073040000}"/>
    <cellStyle name="千位分隔 2 7 2" xfId="2672" xr:uid="{00000000-0005-0000-0000-0000A00A0000}"/>
    <cellStyle name="千位分隔 2 7 3" xfId="2929" xr:uid="{00000000-0005-0000-0000-0000A10B0000}"/>
    <cellStyle name="千位分隔 2 8" xfId="2992" xr:uid="{00000000-0005-0000-0000-0000E00B0000}"/>
    <cellStyle name="千位分隔 2 8 2" xfId="2945" xr:uid="{00000000-0005-0000-0000-0000B10B0000}"/>
    <cellStyle name="千位分隔 2 8 3" xfId="2949" xr:uid="{00000000-0005-0000-0000-0000B50B0000}"/>
    <cellStyle name="千位分隔 2 9" xfId="2994" xr:uid="{00000000-0005-0000-0000-0000E20B0000}"/>
    <cellStyle name="千位分隔 2 9 2" xfId="3029" xr:uid="{00000000-0005-0000-0000-0000050C0000}"/>
    <cellStyle name="千位分隔 2 9 3" xfId="3031" xr:uid="{00000000-0005-0000-0000-0000070C0000}"/>
    <cellStyle name="千位分隔 20" xfId="2904" xr:uid="{00000000-0005-0000-0000-0000880B0000}"/>
    <cellStyle name="千位分隔 21" xfId="2908" xr:uid="{00000000-0005-0000-0000-00008C0B0000}"/>
    <cellStyle name="千位分隔 22" xfId="2912" xr:uid="{00000000-0005-0000-0000-0000900B0000}"/>
    <cellStyle name="千位分隔 23" xfId="2919" xr:uid="{00000000-0005-0000-0000-0000970B0000}"/>
    <cellStyle name="千位分隔 23 2" xfId="3575" xr:uid="{00000000-0005-0000-0000-0000270E0000}"/>
    <cellStyle name="千位分隔 23 2 2" xfId="3577" xr:uid="{00000000-0005-0000-0000-0000290E0000}"/>
    <cellStyle name="千位分隔 23 2 3" xfId="3038" xr:uid="{00000000-0005-0000-0000-00000E0C0000}"/>
    <cellStyle name="千位分隔 23 2 3 2" xfId="3041" xr:uid="{00000000-0005-0000-0000-0000110C0000}"/>
    <cellStyle name="千位分隔 23 2 4" xfId="3044" xr:uid="{00000000-0005-0000-0000-0000140C0000}"/>
    <cellStyle name="千位分隔 23 2 4 2" xfId="3578" xr:uid="{00000000-0005-0000-0000-00002A0E0000}"/>
    <cellStyle name="千位分隔 23 2 5" xfId="3088" xr:uid="{00000000-0005-0000-0000-0000400C0000}"/>
    <cellStyle name="千位分隔 23 3" xfId="3580" xr:uid="{00000000-0005-0000-0000-00002C0E0000}"/>
    <cellStyle name="千位分隔 23 3 2" xfId="3581" xr:uid="{00000000-0005-0000-0000-00002D0E0000}"/>
    <cellStyle name="千位分隔 23 3 3" xfId="3050" xr:uid="{00000000-0005-0000-0000-00001A0C0000}"/>
    <cellStyle name="千位分隔 23 3 4" xfId="3053" xr:uid="{00000000-0005-0000-0000-00001D0C0000}"/>
    <cellStyle name="千位分隔 23 4" xfId="1742" xr:uid="{00000000-0005-0000-0000-0000FE060000}"/>
    <cellStyle name="千位分隔 23 5" xfId="1747" xr:uid="{00000000-0005-0000-0000-000003070000}"/>
    <cellStyle name="千位分隔 24" xfId="2989" xr:uid="{00000000-0005-0000-0000-0000DD0B0000}"/>
    <cellStyle name="千位分隔 25" xfId="395" xr:uid="{00000000-0005-0000-0000-0000BB010000}"/>
    <cellStyle name="千位分隔 3" xfId="715" xr:uid="{00000000-0005-0000-0000-0000FB020000}"/>
    <cellStyle name="千位分隔 3 2" xfId="84" xr:uid="{00000000-0005-0000-0000-000084000000}"/>
    <cellStyle name="千位分隔 3 2 2" xfId="3293" xr:uid="{00000000-0005-0000-0000-00000D0D0000}"/>
    <cellStyle name="千位分隔 3 2 2 2" xfId="1603" xr:uid="{00000000-0005-0000-0000-000073060000}"/>
    <cellStyle name="千位分隔 3 2 2 3" xfId="1606" xr:uid="{00000000-0005-0000-0000-000076060000}"/>
    <cellStyle name="千位分隔 3 2 3" xfId="3295" xr:uid="{00000000-0005-0000-0000-00000F0D0000}"/>
    <cellStyle name="千位分隔 3 2 3 2" xfId="3350" xr:uid="{00000000-0005-0000-0000-0000460D0000}"/>
    <cellStyle name="千位分隔 3 2 4" xfId="3297" xr:uid="{00000000-0005-0000-0000-0000110D0000}"/>
    <cellStyle name="千位分隔 3 3" xfId="158" xr:uid="{00000000-0005-0000-0000-0000CE000000}"/>
    <cellStyle name="千位分隔 3 4" xfId="768" xr:uid="{00000000-0005-0000-0000-000030030000}"/>
    <cellStyle name="千位分隔 3 5" xfId="1478" xr:uid="{00000000-0005-0000-0000-0000F6050000}"/>
    <cellStyle name="千位分隔 3 6" xfId="1097" xr:uid="{00000000-0005-0000-0000-000079040000}"/>
    <cellStyle name="千位分隔 3 7" xfId="1100" xr:uid="{00000000-0005-0000-0000-00007C040000}"/>
    <cellStyle name="千位分隔 3 8" xfId="3558" xr:uid="{00000000-0005-0000-0000-0000160E0000}"/>
    <cellStyle name="千位分隔 3 9" xfId="3560" xr:uid="{00000000-0005-0000-0000-0000180E0000}"/>
    <cellStyle name="千位分隔 4" xfId="770" xr:uid="{00000000-0005-0000-0000-000032030000}"/>
    <cellStyle name="千位分隔 4 2" xfId="3582" xr:uid="{00000000-0005-0000-0000-00002E0E0000}"/>
    <cellStyle name="千位分隔 4 3" xfId="3583" xr:uid="{00000000-0005-0000-0000-00002F0E0000}"/>
    <cellStyle name="千位分隔 5" xfId="500" xr:uid="{00000000-0005-0000-0000-000024020000}"/>
    <cellStyle name="千位分隔 6" xfId="503" xr:uid="{00000000-0005-0000-0000-000027020000}"/>
    <cellStyle name="千位分隔 6 2" xfId="3584" xr:uid="{00000000-0005-0000-0000-0000300E0000}"/>
    <cellStyle name="千位分隔 7" xfId="509" xr:uid="{00000000-0005-0000-0000-00002D020000}"/>
    <cellStyle name="千位分隔 8" xfId="515" xr:uid="{00000000-0005-0000-0000-000033020000}"/>
    <cellStyle name="千位分隔 9" xfId="522" xr:uid="{00000000-0005-0000-0000-00003A020000}"/>
    <cellStyle name="千位分隔[0] 2" xfId="2701" xr:uid="{00000000-0005-0000-0000-0000BD0A0000}"/>
    <cellStyle name="千位分隔[0] 2 10" xfId="3585" xr:uid="{00000000-0005-0000-0000-0000310E0000}"/>
    <cellStyle name="千位分隔[0] 2 11" xfId="3586" xr:uid="{00000000-0005-0000-0000-0000320E0000}"/>
    <cellStyle name="千位分隔[0] 2 11 2" xfId="3587" xr:uid="{00000000-0005-0000-0000-0000330E0000}"/>
    <cellStyle name="千位分隔[0] 2 12" xfId="3104" xr:uid="{00000000-0005-0000-0000-0000500C0000}"/>
    <cellStyle name="千位分隔[0] 2 2" xfId="2512" xr:uid="{00000000-0005-0000-0000-0000000A0000}"/>
    <cellStyle name="千位分隔[0] 2 2 2" xfId="933" xr:uid="{00000000-0005-0000-0000-0000D5030000}"/>
    <cellStyle name="千位分隔[0] 2 2 2 2" xfId="3588" xr:uid="{00000000-0005-0000-0000-0000340E0000}"/>
    <cellStyle name="千位分隔[0] 2 2 2 3" xfId="3022" xr:uid="{00000000-0005-0000-0000-0000FE0B0000}"/>
    <cellStyle name="千位分隔[0] 2 2 3" xfId="3574" xr:uid="{00000000-0005-0000-0000-0000260E0000}"/>
    <cellStyle name="千位分隔[0] 2 2 3 2" xfId="3576" xr:uid="{00000000-0005-0000-0000-0000280E0000}"/>
    <cellStyle name="千位分隔[0] 2 2 4" xfId="3579" xr:uid="{00000000-0005-0000-0000-00002B0E0000}"/>
    <cellStyle name="千位分隔[0] 2 3" xfId="2514" xr:uid="{00000000-0005-0000-0000-0000020A0000}"/>
    <cellStyle name="千位分隔[0] 2 3 2" xfId="938" xr:uid="{00000000-0005-0000-0000-0000DA030000}"/>
    <cellStyle name="千位分隔[0] 2 3 3" xfId="3589" xr:uid="{00000000-0005-0000-0000-0000350E0000}"/>
    <cellStyle name="千位分隔[0] 2 4" xfId="2517" xr:uid="{00000000-0005-0000-0000-0000050A0000}"/>
    <cellStyle name="千位分隔[0] 2 5" xfId="3590" xr:uid="{00000000-0005-0000-0000-0000360E0000}"/>
    <cellStyle name="千位分隔[0] 2 6" xfId="3591" xr:uid="{00000000-0005-0000-0000-0000370E0000}"/>
    <cellStyle name="千位分隔[0] 2 7" xfId="3592" xr:uid="{00000000-0005-0000-0000-0000380E0000}"/>
    <cellStyle name="千位分隔[0] 2 8" xfId="2603" xr:uid="{00000000-0005-0000-0000-00005B0A0000}"/>
    <cellStyle name="千位分隔[0] 2 9" xfId="2606" xr:uid="{00000000-0005-0000-0000-00005E0A0000}"/>
    <cellStyle name="千位分隔[0] 2 9 2" xfId="3593" xr:uid="{00000000-0005-0000-0000-0000390E0000}"/>
    <cellStyle name="千位分隔[0] 2 9 2 2" xfId="3594" xr:uid="{00000000-0005-0000-0000-00003A0E0000}"/>
    <cellStyle name="千位分隔[0] 2 9 3" xfId="3595" xr:uid="{00000000-0005-0000-0000-00003B0E0000}"/>
    <cellStyle name="千位分隔[0] 3" xfId="2703" xr:uid="{00000000-0005-0000-0000-0000BF0A0000}"/>
    <cellStyle name="千位分隔[0] 3 2" xfId="3596" xr:uid="{00000000-0005-0000-0000-00003C0E0000}"/>
    <cellStyle name="千位分隔[0] 3 3" xfId="3597" xr:uid="{00000000-0005-0000-0000-00003D0E0000}"/>
    <cellStyle name="强调文字颜色 1 2" xfId="506" xr:uid="{00000000-0005-0000-0000-00002A020000}"/>
    <cellStyle name="强调文字颜色 1 2 2" xfId="3273" xr:uid="{00000000-0005-0000-0000-0000F90C0000}"/>
    <cellStyle name="强调文字颜色 1 2 3" xfId="3275" xr:uid="{00000000-0005-0000-0000-0000FB0C0000}"/>
    <cellStyle name="强调文字颜色 1 2 4" xfId="3277" xr:uid="{00000000-0005-0000-0000-0000FD0C0000}"/>
    <cellStyle name="强调文字颜色 1 3" xfId="2238" xr:uid="{00000000-0005-0000-0000-0000EE080000}"/>
    <cellStyle name="强调文字颜色 1 4" xfId="3598" xr:uid="{00000000-0005-0000-0000-00003E0E0000}"/>
    <cellStyle name="强调文字颜色 1 5" xfId="3599" xr:uid="{00000000-0005-0000-0000-00003F0E0000}"/>
    <cellStyle name="强调文字颜色 1 6" xfId="3600" xr:uid="{00000000-0005-0000-0000-0000400E0000}"/>
    <cellStyle name="强调文字颜色 1 7" xfId="3601" xr:uid="{00000000-0005-0000-0000-0000410E0000}"/>
    <cellStyle name="强调文字颜色 1 8" xfId="3602" xr:uid="{00000000-0005-0000-0000-0000420E0000}"/>
    <cellStyle name="强调文字颜色 1 9" xfId="2544" xr:uid="{00000000-0005-0000-0000-0000200A0000}"/>
    <cellStyle name="强调文字颜色 2 2" xfId="3603" xr:uid="{00000000-0005-0000-0000-0000430E0000}"/>
    <cellStyle name="强调文字颜色 2 2 2" xfId="1122" xr:uid="{00000000-0005-0000-0000-000092040000}"/>
    <cellStyle name="强调文字颜色 2 2 3" xfId="1124" xr:uid="{00000000-0005-0000-0000-000094040000}"/>
    <cellStyle name="强调文字颜色 2 2 4" xfId="1126" xr:uid="{00000000-0005-0000-0000-000096040000}"/>
    <cellStyle name="强调文字颜色 2 3" xfId="3604" xr:uid="{00000000-0005-0000-0000-0000440E0000}"/>
    <cellStyle name="强调文字颜色 2 4" xfId="3605" xr:uid="{00000000-0005-0000-0000-0000450E0000}"/>
    <cellStyle name="强调文字颜色 2 5" xfId="3606" xr:uid="{00000000-0005-0000-0000-0000460E0000}"/>
    <cellStyle name="强调文字颜色 2 6" xfId="3607" xr:uid="{00000000-0005-0000-0000-0000470E0000}"/>
    <cellStyle name="强调文字颜色 2 7" xfId="3608" xr:uid="{00000000-0005-0000-0000-0000480E0000}"/>
    <cellStyle name="强调文字颜色 2 8" xfId="3609" xr:uid="{00000000-0005-0000-0000-0000490E0000}"/>
    <cellStyle name="强调文字颜色 2 9" xfId="2547" xr:uid="{00000000-0005-0000-0000-0000230A0000}"/>
    <cellStyle name="强调文字颜色 3 2" xfId="3610" xr:uid="{00000000-0005-0000-0000-00004A0E0000}"/>
    <cellStyle name="强调文字颜色 3 2 2" xfId="1594" xr:uid="{00000000-0005-0000-0000-00006A060000}"/>
    <cellStyle name="强调文字颜色 3 2 3" xfId="1597" xr:uid="{00000000-0005-0000-0000-00006D060000}"/>
    <cellStyle name="强调文字颜色 3 2 4" xfId="1600" xr:uid="{00000000-0005-0000-0000-000070060000}"/>
    <cellStyle name="强调文字颜色 3 3" xfId="1841" xr:uid="{00000000-0005-0000-0000-000061070000}"/>
    <cellStyle name="强调文字颜色 3 4" xfId="1854" xr:uid="{00000000-0005-0000-0000-00006E070000}"/>
    <cellStyle name="强调文字颜色 3 5" xfId="1862" xr:uid="{00000000-0005-0000-0000-000076070000}"/>
    <cellStyle name="强调文字颜色 3 6" xfId="1877" xr:uid="{00000000-0005-0000-0000-000085070000}"/>
    <cellStyle name="强调文字颜色 3 7" xfId="1892" xr:uid="{00000000-0005-0000-0000-000094070000}"/>
    <cellStyle name="强调文字颜色 3 8" xfId="1910" xr:uid="{00000000-0005-0000-0000-0000A6070000}"/>
    <cellStyle name="强调文字颜色 3 9" xfId="1946" xr:uid="{00000000-0005-0000-0000-0000CA070000}"/>
    <cellStyle name="强调文字颜色 4 2" xfId="2412" xr:uid="{00000000-0005-0000-0000-00009C090000}"/>
    <cellStyle name="强调文字颜色 4 2 2" xfId="2745" xr:uid="{00000000-0005-0000-0000-0000E90A0000}"/>
    <cellStyle name="强调文字颜色 4 2 3" xfId="2747" xr:uid="{00000000-0005-0000-0000-0000EB0A0000}"/>
    <cellStyle name="强调文字颜色 4 2 4" xfId="2750" xr:uid="{00000000-0005-0000-0000-0000EE0A0000}"/>
    <cellStyle name="强调文字颜色 4 3" xfId="2435" xr:uid="{00000000-0005-0000-0000-0000B3090000}"/>
    <cellStyle name="强调文字颜色 4 4" xfId="2438" xr:uid="{00000000-0005-0000-0000-0000B6090000}"/>
    <cellStyle name="强调文字颜色 4 5" xfId="2442" xr:uid="{00000000-0005-0000-0000-0000BA090000}"/>
    <cellStyle name="强调文字颜色 4 6" xfId="2445" xr:uid="{00000000-0005-0000-0000-0000BD090000}"/>
    <cellStyle name="强调文字颜色 4 7" xfId="2448" xr:uid="{00000000-0005-0000-0000-0000C0090000}"/>
    <cellStyle name="强调文字颜色 4 8" xfId="2465" xr:uid="{00000000-0005-0000-0000-0000D1090000}"/>
    <cellStyle name="强调文字颜色 4 9" xfId="2468" xr:uid="{00000000-0005-0000-0000-0000D4090000}"/>
    <cellStyle name="强调文字颜色 5 2" xfId="2240" xr:uid="{00000000-0005-0000-0000-0000F0080000}"/>
    <cellStyle name="强调文字颜色 5 2 2" xfId="2895" xr:uid="{00000000-0005-0000-0000-00007F0B0000}"/>
    <cellStyle name="强调文字颜色 5 2 3" xfId="2899" xr:uid="{00000000-0005-0000-0000-0000830B0000}"/>
    <cellStyle name="强调文字颜色 5 2 4" xfId="2903" xr:uid="{00000000-0005-0000-0000-0000870B0000}"/>
    <cellStyle name="强调文字颜色 5 3" xfId="3611" xr:uid="{00000000-0005-0000-0000-00004B0E0000}"/>
    <cellStyle name="强调文字颜色 5 4" xfId="3374" xr:uid="{00000000-0005-0000-0000-00005E0D0000}"/>
    <cellStyle name="强调文字颜色 5 5" xfId="3612" xr:uid="{00000000-0005-0000-0000-00004C0E0000}"/>
    <cellStyle name="强调文字颜色 5 6" xfId="3613" xr:uid="{00000000-0005-0000-0000-00004D0E0000}"/>
    <cellStyle name="强调文字颜色 5 7" xfId="3614" xr:uid="{00000000-0005-0000-0000-00004E0E0000}"/>
    <cellStyle name="强调文字颜色 5 8" xfId="806" xr:uid="{00000000-0005-0000-0000-000056030000}"/>
    <cellStyle name="强调文字颜色 5 9" xfId="3615" xr:uid="{00000000-0005-0000-0000-00004F0E0000}"/>
    <cellStyle name="强调文字颜色 6 2" xfId="3616" xr:uid="{00000000-0005-0000-0000-0000500E0000}"/>
    <cellStyle name="强调文字颜色 6 2 2" xfId="3617" xr:uid="{00000000-0005-0000-0000-0000510E0000}"/>
    <cellStyle name="强调文字颜色 6 2 3" xfId="3618" xr:uid="{00000000-0005-0000-0000-0000520E0000}"/>
    <cellStyle name="强调文字颜色 6 2 4" xfId="814" xr:uid="{00000000-0005-0000-0000-00005E030000}"/>
    <cellStyle name="强调文字颜色 6 3" xfId="3493" xr:uid="{00000000-0005-0000-0000-0000D50D0000}"/>
    <cellStyle name="强调文字颜色 6 4" xfId="3495" xr:uid="{00000000-0005-0000-0000-0000D70D0000}"/>
    <cellStyle name="强调文字颜色 6 5" xfId="3619" xr:uid="{00000000-0005-0000-0000-0000530E0000}"/>
    <cellStyle name="强调文字颜色 6 6" xfId="3620" xr:uid="{00000000-0005-0000-0000-0000540E0000}"/>
    <cellStyle name="强调文字颜色 6 7" xfId="3621" xr:uid="{00000000-0005-0000-0000-0000550E0000}"/>
    <cellStyle name="强调文字颜色 6 8" xfId="3622" xr:uid="{00000000-0005-0000-0000-0000560E0000}"/>
    <cellStyle name="强调文字颜色 6 9" xfId="3623" xr:uid="{00000000-0005-0000-0000-0000570E0000}"/>
    <cellStyle name="适中 2" xfId="949" xr:uid="{00000000-0005-0000-0000-0000E5030000}"/>
    <cellStyle name="适中 2 2" xfId="951" xr:uid="{00000000-0005-0000-0000-0000E7030000}"/>
    <cellStyle name="适中 2 3" xfId="1310" xr:uid="{00000000-0005-0000-0000-00004E050000}"/>
    <cellStyle name="适中 2 4" xfId="1313" xr:uid="{00000000-0005-0000-0000-000051050000}"/>
    <cellStyle name="适中 3" xfId="955" xr:uid="{00000000-0005-0000-0000-0000EB030000}"/>
    <cellStyle name="适中 4" xfId="3624" xr:uid="{00000000-0005-0000-0000-0000580E0000}"/>
    <cellStyle name="适中 5" xfId="3625" xr:uid="{00000000-0005-0000-0000-0000590E0000}"/>
    <cellStyle name="适中 6" xfId="1836" xr:uid="{00000000-0005-0000-0000-00005C070000}"/>
    <cellStyle name="适中 7" xfId="1838" xr:uid="{00000000-0005-0000-0000-00005E070000}"/>
    <cellStyle name="适中 8" xfId="3626" xr:uid="{00000000-0005-0000-0000-00005A0E0000}"/>
    <cellStyle name="适中 9" xfId="3627" xr:uid="{00000000-0005-0000-0000-00005B0E0000}"/>
    <cellStyle name="输出 2" xfId="3325" xr:uid="{00000000-0005-0000-0000-00002D0D0000}"/>
    <cellStyle name="输出 2 2" xfId="3328" xr:uid="{00000000-0005-0000-0000-0000300D0000}"/>
    <cellStyle name="输出 2 3" xfId="3448" xr:uid="{00000000-0005-0000-0000-0000A80D0000}"/>
    <cellStyle name="输出 2 4" xfId="3450" xr:uid="{00000000-0005-0000-0000-0000AA0D0000}"/>
    <cellStyle name="输出 3" xfId="3331" xr:uid="{00000000-0005-0000-0000-0000330D0000}"/>
    <cellStyle name="输出 4" xfId="3334" xr:uid="{00000000-0005-0000-0000-0000360D0000}"/>
    <cellStyle name="输出 5" xfId="3336" xr:uid="{00000000-0005-0000-0000-0000380D0000}"/>
    <cellStyle name="输出 6" xfId="3338" xr:uid="{00000000-0005-0000-0000-00003A0D0000}"/>
    <cellStyle name="输出 7" xfId="3340" xr:uid="{00000000-0005-0000-0000-00003C0D0000}"/>
    <cellStyle name="输出 8" xfId="3342" xr:uid="{00000000-0005-0000-0000-00003E0D0000}"/>
    <cellStyle name="输出 9" xfId="3344" xr:uid="{00000000-0005-0000-0000-0000400D0000}"/>
    <cellStyle name="输入 2" xfId="2505" xr:uid="{00000000-0005-0000-0000-0000F9090000}"/>
    <cellStyle name="输入 2 2" xfId="2507" xr:uid="{00000000-0005-0000-0000-0000FB090000}"/>
    <cellStyle name="输入 2 3" xfId="2509" xr:uid="{00000000-0005-0000-0000-0000FD090000}"/>
    <cellStyle name="输入 2 4" xfId="2511" xr:uid="{00000000-0005-0000-0000-0000FF090000}"/>
    <cellStyle name="输入 3" xfId="2531" xr:uid="{00000000-0005-0000-0000-0000130A0000}"/>
    <cellStyle name="输入 4" xfId="3628" xr:uid="{00000000-0005-0000-0000-00005C0E0000}"/>
    <cellStyle name="输入 5" xfId="3629" xr:uid="{00000000-0005-0000-0000-00005D0E0000}"/>
    <cellStyle name="输入 6" xfId="3630" xr:uid="{00000000-0005-0000-0000-00005E0E0000}"/>
    <cellStyle name="输入 7" xfId="3631" xr:uid="{00000000-0005-0000-0000-00005F0E0000}"/>
    <cellStyle name="输入 8" xfId="160" xr:uid="{00000000-0005-0000-0000-0000D0000000}"/>
    <cellStyle name="输入 9" xfId="3632" xr:uid="{00000000-0005-0000-0000-0000600E0000}"/>
    <cellStyle name="样式 1" xfId="192" xr:uid="{00000000-0005-0000-0000-0000F0000000}"/>
    <cellStyle name="注释 10" xfId="2617" xr:uid="{00000000-0005-0000-0000-0000690A0000}"/>
    <cellStyle name="注释 2" xfId="3169" xr:uid="{00000000-0005-0000-0000-0000910C0000}"/>
    <cellStyle name="注释 2 2" xfId="554" xr:uid="{00000000-0005-0000-0000-00005A020000}"/>
    <cellStyle name="注释 2 3" xfId="55" xr:uid="{00000000-0005-0000-0000-000053000000}"/>
    <cellStyle name="注释 2 3 2" xfId="2062" xr:uid="{00000000-0005-0000-0000-00003E080000}"/>
    <cellStyle name="注释 2 3 2 2" xfId="2620" xr:uid="{00000000-0005-0000-0000-00006C0A0000}"/>
    <cellStyle name="注释 2 3 3" xfId="2065" xr:uid="{00000000-0005-0000-0000-000041080000}"/>
    <cellStyle name="注释 2 4" xfId="558" xr:uid="{00000000-0005-0000-0000-00005E020000}"/>
    <cellStyle name="注释 2 5" xfId="569" xr:uid="{00000000-0005-0000-0000-000069020000}"/>
    <cellStyle name="注释 2 5 2" xfId="3633" xr:uid="{00000000-0005-0000-0000-0000610E0000}"/>
    <cellStyle name="注释 2 6" xfId="3634" xr:uid="{00000000-0005-0000-0000-0000620E0000}"/>
    <cellStyle name="注释 3" xfId="3171" xr:uid="{00000000-0005-0000-0000-0000930C0000}"/>
    <cellStyle name="注释 3 2" xfId="600" xr:uid="{00000000-0005-0000-0000-000088020000}"/>
    <cellStyle name="注释 3 2 2" xfId="3635" xr:uid="{00000000-0005-0000-0000-0000630E0000}"/>
    <cellStyle name="注释 3 2 2 2" xfId="2520" xr:uid="{00000000-0005-0000-0000-0000080A0000}"/>
    <cellStyle name="注释 3 2 3" xfId="1136" xr:uid="{00000000-0005-0000-0000-0000A0040000}"/>
    <cellStyle name="注释 3 3" xfId="606" xr:uid="{00000000-0005-0000-0000-00008E020000}"/>
    <cellStyle name="注释 3 4" xfId="608" xr:uid="{00000000-0005-0000-0000-000090020000}"/>
    <cellStyle name="注释 3 4 2" xfId="610" xr:uid="{00000000-0005-0000-0000-000092020000}"/>
    <cellStyle name="注释 3 5" xfId="477" xr:uid="{00000000-0005-0000-0000-00000D020000}"/>
    <cellStyle name="注释 4" xfId="3636" xr:uid="{00000000-0005-0000-0000-0000640E0000}"/>
    <cellStyle name="注释 5" xfId="3637" xr:uid="{00000000-0005-0000-0000-0000650E0000}"/>
    <cellStyle name="注释 6" xfId="3638" xr:uid="{00000000-0005-0000-0000-0000660E0000}"/>
    <cellStyle name="注释 7" xfId="3429" xr:uid="{00000000-0005-0000-0000-0000950D0000}"/>
    <cellStyle name="注释 8" xfId="3432" xr:uid="{00000000-0005-0000-0000-0000980D0000}"/>
    <cellStyle name="注释 8 2" xfId="1027" xr:uid="{00000000-0005-0000-0000-000033040000}"/>
    <cellStyle name="注释 8 2 2" xfId="2728" xr:uid="{00000000-0005-0000-0000-0000D80A0000}"/>
    <cellStyle name="注释 8 3" xfId="3639" xr:uid="{00000000-0005-0000-0000-0000670E0000}"/>
    <cellStyle name="注释 9" xfId="3434" xr:uid="{00000000-0005-0000-0000-00009A0D0000}"/>
    <cellStyle name="注释 9 2" xfId="1040" xr:uid="{00000000-0005-0000-0000-000040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628650</xdr:colOff>
          <xdr:row>2</xdr:row>
          <xdr:rowOff>85725</xdr:rowOff>
        </xdr:from>
        <xdr:to>
          <xdr:col>7</xdr:col>
          <xdr:colOff>1704975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生成流向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7</xdr:row>
          <xdr:rowOff>76200</xdr:rowOff>
        </xdr:from>
        <xdr:to>
          <xdr:col>7</xdr:col>
          <xdr:colOff>1676400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E49A859-ADA2-440B-B45E-747C11CDF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ong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流向迭代数据"/>
    </sheetNames>
    <sheetDataSet>
      <sheetData sheetId="0"/>
      <sheetData sheetId="1">
        <row r="2">
          <cell r="E2" t="str">
            <v>0020030001SJZY0006</v>
          </cell>
          <cell r="H2" t="str">
            <v>滨州益康医药连锁有限公司邹平县第一药店</v>
          </cell>
          <cell r="J2" t="str">
            <v>1859</v>
          </cell>
          <cell r="K2" t="str">
            <v>201602151421097</v>
          </cell>
          <cell r="M2" t="str">
            <v>葡萄糖酸钙口服溶液10ml*12支</v>
          </cell>
        </row>
        <row r="3">
          <cell r="E3" t="str">
            <v>0020030001SJZY0009</v>
          </cell>
          <cell r="H3" t="str">
            <v>滨州益康医药连锁有限公司邹平县第一药店</v>
          </cell>
          <cell r="J3" t="str">
            <v>1859</v>
          </cell>
          <cell r="K3" t="str">
            <v>201602151421097</v>
          </cell>
          <cell r="M3" t="str">
            <v>葡萄糖酸锌口服液10ml*12支</v>
          </cell>
        </row>
        <row r="4">
          <cell r="E4" t="str">
            <v>0020030001SJZY0009</v>
          </cell>
          <cell r="H4" t="str">
            <v>滨州益康医药连锁有限公司邹平县第九药店</v>
          </cell>
          <cell r="J4" t="str">
            <v>1859</v>
          </cell>
          <cell r="K4" t="str">
            <v>201602151421097</v>
          </cell>
          <cell r="M4" t="str">
            <v>葡萄糖酸锌口服液10ml*12支</v>
          </cell>
        </row>
        <row r="5">
          <cell r="E5" t="str">
            <v>0020020030ZYZC0510</v>
          </cell>
          <cell r="H5" t="str">
            <v>滨州益康医药连锁有限公司邹平县第九药店</v>
          </cell>
          <cell r="J5" t="str">
            <v>1859</v>
          </cell>
          <cell r="K5" t="str">
            <v>201602151421097</v>
          </cell>
          <cell r="M5" t="str">
            <v>诺氟沙星胶囊0.1g*20粒</v>
          </cell>
        </row>
        <row r="6">
          <cell r="E6" t="str">
            <v>0020030170ZYEC0003</v>
          </cell>
          <cell r="H6" t="str">
            <v>邹平郭柯中医诊所</v>
          </cell>
          <cell r="J6" t="str">
            <v>1859</v>
          </cell>
          <cell r="K6" t="str">
            <v>201602151421097</v>
          </cell>
          <cell r="M6" t="str">
            <v>蒙脱石散3g*12袋</v>
          </cell>
        </row>
        <row r="7">
          <cell r="E7" t="str">
            <v>0020070000ZYLC0001</v>
          </cell>
          <cell r="H7" t="str">
            <v>山东魏桥创业集团魏桥工业园医务室</v>
          </cell>
          <cell r="J7" t="str">
            <v>1859</v>
          </cell>
          <cell r="K7" t="str">
            <v>201602151421097</v>
          </cell>
          <cell r="M7" t="str">
            <v>新盖中盖高钙片(成人)/盖中盖2.5g*36片</v>
          </cell>
        </row>
        <row r="8">
          <cell r="E8" t="str">
            <v>0020030020ZYLC0013</v>
          </cell>
          <cell r="H8" t="str">
            <v>滨州益康医药连锁有限公司邹平县第三药店</v>
          </cell>
          <cell r="J8" t="str">
            <v>1859</v>
          </cell>
          <cell r="K8" t="str">
            <v>201602151421097</v>
          </cell>
          <cell r="M8" t="str">
            <v>乳酸菌素片0.4g*36片</v>
          </cell>
        </row>
        <row r="9">
          <cell r="E9" t="str">
            <v>0020020021ZYLC0005</v>
          </cell>
          <cell r="H9" t="str">
            <v>山东魏桥创业集团魏桥工业园医务室</v>
          </cell>
          <cell r="J9" t="str">
            <v>1859</v>
          </cell>
          <cell r="K9" t="str">
            <v>201602151421097</v>
          </cell>
          <cell r="M9" t="str">
            <v>罗红霉素分散片/小严迪50mg*12片</v>
          </cell>
        </row>
        <row r="10">
          <cell r="E10" t="str">
            <v>0020020020ZYZC0473</v>
          </cell>
          <cell r="H10" t="str">
            <v>滨州益康医药连锁有限公司邹平县第十药店</v>
          </cell>
          <cell r="J10" t="str">
            <v>1859</v>
          </cell>
          <cell r="K10" t="str">
            <v>201602151421097</v>
          </cell>
          <cell r="M10" t="str">
            <v>盐酸环丙沙星片0.25g*12片</v>
          </cell>
        </row>
        <row r="11">
          <cell r="E11" t="str">
            <v>0020070000ZYLC0055</v>
          </cell>
          <cell r="H11" t="str">
            <v>滨州益康医药连锁有限公司邹平县黄山三路店</v>
          </cell>
          <cell r="J11" t="str">
            <v>1859</v>
          </cell>
          <cell r="K11" t="str">
            <v>201602151421097</v>
          </cell>
          <cell r="M11" t="str">
            <v>朴血乳酸亚铁口服液10ml*12支</v>
          </cell>
        </row>
        <row r="12">
          <cell r="E12" t="str">
            <v>0020100000ZYLC0012</v>
          </cell>
          <cell r="H12" t="str">
            <v>滨州益康医药连锁有限公司邹平县魏桥惠民店</v>
          </cell>
          <cell r="J12" t="str">
            <v>1859</v>
          </cell>
          <cell r="K12" t="str">
            <v>201602151421097</v>
          </cell>
          <cell r="M12" t="str">
            <v>医用退热贴2贴</v>
          </cell>
        </row>
        <row r="13">
          <cell r="E13" t="str">
            <v>0020020030ZYZC0510</v>
          </cell>
          <cell r="H13" t="str">
            <v>滨州益康医药连锁有限公司邹平县第十药店</v>
          </cell>
          <cell r="J13" t="str">
            <v>1859</v>
          </cell>
          <cell r="K13" t="str">
            <v>201602151421097</v>
          </cell>
          <cell r="M13" t="str">
            <v>诺氟沙星胶囊0.1g*20粒</v>
          </cell>
        </row>
        <row r="14">
          <cell r="E14" t="str">
            <v>0020070000ZYLC0052</v>
          </cell>
          <cell r="H14" t="str">
            <v>滨州益康医药连锁有限公司邹平县第十药店</v>
          </cell>
          <cell r="J14" t="str">
            <v>1859</v>
          </cell>
          <cell r="K14" t="str">
            <v>201602151421097</v>
          </cell>
          <cell r="M14" t="str">
            <v>哈药六牌钙加锌口服液10ml*12支</v>
          </cell>
        </row>
        <row r="15">
          <cell r="E15" t="str">
            <v>0020050020ZYEC0008</v>
          </cell>
          <cell r="H15" t="str">
            <v>滨州益康医药连锁有限公司邹平县第十药店</v>
          </cell>
          <cell r="J15" t="str">
            <v>1859</v>
          </cell>
          <cell r="K15" t="str">
            <v>201602151421097</v>
          </cell>
          <cell r="M15" t="str">
            <v>感冒解毒灵颗粒5g*10袋</v>
          </cell>
        </row>
        <row r="16">
          <cell r="E16" t="str">
            <v>0020020020ZYZC0473</v>
          </cell>
          <cell r="H16" t="str">
            <v>滨州益康医药连锁有限公司邹平县第七药店</v>
          </cell>
          <cell r="J16" t="str">
            <v>1859</v>
          </cell>
          <cell r="K16" t="str">
            <v>201602151421097</v>
          </cell>
          <cell r="M16" t="str">
            <v>盐酸环丙沙星片0.25g*12片</v>
          </cell>
        </row>
        <row r="17">
          <cell r="E17" t="str">
            <v>0020030040SHYT0010</v>
          </cell>
          <cell r="H17" t="str">
            <v>滨州益康医药连锁有限公司邹平县黄山三路店</v>
          </cell>
          <cell r="J17" t="str">
            <v>1859</v>
          </cell>
          <cell r="K17" t="str">
            <v>201602151421097</v>
          </cell>
          <cell r="M17" t="str">
            <v>布洛芬颗粒/小安瑞克0.2g*12袋</v>
          </cell>
        </row>
        <row r="18">
          <cell r="E18" t="str">
            <v>0020030020ZYLC0013</v>
          </cell>
          <cell r="H18" t="str">
            <v>滨州益康医药连锁有限公司邹平县邹魏二区店</v>
          </cell>
          <cell r="J18" t="str">
            <v>1859</v>
          </cell>
          <cell r="K18" t="str">
            <v>201602151421097</v>
          </cell>
          <cell r="M18" t="str">
            <v>乳酸菌素片0.4g*36片</v>
          </cell>
        </row>
        <row r="19">
          <cell r="E19" t="str">
            <v>0020070001ZYZC0383</v>
          </cell>
          <cell r="H19" t="str">
            <v>滨州益康医药连锁有限公司邹平县第八药店</v>
          </cell>
          <cell r="J19" t="str">
            <v>1859</v>
          </cell>
          <cell r="K19" t="str">
            <v>201602151421097</v>
          </cell>
          <cell r="M19" t="str">
            <v>哈药牌钙铁锌口服液10ml*10支</v>
          </cell>
        </row>
        <row r="20">
          <cell r="E20" t="str">
            <v>0020070000ZYLC0001</v>
          </cell>
          <cell r="H20" t="str">
            <v>滨州益康医药连锁有限公司邹平县第八药店</v>
          </cell>
          <cell r="J20" t="str">
            <v>1859</v>
          </cell>
          <cell r="K20" t="str">
            <v>201602151421097</v>
          </cell>
          <cell r="M20" t="str">
            <v>新盖中盖高钙片(成人)/盖中盖2.5g*36片</v>
          </cell>
        </row>
        <row r="21">
          <cell r="E21" t="str">
            <v>0020070001ZYZC0383</v>
          </cell>
          <cell r="H21" t="str">
            <v>滨州益康医药连锁有限公司邹平月河店</v>
          </cell>
          <cell r="J21" t="str">
            <v>1859</v>
          </cell>
          <cell r="K21" t="str">
            <v>201602151421097</v>
          </cell>
          <cell r="M21" t="str">
            <v>哈药牌钙铁锌口服液10ml*10支</v>
          </cell>
        </row>
        <row r="22">
          <cell r="E22" t="str">
            <v>0020040070ZYEC0005</v>
          </cell>
          <cell r="H22" t="str">
            <v>滨州益康医药连锁有限公司邹平县邹魏二区店</v>
          </cell>
          <cell r="J22" t="str">
            <v>1859</v>
          </cell>
          <cell r="K22" t="str">
            <v>201602151421097</v>
          </cell>
          <cell r="M22" t="str">
            <v>小儿百部止咳糖浆100ml</v>
          </cell>
        </row>
        <row r="23">
          <cell r="E23" t="str">
            <v>0020030040ZYLC0001</v>
          </cell>
          <cell r="H23" t="str">
            <v>滨州益康医药连锁有限公司邹平县第八药店</v>
          </cell>
          <cell r="J23" t="str">
            <v>1859</v>
          </cell>
          <cell r="K23" t="str">
            <v>201602151421097</v>
          </cell>
          <cell r="M23" t="str">
            <v>小儿氨酚黄那敏颗粒/护彤2g*12袋</v>
          </cell>
        </row>
        <row r="24">
          <cell r="E24" t="str">
            <v>0020030001SJZY0006</v>
          </cell>
          <cell r="H24" t="str">
            <v>滨州益康医药连锁有限公司邹平明德店</v>
          </cell>
          <cell r="J24" t="str">
            <v>1859</v>
          </cell>
          <cell r="K24" t="str">
            <v>201602151421097</v>
          </cell>
          <cell r="M24" t="str">
            <v>葡萄糖酸钙口服溶液10ml*12支</v>
          </cell>
        </row>
        <row r="25">
          <cell r="E25" t="str">
            <v>0020020021ZYZC0341</v>
          </cell>
          <cell r="H25" t="str">
            <v>滨州益康医药连锁有限公司邹平长山诚意店</v>
          </cell>
          <cell r="J25" t="str">
            <v>1859</v>
          </cell>
          <cell r="K25" t="str">
            <v>201602151421097</v>
          </cell>
          <cell r="M25" t="str">
            <v>阿莫西林克拉维酸钾分散片/胜艾0.2285g*12片</v>
          </cell>
        </row>
        <row r="26">
          <cell r="E26" t="str">
            <v>0020030020SJSC0025</v>
          </cell>
          <cell r="H26" t="str">
            <v>滨州益康医药连锁有限公司邹平长山诚意店</v>
          </cell>
          <cell r="J26" t="str">
            <v>1859</v>
          </cell>
          <cell r="K26" t="str">
            <v>201602151421097</v>
          </cell>
          <cell r="M26" t="str">
            <v>复方氨酚烷胺片12片</v>
          </cell>
        </row>
        <row r="27">
          <cell r="E27" t="str">
            <v>0020070000ZYLC0001</v>
          </cell>
          <cell r="H27" t="str">
            <v>滨州益康医药连锁有限公司邹平县明珠店</v>
          </cell>
          <cell r="J27" t="str">
            <v>1859</v>
          </cell>
          <cell r="K27" t="str">
            <v>201602151421097</v>
          </cell>
          <cell r="M27" t="str">
            <v>新盖中盖高钙片(成人)/盖中盖2.5g*36片</v>
          </cell>
        </row>
        <row r="28">
          <cell r="E28" t="str">
            <v>0020030170ZYEC0003</v>
          </cell>
          <cell r="H28" t="str">
            <v>滨州益康医药连锁有限公司邹平县黄山一路店</v>
          </cell>
          <cell r="J28" t="str">
            <v>1859</v>
          </cell>
          <cell r="K28" t="str">
            <v>201602151421097</v>
          </cell>
          <cell r="M28" t="str">
            <v>蒙脱石散3g*12袋</v>
          </cell>
        </row>
        <row r="29">
          <cell r="E29" t="str">
            <v>0020020020ZYLC0003</v>
          </cell>
          <cell r="H29" t="str">
            <v>滨州益康医药连锁有限公司邹平县中心店</v>
          </cell>
          <cell r="J29" t="str">
            <v>1859</v>
          </cell>
          <cell r="K29" t="str">
            <v>201602151421097</v>
          </cell>
          <cell r="M29" t="str">
            <v>颠茄磺苄啶片12片</v>
          </cell>
        </row>
        <row r="30">
          <cell r="E30" t="str">
            <v>0020070001ZYZC0383</v>
          </cell>
          <cell r="H30" t="str">
            <v>滨州益康医药连锁有限公司邹平县黄山一路店</v>
          </cell>
          <cell r="J30" t="str">
            <v>1859</v>
          </cell>
          <cell r="K30" t="str">
            <v>201602151421097</v>
          </cell>
          <cell r="M30" t="str">
            <v>哈药牌钙铁锌口服液10ml*10支</v>
          </cell>
        </row>
        <row r="31">
          <cell r="E31" t="str">
            <v>0020020020SJMS0006</v>
          </cell>
          <cell r="H31" t="str">
            <v>滨州益康医药连锁有限公司邹平县中心店</v>
          </cell>
          <cell r="J31" t="str">
            <v>1859</v>
          </cell>
          <cell r="K31" t="str">
            <v>201602151421097</v>
          </cell>
          <cell r="M31" t="str">
            <v>尼莫地平片20mg*50片</v>
          </cell>
        </row>
        <row r="32">
          <cell r="E32" t="str">
            <v>0020020020ZYZC0473</v>
          </cell>
          <cell r="H32" t="str">
            <v>滨州益康医药连锁有限公司邹平县西王店</v>
          </cell>
          <cell r="J32" t="str">
            <v>1859</v>
          </cell>
          <cell r="K32" t="str">
            <v>201602151421097</v>
          </cell>
          <cell r="M32" t="str">
            <v>盐酸环丙沙星片0.25g*12片</v>
          </cell>
        </row>
        <row r="33">
          <cell r="E33" t="str">
            <v>0020030001SJZY0006</v>
          </cell>
          <cell r="H33" t="str">
            <v>滨州益康医药连锁有限公司邹平县西王店</v>
          </cell>
          <cell r="J33" t="str">
            <v>1859</v>
          </cell>
          <cell r="K33" t="str">
            <v>201602151421097</v>
          </cell>
          <cell r="M33" t="str">
            <v>葡萄糖酸钙口服溶液10ml*12支</v>
          </cell>
        </row>
        <row r="34">
          <cell r="E34" t="str">
            <v>0020030001SJZY0009</v>
          </cell>
          <cell r="H34" t="str">
            <v>滨州益康医药连锁有限公司邹平县西王店</v>
          </cell>
          <cell r="J34" t="str">
            <v>1859</v>
          </cell>
          <cell r="K34" t="str">
            <v>201602151421097</v>
          </cell>
          <cell r="M34" t="str">
            <v>葡萄糖酸锌口服液10ml*12支</v>
          </cell>
        </row>
        <row r="35">
          <cell r="E35" t="str">
            <v>0020030001SJZY0006</v>
          </cell>
          <cell r="H35" t="str">
            <v>滨州益康医药连锁有限公司邹平县亲民药店</v>
          </cell>
          <cell r="J35" t="str">
            <v>1859</v>
          </cell>
          <cell r="K35" t="str">
            <v>201602151421097</v>
          </cell>
          <cell r="M35" t="str">
            <v>葡萄糖酸钙口服溶液10ml*12支</v>
          </cell>
        </row>
        <row r="36">
          <cell r="E36" t="str">
            <v>0020030001SJZY0009</v>
          </cell>
          <cell r="H36" t="str">
            <v>滨州益康医药连锁有限公司邹平县亲民药店</v>
          </cell>
          <cell r="J36" t="str">
            <v>1859</v>
          </cell>
          <cell r="K36" t="str">
            <v>201602151421097</v>
          </cell>
          <cell r="M36" t="str">
            <v>葡萄糖酸锌口服液10ml*12支</v>
          </cell>
        </row>
        <row r="37">
          <cell r="E37" t="str">
            <v>0020020030ZYZC0510</v>
          </cell>
          <cell r="H37" t="str">
            <v>邹平县韩店镇木王中心卫生室</v>
          </cell>
          <cell r="J37" t="str">
            <v>1859</v>
          </cell>
          <cell r="K37" t="str">
            <v>201602151421097</v>
          </cell>
          <cell r="M37" t="str">
            <v>诺氟沙星胶囊0.1g*20粒</v>
          </cell>
        </row>
        <row r="38">
          <cell r="E38" t="str">
            <v>0020030020SJSC0025</v>
          </cell>
          <cell r="H38" t="str">
            <v>西董街道办马庄中心卫生室</v>
          </cell>
          <cell r="J38" t="str">
            <v>1859</v>
          </cell>
          <cell r="K38" t="str">
            <v>201602151421097</v>
          </cell>
          <cell r="M38" t="str">
            <v>复方氨酚烷胺片12片</v>
          </cell>
        </row>
        <row r="39">
          <cell r="E39" t="str">
            <v>0020070000ZYLC0052</v>
          </cell>
          <cell r="H39" t="str">
            <v>山东魏桥创业集团第二工业园医务室</v>
          </cell>
          <cell r="J39" t="str">
            <v>1859</v>
          </cell>
          <cell r="K39" t="str">
            <v>201602151421097</v>
          </cell>
          <cell r="M39" t="str">
            <v>哈药六牌钙加锌口服液10ml*12支</v>
          </cell>
        </row>
        <row r="40">
          <cell r="E40" t="str">
            <v>0020070001ZYZC0383</v>
          </cell>
          <cell r="H40" t="str">
            <v>滨州益康医药连锁有限公司邹平县亲民药店</v>
          </cell>
          <cell r="J40" t="str">
            <v>1859</v>
          </cell>
          <cell r="K40" t="str">
            <v>201602151421097</v>
          </cell>
          <cell r="M40" t="str">
            <v>哈药牌钙铁锌口服液10ml*10支</v>
          </cell>
        </row>
        <row r="41">
          <cell r="E41" t="str">
            <v>0020070000ZYLC0001</v>
          </cell>
          <cell r="H41" t="str">
            <v>滨州益康医药连锁有限公司邹平县第五药店</v>
          </cell>
          <cell r="J41" t="str">
            <v>1859</v>
          </cell>
          <cell r="K41" t="str">
            <v>201602151421097</v>
          </cell>
          <cell r="M41" t="str">
            <v>新盖中盖高钙片(成人)/盖中盖2.5g*36片</v>
          </cell>
        </row>
        <row r="42">
          <cell r="E42" t="str">
            <v>0020040220SHYT0004</v>
          </cell>
          <cell r="H42" t="str">
            <v>滨州益康医药连锁有限公司邹平县第五药店</v>
          </cell>
          <cell r="J42" t="str">
            <v>1859</v>
          </cell>
          <cell r="K42" t="str">
            <v>201602151421097</v>
          </cell>
          <cell r="M42" t="str">
            <v>妇宁栓1.6克*8粒</v>
          </cell>
        </row>
        <row r="43">
          <cell r="E43" t="str">
            <v>0020030001SJZY0006</v>
          </cell>
          <cell r="H43" t="str">
            <v>邹平会仙桥医院</v>
          </cell>
          <cell r="J43" t="str">
            <v>1859</v>
          </cell>
          <cell r="K43" t="str">
            <v>201602151421097</v>
          </cell>
          <cell r="M43" t="str">
            <v>葡萄糖酸钙口服溶液10ml*12支</v>
          </cell>
        </row>
        <row r="44">
          <cell r="E44" t="str">
            <v>0020030001SJZY0009</v>
          </cell>
          <cell r="H44" t="str">
            <v>邹平会仙桥医院</v>
          </cell>
          <cell r="J44" t="str">
            <v>1859</v>
          </cell>
          <cell r="K44" t="str">
            <v>201602151421097</v>
          </cell>
          <cell r="M44" t="str">
            <v>葡萄糖酸锌口服液10ml*12支</v>
          </cell>
        </row>
        <row r="45">
          <cell r="E45" t="str">
            <v>0020070001ZYZC0383</v>
          </cell>
          <cell r="H45" t="str">
            <v>滨州益康医药连锁有限公司邹平县第五药店</v>
          </cell>
          <cell r="J45" t="str">
            <v>1859</v>
          </cell>
          <cell r="K45" t="str">
            <v>201602151421097</v>
          </cell>
          <cell r="M45" t="str">
            <v>哈药牌钙铁锌口服液10ml*10支</v>
          </cell>
        </row>
        <row r="46">
          <cell r="E46" t="str">
            <v>0020030020ZYLC0006</v>
          </cell>
          <cell r="H46" t="str">
            <v>黛溪办碧云洞中心卫生室</v>
          </cell>
          <cell r="J46" t="str">
            <v>1859</v>
          </cell>
          <cell r="K46" t="str">
            <v>201602151421097</v>
          </cell>
          <cell r="M46" t="str">
            <v>复方氨酚烷胺片12片</v>
          </cell>
        </row>
        <row r="47">
          <cell r="E47" t="str">
            <v>0020020030ZYZC0508</v>
          </cell>
          <cell r="H47" t="str">
            <v>滨州益康医药连锁有限公司邹魏一区店</v>
          </cell>
          <cell r="J47" t="str">
            <v>1859</v>
          </cell>
          <cell r="K47" t="str">
            <v>201602151421097</v>
          </cell>
          <cell r="M47" t="str">
            <v>阿莫西林胶囊/益萨林0.25g*20粒</v>
          </cell>
        </row>
        <row r="48">
          <cell r="E48" t="str">
            <v>0020030001SJZY0006</v>
          </cell>
          <cell r="H48" t="str">
            <v>滨州益康医药连锁有限公司邹魏一区店</v>
          </cell>
          <cell r="J48" t="str">
            <v>1859</v>
          </cell>
          <cell r="K48" t="str">
            <v>201602151421097</v>
          </cell>
          <cell r="M48" t="str">
            <v>葡萄糖酸钙口服溶液10ml*12支</v>
          </cell>
        </row>
        <row r="49">
          <cell r="E49" t="str">
            <v>0020030001SJZY0009</v>
          </cell>
          <cell r="H49" t="str">
            <v>滨州益康医药连锁有限公司邹魏一区店</v>
          </cell>
          <cell r="J49" t="str">
            <v>1859</v>
          </cell>
          <cell r="K49" t="str">
            <v>201602151421097</v>
          </cell>
          <cell r="M49" t="str">
            <v>葡萄糖酸锌口服液10ml*12支</v>
          </cell>
        </row>
        <row r="50">
          <cell r="E50" t="str">
            <v>0020020021ZYZC0341</v>
          </cell>
          <cell r="H50" t="str">
            <v>滨州益康医药连锁有限公司邹魏一区店</v>
          </cell>
          <cell r="J50" t="str">
            <v>1859</v>
          </cell>
          <cell r="K50" t="str">
            <v>201602151421097</v>
          </cell>
          <cell r="M50" t="str">
            <v>阿莫西林克拉维酸钾分散片/胜艾0.2285g*12片</v>
          </cell>
        </row>
        <row r="51">
          <cell r="E51" t="str">
            <v>0020040220SHYT0004</v>
          </cell>
          <cell r="H51" t="str">
            <v>滨州益康医药连锁有限公司邹平县第三药店</v>
          </cell>
          <cell r="J51" t="str">
            <v>1859</v>
          </cell>
          <cell r="K51" t="str">
            <v>201602151421097</v>
          </cell>
          <cell r="M51" t="str">
            <v>妇宁栓1.6克*8粒</v>
          </cell>
        </row>
        <row r="52">
          <cell r="E52" t="str">
            <v>0020030001SJZY0009</v>
          </cell>
          <cell r="H52" t="str">
            <v>邹平杏林堂医药连锁有限公司</v>
          </cell>
          <cell r="J52" t="str">
            <v>1859</v>
          </cell>
          <cell r="K52" t="str">
            <v>201602151421097</v>
          </cell>
          <cell r="M52" t="str">
            <v>葡萄糖酸锌口服液10ml*12支</v>
          </cell>
        </row>
        <row r="53">
          <cell r="E53" t="str">
            <v>0020030001SJZY0006</v>
          </cell>
          <cell r="H53" t="str">
            <v>滨州益康医药连锁有限公司邹平县黛溪三路店</v>
          </cell>
          <cell r="J53" t="str">
            <v>1859</v>
          </cell>
          <cell r="K53" t="str">
            <v>201602151421097</v>
          </cell>
          <cell r="M53" t="str">
            <v>葡萄糖酸钙口服溶液10ml*12支</v>
          </cell>
        </row>
        <row r="54">
          <cell r="E54" t="str">
            <v>0020030001SJZY0009</v>
          </cell>
          <cell r="H54" t="str">
            <v>滨州益康医药连锁有限公司邹平县黛溪三路店</v>
          </cell>
          <cell r="J54" t="str">
            <v>1859</v>
          </cell>
          <cell r="K54" t="str">
            <v>201602151421097</v>
          </cell>
          <cell r="M54" t="str">
            <v>葡萄糖酸锌口服液10ml*12支</v>
          </cell>
        </row>
        <row r="55">
          <cell r="E55" t="str">
            <v>0020030020ZYLC0006</v>
          </cell>
          <cell r="H55" t="str">
            <v>码头镇中站中心卫生室</v>
          </cell>
          <cell r="J55" t="str">
            <v>1859</v>
          </cell>
          <cell r="K55" t="str">
            <v>201602151421097</v>
          </cell>
          <cell r="M55" t="str">
            <v>复方氨酚烷胺片12片</v>
          </cell>
        </row>
        <row r="56">
          <cell r="E56" t="str">
            <v>0020070000ZYLC0052</v>
          </cell>
          <cell r="H56" t="str">
            <v>码头镇中站中心卫生室</v>
          </cell>
          <cell r="J56" t="str">
            <v>1859</v>
          </cell>
          <cell r="K56" t="str">
            <v>201602151421097</v>
          </cell>
          <cell r="M56" t="str">
            <v>哈药六牌钙加锌口服液10ml*12支</v>
          </cell>
        </row>
        <row r="57">
          <cell r="E57" t="str">
            <v>0020030020SJSC0025</v>
          </cell>
          <cell r="H57" t="str">
            <v>台子镇官道村卫生室</v>
          </cell>
          <cell r="J57" t="str">
            <v>1859</v>
          </cell>
          <cell r="K57" t="str">
            <v>201602151421097</v>
          </cell>
          <cell r="M57" t="str">
            <v>复方氨酚烷胺片12片</v>
          </cell>
        </row>
        <row r="58">
          <cell r="E58" t="str">
            <v>0020070001ZYZC0383</v>
          </cell>
          <cell r="H58" t="str">
            <v>邹平杏林堂医药连锁有限公司</v>
          </cell>
          <cell r="J58" t="str">
            <v>1859</v>
          </cell>
          <cell r="K58" t="str">
            <v>201602151421097</v>
          </cell>
          <cell r="M58" t="str">
            <v>哈药牌钙铁锌口服液10ml*10支</v>
          </cell>
        </row>
        <row r="59">
          <cell r="E59" t="str">
            <v>0020050090ZYEC0005</v>
          </cell>
          <cell r="H59" t="str">
            <v>滨州益康医药连锁有限公司医务室</v>
          </cell>
          <cell r="J59" t="str">
            <v>1859</v>
          </cell>
          <cell r="K59" t="str">
            <v>201602151421097</v>
          </cell>
          <cell r="M59" t="str">
            <v>清热解毒口服液10ml*10支</v>
          </cell>
        </row>
        <row r="60">
          <cell r="E60" t="str">
            <v>0020020020ZYZC0473</v>
          </cell>
          <cell r="H60" t="str">
            <v>滨州益康医药连锁有限公司成五店</v>
          </cell>
          <cell r="J60" t="str">
            <v>1859</v>
          </cell>
          <cell r="K60" t="str">
            <v>201602151421097</v>
          </cell>
          <cell r="M60" t="str">
            <v>盐酸环丙沙星片0.25g*12片</v>
          </cell>
        </row>
        <row r="61">
          <cell r="E61" t="str">
            <v>0020030001SJZY0006</v>
          </cell>
          <cell r="H61" t="str">
            <v>滨州益康医药连锁有限公司成五店</v>
          </cell>
          <cell r="J61" t="str">
            <v>1859</v>
          </cell>
          <cell r="K61" t="str">
            <v>201602151421097</v>
          </cell>
          <cell r="M61" t="str">
            <v>葡萄糖酸钙口服溶液10ml*12支</v>
          </cell>
        </row>
        <row r="62">
          <cell r="E62" t="str">
            <v>0020030001SJZY0009</v>
          </cell>
          <cell r="H62" t="str">
            <v>滨州益康医药连锁有限公司成五店</v>
          </cell>
          <cell r="J62" t="str">
            <v>1859</v>
          </cell>
          <cell r="K62" t="str">
            <v>201602151421097</v>
          </cell>
          <cell r="M62" t="str">
            <v>葡萄糖酸锌口服液10ml*12支</v>
          </cell>
        </row>
        <row r="63">
          <cell r="E63" t="str">
            <v>0020020030ZYZC0511</v>
          </cell>
          <cell r="H63" t="str">
            <v>滨州益康医药连锁有限公司邹魏一区店</v>
          </cell>
          <cell r="J63" t="str">
            <v>1859</v>
          </cell>
          <cell r="K63" t="str">
            <v>201602151421097</v>
          </cell>
          <cell r="M63" t="str">
            <v>头孢氨苄胶囊0.125g*20粒</v>
          </cell>
        </row>
        <row r="64">
          <cell r="E64" t="str">
            <v>0020020020ZYZC0359</v>
          </cell>
          <cell r="H64" t="str">
            <v>滨州益康医药连锁有限公司邹魏一区店</v>
          </cell>
          <cell r="J64" t="str">
            <v>1859</v>
          </cell>
          <cell r="K64" t="str">
            <v>201602151421097</v>
          </cell>
          <cell r="M64" t="str">
            <v>青霉素V钾片0.236g*24片</v>
          </cell>
        </row>
        <row r="65">
          <cell r="E65" t="str">
            <v>0020050001SHYT0017</v>
          </cell>
          <cell r="H65" t="str">
            <v>滨州益康医药连锁有限公司邹平县黄山三路店</v>
          </cell>
          <cell r="J65" t="str">
            <v>1859</v>
          </cell>
          <cell r="K65" t="str">
            <v>201602151421097</v>
          </cell>
          <cell r="M65" t="str">
            <v>附子理中丸9g*10丸</v>
          </cell>
        </row>
        <row r="66">
          <cell r="E66" t="str">
            <v>0020050020ZYEC0008</v>
          </cell>
          <cell r="H66" t="str">
            <v>滨州益康医药连锁有限公司邹平县黄山三路店</v>
          </cell>
          <cell r="J66" t="str">
            <v>1859</v>
          </cell>
          <cell r="K66" t="str">
            <v>201602151421097</v>
          </cell>
          <cell r="M66" t="str">
            <v>感冒解毒灵颗粒5g*10袋</v>
          </cell>
        </row>
        <row r="67">
          <cell r="E67" t="str">
            <v>0020020030ZYZC0508</v>
          </cell>
          <cell r="H67" t="str">
            <v>滨州益康医药连锁有限公司邹平县第十一店</v>
          </cell>
          <cell r="J67" t="str">
            <v>1859</v>
          </cell>
          <cell r="K67" t="str">
            <v>201602151421097</v>
          </cell>
          <cell r="M67" t="str">
            <v>阿莫西林胶囊/益萨林0.25g*20粒</v>
          </cell>
        </row>
        <row r="68">
          <cell r="E68" t="str">
            <v>0020020020ZYLC0011</v>
          </cell>
          <cell r="H68" t="str">
            <v>滨州益康医药连锁有限公司邹平县黄山三路店</v>
          </cell>
          <cell r="J68" t="str">
            <v>1859</v>
          </cell>
          <cell r="K68" t="str">
            <v>201602151421097</v>
          </cell>
          <cell r="M68" t="str">
            <v>颠茄磺苄啶片/儿童0.122g*20片</v>
          </cell>
        </row>
        <row r="69">
          <cell r="E69" t="str">
            <v>0020030020ZYLC0013</v>
          </cell>
          <cell r="H69" t="str">
            <v>滨州益康医药连锁有限公司邹平县第十一店</v>
          </cell>
          <cell r="J69" t="str">
            <v>1859</v>
          </cell>
          <cell r="K69" t="str">
            <v>201602151421097</v>
          </cell>
          <cell r="M69" t="str">
            <v>乳酸菌素片0.4g*36片</v>
          </cell>
        </row>
        <row r="70">
          <cell r="E70" t="str">
            <v>0020030001SJZY0006</v>
          </cell>
          <cell r="H70" t="str">
            <v>滨州益康医药连锁有限公司邹平县第十一店</v>
          </cell>
          <cell r="J70" t="str">
            <v>1859</v>
          </cell>
          <cell r="K70" t="str">
            <v>201602151421097</v>
          </cell>
          <cell r="M70" t="str">
            <v>葡萄糖酸钙口服溶液10ml*12支</v>
          </cell>
        </row>
        <row r="71">
          <cell r="E71" t="str">
            <v>0020030001SJZY0009</v>
          </cell>
          <cell r="H71" t="str">
            <v>滨州益康医药连锁有限公司邹平县第十一店</v>
          </cell>
          <cell r="J71" t="str">
            <v>1859</v>
          </cell>
          <cell r="K71" t="str">
            <v>201602151421097</v>
          </cell>
          <cell r="M71" t="str">
            <v>葡萄糖酸锌口服液10ml*12支</v>
          </cell>
        </row>
        <row r="72">
          <cell r="E72" t="str">
            <v>0020020030ZYZC0264</v>
          </cell>
          <cell r="H72" t="str">
            <v>滨州益康医药连锁有限公司邹平县第十一店</v>
          </cell>
          <cell r="J72" t="str">
            <v>1859</v>
          </cell>
          <cell r="K72" t="str">
            <v>201602151421097</v>
          </cell>
          <cell r="M72" t="str">
            <v>阿莫西林胶囊/益萨林0.5g*20粒</v>
          </cell>
        </row>
        <row r="73">
          <cell r="E73" t="str">
            <v>0020070000ZYLC0001</v>
          </cell>
          <cell r="H73" t="str">
            <v>滨州益康医药连锁有限公司邹平县黄山三路店</v>
          </cell>
          <cell r="J73" t="str">
            <v>1859</v>
          </cell>
          <cell r="K73" t="str">
            <v>201602151421097</v>
          </cell>
          <cell r="M73" t="str">
            <v>新盖中盖高钙片(成人)/盖中盖2.5g*36片</v>
          </cell>
        </row>
        <row r="74">
          <cell r="E74" t="str">
            <v>0020050020SHYT0016</v>
          </cell>
          <cell r="H74" t="str">
            <v>滨州益康医药连锁有限公司邹平县黄山三路店</v>
          </cell>
          <cell r="J74" t="str">
            <v>1859</v>
          </cell>
          <cell r="K74" t="str">
            <v>201602151421097</v>
          </cell>
          <cell r="M74" t="str">
            <v>复方金银花颗粒10g*10袋</v>
          </cell>
        </row>
        <row r="75">
          <cell r="E75" t="str">
            <v>0020070000ZYLC0001</v>
          </cell>
          <cell r="H75" t="str">
            <v>滨州益康医药连锁有限公司邹平县第十一店</v>
          </cell>
          <cell r="J75" t="str">
            <v>1859</v>
          </cell>
          <cell r="K75" t="str">
            <v>201602151421097</v>
          </cell>
          <cell r="M75" t="str">
            <v>新盖中盖高钙片(成人)/盖中盖2.5g*36片</v>
          </cell>
        </row>
        <row r="76">
          <cell r="E76" t="str">
            <v>0020030170ZYEC0003</v>
          </cell>
          <cell r="H76" t="str">
            <v>滨州益康医药连锁有限公司邹平县第十一店</v>
          </cell>
          <cell r="J76" t="str">
            <v>1859</v>
          </cell>
          <cell r="K76" t="str">
            <v>201602151421097</v>
          </cell>
          <cell r="M76" t="str">
            <v>蒙脱石散3g*12袋</v>
          </cell>
        </row>
        <row r="77">
          <cell r="E77" t="str">
            <v>0020050030SJSC0010</v>
          </cell>
          <cell r="H77" t="str">
            <v>滨州益康医药连锁有限公司邹平县黄山三路店</v>
          </cell>
          <cell r="J77" t="str">
            <v>1859</v>
          </cell>
          <cell r="K77" t="str">
            <v>201602151421097</v>
          </cell>
          <cell r="M77" t="str">
            <v>壮肾安神片45片</v>
          </cell>
        </row>
        <row r="78">
          <cell r="E78" t="str">
            <v>0020020020SJMS0006</v>
          </cell>
          <cell r="H78" t="str">
            <v>滨州益康医药连锁有限公司邹平县黄山二路店</v>
          </cell>
          <cell r="J78" t="str">
            <v>1859</v>
          </cell>
          <cell r="K78" t="str">
            <v>201602151421097</v>
          </cell>
          <cell r="M78" t="str">
            <v>尼莫地平片20mg*50片</v>
          </cell>
        </row>
        <row r="79">
          <cell r="E79" t="str">
            <v>0020030001SJZY0006</v>
          </cell>
          <cell r="H79" t="str">
            <v>滨州益康医药连锁有限公司邹平县黄山二路店</v>
          </cell>
          <cell r="J79" t="str">
            <v>1859</v>
          </cell>
          <cell r="K79" t="str">
            <v>201602151421097</v>
          </cell>
          <cell r="M79" t="str">
            <v>葡萄糖酸钙口服溶液10ml*12支</v>
          </cell>
        </row>
        <row r="80">
          <cell r="E80" t="str">
            <v>0020030001SJZY0009</v>
          </cell>
          <cell r="H80" t="str">
            <v>滨州益康医药连锁有限公司邹平县黄山二路店</v>
          </cell>
          <cell r="J80" t="str">
            <v>1859</v>
          </cell>
          <cell r="K80" t="str">
            <v>201602151421097</v>
          </cell>
          <cell r="M80" t="str">
            <v>葡萄糖酸锌口服液10ml*12支</v>
          </cell>
        </row>
        <row r="81">
          <cell r="E81" t="str">
            <v>0020030001SJZY0006</v>
          </cell>
          <cell r="H81" t="str">
            <v>滨州益康医药连锁有限公司邹平第二药店</v>
          </cell>
          <cell r="J81" t="str">
            <v>1859</v>
          </cell>
          <cell r="K81" t="str">
            <v>201602151421097</v>
          </cell>
          <cell r="M81" t="str">
            <v>葡萄糖酸钙口服溶液10ml*12支</v>
          </cell>
        </row>
        <row r="82">
          <cell r="E82" t="str">
            <v>0020030001SJZY0009</v>
          </cell>
          <cell r="H82" t="str">
            <v>滨州益康医药连锁有限公司邹平第二药店</v>
          </cell>
          <cell r="J82" t="str">
            <v>1859</v>
          </cell>
          <cell r="K82" t="str">
            <v>201602151421097</v>
          </cell>
          <cell r="M82" t="str">
            <v>葡萄糖酸锌口服液10ml*12支</v>
          </cell>
        </row>
        <row r="83">
          <cell r="E83" t="str">
            <v>0020070000ZYLC0001</v>
          </cell>
          <cell r="H83" t="str">
            <v>滨州益康医药连锁有限公司邹平第二药店</v>
          </cell>
          <cell r="J83" t="str">
            <v>1859</v>
          </cell>
          <cell r="K83" t="str">
            <v>201602151421097</v>
          </cell>
          <cell r="M83" t="str">
            <v>新盖中盖高钙片(成人)/盖中盖2.5g*36片</v>
          </cell>
        </row>
        <row r="84">
          <cell r="E84" t="str">
            <v>0020030040ZYZC0307</v>
          </cell>
          <cell r="H84" t="str">
            <v>邹平杏林堂医药连锁有限公司</v>
          </cell>
          <cell r="J84" t="str">
            <v>1859</v>
          </cell>
          <cell r="K84" t="str">
            <v>201602151421097</v>
          </cell>
          <cell r="M84" t="str">
            <v>富马酸亚铁颗粒6袋</v>
          </cell>
        </row>
        <row r="85">
          <cell r="E85" t="str">
            <v>0020030001SJZY0006</v>
          </cell>
          <cell r="H85" t="str">
            <v>滨州益康医药连锁有限公司邹平县魏纺路店</v>
          </cell>
          <cell r="J85" t="str">
            <v>1859</v>
          </cell>
          <cell r="K85" t="str">
            <v>201602151421097</v>
          </cell>
          <cell r="M85" t="str">
            <v>葡萄糖酸钙口服溶液10ml*12支</v>
          </cell>
        </row>
        <row r="86">
          <cell r="E86" t="str">
            <v>0020030001SJZY0009</v>
          </cell>
          <cell r="H86" t="str">
            <v>滨州益康医药连锁有限公司邹平县魏纺路店</v>
          </cell>
          <cell r="J86" t="str">
            <v>1859</v>
          </cell>
          <cell r="K86" t="str">
            <v>201602151421097</v>
          </cell>
          <cell r="M86" t="str">
            <v>葡萄糖酸锌口服液10ml*12支</v>
          </cell>
        </row>
        <row r="87">
          <cell r="E87" t="str">
            <v>0020030001SJZY0009</v>
          </cell>
          <cell r="H87" t="str">
            <v>滨州益康医药连锁有限公司便民店</v>
          </cell>
          <cell r="J87" t="str">
            <v>1859</v>
          </cell>
          <cell r="K87" t="str">
            <v>201602151421097</v>
          </cell>
          <cell r="M87" t="str">
            <v>葡萄糖酸锌口服液10ml*12支</v>
          </cell>
        </row>
        <row r="88">
          <cell r="E88" t="str">
            <v>0020030001SJZY0006</v>
          </cell>
          <cell r="H88" t="str">
            <v>滨州益康医药连锁有限公司便民店</v>
          </cell>
          <cell r="J88" t="str">
            <v>1859</v>
          </cell>
          <cell r="K88" t="str">
            <v>201602151421097</v>
          </cell>
          <cell r="M88" t="str">
            <v>葡萄糖酸钙口服溶液10ml*12支</v>
          </cell>
        </row>
        <row r="89">
          <cell r="E89" t="str">
            <v>0020020021ZYLC0005</v>
          </cell>
          <cell r="H89" t="str">
            <v>滨州益康医药连锁有限公司邹平正心店</v>
          </cell>
          <cell r="J89" t="str">
            <v>1859</v>
          </cell>
          <cell r="K89" t="str">
            <v>201602151421097</v>
          </cell>
          <cell r="M89" t="str">
            <v>罗红霉素分散片/小严迪50mg*12片</v>
          </cell>
        </row>
        <row r="90">
          <cell r="E90" t="str">
            <v>0020030001SJZY0006</v>
          </cell>
          <cell r="H90" t="str">
            <v>滨州益康医药连锁有限公司邹平正心店</v>
          </cell>
          <cell r="J90" t="str">
            <v>1859</v>
          </cell>
          <cell r="K90" t="str">
            <v>201602151421097</v>
          </cell>
          <cell r="M90" t="str">
            <v>葡萄糖酸钙口服溶液10ml*12支</v>
          </cell>
        </row>
        <row r="91">
          <cell r="E91" t="str">
            <v>0020030001SJZY0009</v>
          </cell>
          <cell r="H91" t="str">
            <v>滨州益康医药连锁有限公司邹平正心店</v>
          </cell>
          <cell r="J91" t="str">
            <v>1859</v>
          </cell>
          <cell r="K91" t="str">
            <v>201602151421097</v>
          </cell>
          <cell r="M91" t="str">
            <v>葡萄糖酸锌口服液10ml*12支</v>
          </cell>
        </row>
        <row r="92">
          <cell r="E92" t="str">
            <v>0020030040ZYLC0001</v>
          </cell>
          <cell r="H92" t="str">
            <v>高青县花沟镇芦家村卫生室</v>
          </cell>
          <cell r="J92" t="str">
            <v>1744</v>
          </cell>
          <cell r="M92" t="str">
            <v>小儿氨酚黄那敏颗粒/护彤2g*12袋</v>
          </cell>
        </row>
        <row r="93">
          <cell r="E93" t="str">
            <v>0020020030ZYZC0510</v>
          </cell>
          <cell r="H93" t="str">
            <v>滨州益康医药连锁有限公司邹平第二药店</v>
          </cell>
          <cell r="J93" t="str">
            <v>1859</v>
          </cell>
          <cell r="K93" t="str">
            <v>201602151421097</v>
          </cell>
          <cell r="M93" t="str">
            <v>诺氟沙星胶囊0.1g*20粒</v>
          </cell>
        </row>
        <row r="94">
          <cell r="E94" t="str">
            <v>0020070001ZYZC0383</v>
          </cell>
          <cell r="H94" t="str">
            <v>滨州益康医药连锁有限公司邹平县魏纺路店</v>
          </cell>
          <cell r="J94" t="str">
            <v>1859</v>
          </cell>
          <cell r="K94" t="str">
            <v>201602151421097</v>
          </cell>
          <cell r="M94" t="str">
            <v>哈药牌钙铁锌口服液10ml*10支</v>
          </cell>
        </row>
        <row r="95">
          <cell r="E95" t="str">
            <v>0020030170ZYEC0003</v>
          </cell>
          <cell r="H95" t="str">
            <v>滨州益康医药连锁有限公司邹平县第十二店</v>
          </cell>
          <cell r="J95" t="str">
            <v>1859</v>
          </cell>
          <cell r="K95" t="str">
            <v>201602151421097</v>
          </cell>
          <cell r="M95" t="str">
            <v>蒙脱石散3g*12袋</v>
          </cell>
        </row>
        <row r="96">
          <cell r="E96" t="str">
            <v>0020030040SHYT0010</v>
          </cell>
          <cell r="H96" t="str">
            <v>滨州益康医药连锁有限公司邹平长山诚意店</v>
          </cell>
          <cell r="J96" t="str">
            <v>1859</v>
          </cell>
          <cell r="K96" t="str">
            <v>201602151421097</v>
          </cell>
          <cell r="M96" t="str">
            <v>布洛芬颗粒/小安瑞克0.2g*12袋</v>
          </cell>
        </row>
        <row r="97">
          <cell r="E97" t="str">
            <v>0020070000ZYLC0001</v>
          </cell>
          <cell r="H97" t="str">
            <v>滨州益康医药连锁有限公司邹平长山诚意店</v>
          </cell>
          <cell r="J97" t="str">
            <v>1859</v>
          </cell>
          <cell r="K97" t="str">
            <v>201602151421097</v>
          </cell>
          <cell r="M97" t="str">
            <v>新盖中盖高钙片(成人)/盖中盖2.5g*36片</v>
          </cell>
        </row>
        <row r="98">
          <cell r="E98" t="str">
            <v>0020030001SJZY0006</v>
          </cell>
          <cell r="H98" t="str">
            <v>滨州益康医药连锁有限公司邹平县黄山店</v>
          </cell>
          <cell r="J98" t="str">
            <v>1859</v>
          </cell>
          <cell r="K98" t="str">
            <v>201602151421097</v>
          </cell>
          <cell r="M98" t="str">
            <v>葡萄糖酸钙口服溶液10ml*12支</v>
          </cell>
        </row>
        <row r="99">
          <cell r="E99" t="str">
            <v>0020030001SJZY0009</v>
          </cell>
          <cell r="H99" t="str">
            <v>滨州益康医药连锁有限公司邹平县黄山店</v>
          </cell>
          <cell r="J99" t="str">
            <v>1859</v>
          </cell>
          <cell r="K99" t="str">
            <v>201602151421097</v>
          </cell>
          <cell r="M99" t="str">
            <v>葡萄糖酸锌口服液10ml*12支</v>
          </cell>
        </row>
        <row r="100">
          <cell r="E100" t="str">
            <v>0020030001SJZY0006</v>
          </cell>
          <cell r="H100" t="str">
            <v>滨州益康医药连锁有限公司邹平县第六药店</v>
          </cell>
          <cell r="J100" t="str">
            <v>1859</v>
          </cell>
          <cell r="K100" t="str">
            <v>201602151421097</v>
          </cell>
          <cell r="M100" t="str">
            <v>葡萄糖酸钙口服溶液10ml*12支</v>
          </cell>
        </row>
        <row r="101">
          <cell r="E101" t="str">
            <v>0020030001SJZY0009</v>
          </cell>
          <cell r="H101" t="str">
            <v>滨州益康医药连锁有限公司邹平县第六药店</v>
          </cell>
          <cell r="J101" t="str">
            <v>1859</v>
          </cell>
          <cell r="K101" t="str">
            <v>201602151421097</v>
          </cell>
          <cell r="M101" t="str">
            <v>葡萄糖酸锌口服液10ml*12支</v>
          </cell>
        </row>
        <row r="102">
          <cell r="E102" t="str">
            <v>0020030001SJZY0006</v>
          </cell>
          <cell r="H102" t="str">
            <v>滨州益康医药连锁有限公司邹平县第十二店</v>
          </cell>
          <cell r="J102" t="str">
            <v>1859</v>
          </cell>
          <cell r="K102" t="str">
            <v>201602151421097</v>
          </cell>
          <cell r="M102" t="str">
            <v>葡萄糖酸钙口服溶液10ml*12支</v>
          </cell>
        </row>
        <row r="103">
          <cell r="E103" t="str">
            <v>0020030001SJZY0009</v>
          </cell>
          <cell r="H103" t="str">
            <v>滨州益康医药连锁有限公司邹平县第十二店</v>
          </cell>
          <cell r="J103" t="str">
            <v>1859</v>
          </cell>
          <cell r="K103" t="str">
            <v>201602151421097</v>
          </cell>
          <cell r="M103" t="str">
            <v>葡萄糖酸锌口服液10ml*12支</v>
          </cell>
        </row>
        <row r="104">
          <cell r="E104" t="str">
            <v>0020040020SHYT0007</v>
          </cell>
          <cell r="H104" t="str">
            <v>滨州益康医药连锁有限公司邹平县礼参店</v>
          </cell>
          <cell r="J104" t="str">
            <v>1859</v>
          </cell>
          <cell r="K104" t="str">
            <v>201602151421097</v>
          </cell>
          <cell r="M104" t="str">
            <v>丹佛胃尔康颗粒10g*6袋</v>
          </cell>
        </row>
        <row r="105">
          <cell r="E105" t="str">
            <v>0020030001SJZY0006</v>
          </cell>
          <cell r="H105" t="str">
            <v>滨州益康医药连锁有限公司邹平县礼参店</v>
          </cell>
          <cell r="J105" t="str">
            <v>1859</v>
          </cell>
          <cell r="K105" t="str">
            <v>201602151421097</v>
          </cell>
          <cell r="M105" t="str">
            <v>葡萄糖酸钙口服溶液10ml*12支</v>
          </cell>
        </row>
        <row r="106">
          <cell r="E106" t="str">
            <v>0020030001SJZY0009</v>
          </cell>
          <cell r="H106" t="str">
            <v>滨州益康医药连锁有限公司邹平县礼参店</v>
          </cell>
          <cell r="J106" t="str">
            <v>1859</v>
          </cell>
          <cell r="K106" t="str">
            <v>201602151421097</v>
          </cell>
          <cell r="M106" t="str">
            <v>葡萄糖酸锌口服液10ml*12支</v>
          </cell>
        </row>
        <row r="107">
          <cell r="E107" t="str">
            <v>0020030001SJZY0006</v>
          </cell>
          <cell r="H107" t="str">
            <v>滨州益康医药连锁有限公司邹平县第九药店</v>
          </cell>
          <cell r="J107" t="str">
            <v>1859</v>
          </cell>
          <cell r="K107" t="str">
            <v>201602151421097</v>
          </cell>
          <cell r="M107" t="str">
            <v>葡萄糖酸钙口服溶液10ml*12支</v>
          </cell>
        </row>
        <row r="108">
          <cell r="E108" t="str">
            <v>0020030040ZYLC0001</v>
          </cell>
          <cell r="H108" t="str">
            <v>滨州益康医药连锁有限公司邹平县第一药店</v>
          </cell>
          <cell r="J108" t="str">
            <v>1859</v>
          </cell>
          <cell r="K108" t="str">
            <v>201602151421097</v>
          </cell>
          <cell r="M108" t="str">
            <v>小儿氨酚黄那敏颗粒/护彤2g*12袋</v>
          </cell>
        </row>
        <row r="109">
          <cell r="E109" t="str">
            <v>0020020021ZYZC0341</v>
          </cell>
          <cell r="H109" t="str">
            <v>滨州益康医药连锁有限公司邹平县第一药店</v>
          </cell>
          <cell r="J109" t="str">
            <v>1859</v>
          </cell>
          <cell r="K109" t="str">
            <v>201602151421097</v>
          </cell>
          <cell r="M109" t="str">
            <v>阿莫西林克拉维酸钾分散片/胜艾0.2285g*12片</v>
          </cell>
        </row>
        <row r="110">
          <cell r="E110" t="str">
            <v>0020040220SHYT0004</v>
          </cell>
          <cell r="H110" t="str">
            <v>滨州益康医药连锁有限公司邹平县第一药店</v>
          </cell>
          <cell r="J110" t="str">
            <v>1859</v>
          </cell>
          <cell r="K110" t="str">
            <v>201602151421097</v>
          </cell>
          <cell r="M110" t="str">
            <v>妇宁栓1.6克*8粒</v>
          </cell>
        </row>
        <row r="111">
          <cell r="E111" t="str">
            <v>0020040220SHYT0004</v>
          </cell>
          <cell r="H111" t="str">
            <v>滨州益康医药连锁有限公司邹平县第九药店</v>
          </cell>
          <cell r="J111" t="str">
            <v>1859</v>
          </cell>
          <cell r="K111" t="str">
            <v>201602151421097</v>
          </cell>
          <cell r="M111" t="str">
            <v>妇宁栓1.6克*8粒</v>
          </cell>
        </row>
        <row r="112">
          <cell r="E112" t="str">
            <v>0020030020ZYLC0006</v>
          </cell>
          <cell r="H112" t="str">
            <v>台子镇闫家中心卫生室</v>
          </cell>
          <cell r="J112" t="str">
            <v>1859</v>
          </cell>
          <cell r="K112" t="str">
            <v>201602151421097</v>
          </cell>
          <cell r="M112" t="str">
            <v>复方氨酚烷胺片12片</v>
          </cell>
        </row>
        <row r="113">
          <cell r="E113" t="str">
            <v>0020070001ZYZC0383</v>
          </cell>
          <cell r="H113" t="str">
            <v>滨州益康医药连锁有限公司邹平县第一药店</v>
          </cell>
          <cell r="J113" t="str">
            <v>1859</v>
          </cell>
          <cell r="K113" t="str">
            <v>201602151421097</v>
          </cell>
          <cell r="M113" t="str">
            <v>哈药牌钙铁锌口服液10ml*10支</v>
          </cell>
        </row>
        <row r="114">
          <cell r="E114" t="str">
            <v>0020070001ZYZC0383</v>
          </cell>
          <cell r="H114" t="str">
            <v>滨州益康医药连锁有限公司邹平县第九药店</v>
          </cell>
          <cell r="J114" t="str">
            <v>1859</v>
          </cell>
          <cell r="K114" t="str">
            <v>201602151421097</v>
          </cell>
          <cell r="M114" t="str">
            <v>哈药牌钙铁锌口服液10ml*10支</v>
          </cell>
        </row>
        <row r="115">
          <cell r="E115" t="str">
            <v>0020030001SJZY0006</v>
          </cell>
          <cell r="H115" t="str">
            <v>滨州益康医药连锁有限公司邹平县中心店</v>
          </cell>
          <cell r="J115" t="str">
            <v>1859</v>
          </cell>
          <cell r="K115" t="str">
            <v>201602151421097</v>
          </cell>
          <cell r="M115" t="str">
            <v>葡萄糖酸钙口服溶液10ml*12支</v>
          </cell>
        </row>
        <row r="116">
          <cell r="E116" t="str">
            <v>0020030001SJZY0006</v>
          </cell>
          <cell r="H116" t="str">
            <v>滨州益康医药连锁有限公司邹平县第十药店</v>
          </cell>
          <cell r="J116" t="str">
            <v>1859</v>
          </cell>
          <cell r="K116" t="str">
            <v>201602151421097</v>
          </cell>
          <cell r="M116" t="str">
            <v>葡萄糖酸钙口服溶液10ml*12支</v>
          </cell>
        </row>
        <row r="117">
          <cell r="E117" t="str">
            <v>0020030001SJZY0009</v>
          </cell>
          <cell r="H117" t="str">
            <v>滨州益康医药连锁有限公司邹平县第十药店</v>
          </cell>
          <cell r="J117" t="str">
            <v>1859</v>
          </cell>
          <cell r="K117" t="str">
            <v>201602151421097</v>
          </cell>
          <cell r="M117" t="str">
            <v>葡萄糖酸锌口服液10ml*12支</v>
          </cell>
        </row>
        <row r="118">
          <cell r="E118" t="str">
            <v>0020030001SJZY0006</v>
          </cell>
          <cell r="H118" t="str">
            <v>滨州益康医药连锁有限公司邹平至善店</v>
          </cell>
          <cell r="J118" t="str">
            <v>1859</v>
          </cell>
          <cell r="K118" t="str">
            <v>201602151421097</v>
          </cell>
          <cell r="M118" t="str">
            <v>葡萄糖酸钙口服溶液10ml*12支</v>
          </cell>
        </row>
        <row r="119">
          <cell r="E119" t="str">
            <v>0020030001SJZY0009</v>
          </cell>
          <cell r="H119" t="str">
            <v>滨州益康医药连锁有限公司邹平至善店</v>
          </cell>
          <cell r="J119" t="str">
            <v>1859</v>
          </cell>
          <cell r="K119" t="str">
            <v>201602151421097</v>
          </cell>
          <cell r="M119" t="str">
            <v>葡萄糖酸锌口服液10ml*12支</v>
          </cell>
        </row>
        <row r="120">
          <cell r="E120" t="str">
            <v>0020030001SJZY0006</v>
          </cell>
          <cell r="H120" t="str">
            <v>滨州益康医药连锁有限公司邹平县黄山三路店</v>
          </cell>
          <cell r="J120" t="str">
            <v>1859</v>
          </cell>
          <cell r="K120" t="str">
            <v>201602151421097</v>
          </cell>
          <cell r="M120" t="str">
            <v>葡萄糖酸钙口服溶液10ml*12支</v>
          </cell>
        </row>
        <row r="121">
          <cell r="E121" t="str">
            <v>0020030001SJZY0009</v>
          </cell>
          <cell r="H121" t="str">
            <v>滨州益康医药连锁有限公司邹平县黄山三路店</v>
          </cell>
          <cell r="J121" t="str">
            <v>1859</v>
          </cell>
          <cell r="K121" t="str">
            <v>201602151421097</v>
          </cell>
          <cell r="M121" t="str">
            <v>葡萄糖酸锌口服液10ml*12支</v>
          </cell>
        </row>
        <row r="122">
          <cell r="E122" t="str">
            <v>0020030001SJZY0006</v>
          </cell>
          <cell r="H122" t="str">
            <v>滨州益康医药连锁有限公司邹平县魏桥惠民店</v>
          </cell>
          <cell r="J122" t="str">
            <v>1859</v>
          </cell>
          <cell r="K122" t="str">
            <v>201602151421097</v>
          </cell>
          <cell r="M122" t="str">
            <v>葡萄糖酸钙口服溶液10ml*12支</v>
          </cell>
        </row>
        <row r="123">
          <cell r="E123" t="str">
            <v>0020030001SJZY0009</v>
          </cell>
          <cell r="H123" t="str">
            <v>滨州益康医药连锁有限公司邹平县魏桥惠民店</v>
          </cell>
          <cell r="J123" t="str">
            <v>1859</v>
          </cell>
          <cell r="K123" t="str">
            <v>201602151421097</v>
          </cell>
          <cell r="M123" t="str">
            <v>葡萄糖酸锌口服液10ml*12支</v>
          </cell>
        </row>
        <row r="124">
          <cell r="E124" t="str">
            <v>0020030001SJZY0006</v>
          </cell>
          <cell r="H124" t="str">
            <v>滨州益康医药连锁有限公司黛溪四路店</v>
          </cell>
          <cell r="J124" t="str">
            <v>1859</v>
          </cell>
          <cell r="K124" t="str">
            <v>201602151421097</v>
          </cell>
          <cell r="M124" t="str">
            <v>葡萄糖酸钙口服溶液10ml*12支</v>
          </cell>
        </row>
        <row r="125">
          <cell r="E125" t="str">
            <v>0020030001SJZY0009</v>
          </cell>
          <cell r="H125" t="str">
            <v>滨州益康医药连锁有限公司黛溪四路店</v>
          </cell>
          <cell r="J125" t="str">
            <v>1859</v>
          </cell>
          <cell r="K125" t="str">
            <v>201602151421097</v>
          </cell>
          <cell r="M125" t="str">
            <v>葡萄糖酸锌口服液10ml*12支</v>
          </cell>
        </row>
        <row r="126">
          <cell r="E126" t="str">
            <v>0020070000ZYLC0001</v>
          </cell>
          <cell r="H126" t="str">
            <v>滨州益康医药连锁有限公司黛溪四路店</v>
          </cell>
          <cell r="J126" t="str">
            <v>1859</v>
          </cell>
          <cell r="K126" t="str">
            <v>201602151421097</v>
          </cell>
          <cell r="M126" t="str">
            <v>新盖中盖高钙片(成人)/盖中盖2.5g*36片</v>
          </cell>
        </row>
        <row r="127">
          <cell r="E127" t="str">
            <v>0020030001SJZY0009</v>
          </cell>
          <cell r="H127" t="str">
            <v>滨州益康医药连锁有限公司邹平县中心店</v>
          </cell>
          <cell r="J127" t="str">
            <v>1859</v>
          </cell>
          <cell r="K127" t="str">
            <v>201602151421097</v>
          </cell>
          <cell r="M127" t="str">
            <v>葡萄糖酸锌口服液10ml*12支</v>
          </cell>
        </row>
        <row r="128">
          <cell r="E128" t="str">
            <v>0020030001SJZY0006</v>
          </cell>
          <cell r="H128" t="str">
            <v>滨州益康医药连锁有限公司邹平县第三药店</v>
          </cell>
          <cell r="J128" t="str">
            <v>1859</v>
          </cell>
          <cell r="K128" t="str">
            <v>201602151421097</v>
          </cell>
          <cell r="M128" t="str">
            <v>葡萄糖酸钙口服溶液10ml*12支</v>
          </cell>
        </row>
        <row r="129">
          <cell r="E129" t="str">
            <v>0020030001SJZY0009</v>
          </cell>
          <cell r="H129" t="str">
            <v>滨州益康医药连锁有限公司邹平县第三药店</v>
          </cell>
          <cell r="J129" t="str">
            <v>1859</v>
          </cell>
          <cell r="K129" t="str">
            <v>201602151421097</v>
          </cell>
          <cell r="M129" t="str">
            <v>葡萄糖酸锌口服液10ml*12支</v>
          </cell>
        </row>
        <row r="130">
          <cell r="E130" t="str">
            <v>0020070001ZYZC0383</v>
          </cell>
          <cell r="H130" t="str">
            <v>滨州益康医药连锁有限公司邹平县第十药店</v>
          </cell>
          <cell r="J130" t="str">
            <v>1859</v>
          </cell>
          <cell r="K130" t="str">
            <v>201602151421097</v>
          </cell>
          <cell r="M130" t="str">
            <v>哈药牌钙铁锌口服液10ml*10支</v>
          </cell>
        </row>
        <row r="131">
          <cell r="E131" t="str">
            <v>0020070001ZYZC0383</v>
          </cell>
          <cell r="H131" t="str">
            <v>滨州益康医药连锁有限公司邹平县黄山三路店</v>
          </cell>
          <cell r="J131" t="str">
            <v>1859</v>
          </cell>
          <cell r="K131" t="str">
            <v>201602151421097</v>
          </cell>
          <cell r="M131" t="str">
            <v>哈药牌钙铁锌口服液10ml*10支</v>
          </cell>
        </row>
        <row r="132">
          <cell r="E132" t="str">
            <v>0020070001ZYZC0383</v>
          </cell>
          <cell r="H132" t="str">
            <v>滨州益康医药连锁有限公司邹平县魏桥惠民店</v>
          </cell>
          <cell r="J132" t="str">
            <v>1859</v>
          </cell>
          <cell r="K132" t="str">
            <v>201602151421097</v>
          </cell>
          <cell r="M132" t="str">
            <v>哈药牌钙铁锌口服液10ml*10支</v>
          </cell>
        </row>
        <row r="133">
          <cell r="E133" t="str">
            <v>0020070001ZYZC0383</v>
          </cell>
          <cell r="H133" t="str">
            <v>滨州益康医药连锁有限公司黛溪四路店</v>
          </cell>
          <cell r="J133" t="str">
            <v>1859</v>
          </cell>
          <cell r="K133" t="str">
            <v>201602151421097</v>
          </cell>
          <cell r="M133" t="str">
            <v>哈药牌钙铁锌口服液10ml*10支</v>
          </cell>
        </row>
        <row r="134">
          <cell r="E134" t="str">
            <v>0020030020ZYLC0006</v>
          </cell>
          <cell r="H134" t="str">
            <v>码头镇归苏中心卫生室</v>
          </cell>
          <cell r="J134" t="str">
            <v>1859</v>
          </cell>
          <cell r="K134" t="str">
            <v>201602151421097</v>
          </cell>
          <cell r="M134" t="str">
            <v>复方氨酚烷胺片12片</v>
          </cell>
        </row>
        <row r="135">
          <cell r="E135" t="str">
            <v>0020070001ZYZC0383</v>
          </cell>
          <cell r="H135" t="str">
            <v>滨州益康医药连锁有限公司邹平县第三药店</v>
          </cell>
          <cell r="J135" t="str">
            <v>1859</v>
          </cell>
          <cell r="K135" t="str">
            <v>201602151421097</v>
          </cell>
          <cell r="M135" t="str">
            <v>哈药牌钙铁锌口服液10ml*10支</v>
          </cell>
        </row>
        <row r="136">
          <cell r="E136" t="str">
            <v>0020030001SJZY0009</v>
          </cell>
          <cell r="H136" t="str">
            <v>滨州益康医药连锁有限公司邹平县南范店</v>
          </cell>
          <cell r="J136" t="str">
            <v>1859</v>
          </cell>
          <cell r="K136" t="str">
            <v>201602151421097</v>
          </cell>
          <cell r="M136" t="str">
            <v>葡萄糖酸锌口服液10ml*12支</v>
          </cell>
        </row>
        <row r="137">
          <cell r="E137" t="str">
            <v>0020030001SJZY0006</v>
          </cell>
          <cell r="H137" t="str">
            <v>滨州益康医药连锁有限公司邹平县第七药店</v>
          </cell>
          <cell r="J137" t="str">
            <v>1859</v>
          </cell>
          <cell r="K137" t="str">
            <v>201602151421097</v>
          </cell>
          <cell r="M137" t="str">
            <v>葡萄糖酸钙口服溶液10ml*12支</v>
          </cell>
        </row>
        <row r="138">
          <cell r="E138" t="str">
            <v>0020040001SHYT0026</v>
          </cell>
          <cell r="H138" t="str">
            <v>滨州益康医药连锁有限公司邹平县第七药店</v>
          </cell>
          <cell r="J138" t="str">
            <v>1859</v>
          </cell>
          <cell r="K138" t="str">
            <v>201602151421097</v>
          </cell>
          <cell r="M138" t="str">
            <v>小活络丸3g*10丸</v>
          </cell>
        </row>
        <row r="139">
          <cell r="E139" t="str">
            <v>0020040070ZYEC0005</v>
          </cell>
          <cell r="H139" t="str">
            <v>滨州益康医药连锁有限公司邹平县第七药店</v>
          </cell>
          <cell r="J139" t="str">
            <v>1859</v>
          </cell>
          <cell r="K139" t="str">
            <v>201602151421097</v>
          </cell>
          <cell r="M139" t="str">
            <v>小儿百部止咳糖浆100ml</v>
          </cell>
        </row>
        <row r="140">
          <cell r="E140" t="str">
            <v>0020070000ZYLC0055</v>
          </cell>
          <cell r="H140" t="str">
            <v>邹平县韩店镇小店中心卫生室</v>
          </cell>
          <cell r="J140" t="str">
            <v>1859</v>
          </cell>
          <cell r="K140" t="str">
            <v>201602151421097</v>
          </cell>
          <cell r="M140" t="str">
            <v>朴血乳酸亚铁口服液10ml*12支</v>
          </cell>
        </row>
        <row r="141">
          <cell r="E141" t="str">
            <v>0020030001SJZY0006</v>
          </cell>
          <cell r="H141" t="str">
            <v>滨州益康医药连锁有限公司邹平县南范店</v>
          </cell>
          <cell r="J141" t="str">
            <v>1859</v>
          </cell>
          <cell r="K141" t="str">
            <v>201602151421097</v>
          </cell>
          <cell r="M141" t="str">
            <v>葡萄糖酸钙口服溶液10ml*12支</v>
          </cell>
        </row>
        <row r="142">
          <cell r="E142" t="str">
            <v>0020040220SHYT0004</v>
          </cell>
          <cell r="H142" t="str">
            <v>滨州益康医药连锁有限公司邹平县黄山三路店</v>
          </cell>
          <cell r="J142" t="str">
            <v>1859</v>
          </cell>
          <cell r="K142" t="str">
            <v>201602151421097</v>
          </cell>
          <cell r="M142" t="str">
            <v>妇宁栓1.6克*8粒</v>
          </cell>
        </row>
        <row r="143">
          <cell r="E143" t="str">
            <v>0020030170ZYEC0003</v>
          </cell>
          <cell r="H143" t="str">
            <v>码头镇成集中心卫生室</v>
          </cell>
          <cell r="J143" t="str">
            <v>1859</v>
          </cell>
          <cell r="K143" t="str">
            <v>201602151421097</v>
          </cell>
          <cell r="M143" t="str">
            <v>蒙脱石散3g*12袋</v>
          </cell>
        </row>
        <row r="144">
          <cell r="E144" t="str">
            <v>0020030170ZYEC0003</v>
          </cell>
          <cell r="H144" t="str">
            <v>滨州益康医药连锁有限公司邹平县第八药店</v>
          </cell>
          <cell r="J144" t="str">
            <v>1859</v>
          </cell>
          <cell r="K144" t="str">
            <v>201602151421097</v>
          </cell>
          <cell r="M144" t="str">
            <v>蒙脱石散3g*12袋</v>
          </cell>
        </row>
        <row r="145">
          <cell r="E145" t="str">
            <v>0020050020SHYT0016</v>
          </cell>
          <cell r="H145" t="str">
            <v>滨州益康医药连锁有限公司邹平县邹魏二区店</v>
          </cell>
          <cell r="J145" t="str">
            <v>1859</v>
          </cell>
          <cell r="K145" t="str">
            <v>201602151421097</v>
          </cell>
          <cell r="M145" t="str">
            <v>复方金银花颗粒10g*10袋</v>
          </cell>
        </row>
        <row r="146">
          <cell r="E146" t="str">
            <v>0020020030ZYZC0510</v>
          </cell>
          <cell r="H146" t="str">
            <v>滨州益康医药连锁有限公司邹平县长山店</v>
          </cell>
          <cell r="J146" t="str">
            <v>1859</v>
          </cell>
          <cell r="K146" t="str">
            <v>201602151421097</v>
          </cell>
          <cell r="M146" t="str">
            <v>诺氟沙星胶囊0.1g*20粒</v>
          </cell>
        </row>
        <row r="147">
          <cell r="E147" t="str">
            <v>0020030001SJZY0009</v>
          </cell>
          <cell r="H147" t="str">
            <v>滨州益康医药连锁有限公司邹平县长山店</v>
          </cell>
          <cell r="J147" t="str">
            <v>1859</v>
          </cell>
          <cell r="K147" t="str">
            <v>201602151421097</v>
          </cell>
          <cell r="M147" t="str">
            <v>葡萄糖酸锌口服液10ml*12支</v>
          </cell>
        </row>
        <row r="148">
          <cell r="E148" t="str">
            <v>0020030001SJZY0006</v>
          </cell>
          <cell r="H148" t="str">
            <v>滨州益康医药连锁有限公司邹平县第五药店</v>
          </cell>
          <cell r="J148" t="str">
            <v>1859</v>
          </cell>
          <cell r="K148" t="str">
            <v>201602151421097</v>
          </cell>
          <cell r="M148" t="str">
            <v>葡萄糖酸钙口服溶液10ml*12支</v>
          </cell>
        </row>
        <row r="149">
          <cell r="E149" t="str">
            <v>0020030001SJZY0009</v>
          </cell>
          <cell r="H149" t="str">
            <v>滨州益康医药连锁有限公司邹平县第五药店</v>
          </cell>
          <cell r="J149" t="str">
            <v>1859</v>
          </cell>
          <cell r="K149" t="str">
            <v>201602151421097</v>
          </cell>
          <cell r="M149" t="str">
            <v>葡萄糖酸锌口服液10ml*12支</v>
          </cell>
        </row>
        <row r="150">
          <cell r="E150" t="str">
            <v>0020030001SJZY0006</v>
          </cell>
          <cell r="H150" t="str">
            <v>滨州益康医药连锁有限公司邹平县邹魏二区店</v>
          </cell>
          <cell r="J150" t="str">
            <v>1859</v>
          </cell>
          <cell r="K150" t="str">
            <v>201602151421097</v>
          </cell>
          <cell r="M150" t="str">
            <v>葡萄糖酸钙口服溶液10ml*12支</v>
          </cell>
        </row>
        <row r="151">
          <cell r="E151" t="str">
            <v>0020030001SJZY0009</v>
          </cell>
          <cell r="H151" t="str">
            <v>滨州益康医药连锁有限公司邹平县邹魏二区店</v>
          </cell>
          <cell r="J151" t="str">
            <v>1859</v>
          </cell>
          <cell r="K151" t="str">
            <v>201602151421097</v>
          </cell>
          <cell r="M151" t="str">
            <v>葡萄糖酸锌口服液10ml*12支</v>
          </cell>
        </row>
        <row r="152">
          <cell r="E152" t="str">
            <v>0020030001SJZY0006</v>
          </cell>
          <cell r="H152" t="str">
            <v>滨州益康医药连锁有限公司邹平县第八药店</v>
          </cell>
          <cell r="J152" t="str">
            <v>1859</v>
          </cell>
          <cell r="K152" t="str">
            <v>201602151421097</v>
          </cell>
          <cell r="M152" t="str">
            <v>葡萄糖酸钙口服溶液10ml*12支</v>
          </cell>
        </row>
        <row r="153">
          <cell r="E153" t="str">
            <v>0020030001SJZY0009</v>
          </cell>
          <cell r="H153" t="str">
            <v>滨州益康医药连锁有限公司邹平县第八药店</v>
          </cell>
          <cell r="J153" t="str">
            <v>1859</v>
          </cell>
          <cell r="K153" t="str">
            <v>201602151421097</v>
          </cell>
          <cell r="M153" t="str">
            <v>葡萄糖酸锌口服液10ml*12支</v>
          </cell>
        </row>
        <row r="154">
          <cell r="E154" t="str">
            <v>0020030001SJZY0009</v>
          </cell>
          <cell r="H154" t="str">
            <v>滨州益康医药连锁有限公司邹平县黛溪一路店</v>
          </cell>
          <cell r="J154" t="str">
            <v>1859</v>
          </cell>
          <cell r="K154" t="str">
            <v>201602151421097</v>
          </cell>
          <cell r="M154" t="str">
            <v>葡萄糖酸锌口服液10ml*12支</v>
          </cell>
        </row>
        <row r="155">
          <cell r="E155" t="str">
            <v>0020030001SJZY0006</v>
          </cell>
          <cell r="H155" t="str">
            <v>滨州益康医药连锁有限公司邹平县黛溪一路店</v>
          </cell>
          <cell r="J155" t="str">
            <v>1859</v>
          </cell>
          <cell r="K155" t="str">
            <v>201602151421097</v>
          </cell>
          <cell r="M155" t="str">
            <v>葡萄糖酸钙口服溶液10ml*12支</v>
          </cell>
        </row>
        <row r="156">
          <cell r="E156" t="str">
            <v>0020020021ZYLC0004</v>
          </cell>
          <cell r="H156" t="str">
            <v>滨州益康医药连锁有限公司邹平县邹魏二区店</v>
          </cell>
          <cell r="J156" t="str">
            <v>1859</v>
          </cell>
          <cell r="K156" t="str">
            <v>201602151421097</v>
          </cell>
          <cell r="M156" t="str">
            <v>罗红霉素分散片/大严迪75mg*12片</v>
          </cell>
        </row>
        <row r="157">
          <cell r="E157" t="str">
            <v>0020020030ZYZC0264</v>
          </cell>
          <cell r="H157" t="str">
            <v>滨州益康医药连锁有限公司邹平县第八药店</v>
          </cell>
          <cell r="J157" t="str">
            <v>1859</v>
          </cell>
          <cell r="K157" t="str">
            <v>201602151421097</v>
          </cell>
          <cell r="M157" t="str">
            <v>阿莫西林胶囊/益萨林0.5g*20粒</v>
          </cell>
        </row>
        <row r="158">
          <cell r="E158" t="str">
            <v>0020030020ZYLC0006</v>
          </cell>
          <cell r="H158" t="str">
            <v>好生街道办乔家中心卫生室</v>
          </cell>
          <cell r="J158" t="str">
            <v>1859</v>
          </cell>
          <cell r="K158" t="str">
            <v>201602151421097</v>
          </cell>
          <cell r="M158" t="str">
            <v>复方氨酚烷胺片12片</v>
          </cell>
        </row>
        <row r="159">
          <cell r="E159" t="str">
            <v>0020030020SJSC0004</v>
          </cell>
          <cell r="H159" t="str">
            <v>滨州益康医药连锁有限公司邹魏一区店</v>
          </cell>
          <cell r="J159" t="str">
            <v>1859</v>
          </cell>
          <cell r="K159" t="str">
            <v>201602151421097</v>
          </cell>
          <cell r="M159" t="str">
            <v>复方铝酸铋片/新胃必治50片</v>
          </cell>
        </row>
        <row r="160">
          <cell r="E160" t="str">
            <v>0020070001ZYZC0383</v>
          </cell>
          <cell r="H160" t="str">
            <v>滨州益康医药连锁有限公司邹平县第四药店</v>
          </cell>
          <cell r="J160" t="str">
            <v>1859</v>
          </cell>
          <cell r="K160" t="str">
            <v>201602151421097</v>
          </cell>
          <cell r="M160" t="str">
            <v>哈药牌钙铁锌口服液10ml*10支</v>
          </cell>
        </row>
        <row r="161">
          <cell r="E161" t="str">
            <v>0020020020SJMS0006</v>
          </cell>
          <cell r="H161" t="str">
            <v>滨州益康医药连锁有限公司邹平县长山店</v>
          </cell>
          <cell r="J161" t="str">
            <v>1859</v>
          </cell>
          <cell r="K161" t="str">
            <v>201602151421097</v>
          </cell>
          <cell r="M161" t="str">
            <v>尼莫地平片20mg*50片</v>
          </cell>
        </row>
        <row r="162">
          <cell r="E162" t="str">
            <v>0020030170ZYEC0003</v>
          </cell>
          <cell r="H162" t="str">
            <v>滨州益康医药连锁有限公司邹平县长山店</v>
          </cell>
          <cell r="J162" t="str">
            <v>1859</v>
          </cell>
          <cell r="K162" t="str">
            <v>201602151421097</v>
          </cell>
          <cell r="M162" t="str">
            <v>蒙脱石散3g*12袋</v>
          </cell>
        </row>
        <row r="163">
          <cell r="E163" t="str">
            <v>0020030001SJZY0006</v>
          </cell>
          <cell r="H163" t="str">
            <v>滨州益康医药连锁有限公司邹平月河店</v>
          </cell>
          <cell r="J163" t="str">
            <v>1859</v>
          </cell>
          <cell r="K163" t="str">
            <v>201602151421097</v>
          </cell>
          <cell r="M163" t="str">
            <v>葡萄糖酸钙口服溶液10ml*12支</v>
          </cell>
        </row>
        <row r="164">
          <cell r="E164" t="str">
            <v>0020030001SJZY0009</v>
          </cell>
          <cell r="H164" t="str">
            <v>开发区韩峰卫生室</v>
          </cell>
          <cell r="J164" t="str">
            <v>1859</v>
          </cell>
          <cell r="K164" t="str">
            <v>201602151421097</v>
          </cell>
          <cell r="M164" t="str">
            <v>葡萄糖酸锌口服液10ml*12支</v>
          </cell>
        </row>
        <row r="165">
          <cell r="E165" t="str">
            <v>0020100000ZYLC0012</v>
          </cell>
          <cell r="H165" t="str">
            <v>滨州益康医药连锁有限公司邹平县礼参店</v>
          </cell>
          <cell r="J165" t="str">
            <v>1859</v>
          </cell>
          <cell r="K165" t="str">
            <v>201602151421097</v>
          </cell>
          <cell r="M165" t="str">
            <v>医用退热贴2贴</v>
          </cell>
        </row>
        <row r="166">
          <cell r="E166" t="str">
            <v>0020020030ZYZC0510</v>
          </cell>
          <cell r="H166" t="str">
            <v>滨州益康医药连锁有限公司邹平县礼参店</v>
          </cell>
          <cell r="J166" t="str">
            <v>1859</v>
          </cell>
          <cell r="K166" t="str">
            <v>201602151421097</v>
          </cell>
          <cell r="M166" t="str">
            <v>诺氟沙星胶囊0.1g*20粒</v>
          </cell>
        </row>
        <row r="167">
          <cell r="E167" t="str">
            <v>0020030001SJZY0006</v>
          </cell>
          <cell r="H167" t="str">
            <v>滨州益康医药连锁有限公司邹平县第四药店</v>
          </cell>
          <cell r="J167" t="str">
            <v>1859</v>
          </cell>
          <cell r="K167" t="str">
            <v>201602151421097</v>
          </cell>
          <cell r="M167" t="str">
            <v>葡萄糖酸钙口服溶液10ml*12支</v>
          </cell>
        </row>
        <row r="168">
          <cell r="E168" t="str">
            <v>0020030001SJZY0009</v>
          </cell>
          <cell r="H168" t="str">
            <v>滨州益康医药连锁有限公司邹平县第四药店</v>
          </cell>
          <cell r="J168" t="str">
            <v>1859</v>
          </cell>
          <cell r="K168" t="str">
            <v>201602151421097</v>
          </cell>
          <cell r="M168" t="str">
            <v>葡萄糖酸锌口服液10ml*12支</v>
          </cell>
        </row>
        <row r="169">
          <cell r="E169" t="str">
            <v>0020030001SJZY0006</v>
          </cell>
          <cell r="H169" t="str">
            <v>滨州益康医药连锁有限公司邹平县长山店</v>
          </cell>
          <cell r="J169" t="str">
            <v>1859</v>
          </cell>
          <cell r="K169" t="str">
            <v>201602151421097</v>
          </cell>
          <cell r="M169" t="str">
            <v>葡萄糖酸钙口服溶液10ml*12支</v>
          </cell>
        </row>
        <row r="170">
          <cell r="E170" t="str">
            <v>0020020030ZYZC0511</v>
          </cell>
          <cell r="H170" t="str">
            <v>滨州益康医药连锁有限公司邹平县长山店</v>
          </cell>
          <cell r="J170" t="str">
            <v>1859</v>
          </cell>
          <cell r="K170" t="str">
            <v>201602151421097</v>
          </cell>
          <cell r="M170" t="str">
            <v>头孢氨苄胶囊0.125g*20粒</v>
          </cell>
        </row>
        <row r="171">
          <cell r="E171" t="str">
            <v>0020020030ZYZC0511</v>
          </cell>
          <cell r="H171" t="str">
            <v>滨州益康医药连锁有限公司邹平长山诚意店</v>
          </cell>
          <cell r="J171" t="str">
            <v>1859</v>
          </cell>
          <cell r="K171" t="str">
            <v>201602151421097</v>
          </cell>
          <cell r="M171" t="str">
            <v>头孢氨苄胶囊0.125g*20粒</v>
          </cell>
        </row>
        <row r="172">
          <cell r="E172" t="str">
            <v>0020020030ZYZC0511</v>
          </cell>
          <cell r="H172" t="str">
            <v>滨州益康医药连锁有限公司邹平县明珠店</v>
          </cell>
          <cell r="J172" t="str">
            <v>1859</v>
          </cell>
          <cell r="K172" t="str">
            <v>201602151421097</v>
          </cell>
          <cell r="M172" t="str">
            <v>头孢氨苄胶囊0.125g*20粒</v>
          </cell>
        </row>
        <row r="173">
          <cell r="E173" t="str">
            <v>0020030020ZYLC0013</v>
          </cell>
          <cell r="H173" t="str">
            <v>滨州益康医药连锁有限公司邹平县明珠店</v>
          </cell>
          <cell r="J173" t="str">
            <v>1859</v>
          </cell>
          <cell r="K173" t="str">
            <v>201602151421097</v>
          </cell>
          <cell r="M173" t="str">
            <v>乳酸菌素片0.4g*36片</v>
          </cell>
        </row>
        <row r="174">
          <cell r="E174" t="str">
            <v>0020020021ZYLC0004</v>
          </cell>
          <cell r="H174" t="str">
            <v>滨州益康医药连锁有限公司邹平县明珠店</v>
          </cell>
          <cell r="J174" t="str">
            <v>1859</v>
          </cell>
          <cell r="K174" t="str">
            <v>201602151421097</v>
          </cell>
          <cell r="M174" t="str">
            <v>罗红霉素分散片/大严迪75mg*12片</v>
          </cell>
        </row>
        <row r="175">
          <cell r="E175" t="str">
            <v>0020020020SJMS0008</v>
          </cell>
          <cell r="H175" t="str">
            <v>滨州益康医药连锁有限公司邹平县西王店</v>
          </cell>
          <cell r="J175" t="str">
            <v>1859</v>
          </cell>
          <cell r="K175" t="str">
            <v>201602151421097</v>
          </cell>
          <cell r="M175" t="str">
            <v>拉西地平片/司乐平4mg*15片</v>
          </cell>
        </row>
        <row r="176">
          <cell r="E176" t="str">
            <v>0020020020SJMS0006</v>
          </cell>
          <cell r="H176" t="str">
            <v>滨州益康医药连锁有限公司邹平县亲民药店</v>
          </cell>
          <cell r="J176" t="str">
            <v>1859</v>
          </cell>
          <cell r="K176" t="str">
            <v>201602151421097</v>
          </cell>
          <cell r="M176" t="str">
            <v>尼莫地平片20mg*50片</v>
          </cell>
        </row>
        <row r="177">
          <cell r="E177" t="str">
            <v>0020070000ZYLC0052</v>
          </cell>
          <cell r="H177" t="str">
            <v>滨州益康医药连锁有限公司邹平县黄山一路店</v>
          </cell>
          <cell r="J177" t="str">
            <v>1859</v>
          </cell>
          <cell r="K177" t="str">
            <v>201602151421097</v>
          </cell>
          <cell r="M177" t="str">
            <v>哈药六牌钙加锌口服液10ml*12支</v>
          </cell>
        </row>
        <row r="178">
          <cell r="E178" t="str">
            <v>0020100000ZYLC0012</v>
          </cell>
          <cell r="H178" t="str">
            <v>滨州益康医药连锁有限公司邹平县黄山二路店</v>
          </cell>
          <cell r="J178" t="str">
            <v>1859</v>
          </cell>
          <cell r="K178" t="str">
            <v>201602151421097</v>
          </cell>
          <cell r="M178" t="str">
            <v>医用退热贴2贴</v>
          </cell>
        </row>
        <row r="179">
          <cell r="E179" t="str">
            <v>0020040220SHYT0004</v>
          </cell>
          <cell r="H179" t="str">
            <v>滨州益康医药连锁有限公司邹平县黄山二路店</v>
          </cell>
          <cell r="J179" t="str">
            <v>1859</v>
          </cell>
          <cell r="K179" t="str">
            <v>201602151421097</v>
          </cell>
          <cell r="M179" t="str">
            <v>妇宁栓1.6克*8粒</v>
          </cell>
        </row>
        <row r="180">
          <cell r="E180" t="str">
            <v>0020070000ZYLC0001</v>
          </cell>
          <cell r="H180" t="str">
            <v>滨州益康医药连锁有限公司邹平县黄山二路店</v>
          </cell>
          <cell r="J180" t="str">
            <v>1859</v>
          </cell>
          <cell r="K180" t="str">
            <v>201602151421097</v>
          </cell>
          <cell r="M180" t="str">
            <v>新盖中盖高钙片(成人)/盖中盖2.5g*36片</v>
          </cell>
        </row>
        <row r="181">
          <cell r="E181" t="str">
            <v>0020070000ZYLC0001</v>
          </cell>
          <cell r="H181" t="str">
            <v>明集镇宋集中心卫生室</v>
          </cell>
          <cell r="J181" t="str">
            <v>1859</v>
          </cell>
          <cell r="K181" t="str">
            <v>201602151421097</v>
          </cell>
          <cell r="M181" t="str">
            <v>新盖中盖高钙片(成人)/盖中盖2.5g*36片</v>
          </cell>
        </row>
        <row r="182">
          <cell r="E182" t="str">
            <v>0020030020SJSC0025</v>
          </cell>
          <cell r="H182" t="str">
            <v>黄山办碑楼中心卫生室</v>
          </cell>
          <cell r="J182" t="str">
            <v>1859</v>
          </cell>
          <cell r="K182" t="str">
            <v>201602151421097</v>
          </cell>
          <cell r="M182" t="str">
            <v>复方氨酚烷胺片12片</v>
          </cell>
        </row>
        <row r="183">
          <cell r="E183" t="str">
            <v>0020020030ZYZC0508</v>
          </cell>
          <cell r="H183" t="str">
            <v>滨州益康医药连锁有限公司邹平县黛溪一路店</v>
          </cell>
          <cell r="J183" t="str">
            <v>1859</v>
          </cell>
          <cell r="K183" t="str">
            <v>201602151421097</v>
          </cell>
          <cell r="M183" t="str">
            <v>阿莫西林胶囊/益萨林0.25g*20粒</v>
          </cell>
        </row>
        <row r="184">
          <cell r="E184" t="str">
            <v>0020070000ZYLC0001</v>
          </cell>
          <cell r="H184" t="str">
            <v>滨州益康医药连锁有限公司邹平县黛溪三路店</v>
          </cell>
          <cell r="J184" t="str">
            <v>1859</v>
          </cell>
          <cell r="K184" t="str">
            <v>201602151421097</v>
          </cell>
          <cell r="M184" t="str">
            <v>新盖中盖高钙片(成人)/盖中盖2.5g*36片</v>
          </cell>
        </row>
        <row r="185">
          <cell r="E185" t="str">
            <v>0020050020SHYT0016</v>
          </cell>
          <cell r="H185" t="str">
            <v>滨州益康医药连锁有限公司邹平县黛溪三路店</v>
          </cell>
          <cell r="J185" t="str">
            <v>1859</v>
          </cell>
          <cell r="K185" t="str">
            <v>201602151421097</v>
          </cell>
          <cell r="M185" t="str">
            <v>复方金银花颗粒10g*10袋</v>
          </cell>
        </row>
        <row r="186">
          <cell r="E186" t="str">
            <v>0020040001SHYT0026</v>
          </cell>
          <cell r="H186" t="str">
            <v>滨州益康医药连锁有限公司邹平县黛溪三路店</v>
          </cell>
          <cell r="J186" t="str">
            <v>1859</v>
          </cell>
          <cell r="K186" t="str">
            <v>201602151421097</v>
          </cell>
          <cell r="M186" t="str">
            <v>小活络丸3g*10丸</v>
          </cell>
        </row>
        <row r="187">
          <cell r="E187" t="str">
            <v>0020020021ZYLC0004</v>
          </cell>
          <cell r="H187" t="str">
            <v>滨州益康医药连锁有限公司邹平县第三药店</v>
          </cell>
          <cell r="J187" t="str">
            <v>1859</v>
          </cell>
          <cell r="K187" t="str">
            <v>201602151421097</v>
          </cell>
          <cell r="M187" t="str">
            <v>罗红霉素分散片/大严迪75mg*12片</v>
          </cell>
        </row>
        <row r="188">
          <cell r="E188" t="str">
            <v>0020040020SHYT0007</v>
          </cell>
          <cell r="H188" t="str">
            <v>滨州益康医药连锁有限公司成五店</v>
          </cell>
          <cell r="J188" t="str">
            <v>1859</v>
          </cell>
          <cell r="K188" t="str">
            <v>201602151421097</v>
          </cell>
          <cell r="M188" t="str">
            <v>丹佛胃尔康颗粒10g*6袋</v>
          </cell>
        </row>
        <row r="189">
          <cell r="E189" t="str">
            <v>0020020030ZYZC0508</v>
          </cell>
          <cell r="H189" t="str">
            <v>滨州九芝康医药有限公司</v>
          </cell>
          <cell r="J189" t="str">
            <v>1859</v>
          </cell>
          <cell r="K189" t="str">
            <v>201602151421097</v>
          </cell>
          <cell r="M189" t="str">
            <v>阿莫西林胶囊/益萨林0.25g*20粒</v>
          </cell>
        </row>
        <row r="190">
          <cell r="E190" t="str">
            <v>0020070000ZYLC0001</v>
          </cell>
          <cell r="H190" t="str">
            <v>山东广富集团有限公司医务室</v>
          </cell>
          <cell r="J190" t="str">
            <v>1859</v>
          </cell>
          <cell r="K190" t="str">
            <v>201602151421097</v>
          </cell>
          <cell r="M190" t="str">
            <v>新盖中盖高钙片(成人)/盖中盖2.5g*36片</v>
          </cell>
        </row>
        <row r="191">
          <cell r="E191" t="str">
            <v>0020030040ZYLC0001</v>
          </cell>
          <cell r="H191" t="str">
            <v>西董街道办马庄中心卫生室</v>
          </cell>
          <cell r="J191" t="str">
            <v>1859</v>
          </cell>
          <cell r="K191" t="str">
            <v>201602151421097</v>
          </cell>
          <cell r="M191" t="str">
            <v>小儿氨酚黄那敏颗粒/护彤2g*12袋</v>
          </cell>
        </row>
        <row r="192">
          <cell r="E192" t="str">
            <v>0020020030ZYZC0510</v>
          </cell>
          <cell r="H192" t="str">
            <v>姜楼镇王判村卫生室</v>
          </cell>
          <cell r="J192" t="str">
            <v>1859</v>
          </cell>
          <cell r="K192" t="str">
            <v>201602151421097</v>
          </cell>
          <cell r="M192" t="str">
            <v>诺氟沙星胶囊0.1g*20粒</v>
          </cell>
        </row>
        <row r="193">
          <cell r="E193" t="str">
            <v>0020040220SHYT0004</v>
          </cell>
          <cell r="H193" t="str">
            <v>滨州益康医药连锁有限公司邹平县黄山店</v>
          </cell>
          <cell r="J193" t="str">
            <v>1859</v>
          </cell>
          <cell r="K193" t="str">
            <v>201602151421097</v>
          </cell>
          <cell r="M193" t="str">
            <v>妇宁栓1.6克*8粒</v>
          </cell>
        </row>
        <row r="194">
          <cell r="E194" t="str">
            <v>0020070001ZYZC0383</v>
          </cell>
          <cell r="H194" t="str">
            <v>邹平县韩店镇小店中心卫生室</v>
          </cell>
          <cell r="J194" t="str">
            <v>1859</v>
          </cell>
          <cell r="K194" t="str">
            <v>201602151421097</v>
          </cell>
          <cell r="M194" t="str">
            <v>哈药牌钙铁锌口服液10ml*10支</v>
          </cell>
        </row>
        <row r="195">
          <cell r="E195" t="str">
            <v>0020020020SJMS0006</v>
          </cell>
          <cell r="H195" t="str">
            <v>滨州益康医药连锁有限公司邹平第二药店</v>
          </cell>
          <cell r="J195" t="str">
            <v>1859</v>
          </cell>
          <cell r="K195" t="str">
            <v>201602151421097</v>
          </cell>
          <cell r="M195" t="str">
            <v>尼莫地平片20mg*50片</v>
          </cell>
        </row>
        <row r="196">
          <cell r="E196" t="str">
            <v>0020050020ZYEC0008</v>
          </cell>
          <cell r="H196" t="str">
            <v>滨州益康医药连锁有限公司邹平正心店</v>
          </cell>
          <cell r="J196" t="str">
            <v>1859</v>
          </cell>
          <cell r="K196" t="str">
            <v>201602151421097</v>
          </cell>
          <cell r="M196" t="str">
            <v>感冒解毒灵颗粒5g*10袋</v>
          </cell>
        </row>
        <row r="197">
          <cell r="E197" t="str">
            <v>0020050001SHYT0017</v>
          </cell>
          <cell r="H197" t="str">
            <v>滨州益康医药连锁有限公司邹平县长山店</v>
          </cell>
          <cell r="J197" t="str">
            <v>1859</v>
          </cell>
          <cell r="K197" t="str">
            <v>201602151421097</v>
          </cell>
          <cell r="M197" t="str">
            <v>附子理中丸9g*10丸</v>
          </cell>
        </row>
        <row r="198">
          <cell r="E198" t="str">
            <v>0020040220SHYT0004</v>
          </cell>
          <cell r="H198" t="str">
            <v>滨州益康医药连锁有限公司便民店</v>
          </cell>
          <cell r="J198" t="str">
            <v>1859</v>
          </cell>
          <cell r="K198" t="str">
            <v>201602151421097</v>
          </cell>
          <cell r="M198" t="str">
            <v>妇宁栓1.6克*8粒</v>
          </cell>
        </row>
        <row r="199">
          <cell r="E199" t="str">
            <v>0020030020ZYLC0013</v>
          </cell>
          <cell r="H199" t="str">
            <v>滨州益康医药连锁有限公司便民店</v>
          </cell>
          <cell r="J199" t="str">
            <v>1859</v>
          </cell>
          <cell r="K199" t="str">
            <v>201602151421097</v>
          </cell>
          <cell r="M199" t="str">
            <v>乳酸菌素片0.4g*36片</v>
          </cell>
        </row>
        <row r="200">
          <cell r="E200" t="str">
            <v>0020030020ZYLC0013</v>
          </cell>
          <cell r="H200" t="str">
            <v>滨州益康医药连锁有限公司邹平县魏纺路店</v>
          </cell>
          <cell r="J200" t="str">
            <v>1859</v>
          </cell>
          <cell r="K200" t="str">
            <v>201602151421097</v>
          </cell>
          <cell r="M200" t="str">
            <v>乳酸菌素片0.4g*36片</v>
          </cell>
        </row>
        <row r="201">
          <cell r="E201" t="str">
            <v>0020030001SJZY0006</v>
          </cell>
          <cell r="H201" t="str">
            <v>邹平杏林堂医药连锁有限公司</v>
          </cell>
          <cell r="J201" t="str">
            <v>1859</v>
          </cell>
          <cell r="K201" t="str">
            <v>201602151421097</v>
          </cell>
          <cell r="M201" t="str">
            <v>葡萄糖酸钙口服溶液10ml*12支</v>
          </cell>
        </row>
        <row r="202">
          <cell r="E202" t="str">
            <v>0020030040SJET0003</v>
          </cell>
          <cell r="H202" t="str">
            <v>滨州益康医药连锁有限公司邹平县第十药店</v>
          </cell>
          <cell r="J202" t="str">
            <v>1859</v>
          </cell>
          <cell r="K202" t="str">
            <v>201602151421097</v>
          </cell>
          <cell r="M202" t="str">
            <v>氨金黄敏颗粒6g*10袋</v>
          </cell>
        </row>
        <row r="203">
          <cell r="E203" t="str">
            <v>0020030040SJET0003</v>
          </cell>
          <cell r="H203" t="str">
            <v>滨州益康医药连锁有限公司便民店</v>
          </cell>
          <cell r="J203" t="str">
            <v>1859</v>
          </cell>
          <cell r="K203" t="str">
            <v>201602151421097</v>
          </cell>
          <cell r="M203" t="str">
            <v>氨金黄敏颗粒6g*10袋</v>
          </cell>
        </row>
        <row r="204">
          <cell r="E204" t="str">
            <v>0020030040SJET0003</v>
          </cell>
          <cell r="H204" t="str">
            <v>滨州益康医药连锁有限公司邹平县黄山三路店</v>
          </cell>
          <cell r="J204" t="str">
            <v>1859</v>
          </cell>
          <cell r="K204" t="str">
            <v>201602151421097</v>
          </cell>
          <cell r="M204" t="str">
            <v>氨金黄敏颗粒6g*10袋</v>
          </cell>
        </row>
        <row r="205">
          <cell r="E205" t="str">
            <v>0020030040SJET0003</v>
          </cell>
          <cell r="H205" t="str">
            <v>滨州益康医药连锁有限公司邹平县第一药店</v>
          </cell>
          <cell r="J205" t="str">
            <v>1859</v>
          </cell>
          <cell r="K205" t="str">
            <v>201602151421097</v>
          </cell>
          <cell r="M205" t="str">
            <v>氨金黄敏颗粒6g*10袋</v>
          </cell>
        </row>
        <row r="206">
          <cell r="E206" t="str">
            <v>0020030040SJET0003</v>
          </cell>
          <cell r="H206" t="str">
            <v>滨州益康医药连锁有限公司邹平县第九药店</v>
          </cell>
          <cell r="J206" t="str">
            <v>1859</v>
          </cell>
          <cell r="K206" t="str">
            <v>201602151421097</v>
          </cell>
          <cell r="M206" t="str">
            <v>氨金黄敏颗粒6g*10袋</v>
          </cell>
        </row>
        <row r="207">
          <cell r="E207" t="str">
            <v>0020030040SJET0003</v>
          </cell>
          <cell r="H207" t="str">
            <v>滨州益康医药连锁有限公司邹平县第十二店</v>
          </cell>
          <cell r="J207" t="str">
            <v>1859</v>
          </cell>
          <cell r="K207" t="str">
            <v>201602151421097</v>
          </cell>
          <cell r="M207" t="str">
            <v>氨金黄敏颗粒6g*10袋</v>
          </cell>
        </row>
        <row r="208">
          <cell r="E208" t="str">
            <v>0020070000ZYLC0055</v>
          </cell>
          <cell r="H208" t="str">
            <v>高新办邹魏一园第一中心卫生室</v>
          </cell>
          <cell r="J208" t="str">
            <v>1859</v>
          </cell>
          <cell r="K208" t="str">
            <v>201602151421097</v>
          </cell>
          <cell r="M208" t="str">
            <v>朴血乳酸亚铁口服液10ml*12支</v>
          </cell>
        </row>
        <row r="209">
          <cell r="E209" t="str">
            <v>0020030040SJET0003</v>
          </cell>
          <cell r="H209" t="str">
            <v>滨州益康医药连锁有限公司邹平县第六药店</v>
          </cell>
          <cell r="J209" t="str">
            <v>1859</v>
          </cell>
          <cell r="K209" t="str">
            <v>201602151421097</v>
          </cell>
          <cell r="M209" t="str">
            <v>氨金黄敏颗粒6g*10袋</v>
          </cell>
        </row>
        <row r="210">
          <cell r="E210" t="str">
            <v>0020030040SJET0003</v>
          </cell>
          <cell r="H210" t="str">
            <v>滨州益康医药连锁有限公司邹平县黄山店</v>
          </cell>
          <cell r="J210" t="str">
            <v>1859</v>
          </cell>
          <cell r="K210" t="str">
            <v>201602151421097</v>
          </cell>
          <cell r="M210" t="str">
            <v>氨金黄敏颗粒6g*10袋</v>
          </cell>
        </row>
        <row r="211">
          <cell r="E211" t="str">
            <v>0020030001SJZY0006</v>
          </cell>
          <cell r="H211" t="str">
            <v>滨州益康医药连锁有限公司邹平县第三药店</v>
          </cell>
          <cell r="J211" t="str">
            <v>1859</v>
          </cell>
          <cell r="K211" t="str">
            <v>201602151421097</v>
          </cell>
          <cell r="M211" t="str">
            <v>葡萄糖酸钙口服溶液10ml*12支</v>
          </cell>
        </row>
        <row r="212">
          <cell r="E212" t="str">
            <v>0020020030ZYZC0264</v>
          </cell>
          <cell r="H212" t="str">
            <v>滨州益康医药连锁有限公司邹平县第一药店</v>
          </cell>
          <cell r="J212" t="str">
            <v>1859</v>
          </cell>
          <cell r="K212" t="str">
            <v>201602151421097</v>
          </cell>
          <cell r="M212" t="str">
            <v>阿莫西林胶囊/益萨林0.5g*20粒</v>
          </cell>
        </row>
        <row r="213">
          <cell r="E213" t="str">
            <v>0020030040ZYLC0001</v>
          </cell>
          <cell r="H213" t="str">
            <v>滨州益康医药连锁有限公司邹平县黄山三路店</v>
          </cell>
          <cell r="J213" t="str">
            <v>1859</v>
          </cell>
          <cell r="K213" t="str">
            <v>201602151421097</v>
          </cell>
          <cell r="M213" t="str">
            <v>小儿氨酚黄那敏颗粒/护彤2g*12袋</v>
          </cell>
        </row>
        <row r="214">
          <cell r="E214" t="str">
            <v>0020030040ZYLC0001</v>
          </cell>
          <cell r="H214" t="str">
            <v>山东魏桥创业集团第二工业园医务室</v>
          </cell>
          <cell r="J214" t="str">
            <v>1859</v>
          </cell>
          <cell r="K214" t="str">
            <v>201602151421097</v>
          </cell>
          <cell r="M214" t="str">
            <v>小儿氨酚黄那敏颗粒/护彤2g*12袋</v>
          </cell>
        </row>
        <row r="215">
          <cell r="E215" t="str">
            <v>0020020020SJMS0006</v>
          </cell>
          <cell r="H215" t="str">
            <v>滨州益康医药连锁有限公司邹平县第三药店</v>
          </cell>
          <cell r="J215" t="str">
            <v>1859</v>
          </cell>
          <cell r="K215" t="str">
            <v>201602151421097</v>
          </cell>
          <cell r="M215" t="str">
            <v>尼莫地平片20mg*50片</v>
          </cell>
        </row>
        <row r="216">
          <cell r="E216" t="str">
            <v>0020030020ZYLC0006</v>
          </cell>
          <cell r="H216" t="str">
            <v>滨州益康医药连锁有限公司邹平县第三药店</v>
          </cell>
          <cell r="J216" t="str">
            <v>1859</v>
          </cell>
          <cell r="K216" t="str">
            <v>201602151421097</v>
          </cell>
          <cell r="M216" t="str">
            <v>复方氨酚烷胺片12片</v>
          </cell>
        </row>
        <row r="217">
          <cell r="E217" t="str">
            <v>0020020020ZYLC0003</v>
          </cell>
          <cell r="H217" t="str">
            <v>滨州益康医药连锁有限公司邹平县魏桥惠民店</v>
          </cell>
          <cell r="J217" t="str">
            <v>1859</v>
          </cell>
          <cell r="K217" t="str">
            <v>201602151421097</v>
          </cell>
          <cell r="M217" t="str">
            <v>颠茄磺苄啶片12片</v>
          </cell>
        </row>
        <row r="218">
          <cell r="E218" t="str">
            <v>0020050020SHYT0016</v>
          </cell>
          <cell r="H218" t="str">
            <v>滨州益康医药连锁有限公司邹平县魏桥惠民店</v>
          </cell>
          <cell r="J218" t="str">
            <v>1859</v>
          </cell>
          <cell r="K218" t="str">
            <v>201602151421097</v>
          </cell>
          <cell r="M218" t="str">
            <v>复方金银花颗粒10g*10袋</v>
          </cell>
        </row>
        <row r="219">
          <cell r="E219" t="str">
            <v>0020030170ZYEC0003</v>
          </cell>
          <cell r="H219" t="str">
            <v>滨州益康医药连锁有限公司邹平县魏桥惠民店</v>
          </cell>
          <cell r="J219" t="str">
            <v>1859</v>
          </cell>
          <cell r="K219" t="str">
            <v>201602151421097</v>
          </cell>
          <cell r="M219" t="str">
            <v>蒙脱石散3g*12袋</v>
          </cell>
        </row>
        <row r="220">
          <cell r="E220" t="str">
            <v>0020070000ZYLC0001</v>
          </cell>
          <cell r="H220" t="str">
            <v>山东魏桥创业集团第二工业园医务室</v>
          </cell>
          <cell r="J220" t="str">
            <v>1859</v>
          </cell>
          <cell r="K220" t="str">
            <v>201602151421097</v>
          </cell>
          <cell r="M220" t="str">
            <v>新盖中盖高钙片(成人)/盖中盖2.5g*36片</v>
          </cell>
        </row>
        <row r="221">
          <cell r="E221" t="str">
            <v>0020030020ZYLC0006</v>
          </cell>
          <cell r="H221" t="str">
            <v>惠民县旺康医药有限公司</v>
          </cell>
          <cell r="J221" t="str">
            <v>1854</v>
          </cell>
          <cell r="K221" t="str">
            <v>201602151421097</v>
          </cell>
          <cell r="M221" t="str">
            <v>复方氨酚烷胺片12片</v>
          </cell>
        </row>
        <row r="222">
          <cell r="E222" t="str">
            <v>0020030040SJET0003</v>
          </cell>
          <cell r="H222" t="str">
            <v>滨州益康医药连锁有限公司邹平县南范店</v>
          </cell>
          <cell r="J222" t="str">
            <v>1859</v>
          </cell>
          <cell r="K222" t="str">
            <v>201602151421097</v>
          </cell>
          <cell r="M222" t="str">
            <v>氨金黄敏颗粒6g*10袋</v>
          </cell>
        </row>
        <row r="223">
          <cell r="E223" t="str">
            <v>0020030040SJET0003</v>
          </cell>
          <cell r="H223" t="str">
            <v>滨州益康医药连锁有限公司邹平县第七药店</v>
          </cell>
          <cell r="J223" t="str">
            <v>1859</v>
          </cell>
          <cell r="K223" t="str">
            <v>201602151421097</v>
          </cell>
          <cell r="M223" t="str">
            <v>氨金黄敏颗粒6g*10袋</v>
          </cell>
        </row>
        <row r="224">
          <cell r="E224" t="str">
            <v>0020030040SJET0003</v>
          </cell>
          <cell r="H224" t="str">
            <v>滨州益康医药连锁有限公司邹平县第八药店</v>
          </cell>
          <cell r="J224" t="str">
            <v>1859</v>
          </cell>
          <cell r="K224" t="str">
            <v>201602151421097</v>
          </cell>
          <cell r="M224" t="str">
            <v>氨金黄敏颗粒6g*10袋</v>
          </cell>
        </row>
        <row r="225">
          <cell r="E225" t="str">
            <v>0020030040SJET0003</v>
          </cell>
          <cell r="H225" t="str">
            <v>滨州益康医药连锁有限公司邹平县邹魏二区店</v>
          </cell>
          <cell r="J225" t="str">
            <v>1859</v>
          </cell>
          <cell r="K225" t="str">
            <v>201602151421097</v>
          </cell>
          <cell r="M225" t="str">
            <v>氨金黄敏颗粒6g*10袋</v>
          </cell>
        </row>
        <row r="226">
          <cell r="E226" t="str">
            <v>0020030040ZYZC0307</v>
          </cell>
          <cell r="H226" t="str">
            <v>滨州益康医药连锁有限公司邹平县邹魏二区店</v>
          </cell>
          <cell r="J226" t="str">
            <v>1859</v>
          </cell>
          <cell r="K226" t="str">
            <v>201602151421097</v>
          </cell>
          <cell r="M226" t="str">
            <v>富马酸亚铁颗粒6袋</v>
          </cell>
        </row>
        <row r="227">
          <cell r="E227" t="str">
            <v>0020070001ZYZC0383</v>
          </cell>
          <cell r="H227" t="str">
            <v>滨州益康医药连锁有限公司邹平县邹魏二区店</v>
          </cell>
          <cell r="J227" t="str">
            <v>1859</v>
          </cell>
          <cell r="K227" t="str">
            <v>201602151421097</v>
          </cell>
          <cell r="M227" t="str">
            <v>哈药牌钙铁锌口服液10ml*10支</v>
          </cell>
        </row>
        <row r="228">
          <cell r="E228" t="str">
            <v>0020050020ZYEC0008</v>
          </cell>
          <cell r="H228" t="str">
            <v>滨州益康医药连锁有限公司邹平县邹魏二区店</v>
          </cell>
          <cell r="J228" t="str">
            <v>1859</v>
          </cell>
          <cell r="K228" t="str">
            <v>201602151421097</v>
          </cell>
          <cell r="M228" t="str">
            <v>感冒解毒灵颗粒5g*10袋</v>
          </cell>
        </row>
        <row r="229">
          <cell r="E229" t="str">
            <v>0020030040ZYLC0001</v>
          </cell>
          <cell r="H229" t="str">
            <v>滨州益康医药连锁有限公司邹平县邹魏二区店</v>
          </cell>
          <cell r="J229" t="str">
            <v>1859</v>
          </cell>
          <cell r="K229" t="str">
            <v>201602151421097</v>
          </cell>
          <cell r="M229" t="str">
            <v>小儿氨酚黄那敏颗粒/护彤2g*12袋</v>
          </cell>
        </row>
        <row r="230">
          <cell r="E230" t="str">
            <v>0020020020ZYLC0003</v>
          </cell>
          <cell r="H230" t="str">
            <v>滨州益康医药连锁有限公司邹平县魏纺路店</v>
          </cell>
          <cell r="J230" t="str">
            <v>1859</v>
          </cell>
          <cell r="K230" t="str">
            <v>201602151421097</v>
          </cell>
          <cell r="M230" t="str">
            <v>颠茄磺苄啶片12片</v>
          </cell>
        </row>
        <row r="231">
          <cell r="E231" t="str">
            <v>0020040070ZYEC0005</v>
          </cell>
          <cell r="H231" t="str">
            <v>滨州益康医药连锁有限公司邹平县礼参店</v>
          </cell>
          <cell r="J231" t="str">
            <v>1859</v>
          </cell>
          <cell r="K231" t="str">
            <v>201602151421097</v>
          </cell>
          <cell r="M231" t="str">
            <v>小儿百部止咳糖浆100ml</v>
          </cell>
        </row>
        <row r="232">
          <cell r="E232" t="str">
            <v>0020030040SJET0003</v>
          </cell>
          <cell r="H232" t="str">
            <v>滨州益康医药连锁有限公司邹平月河店</v>
          </cell>
          <cell r="J232" t="str">
            <v>1859</v>
          </cell>
          <cell r="K232" t="str">
            <v>201602151421097</v>
          </cell>
          <cell r="M232" t="str">
            <v>氨金黄敏颗粒6g*10袋</v>
          </cell>
        </row>
        <row r="233">
          <cell r="E233" t="str">
            <v>0020030001SJZY0009</v>
          </cell>
          <cell r="H233" t="str">
            <v>滨州益康医药连锁有限公司邹平月河店</v>
          </cell>
          <cell r="J233" t="str">
            <v>1859</v>
          </cell>
          <cell r="K233" t="str">
            <v>201602151421097</v>
          </cell>
          <cell r="M233" t="str">
            <v>葡萄糖酸锌口服液10ml*12支</v>
          </cell>
        </row>
        <row r="234">
          <cell r="E234" t="str">
            <v>0020030001SJZY0009</v>
          </cell>
          <cell r="H234" t="str">
            <v>台子镇官道村卫生室</v>
          </cell>
          <cell r="J234" t="str">
            <v>1859</v>
          </cell>
          <cell r="K234" t="str">
            <v>201602151421097</v>
          </cell>
          <cell r="M234" t="str">
            <v>葡萄糖酸锌口服液10ml*12支</v>
          </cell>
        </row>
        <row r="235">
          <cell r="E235" t="str">
            <v>0020030040SJET0003</v>
          </cell>
          <cell r="H235" t="str">
            <v>滨州益康医药连锁有限公司邹平县礼参店</v>
          </cell>
          <cell r="J235" t="str">
            <v>1859</v>
          </cell>
          <cell r="K235" t="str">
            <v>201602151421097</v>
          </cell>
          <cell r="M235" t="str">
            <v>氨金黄敏颗粒6g*10袋</v>
          </cell>
        </row>
        <row r="236">
          <cell r="E236" t="str">
            <v>0020030040ZYZC0307</v>
          </cell>
          <cell r="H236" t="str">
            <v>滨州益康医药连锁有限公司邹平长山诚意店</v>
          </cell>
          <cell r="J236" t="str">
            <v>1859</v>
          </cell>
          <cell r="K236" t="str">
            <v>201602151421097</v>
          </cell>
          <cell r="M236" t="str">
            <v>富马酸亚铁颗粒6袋</v>
          </cell>
        </row>
        <row r="237">
          <cell r="E237" t="str">
            <v>0020030040SJET0003</v>
          </cell>
          <cell r="H237" t="str">
            <v>滨州益康医药连锁有限公司邹平县魏纺路店</v>
          </cell>
          <cell r="J237" t="str">
            <v>1859</v>
          </cell>
          <cell r="K237" t="str">
            <v>201602151421097</v>
          </cell>
          <cell r="M237" t="str">
            <v>氨金黄敏颗粒6g*10袋</v>
          </cell>
        </row>
        <row r="238">
          <cell r="E238" t="str">
            <v>0020030040SJET0003</v>
          </cell>
          <cell r="H238" t="str">
            <v>滨州益康医药连锁有限公司邹平县长山店</v>
          </cell>
          <cell r="J238" t="str">
            <v>1859</v>
          </cell>
          <cell r="K238" t="str">
            <v>201602151421097</v>
          </cell>
          <cell r="M238" t="str">
            <v>氨金黄敏颗粒6g*10袋</v>
          </cell>
        </row>
        <row r="239">
          <cell r="E239" t="str">
            <v>0020030040SJET0003</v>
          </cell>
          <cell r="H239" t="str">
            <v>滨州益康医药连锁有限公司邹平明德店</v>
          </cell>
          <cell r="J239" t="str">
            <v>1859</v>
          </cell>
          <cell r="K239" t="str">
            <v>201602151421097</v>
          </cell>
          <cell r="M239" t="str">
            <v>氨金黄敏颗粒6g*10袋</v>
          </cell>
        </row>
        <row r="240">
          <cell r="E240" t="str">
            <v>0020030001SJZY0009</v>
          </cell>
          <cell r="H240" t="str">
            <v>滨州益康医药连锁有限公司邹平县长山店</v>
          </cell>
          <cell r="J240" t="str">
            <v>1859</v>
          </cell>
          <cell r="K240" t="str">
            <v>201602151421097</v>
          </cell>
          <cell r="M240" t="str">
            <v>葡萄糖酸锌口服液10ml*12支</v>
          </cell>
        </row>
        <row r="241">
          <cell r="E241" t="str">
            <v>0020030040SJET0003</v>
          </cell>
          <cell r="H241" t="str">
            <v>滨州益康医药连锁有限公司黛溪四路店</v>
          </cell>
          <cell r="J241" t="str">
            <v>1859</v>
          </cell>
          <cell r="K241" t="str">
            <v>201602151421097</v>
          </cell>
          <cell r="M241" t="str">
            <v>氨金黄敏颗粒6g*10袋</v>
          </cell>
        </row>
        <row r="242">
          <cell r="E242" t="str">
            <v>0020030040SJET0003</v>
          </cell>
          <cell r="H242" t="str">
            <v>滨州益康医药连锁有限公司邹平县中心店</v>
          </cell>
          <cell r="J242" t="str">
            <v>1859</v>
          </cell>
          <cell r="K242" t="str">
            <v>201602151421097</v>
          </cell>
          <cell r="M242" t="str">
            <v>氨金黄敏颗粒6g*10袋</v>
          </cell>
        </row>
        <row r="243">
          <cell r="E243" t="str">
            <v>0020030040SJET0003</v>
          </cell>
          <cell r="H243" t="str">
            <v>滨州益康医药连锁有限公司医务室</v>
          </cell>
          <cell r="J243" t="str">
            <v>1859</v>
          </cell>
          <cell r="K243" t="str">
            <v>201602151421097</v>
          </cell>
          <cell r="M243" t="str">
            <v>氨金黄敏颗粒6g*10袋</v>
          </cell>
        </row>
        <row r="244">
          <cell r="E244" t="str">
            <v>0020030040SJET0003</v>
          </cell>
          <cell r="H244" t="str">
            <v>滨州益康医药连锁有限公司邹平县黄山一路店</v>
          </cell>
          <cell r="J244" t="str">
            <v>1859</v>
          </cell>
          <cell r="K244" t="str">
            <v>201602151421097</v>
          </cell>
          <cell r="M244" t="str">
            <v>氨金黄敏颗粒6g*10袋</v>
          </cell>
        </row>
        <row r="245">
          <cell r="E245" t="str">
            <v>0020030040SJET0003</v>
          </cell>
          <cell r="H245" t="str">
            <v>滨州益康医药连锁有限公司邹平县明珠店</v>
          </cell>
          <cell r="J245" t="str">
            <v>1859</v>
          </cell>
          <cell r="K245" t="str">
            <v>201602151421097</v>
          </cell>
          <cell r="M245" t="str">
            <v>氨金黄敏颗粒6g*10袋</v>
          </cell>
        </row>
        <row r="246">
          <cell r="E246" t="str">
            <v>0020030040SJET0003</v>
          </cell>
          <cell r="H246" t="str">
            <v>滨州益康医药连锁有限公司邹平县亲民药店</v>
          </cell>
          <cell r="J246" t="str">
            <v>1859</v>
          </cell>
          <cell r="K246" t="str">
            <v>201602151421097</v>
          </cell>
          <cell r="M246" t="str">
            <v>氨金黄敏颗粒6g*10袋</v>
          </cell>
        </row>
        <row r="247">
          <cell r="E247" t="str">
            <v>0020030001SJZY0009</v>
          </cell>
          <cell r="H247" t="str">
            <v>滨州益康医药连锁有限公司邹平县明珠店</v>
          </cell>
          <cell r="J247" t="str">
            <v>1859</v>
          </cell>
          <cell r="K247" t="str">
            <v>201602151421097</v>
          </cell>
          <cell r="M247" t="str">
            <v>葡萄糖酸锌口服液10ml*12支</v>
          </cell>
        </row>
        <row r="248">
          <cell r="E248" t="str">
            <v>0020020020ZYZC0473</v>
          </cell>
          <cell r="H248" t="str">
            <v>滨州益康医药连锁有限公司邹平县亲民药店</v>
          </cell>
          <cell r="J248" t="str">
            <v>1859</v>
          </cell>
          <cell r="K248" t="str">
            <v>201602151421097</v>
          </cell>
          <cell r="M248" t="str">
            <v>盐酸环丙沙星片0.25g*12片</v>
          </cell>
        </row>
        <row r="249">
          <cell r="E249" t="str">
            <v>0020050020SHYT0016</v>
          </cell>
          <cell r="H249" t="str">
            <v>滨州益康医药连锁有限公司邹平县西王店</v>
          </cell>
          <cell r="J249" t="str">
            <v>1859</v>
          </cell>
          <cell r="K249" t="str">
            <v>201602151421097</v>
          </cell>
          <cell r="M249" t="str">
            <v>复方金银花颗粒10g*10袋</v>
          </cell>
        </row>
        <row r="250">
          <cell r="E250" t="str">
            <v>0020030170ZYEC0003</v>
          </cell>
          <cell r="H250" t="str">
            <v>滨州益康医药连锁有限公司邹平长山诚意店</v>
          </cell>
          <cell r="J250" t="str">
            <v>1859</v>
          </cell>
          <cell r="K250" t="str">
            <v>201602151421097</v>
          </cell>
          <cell r="M250" t="str">
            <v>蒙脱石散3g*12袋</v>
          </cell>
        </row>
        <row r="251">
          <cell r="E251" t="str">
            <v>0020030020SJSC0004</v>
          </cell>
          <cell r="H251" t="str">
            <v>滨州益康医药连锁有限公司邹平县黄山一路店</v>
          </cell>
          <cell r="J251" t="str">
            <v>1859</v>
          </cell>
          <cell r="K251" t="str">
            <v>201602151421097</v>
          </cell>
          <cell r="M251" t="str">
            <v>复方铝酸铋片/新胃必治50片</v>
          </cell>
        </row>
        <row r="252">
          <cell r="E252" t="str">
            <v>0020020030ZYZC0510</v>
          </cell>
          <cell r="H252" t="str">
            <v>滨州益康医药连锁有限公司邹平县黄山一路店</v>
          </cell>
          <cell r="J252" t="str">
            <v>1859</v>
          </cell>
          <cell r="K252" t="str">
            <v>201602151421097</v>
          </cell>
          <cell r="M252" t="str">
            <v>诺氟沙星胶囊0.1g*20粒</v>
          </cell>
        </row>
        <row r="253">
          <cell r="E253" t="str">
            <v>0020020030ZYZC0264</v>
          </cell>
          <cell r="H253" t="str">
            <v>滨州益康医药连锁有限公司邹平县亲民药店</v>
          </cell>
          <cell r="J253" t="str">
            <v>1859</v>
          </cell>
          <cell r="K253" t="str">
            <v>201602151421097</v>
          </cell>
          <cell r="M253" t="str">
            <v>阿莫西林胶囊/益萨林0.5g*20粒</v>
          </cell>
        </row>
        <row r="254">
          <cell r="E254" t="str">
            <v>0020030040SJET0003</v>
          </cell>
          <cell r="H254" t="str">
            <v>滨州益康医药连锁有限公司邹平县黄山二路店</v>
          </cell>
          <cell r="J254" t="str">
            <v>1859</v>
          </cell>
          <cell r="K254" t="str">
            <v>201602151421097</v>
          </cell>
          <cell r="M254" t="str">
            <v>氨金黄敏颗粒6g*10袋</v>
          </cell>
        </row>
        <row r="255">
          <cell r="E255" t="str">
            <v>0020030040SJET0003</v>
          </cell>
          <cell r="H255" t="str">
            <v>滨州益康医药连锁有限公司邹平县第五药店</v>
          </cell>
          <cell r="J255" t="str">
            <v>1859</v>
          </cell>
          <cell r="K255" t="str">
            <v>201602151421097</v>
          </cell>
          <cell r="M255" t="str">
            <v>氨金黄敏颗粒6g*10袋</v>
          </cell>
        </row>
        <row r="256">
          <cell r="E256" t="str">
            <v>0020040020SHYT0007</v>
          </cell>
          <cell r="H256" t="str">
            <v>滨州益康医药连锁有限公司邹平县第五药店</v>
          </cell>
          <cell r="J256" t="str">
            <v>1859</v>
          </cell>
          <cell r="K256" t="str">
            <v>201602151421097</v>
          </cell>
          <cell r="M256" t="str">
            <v>丹佛胃尔康颗粒10g*6袋</v>
          </cell>
        </row>
        <row r="257">
          <cell r="E257" t="str">
            <v>0020050020SHYT0016</v>
          </cell>
          <cell r="H257" t="str">
            <v>滨州益康医药连锁有限公司邹平县第五药店</v>
          </cell>
          <cell r="J257" t="str">
            <v>1859</v>
          </cell>
          <cell r="K257" t="str">
            <v>201602151421097</v>
          </cell>
          <cell r="M257" t="str">
            <v>复方金银花颗粒10g*10袋</v>
          </cell>
        </row>
        <row r="258">
          <cell r="E258" t="str">
            <v>0020020020ZYLC0003</v>
          </cell>
          <cell r="H258" t="str">
            <v>滨州益康医药连锁有限公司邹平县第五药店</v>
          </cell>
          <cell r="J258" t="str">
            <v>1859</v>
          </cell>
          <cell r="K258" t="str">
            <v>201602151421097</v>
          </cell>
          <cell r="M258" t="str">
            <v>颠茄磺苄啶片12片</v>
          </cell>
        </row>
        <row r="259">
          <cell r="E259" t="str">
            <v>0020020020ZYZC0359</v>
          </cell>
          <cell r="H259" t="str">
            <v>滨州益康医药连锁有限公司邹平县西王店</v>
          </cell>
          <cell r="J259" t="str">
            <v>1859</v>
          </cell>
          <cell r="K259" t="str">
            <v>201602151421097</v>
          </cell>
          <cell r="M259" t="str">
            <v>青霉素V钾片0.236g*24片</v>
          </cell>
        </row>
        <row r="260">
          <cell r="E260" t="str">
            <v>0020020020ZYZC0359</v>
          </cell>
          <cell r="H260" t="str">
            <v>滨州益康医药连锁有限公司邹平县亲民药店</v>
          </cell>
          <cell r="J260" t="str">
            <v>1859</v>
          </cell>
          <cell r="K260" t="str">
            <v>201602151421097</v>
          </cell>
          <cell r="M260" t="str">
            <v>青霉素V钾片0.236g*24片</v>
          </cell>
        </row>
        <row r="261">
          <cell r="E261" t="str">
            <v>0020030040SJET0003</v>
          </cell>
          <cell r="H261" t="str">
            <v>滨州益康医药连锁有限公司邹魏一区店</v>
          </cell>
          <cell r="J261" t="str">
            <v>1859</v>
          </cell>
          <cell r="K261" t="str">
            <v>201602151421097</v>
          </cell>
          <cell r="M261" t="str">
            <v>氨金黄敏颗粒6g*10袋</v>
          </cell>
        </row>
        <row r="262">
          <cell r="E262" t="str">
            <v>0020030040SJET0003</v>
          </cell>
          <cell r="H262" t="str">
            <v>滨州益康医药连锁有限公司邹平第二药店</v>
          </cell>
          <cell r="J262" t="str">
            <v>1859</v>
          </cell>
          <cell r="K262" t="str">
            <v>201602151421097</v>
          </cell>
          <cell r="M262" t="str">
            <v>氨金黄敏颗粒6g*10袋</v>
          </cell>
        </row>
        <row r="263">
          <cell r="E263" t="str">
            <v>0020030040SJET0003</v>
          </cell>
          <cell r="H263" t="str">
            <v>滨州益康医药连锁有限公司邹平县黛溪一路店</v>
          </cell>
          <cell r="J263" t="str">
            <v>1859</v>
          </cell>
          <cell r="K263" t="str">
            <v>201602151421097</v>
          </cell>
          <cell r="M263" t="str">
            <v>氨金黄敏颗粒6g*10袋</v>
          </cell>
        </row>
        <row r="264">
          <cell r="E264" t="str">
            <v>0020030020ZYLC0006</v>
          </cell>
          <cell r="H264" t="str">
            <v>台子镇联七中心卫生室</v>
          </cell>
          <cell r="J264" t="str">
            <v>1859</v>
          </cell>
          <cell r="K264" t="str">
            <v>201602151421097</v>
          </cell>
          <cell r="M264" t="str">
            <v>复方氨酚烷胺片12片</v>
          </cell>
        </row>
        <row r="265">
          <cell r="E265" t="str">
            <v>0020030020ZYLC0006</v>
          </cell>
          <cell r="H265" t="str">
            <v>码头镇大寨中心卫生室</v>
          </cell>
          <cell r="J265" t="str">
            <v>1859</v>
          </cell>
          <cell r="K265" t="str">
            <v>201602151421097</v>
          </cell>
          <cell r="M265" t="str">
            <v>复方氨酚烷胺片12片</v>
          </cell>
        </row>
        <row r="266">
          <cell r="E266" t="str">
            <v>0020020021ZYZC0341</v>
          </cell>
          <cell r="H266" t="str">
            <v>滨州益康医药连锁有限公司成五店</v>
          </cell>
          <cell r="J266" t="str">
            <v>1859</v>
          </cell>
          <cell r="K266" t="str">
            <v>201602151421097</v>
          </cell>
          <cell r="M266" t="str">
            <v>阿莫西林克拉维酸钾分散片/胜艾0.2285g*12片</v>
          </cell>
        </row>
        <row r="267">
          <cell r="E267" t="str">
            <v>0020050001SHYT0017</v>
          </cell>
          <cell r="H267" t="str">
            <v>滨州益康医药连锁有限公司邹平县第十一店</v>
          </cell>
          <cell r="J267" t="str">
            <v>1859</v>
          </cell>
          <cell r="K267" t="str">
            <v>201602151421097</v>
          </cell>
          <cell r="M267" t="str">
            <v>附子理中丸9g*10丸</v>
          </cell>
        </row>
        <row r="268">
          <cell r="E268" t="str">
            <v>0020030020ZYLC0006</v>
          </cell>
          <cell r="H268" t="str">
            <v>台子镇沙窝中心卫生室</v>
          </cell>
          <cell r="J268" t="str">
            <v>1859</v>
          </cell>
          <cell r="K268" t="str">
            <v>201602151421097</v>
          </cell>
          <cell r="M268" t="str">
            <v>复方氨酚烷胺片12片</v>
          </cell>
        </row>
        <row r="269">
          <cell r="E269" t="str">
            <v>0020030020ZYLC0006</v>
          </cell>
          <cell r="H269" t="str">
            <v>邹平县魏桥镇吴庄中心卫生室</v>
          </cell>
          <cell r="J269" t="str">
            <v>1859</v>
          </cell>
          <cell r="K269" t="str">
            <v>201602151421097</v>
          </cell>
          <cell r="M269" t="str">
            <v>复方氨酚烷胺片12片</v>
          </cell>
        </row>
        <row r="270">
          <cell r="E270" t="str">
            <v>0020030020ZYLC0006</v>
          </cell>
          <cell r="H270" t="str">
            <v>黛溪办北范中心卫生室</v>
          </cell>
          <cell r="J270" t="str">
            <v>1859</v>
          </cell>
          <cell r="K270" t="str">
            <v>201602151421097</v>
          </cell>
          <cell r="M270" t="str">
            <v>复方氨酚烷胺片12片</v>
          </cell>
        </row>
        <row r="271">
          <cell r="E271" t="str">
            <v>0020030020ZYLC0006</v>
          </cell>
          <cell r="H271" t="str">
            <v>黛溪办马庄中心卫生室</v>
          </cell>
          <cell r="J271" t="str">
            <v>1859</v>
          </cell>
          <cell r="K271" t="str">
            <v>201602151421097</v>
          </cell>
          <cell r="M271" t="str">
            <v>复方氨酚烷胺片12片</v>
          </cell>
        </row>
        <row r="272">
          <cell r="E272" t="str">
            <v>0020020020SJMS0006</v>
          </cell>
          <cell r="H272" t="str">
            <v>码头镇归苏中心卫生室</v>
          </cell>
          <cell r="J272" t="str">
            <v>1859</v>
          </cell>
          <cell r="K272" t="str">
            <v>201602151421097</v>
          </cell>
          <cell r="M272" t="str">
            <v>尼莫地平片20mg*50片</v>
          </cell>
        </row>
        <row r="273">
          <cell r="E273" t="str">
            <v>0020030020ZYLC0006</v>
          </cell>
          <cell r="H273" t="str">
            <v>魏桥镇官牛村李金峰卫生室</v>
          </cell>
          <cell r="J273" t="str">
            <v>1859</v>
          </cell>
          <cell r="K273" t="str">
            <v>201602151421097</v>
          </cell>
          <cell r="M273" t="str">
            <v>复方氨酚烷胺片12片</v>
          </cell>
        </row>
        <row r="274">
          <cell r="E274" t="str">
            <v>0020030020ZYLC0006</v>
          </cell>
          <cell r="H274" t="str">
            <v>西董街道办事处南石中心卫生室</v>
          </cell>
          <cell r="J274" t="str">
            <v>1859</v>
          </cell>
          <cell r="K274" t="str">
            <v>201602151421097</v>
          </cell>
          <cell r="M274" t="str">
            <v>复方氨酚烷胺片12片</v>
          </cell>
        </row>
        <row r="275">
          <cell r="E275" t="str">
            <v>0020030020ZYLC0006</v>
          </cell>
          <cell r="H275" t="str">
            <v>邹平县魏桥镇辛梁中心卫生室</v>
          </cell>
          <cell r="J275" t="str">
            <v>1859</v>
          </cell>
          <cell r="K275" t="str">
            <v>201602151421097</v>
          </cell>
          <cell r="M275" t="str">
            <v>复方氨酚烷胺片12片</v>
          </cell>
        </row>
        <row r="276">
          <cell r="E276" t="str">
            <v>0020020020ZYLC0003</v>
          </cell>
          <cell r="H276" t="str">
            <v>滨州益康医药连锁有限公司邹平县第十一店</v>
          </cell>
          <cell r="J276" t="str">
            <v>1859</v>
          </cell>
          <cell r="K276" t="str">
            <v>201602151421097</v>
          </cell>
          <cell r="M276" t="str">
            <v>颠茄磺苄啶片12片</v>
          </cell>
        </row>
        <row r="277">
          <cell r="E277" t="str">
            <v>0020030001SJZY0006</v>
          </cell>
          <cell r="H277" t="str">
            <v>邹平县好生镇苗家中心卫生室</v>
          </cell>
          <cell r="J277" t="str">
            <v>1859</v>
          </cell>
          <cell r="K277" t="str">
            <v>201602151421097</v>
          </cell>
          <cell r="M277" t="str">
            <v>葡萄糖酸钙口服溶液10ml*12支</v>
          </cell>
        </row>
        <row r="278">
          <cell r="E278" t="str">
            <v>0020070000ZYLC0055</v>
          </cell>
          <cell r="H278" t="str">
            <v>邹平县好生镇苗家中心卫生室</v>
          </cell>
          <cell r="J278" t="str">
            <v>1859</v>
          </cell>
          <cell r="K278" t="str">
            <v>201602151421097</v>
          </cell>
          <cell r="M278" t="str">
            <v>朴血乳酸亚铁口服液10ml*12支</v>
          </cell>
        </row>
        <row r="279">
          <cell r="E279" t="str">
            <v>0020030040SJET0003</v>
          </cell>
          <cell r="H279" t="str">
            <v>滨州益康医药连锁有限公司邹平县第十一店</v>
          </cell>
          <cell r="J279" t="str">
            <v>1859</v>
          </cell>
          <cell r="K279" t="str">
            <v>201602151421097</v>
          </cell>
          <cell r="M279" t="str">
            <v>氨金黄敏颗粒6g*10袋</v>
          </cell>
        </row>
        <row r="280">
          <cell r="E280" t="str">
            <v>0020030040SJET0003</v>
          </cell>
          <cell r="H280" t="str">
            <v>滨州益康医药连锁有限公司邹平县魏桥惠民店</v>
          </cell>
          <cell r="J280" t="str">
            <v>1859</v>
          </cell>
          <cell r="K280" t="str">
            <v>201602151421097</v>
          </cell>
          <cell r="M280" t="str">
            <v>氨金黄敏颗粒6g*10袋</v>
          </cell>
        </row>
        <row r="281">
          <cell r="E281" t="str">
            <v>0020030040SJET0003</v>
          </cell>
          <cell r="H281" t="str">
            <v>滨州益康医药连锁有限公司邹平县黛溪三路店</v>
          </cell>
          <cell r="J281" t="str">
            <v>1859</v>
          </cell>
          <cell r="K281" t="str">
            <v>201602151421097</v>
          </cell>
          <cell r="M281" t="str">
            <v>氨金黄敏颗粒6g*10袋</v>
          </cell>
        </row>
        <row r="282">
          <cell r="E282" t="str">
            <v>0020030040ZYZC0307</v>
          </cell>
          <cell r="H282" t="str">
            <v>滨州益康医药连锁有限公司邹平县第十一店</v>
          </cell>
          <cell r="J282" t="str">
            <v>1859</v>
          </cell>
          <cell r="K282" t="str">
            <v>201602151421097</v>
          </cell>
          <cell r="M282" t="str">
            <v>富马酸亚铁颗粒6袋</v>
          </cell>
        </row>
        <row r="283">
          <cell r="E283" t="str">
            <v>0020030040SJET0003</v>
          </cell>
          <cell r="H283" t="str">
            <v>滨州益康医药连锁有限公司邹平县第四药店</v>
          </cell>
          <cell r="J283" t="str">
            <v>1859</v>
          </cell>
          <cell r="K283" t="str">
            <v>201602151421097</v>
          </cell>
          <cell r="M283" t="str">
            <v>氨金黄敏颗粒6g*10袋</v>
          </cell>
        </row>
        <row r="284">
          <cell r="E284" t="str">
            <v>0020030040SJET0003</v>
          </cell>
          <cell r="H284" t="str">
            <v>滨州益康医药连锁有限公司邹平县第三药店</v>
          </cell>
          <cell r="J284" t="str">
            <v>1859</v>
          </cell>
          <cell r="K284" t="str">
            <v>201602151421097</v>
          </cell>
          <cell r="M284" t="str">
            <v>氨金黄敏颗粒6g*10袋</v>
          </cell>
        </row>
        <row r="285">
          <cell r="E285" t="str">
            <v>0020030001SJZY0006</v>
          </cell>
          <cell r="H285" t="str">
            <v>滨州益康医药连锁有限公司成五店</v>
          </cell>
          <cell r="J285" t="str">
            <v>1859</v>
          </cell>
          <cell r="K285" t="str">
            <v>201602151421097</v>
          </cell>
          <cell r="M285" t="str">
            <v>葡萄糖酸钙口服溶液10ml*12支</v>
          </cell>
        </row>
        <row r="286">
          <cell r="E286" t="str">
            <v>0020030040SJET0003</v>
          </cell>
          <cell r="H286" t="str">
            <v>滨州益康医药连锁有限公司成五店</v>
          </cell>
          <cell r="J286" t="str">
            <v>1859</v>
          </cell>
          <cell r="K286" t="str">
            <v>201602151421097</v>
          </cell>
          <cell r="M286" t="str">
            <v>氨金黄敏颗粒6g*10袋</v>
          </cell>
        </row>
        <row r="287">
          <cell r="E287" t="str">
            <v>0020030020ZYLC0006</v>
          </cell>
          <cell r="H287" t="str">
            <v>黛溪办张高中心卫生室</v>
          </cell>
          <cell r="J287" t="str">
            <v>1859</v>
          </cell>
          <cell r="K287" t="str">
            <v>201602151421097</v>
          </cell>
          <cell r="M287" t="str">
            <v>复方氨酚烷胺片12片</v>
          </cell>
        </row>
        <row r="288">
          <cell r="E288" t="str">
            <v>0020030020ZYLC0006</v>
          </cell>
          <cell r="H288" t="str">
            <v>魏桥镇张家寨村王露霞卫生室</v>
          </cell>
          <cell r="J288" t="str">
            <v>1859</v>
          </cell>
          <cell r="K288" t="str">
            <v>201602151421097</v>
          </cell>
          <cell r="M288" t="str">
            <v>复方氨酚烷胺片12片</v>
          </cell>
        </row>
        <row r="289">
          <cell r="E289" t="str">
            <v>0020030020ZYLC0006</v>
          </cell>
          <cell r="H289" t="str">
            <v>魏桥镇西码头中心卫生室</v>
          </cell>
          <cell r="J289" t="str">
            <v>1859</v>
          </cell>
          <cell r="K289" t="str">
            <v>201602151421097</v>
          </cell>
          <cell r="M289" t="str">
            <v>复方氨酚烷胺片12片</v>
          </cell>
        </row>
        <row r="290">
          <cell r="E290" t="str">
            <v>0020030020ZYLC0006</v>
          </cell>
          <cell r="H290" t="str">
            <v>魏桥镇清河一路第一中心卫生室</v>
          </cell>
          <cell r="J290" t="str">
            <v>1859</v>
          </cell>
          <cell r="K290" t="str">
            <v>201602151421097</v>
          </cell>
          <cell r="M290" t="str">
            <v>复方氨酚烷胺片12片</v>
          </cell>
        </row>
        <row r="291">
          <cell r="E291" t="str">
            <v>0020030020ZYLC0006</v>
          </cell>
          <cell r="H291" t="str">
            <v>魏桥镇甜水中心卫生室</v>
          </cell>
          <cell r="J291" t="str">
            <v>1859</v>
          </cell>
          <cell r="K291" t="str">
            <v>201602151421097</v>
          </cell>
          <cell r="M291" t="str">
            <v>复方氨酚烷胺片12片</v>
          </cell>
        </row>
        <row r="292">
          <cell r="E292" t="str">
            <v>0020030020ZYLC0006</v>
          </cell>
          <cell r="H292" t="str">
            <v>黄山办韩家中心卫生室</v>
          </cell>
          <cell r="J292" t="str">
            <v>1859</v>
          </cell>
          <cell r="K292" t="str">
            <v>201602151421097</v>
          </cell>
          <cell r="M292" t="str">
            <v>复方氨酚烷胺片12片</v>
          </cell>
        </row>
        <row r="293">
          <cell r="E293" t="str">
            <v>0020030020ZYLC0006</v>
          </cell>
          <cell r="H293" t="str">
            <v>长山镇杨家中心卫生室</v>
          </cell>
          <cell r="J293" t="str">
            <v>1859</v>
          </cell>
          <cell r="K293" t="str">
            <v>201602151421097</v>
          </cell>
          <cell r="M293" t="str">
            <v>复方氨酚烷胺片12片</v>
          </cell>
        </row>
        <row r="294">
          <cell r="E294" t="str">
            <v>0020030020ZYLC0006</v>
          </cell>
          <cell r="H294" t="str">
            <v>姜楼镇王判村卫生室</v>
          </cell>
          <cell r="J294" t="str">
            <v>1859</v>
          </cell>
          <cell r="K294" t="str">
            <v>201602151421097</v>
          </cell>
          <cell r="M294" t="str">
            <v>复方氨酚烷胺片12片</v>
          </cell>
        </row>
        <row r="295">
          <cell r="E295" t="str">
            <v>0020030020ZYLC0006</v>
          </cell>
          <cell r="H295" t="str">
            <v>博兴益康诊所</v>
          </cell>
          <cell r="J295" t="str">
            <v>1858</v>
          </cell>
          <cell r="K295" t="str">
            <v>201602151421097</v>
          </cell>
          <cell r="M295" t="str">
            <v>复方氨酚烷胺片12片</v>
          </cell>
        </row>
        <row r="296">
          <cell r="E296" t="str">
            <v>0020030020ZYLC0006</v>
          </cell>
          <cell r="H296" t="str">
            <v>黛溪办韦家中心卫生室</v>
          </cell>
          <cell r="J296" t="str">
            <v>1859</v>
          </cell>
          <cell r="K296" t="str">
            <v>201602151421097</v>
          </cell>
          <cell r="M296" t="str">
            <v>复方氨酚烷胺片12片</v>
          </cell>
        </row>
        <row r="297">
          <cell r="E297" t="str">
            <v>0020070000ZYLC0052</v>
          </cell>
          <cell r="H297" t="str">
            <v>邹平县好生镇金河中心卫生室</v>
          </cell>
          <cell r="J297" t="str">
            <v>1859</v>
          </cell>
          <cell r="K297" t="str">
            <v>201602151421097</v>
          </cell>
          <cell r="M297" t="str">
            <v>哈药六牌钙加锌口服液10ml*12支</v>
          </cell>
        </row>
        <row r="298">
          <cell r="E298" t="str">
            <v>0020030020ZYLC0006</v>
          </cell>
          <cell r="H298" t="str">
            <v>焦桥镇爱贤村袁训强卫生室</v>
          </cell>
          <cell r="J298" t="str">
            <v>1859</v>
          </cell>
          <cell r="K298" t="str">
            <v>201602151421097</v>
          </cell>
          <cell r="M298" t="str">
            <v>复方氨酚烷胺片12片</v>
          </cell>
        </row>
        <row r="299">
          <cell r="E299" t="str">
            <v>0020020030ZYZC0508</v>
          </cell>
          <cell r="H299" t="str">
            <v>黛溪办前城中心卫生室</v>
          </cell>
          <cell r="J299" t="str">
            <v>1859</v>
          </cell>
          <cell r="K299" t="str">
            <v>201602151421097</v>
          </cell>
          <cell r="M299" t="str">
            <v>阿莫西林胶囊/益萨林0.25g*20粒</v>
          </cell>
        </row>
        <row r="300">
          <cell r="E300" t="str">
            <v>0020030020ZYLC0006</v>
          </cell>
          <cell r="H300" t="str">
            <v>黛溪办前城中心卫生室</v>
          </cell>
          <cell r="J300" t="str">
            <v>1859</v>
          </cell>
          <cell r="K300" t="str">
            <v>201602151421097</v>
          </cell>
          <cell r="M300" t="str">
            <v>复方氨酚烷胺片12片</v>
          </cell>
        </row>
        <row r="301">
          <cell r="E301" t="str">
            <v>0020030020ZYLC0006</v>
          </cell>
          <cell r="H301" t="str">
            <v>明集镇罗圈中心卫生室</v>
          </cell>
          <cell r="J301" t="str">
            <v>1859</v>
          </cell>
          <cell r="K301" t="str">
            <v>201602151421097</v>
          </cell>
          <cell r="M301" t="str">
            <v>复方氨酚烷胺片12片</v>
          </cell>
        </row>
        <row r="302">
          <cell r="E302" t="str">
            <v>0020030020ZYLC0006</v>
          </cell>
          <cell r="H302" t="str">
            <v>邹平县长山镇东尉中心卫生室</v>
          </cell>
          <cell r="J302" t="str">
            <v>1859</v>
          </cell>
          <cell r="K302" t="str">
            <v>201602151421097</v>
          </cell>
          <cell r="M302" t="str">
            <v>复方氨酚烷胺片12片</v>
          </cell>
        </row>
        <row r="303">
          <cell r="E303" t="str">
            <v>0020030020ZYLC0006</v>
          </cell>
          <cell r="H303" t="str">
            <v>焦桥镇西夏村卫生室</v>
          </cell>
          <cell r="J303" t="str">
            <v>1859</v>
          </cell>
          <cell r="K303" t="str">
            <v>201602151421097</v>
          </cell>
          <cell r="M303" t="str">
            <v>复方氨酚烷胺片12片</v>
          </cell>
        </row>
        <row r="304">
          <cell r="E304" t="str">
            <v>0020030020ZYLC0006</v>
          </cell>
          <cell r="H304" t="str">
            <v>博兴县兴福镇福旺社区卫生室</v>
          </cell>
          <cell r="J304" t="str">
            <v>1858</v>
          </cell>
          <cell r="K304" t="str">
            <v>201602151421097</v>
          </cell>
          <cell r="M304" t="str">
            <v>复方氨酚烷胺片12片</v>
          </cell>
        </row>
        <row r="305">
          <cell r="E305" t="str">
            <v>0020030020ZYLC0006</v>
          </cell>
          <cell r="H305" t="str">
            <v>黄山办小杨堤村卫生室</v>
          </cell>
          <cell r="J305" t="str">
            <v>1859</v>
          </cell>
          <cell r="K305" t="str">
            <v>201602151421097</v>
          </cell>
          <cell r="M305" t="str">
            <v>复方氨酚烷胺片12片</v>
          </cell>
        </row>
        <row r="306">
          <cell r="E306" t="str">
            <v>0020020013ZYZC0491</v>
          </cell>
          <cell r="H306" t="str">
            <v>辛店镇庄里巩村卫生室</v>
          </cell>
          <cell r="J306" t="str">
            <v>1854</v>
          </cell>
          <cell r="K306" t="str">
            <v>201602151421097</v>
          </cell>
          <cell r="M306" t="str">
            <v>注射用乳糖酸阿奇霉素0.25g</v>
          </cell>
        </row>
        <row r="307">
          <cell r="E307" t="str">
            <v>0020030020SJSC0004</v>
          </cell>
          <cell r="H307" t="str">
            <v>滨州益康医药连锁有限公司邹平第二药店</v>
          </cell>
          <cell r="J307" t="str">
            <v>1859</v>
          </cell>
          <cell r="K307" t="str">
            <v>201602151421097</v>
          </cell>
          <cell r="M307" t="str">
            <v>复方铝酸铋片/新胃必治50片</v>
          </cell>
        </row>
        <row r="308">
          <cell r="E308" t="str">
            <v>0020030001SJZY0006</v>
          </cell>
          <cell r="H308" t="str">
            <v>滨州益康医药连锁有限公司邹平第二药店</v>
          </cell>
          <cell r="J308" t="str">
            <v>1859</v>
          </cell>
          <cell r="K308" t="str">
            <v>201602151421097</v>
          </cell>
          <cell r="M308" t="str">
            <v>葡萄糖酸钙口服溶液10ml*12支</v>
          </cell>
        </row>
        <row r="309">
          <cell r="E309" t="str">
            <v>0020100000ZYLC0012</v>
          </cell>
          <cell r="H309" t="str">
            <v>滨州益康医药连锁有限公司邹平第二药店</v>
          </cell>
          <cell r="J309" t="str">
            <v>1859</v>
          </cell>
          <cell r="K309" t="str">
            <v>201602151421097</v>
          </cell>
          <cell r="M309" t="str">
            <v>医用退热贴2贴</v>
          </cell>
        </row>
        <row r="310">
          <cell r="E310" t="str">
            <v>0020020030ZYZC0510</v>
          </cell>
          <cell r="H310" t="str">
            <v>滨州益康医药连锁有限公司邹平县第六药店</v>
          </cell>
          <cell r="J310" t="str">
            <v>1859</v>
          </cell>
          <cell r="K310" t="str">
            <v>201602151421097</v>
          </cell>
          <cell r="M310" t="str">
            <v>诺氟沙星胶囊0.1g*20粒</v>
          </cell>
        </row>
        <row r="311">
          <cell r="E311" t="str">
            <v>0020030170ZYEC0003</v>
          </cell>
          <cell r="H311" t="str">
            <v>滨州益康医药连锁有限公司邹平县黄山二路店</v>
          </cell>
          <cell r="J311" t="str">
            <v>1859</v>
          </cell>
          <cell r="K311" t="str">
            <v>201602151421097</v>
          </cell>
          <cell r="M311" t="str">
            <v>蒙脱石散3g*12袋</v>
          </cell>
        </row>
        <row r="312">
          <cell r="E312" t="str">
            <v>0020030020ZYLC0006</v>
          </cell>
          <cell r="H312" t="str">
            <v>惠民新医诊所</v>
          </cell>
          <cell r="J312" t="str">
            <v>1854</v>
          </cell>
          <cell r="K312" t="str">
            <v>201602151421097</v>
          </cell>
          <cell r="M312" t="str">
            <v>复方氨酚烷胺片12片</v>
          </cell>
        </row>
        <row r="313">
          <cell r="E313" t="str">
            <v>0020030020ZYLC0006</v>
          </cell>
          <cell r="H313" t="str">
            <v>孙武街道付家村卫生室</v>
          </cell>
          <cell r="J313" t="str">
            <v>1854</v>
          </cell>
          <cell r="K313" t="str">
            <v>201602151421097</v>
          </cell>
          <cell r="M313" t="str">
            <v>复方氨酚烷胺片12片</v>
          </cell>
        </row>
        <row r="314">
          <cell r="E314" t="str">
            <v>0020020020SJMS0006</v>
          </cell>
          <cell r="H314" t="str">
            <v>滨州益康医药连锁有限公司邹平县第六药店</v>
          </cell>
          <cell r="J314" t="str">
            <v>1859</v>
          </cell>
          <cell r="K314" t="str">
            <v>201602151421097</v>
          </cell>
          <cell r="M314" t="str">
            <v>尼莫地平片20mg*50片</v>
          </cell>
        </row>
        <row r="315">
          <cell r="E315" t="str">
            <v>0020030020SJSC0025</v>
          </cell>
          <cell r="H315" t="str">
            <v>滨州益康医药连锁有限公司邹平县第四药店</v>
          </cell>
          <cell r="J315" t="str">
            <v>1859</v>
          </cell>
          <cell r="K315" t="str">
            <v>201602151421097</v>
          </cell>
          <cell r="M315" t="str">
            <v>复方氨酚烷胺片12片</v>
          </cell>
        </row>
        <row r="316">
          <cell r="E316" t="str">
            <v>0020030020ZYLC0006</v>
          </cell>
          <cell r="H316" t="str">
            <v>长山镇甘埠中心卫生室</v>
          </cell>
          <cell r="J316" t="str">
            <v>1859</v>
          </cell>
          <cell r="K316" t="str">
            <v>201602151421097</v>
          </cell>
          <cell r="M316" t="str">
            <v>复方氨酚烷胺片12片</v>
          </cell>
        </row>
        <row r="317">
          <cell r="E317" t="str">
            <v>0020030020ZYLC0006</v>
          </cell>
          <cell r="H317" t="str">
            <v>孙镇大小三中心卫生室</v>
          </cell>
          <cell r="J317" t="str">
            <v>1859</v>
          </cell>
          <cell r="K317" t="str">
            <v>201602151421097</v>
          </cell>
          <cell r="M317" t="str">
            <v>复方氨酚烷胺片12片</v>
          </cell>
        </row>
        <row r="318">
          <cell r="E318" t="str">
            <v>0020030020ZYLC0006</v>
          </cell>
          <cell r="H318" t="str">
            <v>博兴县城东街道北辛安社区卫生室</v>
          </cell>
          <cell r="J318" t="str">
            <v>1858</v>
          </cell>
          <cell r="K318" t="str">
            <v>201602151421097</v>
          </cell>
          <cell r="M318" t="str">
            <v>复方氨酚烷胺片12片</v>
          </cell>
        </row>
        <row r="319">
          <cell r="E319" t="str">
            <v>0020030020ZYLC0006</v>
          </cell>
          <cell r="H319" t="str">
            <v>魏桥镇辛刘前中心卫生室</v>
          </cell>
          <cell r="J319" t="str">
            <v>1859</v>
          </cell>
          <cell r="K319" t="str">
            <v>201602151421097</v>
          </cell>
          <cell r="M319" t="str">
            <v>复方氨酚烷胺片12片</v>
          </cell>
        </row>
        <row r="320">
          <cell r="E320" t="str">
            <v>0020030020ZYLC0006</v>
          </cell>
          <cell r="H320" t="str">
            <v>邹平县韩店镇木王中心卫生室</v>
          </cell>
          <cell r="J320" t="str">
            <v>1859</v>
          </cell>
          <cell r="K320" t="str">
            <v>201602151421097</v>
          </cell>
          <cell r="M320" t="str">
            <v>复方氨酚烷胺片12片</v>
          </cell>
        </row>
        <row r="321">
          <cell r="E321" t="str">
            <v>0020030020ZYLC0006</v>
          </cell>
          <cell r="H321" t="str">
            <v>黛溪办韩坊中心卫生室</v>
          </cell>
          <cell r="J321" t="str">
            <v>1859</v>
          </cell>
          <cell r="K321" t="str">
            <v>201602151421097</v>
          </cell>
          <cell r="M321" t="str">
            <v>复方氨酚烷胺片12片</v>
          </cell>
        </row>
        <row r="322">
          <cell r="E322" t="str">
            <v>0020030020ZYLC0006</v>
          </cell>
          <cell r="H322" t="str">
            <v>辛店镇毛李村卫生室</v>
          </cell>
          <cell r="J322" t="str">
            <v>1854</v>
          </cell>
          <cell r="K322" t="str">
            <v>201602151421097</v>
          </cell>
          <cell r="M322" t="str">
            <v>复方氨酚烷胺片12片</v>
          </cell>
        </row>
        <row r="323">
          <cell r="E323" t="str">
            <v>0020040001SHYT0026</v>
          </cell>
          <cell r="H323" t="str">
            <v>滨州益康医药连锁有限公司邹平县魏纺路店</v>
          </cell>
          <cell r="J323" t="str">
            <v>1859</v>
          </cell>
          <cell r="K323" t="str">
            <v>201602151421097</v>
          </cell>
          <cell r="M323" t="str">
            <v>小活络丸3g*10丸</v>
          </cell>
        </row>
        <row r="324">
          <cell r="E324" t="str">
            <v>0020020020SJMS0008</v>
          </cell>
          <cell r="H324" t="str">
            <v>滨州益康医药连锁有限公司邹平县黄山店</v>
          </cell>
          <cell r="J324" t="str">
            <v>1859</v>
          </cell>
          <cell r="K324" t="str">
            <v>201602151421097</v>
          </cell>
          <cell r="M324" t="str">
            <v>拉西地平片/司乐平4mg*15片</v>
          </cell>
        </row>
        <row r="325">
          <cell r="E325" t="str">
            <v>0020030170ZYEC0003</v>
          </cell>
          <cell r="H325" t="str">
            <v>滨州益康医药连锁有限公司邹平县黄山店</v>
          </cell>
          <cell r="J325" t="str">
            <v>1859</v>
          </cell>
          <cell r="K325" t="str">
            <v>201602151421097</v>
          </cell>
          <cell r="M325" t="str">
            <v>蒙脱石散3g*12袋</v>
          </cell>
        </row>
        <row r="326">
          <cell r="E326" t="str">
            <v>0020020020ZYLC0003</v>
          </cell>
          <cell r="H326" t="str">
            <v>滨州益康医药连锁有限公司邹平县长山店</v>
          </cell>
          <cell r="J326" t="str">
            <v>1859</v>
          </cell>
          <cell r="K326" t="str">
            <v>201602151421097</v>
          </cell>
          <cell r="M326" t="str">
            <v>颠茄磺苄啶片12片</v>
          </cell>
        </row>
        <row r="327">
          <cell r="E327" t="str">
            <v>0020030020ZYLC0006</v>
          </cell>
          <cell r="H327" t="str">
            <v>黛溪办滕家中心卫生室</v>
          </cell>
          <cell r="J327" t="str">
            <v>1859</v>
          </cell>
          <cell r="K327" t="str">
            <v>201602151421097</v>
          </cell>
          <cell r="M327" t="str">
            <v>复方氨酚烷胺片12片</v>
          </cell>
        </row>
        <row r="328">
          <cell r="E328" t="str">
            <v>0020030020ZYLC0006</v>
          </cell>
          <cell r="H328" t="str">
            <v>胡集镇河沟陈村卫生室</v>
          </cell>
          <cell r="J328" t="str">
            <v>1854</v>
          </cell>
          <cell r="K328" t="str">
            <v>201602151421097</v>
          </cell>
          <cell r="M328" t="str">
            <v>复方氨酚烷胺片12片</v>
          </cell>
        </row>
        <row r="329">
          <cell r="E329" t="str">
            <v>0020030020ZYLC0006</v>
          </cell>
          <cell r="H329" t="str">
            <v>魏桥镇梁桥中心卫生室</v>
          </cell>
          <cell r="J329" t="str">
            <v>1859</v>
          </cell>
          <cell r="K329" t="str">
            <v>201602151421097</v>
          </cell>
          <cell r="M329" t="str">
            <v>复方氨酚烷胺片12片</v>
          </cell>
        </row>
        <row r="330">
          <cell r="E330" t="str">
            <v>0020030020ZYLC0006</v>
          </cell>
          <cell r="H330" t="str">
            <v>高新办明珠新村卫生室</v>
          </cell>
          <cell r="J330" t="str">
            <v>1859</v>
          </cell>
          <cell r="K330" t="str">
            <v>201602151421097</v>
          </cell>
          <cell r="M330" t="str">
            <v>复方氨酚烷胺片12片</v>
          </cell>
        </row>
        <row r="331">
          <cell r="E331" t="str">
            <v>0020030020ZYLC0006</v>
          </cell>
          <cell r="H331" t="str">
            <v>滨州益康医药连锁有限公司邹平县第十二店</v>
          </cell>
          <cell r="J331" t="str">
            <v>1859</v>
          </cell>
          <cell r="K331" t="str">
            <v>201602151421097</v>
          </cell>
          <cell r="M331" t="str">
            <v>复方氨酚烷胺片12片</v>
          </cell>
        </row>
        <row r="332">
          <cell r="E332" t="str">
            <v>0020030020ZYLC0006</v>
          </cell>
          <cell r="H332" t="str">
            <v>台子镇教场村苏美方卫生室</v>
          </cell>
          <cell r="J332" t="str">
            <v>1859</v>
          </cell>
          <cell r="K332" t="str">
            <v>201602151421097</v>
          </cell>
          <cell r="M332" t="str">
            <v>复方氨酚烷胺片12片</v>
          </cell>
        </row>
        <row r="333">
          <cell r="E333" t="str">
            <v>0020030001SJZY0006</v>
          </cell>
          <cell r="H333" t="str">
            <v>滨州益康医药连锁有限公司邹平县礼参店</v>
          </cell>
          <cell r="J333" t="str">
            <v>1859</v>
          </cell>
          <cell r="K333" t="str">
            <v>201602151421097</v>
          </cell>
          <cell r="M333" t="str">
            <v>葡萄糖酸钙口服溶液10ml*12支</v>
          </cell>
        </row>
        <row r="334">
          <cell r="E334" t="str">
            <v>0020020021ZYLC0005</v>
          </cell>
          <cell r="H334" t="str">
            <v>山东魏桥创业集团第二工业园医务室</v>
          </cell>
          <cell r="J334" t="str">
            <v>1859</v>
          </cell>
          <cell r="K334" t="str">
            <v>201602151421097</v>
          </cell>
          <cell r="M334" t="str">
            <v>罗红霉素分散片/小严迪50mg*12片</v>
          </cell>
        </row>
        <row r="335">
          <cell r="E335" t="str">
            <v>0020070000ZYLC0055</v>
          </cell>
          <cell r="H335" t="str">
            <v>滨州益康医药连锁有限公司邹平县西王店</v>
          </cell>
          <cell r="J335" t="str">
            <v>1859</v>
          </cell>
          <cell r="K335" t="str">
            <v>201602151421097</v>
          </cell>
          <cell r="M335" t="str">
            <v>朴血乳酸亚铁口服液10ml*12支</v>
          </cell>
        </row>
        <row r="336">
          <cell r="E336" t="str">
            <v>0020020020ZYZC0473</v>
          </cell>
          <cell r="H336" t="str">
            <v>滨州益康医药连锁有限公司邹平县长山店</v>
          </cell>
          <cell r="J336" t="str">
            <v>1859</v>
          </cell>
          <cell r="K336" t="str">
            <v>201602151421097</v>
          </cell>
          <cell r="M336" t="str">
            <v>盐酸环丙沙星片0.25g*12片</v>
          </cell>
        </row>
        <row r="337">
          <cell r="E337" t="str">
            <v>0020030020ZYLC0006</v>
          </cell>
          <cell r="H337" t="str">
            <v>台子镇张石辛中心卫生室</v>
          </cell>
          <cell r="J337" t="str">
            <v>1859</v>
          </cell>
          <cell r="K337" t="str">
            <v>201602151421097</v>
          </cell>
          <cell r="M337" t="str">
            <v>复方氨酚烷胺片12片</v>
          </cell>
        </row>
        <row r="338">
          <cell r="E338" t="str">
            <v>0020070001ZYZC0383</v>
          </cell>
          <cell r="H338" t="str">
            <v>邹平县润福堂医药有限公司</v>
          </cell>
          <cell r="J338" t="str">
            <v>1859</v>
          </cell>
          <cell r="K338" t="str">
            <v>201602151421097</v>
          </cell>
          <cell r="M338" t="str">
            <v>哈药牌钙铁锌口服液10ml*10支</v>
          </cell>
        </row>
        <row r="339">
          <cell r="E339" t="str">
            <v>0020030020ZYLC0006</v>
          </cell>
          <cell r="H339" t="str">
            <v>黄山办城南中心卫生室</v>
          </cell>
          <cell r="J339" t="str">
            <v>1859</v>
          </cell>
          <cell r="K339" t="str">
            <v>201602151421097</v>
          </cell>
          <cell r="M339" t="str">
            <v>复方氨酚烷胺片12片</v>
          </cell>
        </row>
        <row r="340">
          <cell r="E340" t="str">
            <v>0020030020ZYLC0006</v>
          </cell>
          <cell r="H340" t="str">
            <v>明集镇成家村王玉华卫生室</v>
          </cell>
          <cell r="J340" t="str">
            <v>1859</v>
          </cell>
          <cell r="K340" t="str">
            <v>201602151421097</v>
          </cell>
          <cell r="M340" t="str">
            <v>复方氨酚烷胺片12片</v>
          </cell>
        </row>
        <row r="341">
          <cell r="E341" t="str">
            <v>0020030020ZYLC0006</v>
          </cell>
          <cell r="H341" t="str">
            <v>九户镇九户中心卫生室</v>
          </cell>
          <cell r="J341" t="str">
            <v>1859</v>
          </cell>
          <cell r="K341" t="str">
            <v>201602151421097</v>
          </cell>
          <cell r="M341" t="str">
            <v>复方氨酚烷胺片12片</v>
          </cell>
        </row>
        <row r="342">
          <cell r="E342" t="str">
            <v>0020030020ZYLC0006</v>
          </cell>
          <cell r="H342" t="str">
            <v>黄山办石凡鲁中心卫生室</v>
          </cell>
          <cell r="J342" t="str">
            <v>1859</v>
          </cell>
          <cell r="K342" t="str">
            <v>201602151421097</v>
          </cell>
          <cell r="M342" t="str">
            <v>复方氨酚烷胺片12片</v>
          </cell>
        </row>
        <row r="343">
          <cell r="E343" t="str">
            <v>0020030020ZYLC0006</v>
          </cell>
          <cell r="H343" t="str">
            <v>黛溪办三八街中心卫生室</v>
          </cell>
          <cell r="J343" t="str">
            <v>1859</v>
          </cell>
          <cell r="K343" t="str">
            <v>201602151421097</v>
          </cell>
          <cell r="M343" t="str">
            <v>复方氨酚烷胺片12片</v>
          </cell>
        </row>
        <row r="344">
          <cell r="E344" t="str">
            <v>0020030020ZYLC0006</v>
          </cell>
          <cell r="H344" t="str">
            <v>大年陈镇禹王口村卫生室</v>
          </cell>
          <cell r="J344" t="str">
            <v>1854</v>
          </cell>
          <cell r="K344" t="str">
            <v>201602151421097</v>
          </cell>
          <cell r="M344" t="str">
            <v>复方氨酚烷胺片12片</v>
          </cell>
        </row>
        <row r="345">
          <cell r="E345" t="str">
            <v>0020030020ZYLC0006</v>
          </cell>
          <cell r="H345" t="str">
            <v>邹平县韩店镇肖镇中心卫生室</v>
          </cell>
          <cell r="J345" t="str">
            <v>1859</v>
          </cell>
          <cell r="K345" t="str">
            <v>201602151421097</v>
          </cell>
          <cell r="M345" t="str">
            <v>复方氨酚烷胺片12片</v>
          </cell>
        </row>
        <row r="346">
          <cell r="E346" t="str">
            <v>0020030020ZYLC0006</v>
          </cell>
          <cell r="H346" t="str">
            <v>码头镇大杨中心卫生室</v>
          </cell>
          <cell r="J346" t="str">
            <v>1859</v>
          </cell>
          <cell r="K346" t="str">
            <v>201602151421097</v>
          </cell>
          <cell r="M346" t="str">
            <v>复方氨酚烷胺片12片</v>
          </cell>
        </row>
        <row r="347">
          <cell r="E347" t="str">
            <v>0020030020ZYLC0006</v>
          </cell>
          <cell r="H347" t="str">
            <v>码头镇孟家中心卫生室</v>
          </cell>
          <cell r="J347" t="str">
            <v>1859</v>
          </cell>
          <cell r="K347" t="str">
            <v>201602151421097</v>
          </cell>
          <cell r="M347" t="str">
            <v>复方氨酚烷胺片12片</v>
          </cell>
        </row>
        <row r="348">
          <cell r="E348" t="str">
            <v>0020030020ZYLC0006</v>
          </cell>
          <cell r="H348" t="str">
            <v>九户镇成家中心卫生室</v>
          </cell>
          <cell r="J348" t="str">
            <v>1859</v>
          </cell>
          <cell r="K348" t="str">
            <v>201602151421097</v>
          </cell>
          <cell r="M348" t="str">
            <v>复方氨酚烷胺片12片</v>
          </cell>
        </row>
        <row r="349">
          <cell r="E349" t="str">
            <v>0020030020ZYLC0006</v>
          </cell>
          <cell r="H349" t="str">
            <v>黄山办黄西村卫生室</v>
          </cell>
          <cell r="J349" t="str">
            <v>1859</v>
          </cell>
          <cell r="K349" t="str">
            <v>201602151421097</v>
          </cell>
          <cell r="M349" t="str">
            <v>复方氨酚烷胺片12片</v>
          </cell>
        </row>
        <row r="350">
          <cell r="E350" t="str">
            <v>0020030020ZYLC0006</v>
          </cell>
          <cell r="H350" t="str">
            <v>明集镇兰芝里中心卫生室</v>
          </cell>
          <cell r="J350" t="str">
            <v>1859</v>
          </cell>
          <cell r="K350" t="str">
            <v>201602151421097</v>
          </cell>
          <cell r="M350" t="str">
            <v>复方氨酚烷胺片12片</v>
          </cell>
        </row>
        <row r="351">
          <cell r="E351" t="str">
            <v>0020020021ZYZC0341</v>
          </cell>
          <cell r="H351" t="str">
            <v>滨州益康医药连锁有限公司邹平县第三药店</v>
          </cell>
          <cell r="J351" t="str">
            <v>1859</v>
          </cell>
          <cell r="K351" t="str">
            <v>201602151421097</v>
          </cell>
          <cell r="M351" t="str">
            <v>阿莫西林克拉维酸钾分散片/胜艾0.2285g*12片</v>
          </cell>
        </row>
        <row r="352">
          <cell r="E352" t="str">
            <v>0020040220SHYT0004</v>
          </cell>
          <cell r="H352" t="str">
            <v>滨州益康医药连锁有限公司邹平县第七药店</v>
          </cell>
          <cell r="J352" t="str">
            <v>1859</v>
          </cell>
          <cell r="K352" t="str">
            <v>201602151421097</v>
          </cell>
          <cell r="M352" t="str">
            <v>妇宁栓1.6克*8粒</v>
          </cell>
        </row>
        <row r="353">
          <cell r="E353" t="str">
            <v>0020030020ZYLC0006</v>
          </cell>
          <cell r="H353" t="str">
            <v>台子镇宋四排中心卫生室</v>
          </cell>
          <cell r="J353" t="str">
            <v>1859</v>
          </cell>
          <cell r="K353" t="str">
            <v>201602151421097</v>
          </cell>
          <cell r="M353" t="str">
            <v>复方氨酚烷胺片12片</v>
          </cell>
        </row>
        <row r="354">
          <cell r="E354" t="str">
            <v>0020030020ZYLC0006</v>
          </cell>
          <cell r="H354" t="str">
            <v>九户镇石店中心卫生室</v>
          </cell>
          <cell r="J354" t="str">
            <v>1859</v>
          </cell>
          <cell r="K354" t="str">
            <v>201602151421097</v>
          </cell>
          <cell r="M354" t="str">
            <v>复方氨酚烷胺片12片</v>
          </cell>
        </row>
        <row r="355">
          <cell r="E355" t="str">
            <v>0020030020ZYLC0006</v>
          </cell>
          <cell r="H355" t="str">
            <v>明集镇颜集中心卫生室</v>
          </cell>
          <cell r="J355" t="str">
            <v>1859</v>
          </cell>
          <cell r="K355" t="str">
            <v>201602151421097</v>
          </cell>
          <cell r="M355" t="str">
            <v>复方氨酚烷胺片12片</v>
          </cell>
        </row>
        <row r="356">
          <cell r="E356" t="str">
            <v>0020030020ZYLC0006</v>
          </cell>
          <cell r="H356" t="str">
            <v>台子镇北董中心卫生室</v>
          </cell>
          <cell r="J356" t="str">
            <v>1859</v>
          </cell>
          <cell r="K356" t="str">
            <v>201602151421097</v>
          </cell>
          <cell r="M356" t="str">
            <v>复方氨酚烷胺片12片</v>
          </cell>
        </row>
        <row r="357">
          <cell r="E357" t="str">
            <v>0020020020ZYZC0359</v>
          </cell>
          <cell r="H357" t="str">
            <v>滨州益康医药连锁有限公司邹平县第一药店</v>
          </cell>
          <cell r="J357" t="str">
            <v>1859</v>
          </cell>
          <cell r="K357" t="str">
            <v>201602151421097</v>
          </cell>
          <cell r="M357" t="str">
            <v>青霉素V钾片0.236g*24片</v>
          </cell>
        </row>
        <row r="358">
          <cell r="E358" t="str">
            <v>0020070001ZYZC0383</v>
          </cell>
          <cell r="H358" t="str">
            <v>滨州益康医药连锁有限公司邹魏一区店</v>
          </cell>
          <cell r="J358" t="str">
            <v>1859</v>
          </cell>
          <cell r="K358" t="str">
            <v>201602151421097</v>
          </cell>
          <cell r="M358" t="str">
            <v>哈药牌钙铁锌口服液10ml*10支</v>
          </cell>
        </row>
        <row r="359">
          <cell r="E359" t="str">
            <v>0020020020ZYZC0473</v>
          </cell>
          <cell r="H359" t="str">
            <v>滨州益康医药连锁有限公司邹平县邹魏二区店</v>
          </cell>
          <cell r="J359" t="str">
            <v>1859</v>
          </cell>
          <cell r="K359" t="str">
            <v>201602151421097</v>
          </cell>
          <cell r="M359" t="str">
            <v>盐酸环丙沙星片0.25g*12片</v>
          </cell>
        </row>
        <row r="360">
          <cell r="E360" t="str">
            <v>0020020020ZYLC0011</v>
          </cell>
          <cell r="H360" t="str">
            <v>滨州益康医药连锁有限公司邹平县邹魏二区店</v>
          </cell>
          <cell r="J360" t="str">
            <v>1859</v>
          </cell>
          <cell r="K360" t="str">
            <v>201602151421097</v>
          </cell>
          <cell r="M360" t="str">
            <v>颠茄磺苄啶片/儿童0.122g*20片</v>
          </cell>
        </row>
        <row r="361">
          <cell r="E361" t="str">
            <v>0020030001SJZY0006</v>
          </cell>
          <cell r="H361" t="str">
            <v>滨州益康医药连锁有限公司邹平县第八药店</v>
          </cell>
          <cell r="J361" t="str">
            <v>1859</v>
          </cell>
          <cell r="K361" t="str">
            <v>201602151421097</v>
          </cell>
          <cell r="M361" t="str">
            <v>葡萄糖酸钙口服溶液10ml*12支</v>
          </cell>
        </row>
        <row r="362">
          <cell r="E362" t="str">
            <v>0020030020SJSC0025</v>
          </cell>
          <cell r="H362" t="str">
            <v>滨州益康医药连锁有限公司邹平县邹魏二区店</v>
          </cell>
          <cell r="J362" t="str">
            <v>1859</v>
          </cell>
          <cell r="K362" t="str">
            <v>201602151421097</v>
          </cell>
          <cell r="M362" t="str">
            <v>复方氨酚烷胺片12片</v>
          </cell>
        </row>
        <row r="363">
          <cell r="E363" t="str">
            <v>0020020030ZYZC0510</v>
          </cell>
          <cell r="H363" t="str">
            <v>滨州益康医药连锁有限公司邹平县第八药店</v>
          </cell>
          <cell r="J363" t="str">
            <v>1859</v>
          </cell>
          <cell r="K363" t="str">
            <v>201602151421097</v>
          </cell>
          <cell r="M363" t="str">
            <v>诺氟沙星胶囊0.1g*20粒</v>
          </cell>
        </row>
        <row r="364">
          <cell r="E364" t="str">
            <v>0020040070ZYEC0005</v>
          </cell>
          <cell r="H364" t="str">
            <v>滨州益康医药连锁有限公司邹平县第八药店</v>
          </cell>
          <cell r="J364" t="str">
            <v>1859</v>
          </cell>
          <cell r="K364" t="str">
            <v>201602151421097</v>
          </cell>
          <cell r="M364" t="str">
            <v>小儿百部止咳糖浆100ml</v>
          </cell>
        </row>
        <row r="365">
          <cell r="E365" t="str">
            <v>0020020020ZYLC0003</v>
          </cell>
          <cell r="H365" t="str">
            <v>滨州益康医药连锁有限公司邹平县邹魏二区店</v>
          </cell>
          <cell r="J365" t="str">
            <v>1859</v>
          </cell>
          <cell r="K365" t="str">
            <v>201602151421097</v>
          </cell>
          <cell r="M365" t="str">
            <v>颠茄磺苄啶片12片</v>
          </cell>
        </row>
        <row r="366">
          <cell r="E366" t="str">
            <v>0020030020SJSC0025</v>
          </cell>
          <cell r="H366" t="str">
            <v>黄山办黄西村卫生室</v>
          </cell>
          <cell r="J366" t="str">
            <v>1859</v>
          </cell>
          <cell r="K366" t="str">
            <v>201602151421097</v>
          </cell>
          <cell r="M366" t="str">
            <v>复方氨酚烷胺片12片</v>
          </cell>
        </row>
        <row r="367">
          <cell r="E367" t="str">
            <v>0020050001SHYT0003</v>
          </cell>
          <cell r="H367" t="str">
            <v>滨州益康医药连锁有限公司邹平县长山店</v>
          </cell>
          <cell r="J367" t="str">
            <v>1859</v>
          </cell>
          <cell r="K367" t="str">
            <v>201602151421097</v>
          </cell>
          <cell r="M367" t="str">
            <v>益母丸9g*10丸</v>
          </cell>
        </row>
        <row r="368">
          <cell r="E368" t="str">
            <v>0020030020ZYLC0006</v>
          </cell>
          <cell r="H368" t="str">
            <v>滨州益康医药连锁有限公司邹平县长山店</v>
          </cell>
          <cell r="J368" t="str">
            <v>1859</v>
          </cell>
          <cell r="K368" t="str">
            <v>201602151421097</v>
          </cell>
          <cell r="M368" t="str">
            <v>复方氨酚烷胺片12片</v>
          </cell>
        </row>
        <row r="369">
          <cell r="E369" t="str">
            <v>0020050020ZYEC0008</v>
          </cell>
          <cell r="H369" t="str">
            <v>滨州益康医药连锁有限公司邹平县长山店</v>
          </cell>
          <cell r="J369" t="str">
            <v>1859</v>
          </cell>
          <cell r="K369" t="str">
            <v>201602151421097</v>
          </cell>
          <cell r="M369" t="str">
            <v>感冒解毒灵颗粒5g*10袋</v>
          </cell>
        </row>
        <row r="370">
          <cell r="E370" t="str">
            <v>0020070000ZYLC0052</v>
          </cell>
          <cell r="H370" t="str">
            <v>滨州北海公建投资有限公司医务室</v>
          </cell>
          <cell r="J370" t="str">
            <v>1856</v>
          </cell>
          <cell r="K370" t="str">
            <v>201602151421097</v>
          </cell>
          <cell r="M370" t="str">
            <v>哈药六牌钙加锌口服液10ml*12支</v>
          </cell>
        </row>
        <row r="371">
          <cell r="E371" t="str">
            <v>0020020020ZYLC0003</v>
          </cell>
          <cell r="H371" t="str">
            <v>滨州益康医药连锁有限公司邹平月河店</v>
          </cell>
          <cell r="J371" t="str">
            <v>1859</v>
          </cell>
          <cell r="K371" t="str">
            <v>201602151421097</v>
          </cell>
          <cell r="M371" t="str">
            <v>颠茄磺苄啶片12片</v>
          </cell>
        </row>
        <row r="372">
          <cell r="E372" t="str">
            <v>0020030040SHYT0010</v>
          </cell>
          <cell r="H372" t="str">
            <v>滨州益康医药连锁有限公司邹平县第四药店</v>
          </cell>
          <cell r="J372" t="str">
            <v>1859</v>
          </cell>
          <cell r="K372" t="str">
            <v>201602151421097</v>
          </cell>
          <cell r="M372" t="str">
            <v>布洛芬颗粒/小安瑞克0.2g*12袋</v>
          </cell>
        </row>
        <row r="373">
          <cell r="E373" t="str">
            <v>0020050090ZYEC0005</v>
          </cell>
          <cell r="H373" t="str">
            <v>滨州益康医药连锁有限公司邹平县长山店</v>
          </cell>
          <cell r="J373" t="str">
            <v>1859</v>
          </cell>
          <cell r="K373" t="str">
            <v>201602151421097</v>
          </cell>
          <cell r="M373" t="str">
            <v>清热解毒口服液10ml*10支</v>
          </cell>
        </row>
        <row r="374">
          <cell r="E374" t="str">
            <v>0020030040ZYZC0307</v>
          </cell>
          <cell r="H374" t="str">
            <v>滨州益康医药连锁有限公司邹平县长山店</v>
          </cell>
          <cell r="J374" t="str">
            <v>1859</v>
          </cell>
          <cell r="K374" t="str">
            <v>201602151421097</v>
          </cell>
          <cell r="M374" t="str">
            <v>富马酸亚铁颗粒6袋</v>
          </cell>
        </row>
        <row r="375">
          <cell r="E375" t="str">
            <v>0020070001ZYZC0383</v>
          </cell>
          <cell r="H375" t="str">
            <v>滨州益康医药连锁有限公司邹平县明珠店</v>
          </cell>
          <cell r="J375" t="str">
            <v>1859</v>
          </cell>
          <cell r="K375" t="str">
            <v>201602151421097</v>
          </cell>
          <cell r="M375" t="str">
            <v>哈药牌钙铁锌口服液10ml*10支</v>
          </cell>
        </row>
        <row r="376">
          <cell r="E376" t="str">
            <v>0020020020SJMS0006</v>
          </cell>
          <cell r="H376" t="str">
            <v>滨州益康医药连锁有限公司邹平县黄山一路店</v>
          </cell>
          <cell r="J376" t="str">
            <v>1859</v>
          </cell>
          <cell r="K376" t="str">
            <v>201602151421097</v>
          </cell>
          <cell r="M376" t="str">
            <v>尼莫地平片20mg*50片</v>
          </cell>
        </row>
        <row r="377">
          <cell r="E377" t="str">
            <v>0020030020SJSC0025</v>
          </cell>
          <cell r="H377" t="str">
            <v>韩店镇颜桥村卫生室</v>
          </cell>
          <cell r="J377" t="str">
            <v>1859</v>
          </cell>
          <cell r="K377" t="str">
            <v>201602151421097</v>
          </cell>
          <cell r="M377" t="str">
            <v>复方氨酚烷胺片12片</v>
          </cell>
        </row>
        <row r="378">
          <cell r="E378" t="str">
            <v>0020030040ZYLC0001</v>
          </cell>
          <cell r="H378" t="str">
            <v>滨州益康医药连锁有限公司黛溪四路店</v>
          </cell>
          <cell r="J378" t="str">
            <v>1859</v>
          </cell>
          <cell r="K378" t="str">
            <v>201602151421097</v>
          </cell>
          <cell r="M378" t="str">
            <v>小儿氨酚黄那敏颗粒/护彤2g*12袋</v>
          </cell>
        </row>
        <row r="379">
          <cell r="E379" t="str">
            <v>0020020030ZYZC0510</v>
          </cell>
          <cell r="H379" t="str">
            <v>滨州益康医药连锁有限公司黛溪四路店</v>
          </cell>
          <cell r="J379" t="str">
            <v>1859</v>
          </cell>
          <cell r="K379" t="str">
            <v>201602151421097</v>
          </cell>
          <cell r="M379" t="str">
            <v>诺氟沙星胶囊0.1g*20粒</v>
          </cell>
        </row>
        <row r="380">
          <cell r="E380" t="str">
            <v>0020040220SHYT0004</v>
          </cell>
          <cell r="H380" t="str">
            <v>滨州益康医药连锁有限公司邹平县明珠店</v>
          </cell>
          <cell r="J380" t="str">
            <v>1859</v>
          </cell>
          <cell r="K380" t="str">
            <v>201602151421097</v>
          </cell>
          <cell r="M380" t="str">
            <v>妇宁栓1.6克*8粒</v>
          </cell>
        </row>
        <row r="381">
          <cell r="E381" t="str">
            <v>0020020030ZYZC0264</v>
          </cell>
          <cell r="H381" t="str">
            <v>滨州益康医药连锁有限公司邹平县黄山一路店</v>
          </cell>
          <cell r="J381" t="str">
            <v>1859</v>
          </cell>
          <cell r="K381" t="str">
            <v>201602151421097</v>
          </cell>
          <cell r="M381" t="str">
            <v>阿莫西林胶囊/益萨林0.5g*20粒</v>
          </cell>
        </row>
        <row r="382">
          <cell r="E382" t="str">
            <v>0020030040ZYZC0307</v>
          </cell>
          <cell r="H382" t="str">
            <v>滨州益康医药连锁有限公司邹平县黄山二路店</v>
          </cell>
          <cell r="J382" t="str">
            <v>1859</v>
          </cell>
          <cell r="K382" t="str">
            <v>201602151421097</v>
          </cell>
          <cell r="M382" t="str">
            <v>富马酸亚铁颗粒6袋</v>
          </cell>
        </row>
        <row r="383">
          <cell r="E383" t="str">
            <v>0020070001ZYZC0383</v>
          </cell>
          <cell r="H383" t="str">
            <v>滨州益康医药连锁有限公司邹平县黛溪一路店</v>
          </cell>
          <cell r="J383" t="str">
            <v>1859</v>
          </cell>
          <cell r="K383" t="str">
            <v>201602151421097</v>
          </cell>
          <cell r="M383" t="str">
            <v>哈药牌钙铁锌口服液10ml*10支</v>
          </cell>
        </row>
        <row r="384">
          <cell r="E384" t="str">
            <v>0020050001SHYT0017</v>
          </cell>
          <cell r="H384" t="str">
            <v>滨州益康医药连锁有限公司邹平县黛溪三路店</v>
          </cell>
          <cell r="J384" t="str">
            <v>1859</v>
          </cell>
          <cell r="K384" t="str">
            <v>201602151421097</v>
          </cell>
          <cell r="M384" t="str">
            <v>附子理中丸9g*10丸</v>
          </cell>
        </row>
        <row r="385">
          <cell r="E385" t="str">
            <v>0020020020SJMS0006</v>
          </cell>
          <cell r="H385" t="str">
            <v>邹平县魏桥镇辛梁中心卫生室</v>
          </cell>
          <cell r="J385" t="str">
            <v>1859</v>
          </cell>
          <cell r="K385" t="str">
            <v>201602151421097</v>
          </cell>
          <cell r="M385" t="str">
            <v>尼莫地平片20mg*50片</v>
          </cell>
        </row>
        <row r="386">
          <cell r="E386" t="str">
            <v>0020020021ZYLC0004</v>
          </cell>
          <cell r="H386" t="str">
            <v>魏桥镇田李靳中心卫生室</v>
          </cell>
          <cell r="J386" t="str">
            <v>1859</v>
          </cell>
          <cell r="K386" t="str">
            <v>201602151421097</v>
          </cell>
          <cell r="M386" t="str">
            <v>罗红霉素分散片/大严迪75mg*12片</v>
          </cell>
        </row>
        <row r="387">
          <cell r="E387" t="str">
            <v>0020030020SJSC0004</v>
          </cell>
          <cell r="H387" t="str">
            <v>邹平县东城职工医院</v>
          </cell>
          <cell r="J387" t="str">
            <v>1859</v>
          </cell>
          <cell r="K387" t="str">
            <v>201602151421097</v>
          </cell>
          <cell r="M387" t="str">
            <v>复方铝酸铋片/新胃必治50片</v>
          </cell>
        </row>
        <row r="388">
          <cell r="E388" t="str">
            <v>0020030020SJSC0025</v>
          </cell>
          <cell r="H388" t="str">
            <v>黛溪办北范中心卫生室</v>
          </cell>
          <cell r="J388" t="str">
            <v>1859</v>
          </cell>
          <cell r="K388" t="str">
            <v>201602151421097</v>
          </cell>
          <cell r="M388" t="str">
            <v>复方氨酚烷胺片12片</v>
          </cell>
        </row>
        <row r="389">
          <cell r="E389" t="str">
            <v>0020100000ZYLC0012</v>
          </cell>
          <cell r="H389" t="str">
            <v>滨州益康医药连锁有限公司邹平正心店</v>
          </cell>
          <cell r="J389" t="str">
            <v>1859</v>
          </cell>
          <cell r="K389" t="str">
            <v>201602151421097</v>
          </cell>
          <cell r="M389" t="str">
            <v>医用退热贴2贴</v>
          </cell>
        </row>
        <row r="390">
          <cell r="E390" t="str">
            <v>0020020021ZYZC0341</v>
          </cell>
          <cell r="H390" t="str">
            <v>滨州益康医药连锁有限公司邹平县第六药店</v>
          </cell>
          <cell r="J390" t="str">
            <v>1859</v>
          </cell>
          <cell r="K390" t="str">
            <v>201602151421097</v>
          </cell>
          <cell r="M390" t="str">
            <v>阿莫西林克拉维酸钾分散片/胜艾0.2285g*12片</v>
          </cell>
        </row>
        <row r="391">
          <cell r="E391" t="str">
            <v>0020030001SJZY0006</v>
          </cell>
          <cell r="H391" t="str">
            <v>滨州益康医药连锁有限公司邹平县长山店</v>
          </cell>
          <cell r="J391" t="str">
            <v>1859</v>
          </cell>
          <cell r="K391" t="str">
            <v>201602151421097</v>
          </cell>
          <cell r="M391" t="str">
            <v>葡萄糖酸钙口服溶液10ml*12支</v>
          </cell>
        </row>
        <row r="392">
          <cell r="E392" t="str">
            <v>0020040220SHYT0004</v>
          </cell>
          <cell r="H392" t="str">
            <v>滨州益康医药连锁有限公司邹平县第十二店</v>
          </cell>
          <cell r="J392" t="str">
            <v>1859</v>
          </cell>
          <cell r="K392" t="str">
            <v>201602151421097</v>
          </cell>
          <cell r="M392" t="str">
            <v>妇宁栓1.6克*8粒</v>
          </cell>
        </row>
        <row r="393">
          <cell r="E393" t="str">
            <v>0020020020SJMS0006</v>
          </cell>
          <cell r="H393" t="str">
            <v>邹平祥盛针灸推拿专科医院</v>
          </cell>
          <cell r="J393" t="str">
            <v>1859</v>
          </cell>
          <cell r="K393" t="str">
            <v>201602151421097</v>
          </cell>
          <cell r="M393" t="str">
            <v>尼莫地平片20mg*50片</v>
          </cell>
        </row>
        <row r="394">
          <cell r="E394" t="str">
            <v>0020050020SHYT0016</v>
          </cell>
          <cell r="H394" t="str">
            <v>滨州益康医药连锁有限公司邹平第二药店</v>
          </cell>
          <cell r="J394" t="str">
            <v>1859</v>
          </cell>
          <cell r="K394" t="str">
            <v>201602151421097</v>
          </cell>
          <cell r="M394" t="str">
            <v>复方金银花颗粒10g*10袋</v>
          </cell>
        </row>
        <row r="395">
          <cell r="E395" t="str">
            <v>0020020020SJMS0006</v>
          </cell>
          <cell r="H395" t="str">
            <v>明集镇邢家村卫生室</v>
          </cell>
          <cell r="J395" t="str">
            <v>1859</v>
          </cell>
          <cell r="K395" t="str">
            <v>201602151421097</v>
          </cell>
          <cell r="M395" t="str">
            <v>尼莫地平片20mg*50片</v>
          </cell>
        </row>
        <row r="396">
          <cell r="E396" t="str">
            <v>0020020020SJMS0006</v>
          </cell>
          <cell r="H396" t="str">
            <v>明集镇宋集中心卫生室</v>
          </cell>
          <cell r="J396" t="str">
            <v>1859</v>
          </cell>
          <cell r="K396" t="str">
            <v>201602151421097</v>
          </cell>
          <cell r="M396" t="str">
            <v>尼莫地平片20mg*50片</v>
          </cell>
        </row>
        <row r="397">
          <cell r="E397" t="str">
            <v>0020030020ZYLC0006</v>
          </cell>
          <cell r="H397" t="str">
            <v>滨州益康医药连锁有限公司邹平县第一药店</v>
          </cell>
          <cell r="J397" t="str">
            <v>1859</v>
          </cell>
          <cell r="K397" t="str">
            <v>201602151421097</v>
          </cell>
          <cell r="M397" t="str">
            <v>复方氨酚烷胺片12片</v>
          </cell>
        </row>
        <row r="398">
          <cell r="E398" t="str">
            <v>0020070000ZYLC0052</v>
          </cell>
          <cell r="H398" t="str">
            <v>滨州益康医药连锁有限公司邹平县第三药店</v>
          </cell>
          <cell r="J398" t="str">
            <v>1859</v>
          </cell>
          <cell r="K398" t="str">
            <v>201602151421097</v>
          </cell>
          <cell r="M398" t="str">
            <v>哈药六牌钙加锌口服液10ml*12支</v>
          </cell>
        </row>
        <row r="399">
          <cell r="E399" t="str">
            <v>0020040001SHYT0026</v>
          </cell>
          <cell r="H399" t="str">
            <v>滨州益康医药连锁有限公司邹平县第三药店</v>
          </cell>
          <cell r="J399" t="str">
            <v>1859</v>
          </cell>
          <cell r="K399" t="str">
            <v>201602151421097</v>
          </cell>
          <cell r="M399" t="str">
            <v>小活络丸3g*10丸</v>
          </cell>
        </row>
        <row r="400">
          <cell r="E400" t="str">
            <v>0020050001SHYT0017</v>
          </cell>
          <cell r="H400" t="str">
            <v>滨州益康医药连锁有限公司邹平县第三药店</v>
          </cell>
          <cell r="J400" t="str">
            <v>1859</v>
          </cell>
          <cell r="K400" t="str">
            <v>201602151421097</v>
          </cell>
          <cell r="M400" t="str">
            <v>附子理中丸9g*10丸</v>
          </cell>
        </row>
        <row r="401">
          <cell r="E401" t="str">
            <v>0020020021ZYLC0004</v>
          </cell>
          <cell r="H401" t="str">
            <v>滨州益康医药连锁有限公司邹平县第一药店</v>
          </cell>
          <cell r="J401" t="str">
            <v>1859</v>
          </cell>
          <cell r="K401" t="str">
            <v>201602151421097</v>
          </cell>
          <cell r="M401" t="str">
            <v>罗红霉素分散片/大严迪75mg*12片</v>
          </cell>
        </row>
        <row r="402">
          <cell r="E402" t="str">
            <v>0020030001SJZY0006</v>
          </cell>
          <cell r="H402" t="str">
            <v>滨州益康医药连锁有限公司邹平县黄山三路店</v>
          </cell>
          <cell r="J402" t="str">
            <v>1859</v>
          </cell>
          <cell r="K402" t="str">
            <v>201602151421097</v>
          </cell>
          <cell r="M402" t="str">
            <v>葡萄糖酸钙口服溶液10ml*12支</v>
          </cell>
        </row>
        <row r="403">
          <cell r="E403" t="str">
            <v>0020030001SJZY0006</v>
          </cell>
          <cell r="H403" t="str">
            <v>滨州益康医药连锁有限公司邹平县第十一店</v>
          </cell>
          <cell r="J403" t="str">
            <v>1859</v>
          </cell>
          <cell r="K403" t="str">
            <v>201602151421097</v>
          </cell>
          <cell r="M403" t="str">
            <v>葡萄糖酸钙口服溶液10ml*12支</v>
          </cell>
        </row>
        <row r="404">
          <cell r="E404" t="str">
            <v>0020030001SJZY0006</v>
          </cell>
          <cell r="H404" t="str">
            <v>滨州益康医药连锁有限公司邹平县魏桥惠民店</v>
          </cell>
          <cell r="J404" t="str">
            <v>1859</v>
          </cell>
          <cell r="K404" t="str">
            <v>201602151421097</v>
          </cell>
          <cell r="M404" t="str">
            <v>葡萄糖酸钙口服溶液10ml*12支</v>
          </cell>
        </row>
        <row r="405">
          <cell r="E405" t="str">
            <v>0020070001ZYZC0383</v>
          </cell>
          <cell r="H405" t="str">
            <v>滨州益康医药连锁有限公司邹平县第十一店</v>
          </cell>
          <cell r="J405" t="str">
            <v>1859</v>
          </cell>
          <cell r="K405" t="str">
            <v>201602151421097</v>
          </cell>
          <cell r="M405" t="str">
            <v>哈药牌钙铁锌口服液10ml*10支</v>
          </cell>
        </row>
        <row r="406">
          <cell r="E406" t="str">
            <v>0020070000ZYLC0001</v>
          </cell>
          <cell r="H406" t="str">
            <v>滨州益康医药连锁有限公司邹平县魏纺路店</v>
          </cell>
          <cell r="J406" t="str">
            <v>1859</v>
          </cell>
          <cell r="K406" t="str">
            <v>201602151421097</v>
          </cell>
          <cell r="M406" t="str">
            <v>新盖中盖高钙片(成人)/盖中盖2.5g*36片</v>
          </cell>
        </row>
        <row r="407">
          <cell r="E407" t="str">
            <v>0020020020ZYLC0011</v>
          </cell>
          <cell r="H407" t="str">
            <v>滨州益康医药连锁有限公司邹平明德店</v>
          </cell>
          <cell r="J407" t="str">
            <v>1859</v>
          </cell>
          <cell r="K407" t="str">
            <v>201602151421097</v>
          </cell>
          <cell r="M407" t="str">
            <v>颠茄磺苄啶片/儿童0.122g*20片</v>
          </cell>
        </row>
        <row r="408">
          <cell r="E408" t="str">
            <v>0020070000ZYLC0055</v>
          </cell>
          <cell r="H408" t="str">
            <v>滨州益康医药连锁有限公司邹平县魏纺路店</v>
          </cell>
          <cell r="J408" t="str">
            <v>1859</v>
          </cell>
          <cell r="K408" t="str">
            <v>201602151421097</v>
          </cell>
          <cell r="M408" t="str">
            <v>朴血乳酸亚铁口服液10ml*12支</v>
          </cell>
        </row>
        <row r="409">
          <cell r="E409" t="str">
            <v>0020070001ZYZC0383</v>
          </cell>
          <cell r="H409" t="str">
            <v>滨州益康医药连锁有限公司邹平长山诚意店</v>
          </cell>
          <cell r="J409" t="str">
            <v>1859</v>
          </cell>
          <cell r="K409" t="str">
            <v>201602151421097</v>
          </cell>
          <cell r="M409" t="str">
            <v>哈药牌钙铁锌口服液10ml*10支</v>
          </cell>
        </row>
        <row r="410">
          <cell r="E410" t="str">
            <v>0020020020SJMS0006</v>
          </cell>
          <cell r="H410" t="str">
            <v>滨州益康医药连锁有限公司邹平县邹魏二区店</v>
          </cell>
          <cell r="J410" t="str">
            <v>1859</v>
          </cell>
          <cell r="K410" t="str">
            <v>201602151421097</v>
          </cell>
          <cell r="M410" t="str">
            <v>尼莫地平片20mg*50片</v>
          </cell>
        </row>
        <row r="411">
          <cell r="E411" t="str">
            <v>0020050001SHYT0003</v>
          </cell>
          <cell r="H411" t="str">
            <v>滨州益康医药连锁有限公司邹平县邹魏二区店</v>
          </cell>
          <cell r="J411" t="str">
            <v>1859</v>
          </cell>
          <cell r="K411" t="str">
            <v>201602151421097</v>
          </cell>
          <cell r="M411" t="str">
            <v>益母丸9g*10丸</v>
          </cell>
        </row>
        <row r="412">
          <cell r="E412" t="str">
            <v>0020030001SJZY0006</v>
          </cell>
          <cell r="H412" t="str">
            <v>滨州益康医药连锁有限公司邹平县邹魏二区店</v>
          </cell>
          <cell r="J412" t="str">
            <v>1859</v>
          </cell>
          <cell r="K412" t="str">
            <v>201602151421097</v>
          </cell>
          <cell r="M412" t="str">
            <v>葡萄糖酸钙口服溶液10ml*12支</v>
          </cell>
        </row>
        <row r="413">
          <cell r="E413" t="str">
            <v>0020020021ZYLC0005</v>
          </cell>
          <cell r="H413" t="str">
            <v>滨州益康医药连锁有限公司邹平县邹魏二区店</v>
          </cell>
          <cell r="J413" t="str">
            <v>1859</v>
          </cell>
          <cell r="K413" t="str">
            <v>201602151421097</v>
          </cell>
          <cell r="M413" t="str">
            <v>罗红霉素分散片/小严迪50mg*12片</v>
          </cell>
        </row>
        <row r="414">
          <cell r="E414" t="str">
            <v>0020070000ZYLC0001</v>
          </cell>
          <cell r="H414" t="str">
            <v>滨州益康医药连锁有限公司邹平县邹魏二区店</v>
          </cell>
          <cell r="J414" t="str">
            <v>1859</v>
          </cell>
          <cell r="K414" t="str">
            <v>201602151421097</v>
          </cell>
          <cell r="M414" t="str">
            <v>新盖中盖高钙片(成人)/盖中盖2.5g*36片</v>
          </cell>
        </row>
        <row r="415">
          <cell r="E415" t="str">
            <v>0020030040SHYT0010</v>
          </cell>
          <cell r="H415" t="str">
            <v>滨州益康医药连锁有限公司邹平县邹魏二区店</v>
          </cell>
          <cell r="J415" t="str">
            <v>1859</v>
          </cell>
          <cell r="K415" t="str">
            <v>201602151421097</v>
          </cell>
          <cell r="M415" t="str">
            <v>布洛芬颗粒/小安瑞克0.2g*12袋</v>
          </cell>
        </row>
        <row r="416">
          <cell r="E416" t="str">
            <v>0020030001SJZY0009</v>
          </cell>
          <cell r="H416" t="str">
            <v>滨州益康医药连锁有限公司邹平县第五药店</v>
          </cell>
          <cell r="J416" t="str">
            <v>1859</v>
          </cell>
          <cell r="K416" t="str">
            <v>201602151421097</v>
          </cell>
          <cell r="M416" t="str">
            <v>葡萄糖酸锌口服液10ml*12支</v>
          </cell>
        </row>
        <row r="417">
          <cell r="E417" t="str">
            <v>0020070000ZYLC0055</v>
          </cell>
          <cell r="H417" t="str">
            <v>滨州益康医药连锁有限公司邹平县第五药店</v>
          </cell>
          <cell r="J417" t="str">
            <v>1859</v>
          </cell>
          <cell r="K417" t="str">
            <v>201602151421097</v>
          </cell>
          <cell r="M417" t="str">
            <v>朴血乳酸亚铁口服液10ml*12支</v>
          </cell>
        </row>
        <row r="418">
          <cell r="E418" t="str">
            <v>0020030001SJZY0009</v>
          </cell>
          <cell r="H418" t="str">
            <v>滨州益康医药连锁有限公司邹平县黄山二路店</v>
          </cell>
          <cell r="J418" t="str">
            <v>1859</v>
          </cell>
          <cell r="K418" t="str">
            <v>201602151421097</v>
          </cell>
          <cell r="M418" t="str">
            <v>葡萄糖酸锌口服液10ml*12支</v>
          </cell>
        </row>
        <row r="419">
          <cell r="E419" t="str">
            <v>0020050090SJZY0001</v>
          </cell>
          <cell r="H419" t="str">
            <v>滨州益康医药连锁有限公司邹平县黄山二路店</v>
          </cell>
          <cell r="J419" t="str">
            <v>1859</v>
          </cell>
          <cell r="K419" t="str">
            <v>201602151421097</v>
          </cell>
          <cell r="M419" t="str">
            <v>双黄连口服液10ml*10z</v>
          </cell>
        </row>
        <row r="420">
          <cell r="E420" t="str">
            <v>0020020020SJMS0006</v>
          </cell>
          <cell r="H420" t="str">
            <v>惠民县瑞堂大药房</v>
          </cell>
          <cell r="J420" t="str">
            <v>1854</v>
          </cell>
          <cell r="K420" t="str">
            <v>201602151421097</v>
          </cell>
          <cell r="M420" t="str">
            <v>尼莫地平片20mg*50片</v>
          </cell>
        </row>
        <row r="421">
          <cell r="E421" t="str">
            <v>0020040001SHYT0026</v>
          </cell>
          <cell r="H421" t="str">
            <v>滨州益康医药连锁有限公司邹平县黄山一路店</v>
          </cell>
          <cell r="J421" t="str">
            <v>1859</v>
          </cell>
          <cell r="K421" t="str">
            <v>201602151421097</v>
          </cell>
          <cell r="M421" t="str">
            <v>小活络丸3g*10丸</v>
          </cell>
        </row>
        <row r="422">
          <cell r="E422" t="str">
            <v>0020030040ZYLC0001</v>
          </cell>
          <cell r="H422" t="str">
            <v>孙镇大小三中心卫生室</v>
          </cell>
          <cell r="J422" t="str">
            <v>1859</v>
          </cell>
          <cell r="K422" t="str">
            <v>201602151421097</v>
          </cell>
          <cell r="M422" t="str">
            <v>小儿氨酚黄那敏颗粒/护彤2g*12袋</v>
          </cell>
        </row>
        <row r="423">
          <cell r="E423" t="str">
            <v>0020030001SJZY0009</v>
          </cell>
          <cell r="H423" t="str">
            <v>滨州益康医药连锁有限公司孙镇店</v>
          </cell>
          <cell r="J423" t="str">
            <v>1859</v>
          </cell>
          <cell r="K423" t="str">
            <v>201602151421097</v>
          </cell>
          <cell r="M423" t="str">
            <v>葡萄糖酸锌口服液10ml*12支</v>
          </cell>
        </row>
        <row r="424">
          <cell r="E424" t="str">
            <v>0020030001SJZY0006</v>
          </cell>
          <cell r="H424" t="str">
            <v>滨州益康医药连锁有限公司邹平县中心店</v>
          </cell>
          <cell r="J424" t="str">
            <v>1859</v>
          </cell>
          <cell r="K424" t="str">
            <v>201602151421097</v>
          </cell>
          <cell r="M424" t="str">
            <v>葡萄糖酸钙口服溶液10ml*12支</v>
          </cell>
        </row>
        <row r="425">
          <cell r="E425" t="str">
            <v>0020030001SJZY0009</v>
          </cell>
          <cell r="H425" t="str">
            <v>滨州益康医药连锁有限公司邹平县中心店</v>
          </cell>
          <cell r="J425" t="str">
            <v>1859</v>
          </cell>
          <cell r="K425" t="str">
            <v>201602151421097</v>
          </cell>
          <cell r="M425" t="str">
            <v>葡萄糖酸锌口服液10ml*12支</v>
          </cell>
        </row>
        <row r="426">
          <cell r="E426" t="str">
            <v>0020030001SJZY0006</v>
          </cell>
          <cell r="H426" t="str">
            <v>滨州益康医药连锁有限公司邹平县明珠店</v>
          </cell>
          <cell r="J426" t="str">
            <v>1859</v>
          </cell>
          <cell r="K426" t="str">
            <v>201602151421097</v>
          </cell>
          <cell r="M426" t="str">
            <v>葡萄糖酸钙口服溶液10ml*12支</v>
          </cell>
        </row>
        <row r="427">
          <cell r="E427" t="str">
            <v>0020030040SHYT0010</v>
          </cell>
          <cell r="H427" t="str">
            <v>滨州益康医药连锁有限公司邹平县西王店</v>
          </cell>
          <cell r="J427" t="str">
            <v>1859</v>
          </cell>
          <cell r="K427" t="str">
            <v>201602151421097</v>
          </cell>
          <cell r="M427" t="str">
            <v>布洛芬颗粒/小安瑞克0.2g*12袋</v>
          </cell>
        </row>
        <row r="428">
          <cell r="E428" t="str">
            <v>0020070000ZYLC0001</v>
          </cell>
          <cell r="H428" t="str">
            <v>滨州益康医药连锁有限公司邹平县西王店</v>
          </cell>
          <cell r="J428" t="str">
            <v>1859</v>
          </cell>
          <cell r="K428" t="str">
            <v>201602151421097</v>
          </cell>
          <cell r="M428" t="str">
            <v>新盖中盖高钙片(成人)/盖中盖2.5g*36片</v>
          </cell>
        </row>
        <row r="429">
          <cell r="E429" t="str">
            <v>0020020020ZYLC0010</v>
          </cell>
          <cell r="H429" t="str">
            <v>博兴县陈户镇福百仁大药房</v>
          </cell>
          <cell r="J429" t="str">
            <v>1858</v>
          </cell>
          <cell r="K429" t="str">
            <v>201602151421097</v>
          </cell>
          <cell r="M429" t="str">
            <v xml:space="preserve">泻利停/颠茄磺苄啶片0.48g*10片 </v>
          </cell>
        </row>
        <row r="430">
          <cell r="E430" t="str">
            <v>0020040001SHYT0011</v>
          </cell>
          <cell r="H430" t="str">
            <v>滨州宁心医药有限公司</v>
          </cell>
          <cell r="J430" t="str">
            <v>1853</v>
          </cell>
          <cell r="K430" t="str">
            <v>201602151421097</v>
          </cell>
          <cell r="M430" t="str">
            <v>牛黄解毒丸3g*10丸</v>
          </cell>
        </row>
        <row r="431">
          <cell r="E431" t="str">
            <v>0020070001ZYZC0369</v>
          </cell>
          <cell r="H431" t="str">
            <v xml:space="preserve">邹平县方正医药有限公司 </v>
          </cell>
          <cell r="J431" t="str">
            <v>1859</v>
          </cell>
          <cell r="K431" t="str">
            <v>201602151421097</v>
          </cell>
          <cell r="M431" t="str">
            <v>哈药牌钙铁锌口服液10ml*12支</v>
          </cell>
        </row>
        <row r="432">
          <cell r="E432" t="str">
            <v>0020020021ZYZC0341</v>
          </cell>
          <cell r="H432" t="str">
            <v xml:space="preserve">邹平县方正医药有限公司 </v>
          </cell>
          <cell r="J432" t="str">
            <v>1859</v>
          </cell>
          <cell r="K432" t="str">
            <v>201602151421097</v>
          </cell>
          <cell r="M432" t="str">
            <v>阿莫西林克拉维酸钾7:1分散片（胜艾）0.2285g*12片</v>
          </cell>
        </row>
        <row r="433">
          <cell r="E433" t="str">
            <v>0020030020ZYZC0360</v>
          </cell>
          <cell r="H433" t="str">
            <v>滨城安新岐诊所</v>
          </cell>
          <cell r="J433" t="str">
            <v>1853</v>
          </cell>
          <cell r="K433" t="str">
            <v>201602151421097</v>
          </cell>
          <cell r="M433" t="str">
            <v>*维生素C咀嚼片/VC片0.1g*30片</v>
          </cell>
        </row>
        <row r="434">
          <cell r="E434" t="str">
            <v>0020030020SJSC0014</v>
          </cell>
          <cell r="H434" t="str">
            <v>滨城安新岐诊所</v>
          </cell>
          <cell r="J434" t="str">
            <v>1853</v>
          </cell>
          <cell r="K434" t="str">
            <v>201602151421097</v>
          </cell>
          <cell r="M434" t="str">
            <v>维D2磷酸氢钙片60片</v>
          </cell>
        </row>
        <row r="435">
          <cell r="E435" t="str">
            <v>0020030020ZYLC0010</v>
          </cell>
          <cell r="H435" t="str">
            <v>商店镇北街社区卫生室</v>
          </cell>
          <cell r="J435" t="str">
            <v>1855</v>
          </cell>
          <cell r="K435" t="str">
            <v>201602151421097</v>
          </cell>
          <cell r="M435" t="str">
            <v>“为消”牌乳酸菌素片0.4g*36片</v>
          </cell>
        </row>
        <row r="436">
          <cell r="E436" t="str">
            <v>0020020020ZYZC0359</v>
          </cell>
          <cell r="H436" t="str">
            <v>邹平园春堂医药有限公司</v>
          </cell>
          <cell r="J436" t="str">
            <v>1859</v>
          </cell>
          <cell r="K436" t="str">
            <v>201602151421097</v>
          </cell>
          <cell r="M436" t="str">
            <v>青霉素V钾片（仙芬）0.236g*24片</v>
          </cell>
        </row>
        <row r="437">
          <cell r="E437" t="str">
            <v>0020100000ZYLC0012</v>
          </cell>
          <cell r="H437" t="str">
            <v>滨州盛泰医药连锁有限公司</v>
          </cell>
          <cell r="J437" t="str">
            <v>1858</v>
          </cell>
          <cell r="K437" t="str">
            <v>201602151421097</v>
          </cell>
          <cell r="M437" t="str">
            <v>退热贴40mm*110mm*2贴</v>
          </cell>
        </row>
        <row r="438">
          <cell r="E438" t="str">
            <v>0020070000ZYLC0001</v>
          </cell>
          <cell r="H438" t="str">
            <v>滨州盛泰医药连锁有限公司</v>
          </cell>
          <cell r="J438" t="str">
            <v>1858</v>
          </cell>
          <cell r="K438" t="str">
            <v>201602151421097</v>
          </cell>
          <cell r="M438" t="str">
            <v>新盖中盖高钙片2.5g*36P</v>
          </cell>
        </row>
        <row r="439">
          <cell r="E439" t="str">
            <v>0020070001ZYZC0377</v>
          </cell>
          <cell r="H439" t="str">
            <v>滨州盛泰医药连锁有限公司</v>
          </cell>
          <cell r="J439" t="str">
            <v>1858</v>
          </cell>
          <cell r="K439" t="str">
            <v>201602151421097</v>
          </cell>
          <cell r="M439" t="str">
            <v>哈药牌钙铁锌口服液10ml*15支</v>
          </cell>
        </row>
        <row r="440">
          <cell r="E440" t="str">
            <v>0020030040SHYT0010</v>
          </cell>
          <cell r="H440" t="str">
            <v>商店镇王朝正社区卫生室</v>
          </cell>
          <cell r="J440" t="str">
            <v>1855</v>
          </cell>
          <cell r="K440" t="str">
            <v>201602151421097</v>
          </cell>
          <cell r="M440" t="str">
            <v>布洛芬颗粒0.2g*12袋</v>
          </cell>
        </row>
        <row r="441">
          <cell r="E441" t="str">
            <v>0020030001SJZY0006</v>
          </cell>
          <cell r="H441" t="str">
            <v>惠民县舒泰大药房有限公司</v>
          </cell>
          <cell r="J441" t="str">
            <v>1854</v>
          </cell>
          <cell r="K441" t="str">
            <v>201602151421097</v>
          </cell>
          <cell r="M441" t="str">
            <v>葡萄糖酸钙口服溶液（含糖）10ml*12支</v>
          </cell>
        </row>
        <row r="442">
          <cell r="E442" t="str">
            <v>0020030001SJZY0006</v>
          </cell>
          <cell r="H442" t="str">
            <v>流坡坞镇闫家社区卫生室</v>
          </cell>
          <cell r="J442" t="str">
            <v>1855</v>
          </cell>
          <cell r="K442" t="str">
            <v>201602151421097</v>
          </cell>
          <cell r="M442" t="str">
            <v>葡萄糖酸钙口服溶液（含糖）10ml*12支</v>
          </cell>
        </row>
        <row r="443">
          <cell r="E443" t="str">
            <v>0020030001SJZY0009</v>
          </cell>
          <cell r="H443" t="str">
            <v>流坡坞镇闫家社区卫生室</v>
          </cell>
          <cell r="J443" t="str">
            <v>1855</v>
          </cell>
          <cell r="K443" t="str">
            <v>201602151421097</v>
          </cell>
          <cell r="M443" t="str">
            <v>葡萄糖酸锌口服液10ML*12支</v>
          </cell>
        </row>
        <row r="444">
          <cell r="E444" t="str">
            <v>0020050090SJZY0020</v>
          </cell>
          <cell r="H444" t="str">
            <v>水落坡乡郭马社区卫生室</v>
          </cell>
          <cell r="J444" t="str">
            <v>1855</v>
          </cell>
          <cell r="K444" t="str">
            <v>201602151421097</v>
          </cell>
          <cell r="M444" t="str">
            <v>双黄连口服液20ml*9支</v>
          </cell>
        </row>
        <row r="445">
          <cell r="E445" t="str">
            <v>0020050090SJZY0001</v>
          </cell>
          <cell r="H445" t="str">
            <v>水落坡乡郭马社区卫生室</v>
          </cell>
          <cell r="J445" t="str">
            <v>1855</v>
          </cell>
          <cell r="K445" t="str">
            <v>201602151421097</v>
          </cell>
          <cell r="M445" t="str">
            <v>双黄连口服液10ml*10支</v>
          </cell>
        </row>
        <row r="446">
          <cell r="E446" t="str">
            <v>0020020021ZYLC0011</v>
          </cell>
          <cell r="H446" t="str">
            <v>大洋集团诊所</v>
          </cell>
          <cell r="J446" t="str">
            <v>1856</v>
          </cell>
          <cell r="K446" t="str">
            <v>201602151421097</v>
          </cell>
          <cell r="M446" t="str">
            <v>严迪/罗红霉素分散片150mg*12片</v>
          </cell>
        </row>
        <row r="447">
          <cell r="E447" t="str">
            <v>0020020030ZYZC0263</v>
          </cell>
          <cell r="H447" t="str">
            <v>大洋集团诊所</v>
          </cell>
          <cell r="J447" t="str">
            <v>1856</v>
          </cell>
          <cell r="K447" t="str">
            <v>201602151421097</v>
          </cell>
          <cell r="M447" t="str">
            <v>盐酸依托必利胶囊50mg*20粒</v>
          </cell>
        </row>
        <row r="448">
          <cell r="E448" t="str">
            <v>0020030020SJSC0025</v>
          </cell>
          <cell r="H448" t="str">
            <v>大洋集团诊所</v>
          </cell>
          <cell r="J448" t="str">
            <v>1856</v>
          </cell>
          <cell r="K448" t="str">
            <v>201602151421097</v>
          </cell>
          <cell r="M448" t="str">
            <v>复方氨酚烷胺片12片</v>
          </cell>
        </row>
        <row r="449">
          <cell r="E449" t="str">
            <v>0020040220SHYT0004</v>
          </cell>
          <cell r="H449" t="str">
            <v>大洋集团诊所</v>
          </cell>
          <cell r="J449" t="str">
            <v>1856</v>
          </cell>
          <cell r="K449" t="str">
            <v>201602151421097</v>
          </cell>
          <cell r="M449" t="str">
            <v>妇宁栓1.6g*8枚</v>
          </cell>
        </row>
        <row r="450">
          <cell r="E450" t="str">
            <v>0020020030ZYZC0264</v>
          </cell>
          <cell r="H450" t="str">
            <v>大洋集团诊所</v>
          </cell>
          <cell r="J450" t="str">
            <v>1856</v>
          </cell>
          <cell r="K450" t="str">
            <v>201602151421097</v>
          </cell>
          <cell r="M450" t="str">
            <v>阿莫西林胶囊0.5g*20粒</v>
          </cell>
        </row>
        <row r="451">
          <cell r="E451" t="str">
            <v>0020070001ZYZC0383</v>
          </cell>
          <cell r="H451" t="str">
            <v>大洋集团诊所</v>
          </cell>
          <cell r="J451" t="str">
            <v>1856</v>
          </cell>
          <cell r="K451" t="str">
            <v>201602151421097</v>
          </cell>
          <cell r="M451" t="str">
            <v>哈药牌钙铁锌口服液10ml*10支</v>
          </cell>
        </row>
        <row r="452">
          <cell r="E452" t="str">
            <v>0020020020ZYLC0007</v>
          </cell>
          <cell r="H452" t="str">
            <v>大洋集团诊所</v>
          </cell>
          <cell r="J452" t="str">
            <v>1856</v>
          </cell>
          <cell r="K452" t="str">
            <v>201602151421097</v>
          </cell>
          <cell r="M452" t="str">
            <v>盐酸氟桂利嗪片/孚瑞尔40片</v>
          </cell>
        </row>
        <row r="453">
          <cell r="E453" t="str">
            <v>0020040220SHYT0005</v>
          </cell>
          <cell r="H453" t="str">
            <v>大洋集团诊所</v>
          </cell>
          <cell r="J453" t="str">
            <v>1856</v>
          </cell>
          <cell r="K453" t="str">
            <v>201602151421097</v>
          </cell>
          <cell r="M453" t="str">
            <v>妇宁栓1.6g×7枚</v>
          </cell>
        </row>
        <row r="454">
          <cell r="E454" t="str">
            <v>0020030001SJZY0006</v>
          </cell>
          <cell r="H454" t="str">
            <v>圣济堂医药连锁有限公司</v>
          </cell>
          <cell r="J454" t="str">
            <v>1853</v>
          </cell>
          <cell r="K454" t="str">
            <v>201602151421097</v>
          </cell>
          <cell r="M454" t="str">
            <v>葡萄糖酸钙口服溶液（含糖）10ml*12支</v>
          </cell>
        </row>
        <row r="455">
          <cell r="E455" t="str">
            <v>0020030001SJZY0009</v>
          </cell>
          <cell r="H455" t="str">
            <v>无棣县埕口镇万豪药店</v>
          </cell>
          <cell r="J455" t="str">
            <v>1856</v>
          </cell>
          <cell r="K455" t="str">
            <v>201602151421097</v>
          </cell>
          <cell r="M455" t="str">
            <v>葡萄糖酸锌口服液10ML*12支</v>
          </cell>
        </row>
        <row r="456">
          <cell r="E456" t="str">
            <v>0020030001SJZY0006</v>
          </cell>
          <cell r="H456" t="str">
            <v>无棣县埕口镇万豪药店</v>
          </cell>
          <cell r="J456" t="str">
            <v>1856</v>
          </cell>
          <cell r="K456" t="str">
            <v>201602151421097</v>
          </cell>
          <cell r="M456" t="str">
            <v>葡萄糖酸钙口服溶液（含糖）10ml*12支</v>
          </cell>
        </row>
        <row r="457">
          <cell r="E457" t="str">
            <v>0020020013ZYZC0022</v>
          </cell>
          <cell r="H457" t="str">
            <v>滨城张秀兰诊所</v>
          </cell>
          <cell r="J457" t="str">
            <v>1853</v>
          </cell>
          <cell r="K457" t="str">
            <v>201602151421097</v>
          </cell>
          <cell r="M457" t="str">
            <v>注射用阿莫西林针/益萨林1g*10z</v>
          </cell>
        </row>
        <row r="458">
          <cell r="E458" t="str">
            <v>0020020021ZYLC0004</v>
          </cell>
          <cell r="H458" t="str">
            <v>翟王镇于张社区卫生室</v>
          </cell>
          <cell r="J458" t="str">
            <v>1855</v>
          </cell>
          <cell r="K458" t="str">
            <v>201602151421097</v>
          </cell>
          <cell r="M458" t="str">
            <v>大严迪片/罗红霉素分散片75mg*12片</v>
          </cell>
        </row>
        <row r="459">
          <cell r="E459" t="str">
            <v>0020020030ZYZC0264</v>
          </cell>
          <cell r="H459" t="str">
            <v>关帝庙街卫生室</v>
          </cell>
          <cell r="J459" t="str">
            <v>1855</v>
          </cell>
          <cell r="K459" t="str">
            <v>201602151421097</v>
          </cell>
          <cell r="M459" t="str">
            <v>阿莫西林胶囊0.5g*20粒</v>
          </cell>
        </row>
        <row r="460">
          <cell r="E460" t="str">
            <v>0020030001SJZY0006</v>
          </cell>
          <cell r="H460" t="str">
            <v>滨城区市中办事处万全社区卫生服务站</v>
          </cell>
          <cell r="J460" t="str">
            <v>1853</v>
          </cell>
          <cell r="K460" t="str">
            <v>201602151421097</v>
          </cell>
          <cell r="M460" t="str">
            <v>葡萄糖酸钙口服溶液（含糖）10ml*12支</v>
          </cell>
        </row>
        <row r="461">
          <cell r="E461" t="str">
            <v>0020030001SJZY0009</v>
          </cell>
          <cell r="H461" t="str">
            <v>滨城区市中办事处万全社区卫生服务站</v>
          </cell>
          <cell r="J461" t="str">
            <v>1853</v>
          </cell>
          <cell r="K461" t="str">
            <v>201602151421097</v>
          </cell>
          <cell r="M461" t="str">
            <v>葡萄糖酸锌口服液10ML*12支</v>
          </cell>
        </row>
        <row r="462">
          <cell r="E462" t="str">
            <v>0020020021ZYZC0341</v>
          </cell>
          <cell r="H462" t="str">
            <v>劳店乡西街村卫生室</v>
          </cell>
          <cell r="J462" t="str">
            <v>1855</v>
          </cell>
          <cell r="K462" t="str">
            <v>201602151421097</v>
          </cell>
          <cell r="M462" t="str">
            <v>阿莫西林克拉维酸钾7:1分散片（胜艾）0.2285g*12片</v>
          </cell>
        </row>
        <row r="463">
          <cell r="E463" t="str">
            <v>0020030001SJZY0009</v>
          </cell>
          <cell r="H463" t="str">
            <v>劳店乡西街村卫生室</v>
          </cell>
          <cell r="J463" t="str">
            <v>1855</v>
          </cell>
          <cell r="K463" t="str">
            <v>201602151421097</v>
          </cell>
          <cell r="M463" t="str">
            <v>葡萄糖酸锌口服液10ML*12支</v>
          </cell>
        </row>
        <row r="464">
          <cell r="E464" t="str">
            <v>0020070000ZYLC0001</v>
          </cell>
          <cell r="H464" t="str">
            <v>翟王镇穆家社区卫生室</v>
          </cell>
          <cell r="J464" t="str">
            <v>1855</v>
          </cell>
          <cell r="K464" t="str">
            <v>201602151421097</v>
          </cell>
          <cell r="M464" t="str">
            <v>新盖中盖高钙片2.5g*36P</v>
          </cell>
        </row>
        <row r="465">
          <cell r="E465" t="str">
            <v>0020070000ZYLC0001</v>
          </cell>
          <cell r="H465" t="str">
            <v>滨城区市西街道办事处社区卫生服务站</v>
          </cell>
          <cell r="J465" t="str">
            <v>1853</v>
          </cell>
          <cell r="K465" t="str">
            <v>201602151421097</v>
          </cell>
          <cell r="M465" t="str">
            <v>新盖中盖高钙片2.5g*36P</v>
          </cell>
        </row>
        <row r="466">
          <cell r="E466" t="str">
            <v>0020030001SJZY0009</v>
          </cell>
          <cell r="H466" t="str">
            <v>滨城区市西街道办事处社区卫生服务站</v>
          </cell>
          <cell r="J466" t="str">
            <v>1853</v>
          </cell>
          <cell r="K466" t="str">
            <v>201602151421097</v>
          </cell>
          <cell r="M466" t="str">
            <v>葡萄糖酸锌口服液10ML*12支</v>
          </cell>
        </row>
        <row r="467">
          <cell r="E467" t="str">
            <v>0020030001SJZY0006</v>
          </cell>
          <cell r="H467" t="str">
            <v>滨城区市西街道办事处社区卫生服务站</v>
          </cell>
          <cell r="J467" t="str">
            <v>1853</v>
          </cell>
          <cell r="K467" t="str">
            <v>201602151421097</v>
          </cell>
          <cell r="M467" t="str">
            <v>葡萄糖酸钙口服溶液（含糖）10ml*12支</v>
          </cell>
        </row>
        <row r="468">
          <cell r="E468" t="str">
            <v>0020020020ZYLC0010</v>
          </cell>
          <cell r="H468" t="str">
            <v>惠民县仁春医药有限公司</v>
          </cell>
          <cell r="J468" t="str">
            <v>1854</v>
          </cell>
          <cell r="K468" t="str">
            <v>201602151421097</v>
          </cell>
          <cell r="M468" t="str">
            <v xml:space="preserve">泻利停/颠茄磺苄啶片0.48g*10片 </v>
          </cell>
        </row>
        <row r="469">
          <cell r="E469" t="str">
            <v>0020030001SJZY0006</v>
          </cell>
          <cell r="H469" t="str">
            <v>阳信豪门社区卫生室</v>
          </cell>
          <cell r="J469" t="str">
            <v>1855</v>
          </cell>
          <cell r="K469" t="str">
            <v>201602151421097</v>
          </cell>
          <cell r="M469" t="str">
            <v>葡萄糖酸钙口服溶液（含糖）10ml*12支</v>
          </cell>
        </row>
        <row r="470">
          <cell r="E470" t="str">
            <v>0020030001SJZY0009</v>
          </cell>
          <cell r="H470" t="str">
            <v>阳信豪门社区卫生室</v>
          </cell>
          <cell r="J470" t="str">
            <v>1855</v>
          </cell>
          <cell r="K470" t="str">
            <v>201602151421097</v>
          </cell>
          <cell r="M470" t="str">
            <v>葡萄糖酸锌口服液10ML*12支</v>
          </cell>
        </row>
        <row r="471">
          <cell r="E471" t="str">
            <v>0020030040SHYT0010</v>
          </cell>
          <cell r="H471" t="str">
            <v>阳信便民诊所</v>
          </cell>
          <cell r="J471" t="str">
            <v>1855</v>
          </cell>
          <cell r="K471" t="str">
            <v>201602151421097</v>
          </cell>
          <cell r="M471" t="str">
            <v>布洛芬颗粒0.2g*12袋</v>
          </cell>
        </row>
        <row r="472">
          <cell r="E472" t="str">
            <v>0020030001SJZY0006</v>
          </cell>
          <cell r="H472" t="str">
            <v>阳信便民诊所</v>
          </cell>
          <cell r="J472" t="str">
            <v>1855</v>
          </cell>
          <cell r="K472" t="str">
            <v>201602151421097</v>
          </cell>
          <cell r="M472" t="str">
            <v>葡萄糖酸钙口服溶液（含糖）10ml*12支</v>
          </cell>
        </row>
        <row r="473">
          <cell r="E473" t="str">
            <v>0020020021ZYLC0011</v>
          </cell>
          <cell r="H473" t="str">
            <v>惠民县仁春医药有限公司</v>
          </cell>
          <cell r="J473" t="str">
            <v>1854</v>
          </cell>
          <cell r="K473" t="str">
            <v>201602151421097</v>
          </cell>
          <cell r="M473" t="str">
            <v>严迪/罗红霉素分散片150mg*12片</v>
          </cell>
        </row>
        <row r="474">
          <cell r="E474" t="str">
            <v>0020020030SJMS0025</v>
          </cell>
          <cell r="H474" t="str">
            <v>惠民县仁春医药有限公司</v>
          </cell>
          <cell r="J474" t="str">
            <v>1854</v>
          </cell>
          <cell r="K474" t="str">
            <v>201602151421097</v>
          </cell>
          <cell r="M474" t="str">
            <v>人工牛黄甲硝唑胶囊/牙疼安10粒*3板</v>
          </cell>
        </row>
        <row r="475">
          <cell r="E475" t="str">
            <v>0020030040SJET0003</v>
          </cell>
          <cell r="H475" t="str">
            <v>惠民县仁春医药有限公司</v>
          </cell>
          <cell r="J475" t="str">
            <v>1854</v>
          </cell>
          <cell r="K475" t="str">
            <v>201602151421097</v>
          </cell>
          <cell r="M475" t="str">
            <v>氨金黄敏颗粒6g*10袋</v>
          </cell>
        </row>
        <row r="476">
          <cell r="E476" t="str">
            <v>0020030001SJZY0009</v>
          </cell>
          <cell r="H476" t="str">
            <v>惠民县仁春医药有限公司</v>
          </cell>
          <cell r="J476" t="str">
            <v>1854</v>
          </cell>
          <cell r="K476" t="str">
            <v>201602151421097</v>
          </cell>
          <cell r="M476" t="str">
            <v>葡萄糖酸锌口服液10ML*12支</v>
          </cell>
        </row>
        <row r="477">
          <cell r="E477" t="str">
            <v>0020030020ZYZC0360</v>
          </cell>
          <cell r="H477" t="str">
            <v>惠民县仁春医药有限公司</v>
          </cell>
          <cell r="J477" t="str">
            <v>1854</v>
          </cell>
          <cell r="K477" t="str">
            <v>201602151421097</v>
          </cell>
          <cell r="M477" t="str">
            <v>维生素C咀嚼片/VC片0.1g*30片</v>
          </cell>
        </row>
        <row r="478">
          <cell r="E478" t="str">
            <v>0020070000ZYLC0001</v>
          </cell>
          <cell r="H478" t="str">
            <v>阳信荣军医院</v>
          </cell>
          <cell r="J478" t="str">
            <v>1855</v>
          </cell>
          <cell r="K478" t="str">
            <v>201602151421097</v>
          </cell>
          <cell r="M478" t="str">
            <v>新盖中盖高钙片2.5g*36P</v>
          </cell>
        </row>
        <row r="479">
          <cell r="E479" t="str">
            <v>0020030020ZYLC0010</v>
          </cell>
          <cell r="H479" t="str">
            <v>阳信荣军医院</v>
          </cell>
          <cell r="J479" t="str">
            <v>1855</v>
          </cell>
          <cell r="K479" t="str">
            <v>201602151421097</v>
          </cell>
          <cell r="M479" t="str">
            <v>乳酸菌素片/为消0.4g*36片</v>
          </cell>
        </row>
        <row r="480">
          <cell r="E480" t="str">
            <v>0020030020ZYLC0010</v>
          </cell>
          <cell r="H480" t="str">
            <v>惠民县桑落墅镇弘轩大药房</v>
          </cell>
          <cell r="J480" t="str">
            <v>1854</v>
          </cell>
          <cell r="K480" t="str">
            <v>201602151421097</v>
          </cell>
          <cell r="M480" t="str">
            <v>“为消”牌乳酸菌素片0.4g*36片</v>
          </cell>
        </row>
        <row r="481">
          <cell r="E481" t="str">
            <v>0020030020ZYLC0010</v>
          </cell>
          <cell r="H481" t="str">
            <v>惠民县桑落墅镇弘轩大药房</v>
          </cell>
          <cell r="J481" t="str">
            <v>1854</v>
          </cell>
          <cell r="K481" t="str">
            <v>201602151421097</v>
          </cell>
          <cell r="M481" t="str">
            <v>乳酸菌素片/为消0.4g*36片</v>
          </cell>
        </row>
        <row r="482">
          <cell r="E482" t="str">
            <v>0020020020SJMS0008</v>
          </cell>
          <cell r="H482" t="str">
            <v>阳信荣军诊所</v>
          </cell>
          <cell r="J482" t="str">
            <v>1855</v>
          </cell>
          <cell r="K482" t="str">
            <v>201602151421097</v>
          </cell>
          <cell r="M482" t="str">
            <v>拉西地平片/三精司乐平片4mg*15片</v>
          </cell>
        </row>
        <row r="483">
          <cell r="E483" t="str">
            <v>0020030001SJZY0009</v>
          </cell>
          <cell r="H483" t="str">
            <v>商店镇王朝正社区卫生室</v>
          </cell>
          <cell r="J483" t="str">
            <v>1855</v>
          </cell>
          <cell r="K483" t="str">
            <v>201602151421097</v>
          </cell>
          <cell r="M483" t="str">
            <v>葡萄糖酸锌口服液10ML*12支</v>
          </cell>
        </row>
        <row r="484">
          <cell r="E484" t="str">
            <v>0020030001SJZY0006</v>
          </cell>
          <cell r="H484" t="str">
            <v>信城街道西关社区卫生室</v>
          </cell>
          <cell r="J484" t="str">
            <v>1855</v>
          </cell>
          <cell r="K484" t="str">
            <v>201602151421097</v>
          </cell>
          <cell r="M484" t="str">
            <v>葡萄糖酸钙口服溶液（含糖）10ml*12支</v>
          </cell>
        </row>
        <row r="485">
          <cell r="E485" t="str">
            <v>0020030001SJZY0009</v>
          </cell>
          <cell r="H485" t="str">
            <v>信城街道西关社区卫生室</v>
          </cell>
          <cell r="J485" t="str">
            <v>1855</v>
          </cell>
          <cell r="K485" t="str">
            <v>201602151421097</v>
          </cell>
          <cell r="M485" t="str">
            <v>葡萄糖酸锌口服液10ML*12支</v>
          </cell>
        </row>
        <row r="486">
          <cell r="E486" t="str">
            <v>0020070000ZYLC0001</v>
          </cell>
          <cell r="H486" t="str">
            <v>沾化区古城镇李彭中心卫生室</v>
          </cell>
          <cell r="J486" t="str">
            <v>1857</v>
          </cell>
          <cell r="K486" t="str">
            <v>201602151421097</v>
          </cell>
          <cell r="M486" t="str">
            <v>新盖中盖高钙片2.5g*36P</v>
          </cell>
        </row>
        <row r="487">
          <cell r="E487" t="str">
            <v>0020030001SJZY0006</v>
          </cell>
          <cell r="H487" t="str">
            <v>水落坡乡钦八社区卫生室</v>
          </cell>
          <cell r="J487" t="str">
            <v>1855</v>
          </cell>
          <cell r="K487" t="str">
            <v>201602151421097</v>
          </cell>
          <cell r="M487" t="str">
            <v>葡萄糖酸钙口服溶液（含糖）10ml*12支</v>
          </cell>
        </row>
        <row r="488">
          <cell r="E488" t="str">
            <v>0020070001ZYLC0001</v>
          </cell>
          <cell r="H488" t="str">
            <v>水落坡乡钦八社区卫生室</v>
          </cell>
          <cell r="J488" t="str">
            <v>1855</v>
          </cell>
          <cell r="K488" t="str">
            <v>201602151421097</v>
          </cell>
          <cell r="M488" t="str">
            <v>哈药六钙锌口服液10ml*12支</v>
          </cell>
        </row>
        <row r="489">
          <cell r="E489" t="str">
            <v>0020030001SJZY0009</v>
          </cell>
          <cell r="H489" t="str">
            <v>水落坡乡钦八社区卫生室</v>
          </cell>
          <cell r="J489" t="str">
            <v>1855</v>
          </cell>
          <cell r="K489" t="str">
            <v>201602151421097</v>
          </cell>
          <cell r="M489" t="str">
            <v>葡萄糖酸锌口服液10ML*12支</v>
          </cell>
        </row>
        <row r="490">
          <cell r="E490" t="str">
            <v>0020030001SJZY0009</v>
          </cell>
          <cell r="H490" t="str">
            <v>水落坡乡河北刘社区卫生室</v>
          </cell>
          <cell r="J490" t="str">
            <v>1855</v>
          </cell>
          <cell r="K490" t="str">
            <v>201602151421097</v>
          </cell>
          <cell r="M490" t="str">
            <v>葡萄糖酸锌口服液10ML*12支</v>
          </cell>
        </row>
        <row r="491">
          <cell r="E491" t="str">
            <v>0020030001SJZY0009</v>
          </cell>
          <cell r="H491" t="str">
            <v>水落坡乡水落坡村第二卫生室</v>
          </cell>
          <cell r="J491" t="str">
            <v>1855</v>
          </cell>
          <cell r="K491" t="str">
            <v>201602151421097</v>
          </cell>
          <cell r="M491" t="str">
            <v>葡萄糖酸锌口服液10ML*12支</v>
          </cell>
        </row>
        <row r="492">
          <cell r="E492" t="str">
            <v>0020030001SJZY0006</v>
          </cell>
          <cell r="H492" t="str">
            <v>水落坡乡水落坡村第二卫生室</v>
          </cell>
          <cell r="J492" t="str">
            <v>1855</v>
          </cell>
          <cell r="K492" t="str">
            <v>201602151421097</v>
          </cell>
          <cell r="M492" t="str">
            <v>葡萄糖酸钙口服溶液（含糖）10ml*12支</v>
          </cell>
        </row>
        <row r="493">
          <cell r="E493" t="str">
            <v>0020070000ZYLC0055</v>
          </cell>
          <cell r="H493" t="str">
            <v>沾化济生堂大药房连锁有限公司</v>
          </cell>
          <cell r="J493" t="str">
            <v>1857</v>
          </cell>
          <cell r="K493" t="str">
            <v>201602151421097</v>
          </cell>
          <cell r="M493" t="str">
            <v>朴血/乳酸亚铁口服液10ml*12支</v>
          </cell>
        </row>
        <row r="494">
          <cell r="E494" t="str">
            <v>0020020021ZYLC0004</v>
          </cell>
          <cell r="H494" t="str">
            <v>沾化济生堂大药房连锁有限公司</v>
          </cell>
          <cell r="J494" t="str">
            <v>1857</v>
          </cell>
          <cell r="K494" t="str">
            <v>201602151421097</v>
          </cell>
          <cell r="M494" t="str">
            <v>大严迪片/罗红霉素分散片75mg*12片</v>
          </cell>
        </row>
        <row r="495">
          <cell r="E495" t="str">
            <v>0020030020ZYZC0360</v>
          </cell>
          <cell r="H495" t="str">
            <v>滨州市靖和堂大药房医药连锁有限公司</v>
          </cell>
          <cell r="J495" t="str">
            <v>1858</v>
          </cell>
          <cell r="K495" t="str">
            <v>201602151421097</v>
          </cell>
          <cell r="M495" t="str">
            <v>*维生素C咀嚼片/VC片0.1g*30片</v>
          </cell>
        </row>
        <row r="496">
          <cell r="E496" t="str">
            <v>0020020030ZYZC0264</v>
          </cell>
          <cell r="H496" t="str">
            <v>滨州市靖和堂大药房医药连锁有限公司</v>
          </cell>
          <cell r="J496" t="str">
            <v>1858</v>
          </cell>
          <cell r="K496" t="str">
            <v>201602151421097</v>
          </cell>
          <cell r="M496" t="str">
            <v>阿莫西林胶囊0.5g*20粒</v>
          </cell>
        </row>
        <row r="497">
          <cell r="E497" t="str">
            <v>0020030001SJZY0006</v>
          </cell>
          <cell r="H497" t="str">
            <v>沾化济生堂大药房连锁有限公司</v>
          </cell>
          <cell r="J497" t="str">
            <v>1857</v>
          </cell>
          <cell r="K497" t="str">
            <v>201602151421097</v>
          </cell>
          <cell r="M497" t="str">
            <v>葡萄糖酸钙口服溶液（含糖）10ml*12支</v>
          </cell>
        </row>
        <row r="498">
          <cell r="E498" t="str">
            <v>0020030001SJZY0009</v>
          </cell>
          <cell r="H498" t="str">
            <v>沾化济生堂大药房连锁有限公司</v>
          </cell>
          <cell r="J498" t="str">
            <v>1857</v>
          </cell>
          <cell r="K498" t="str">
            <v>201602151421097</v>
          </cell>
          <cell r="M498" t="str">
            <v>葡萄糖酸锌口服液10ML*12支</v>
          </cell>
        </row>
        <row r="499">
          <cell r="E499" t="str">
            <v>0020070000ZYLC0001</v>
          </cell>
          <cell r="H499" t="str">
            <v>滨州市滨城区市中街道办事处便民社区卫生服务站</v>
          </cell>
          <cell r="J499" t="str">
            <v>1853</v>
          </cell>
          <cell r="K499" t="str">
            <v>201602151421097</v>
          </cell>
          <cell r="M499" t="str">
            <v>新盖中盖高钙片2.5g*36P</v>
          </cell>
        </row>
        <row r="500">
          <cell r="E500" t="str">
            <v>0020030001SJZY0009</v>
          </cell>
          <cell r="H500" t="str">
            <v>滨州市滨城区市中街道办事处便民社区卫生服务站</v>
          </cell>
          <cell r="J500" t="str">
            <v>1853</v>
          </cell>
          <cell r="K500" t="str">
            <v>201602151421097</v>
          </cell>
          <cell r="M500" t="str">
            <v>葡萄糖酸锌口服液10ML*12支</v>
          </cell>
        </row>
        <row r="501">
          <cell r="E501" t="str">
            <v>0020030001SJZY0006</v>
          </cell>
          <cell r="H501" t="str">
            <v>滨州市滨城区市中街道办事处便民社区卫生服务站</v>
          </cell>
          <cell r="J501" t="str">
            <v>1853</v>
          </cell>
          <cell r="K501" t="str">
            <v>201602151421097</v>
          </cell>
          <cell r="M501" t="str">
            <v>葡萄糖酸钙口服溶液（含糖）10ml*12支</v>
          </cell>
        </row>
        <row r="502">
          <cell r="E502" t="str">
            <v>0020050090SJZY0001</v>
          </cell>
          <cell r="H502" t="str">
            <v>滨州市滨城区市中街道办事处便民社区卫生服务站</v>
          </cell>
          <cell r="J502" t="str">
            <v>1853</v>
          </cell>
          <cell r="K502" t="str">
            <v>201602151421097</v>
          </cell>
          <cell r="M502" t="str">
            <v>双黄连口服液10ml*10支</v>
          </cell>
        </row>
        <row r="503">
          <cell r="E503" t="str">
            <v>0020030001SJZY0006</v>
          </cell>
          <cell r="H503" t="str">
            <v>无棣锦绣城诊所</v>
          </cell>
          <cell r="J503" t="str">
            <v>1856</v>
          </cell>
          <cell r="K503" t="str">
            <v>201602151421097</v>
          </cell>
          <cell r="M503" t="str">
            <v>葡萄糖酸钙口服溶液（含糖）10ml*12支</v>
          </cell>
        </row>
        <row r="504">
          <cell r="E504" t="str">
            <v>0020020020ZYLC0010</v>
          </cell>
          <cell r="H504" t="str">
            <v>商店镇大韩社区卫生室</v>
          </cell>
          <cell r="J504" t="str">
            <v>1855</v>
          </cell>
          <cell r="K504" t="str">
            <v>201602151421097</v>
          </cell>
          <cell r="M504" t="str">
            <v xml:space="preserve">泻利停/颠茄磺苄啶片0.48g*10片 </v>
          </cell>
        </row>
        <row r="505">
          <cell r="E505" t="str">
            <v>0020030020SJSC0004</v>
          </cell>
          <cell r="H505" t="str">
            <v>商店镇大韩社区卫生室</v>
          </cell>
          <cell r="J505" t="str">
            <v>1855</v>
          </cell>
          <cell r="K505" t="str">
            <v>201602151421097</v>
          </cell>
          <cell r="M505" t="str">
            <v>胃必治/复方铝酸铋片50片</v>
          </cell>
        </row>
        <row r="506">
          <cell r="E506" t="str">
            <v>0020030001SJZY0009</v>
          </cell>
          <cell r="H506" t="str">
            <v>阳信康复中心诊所</v>
          </cell>
          <cell r="J506" t="str">
            <v>1855</v>
          </cell>
          <cell r="K506" t="str">
            <v>201602151421097</v>
          </cell>
          <cell r="M506" t="str">
            <v>葡萄糖酸锌口服液10ML*12支</v>
          </cell>
        </row>
        <row r="507">
          <cell r="E507" t="str">
            <v>0020030020SJSC0004</v>
          </cell>
          <cell r="H507" t="str">
            <v>滨州市沾化区协和大药店</v>
          </cell>
          <cell r="J507" t="str">
            <v>1857</v>
          </cell>
          <cell r="K507" t="str">
            <v>201602151421097</v>
          </cell>
          <cell r="M507" t="str">
            <v>胃必治/复方铝酸铋片50片</v>
          </cell>
        </row>
        <row r="508">
          <cell r="E508" t="str">
            <v>0020030020ZYLC0005</v>
          </cell>
          <cell r="H508" t="str">
            <v>沾化三易诊所</v>
          </cell>
          <cell r="J508" t="str">
            <v>1857</v>
          </cell>
          <cell r="K508" t="str">
            <v>201602151421097</v>
          </cell>
          <cell r="M508" t="str">
            <v>小儿氨酚黄那敏片0.125g*20片</v>
          </cell>
        </row>
        <row r="509">
          <cell r="E509" t="str">
            <v>0020030001SJZY0009</v>
          </cell>
          <cell r="H509" t="str">
            <v>商店镇西毛社区卫生室</v>
          </cell>
          <cell r="J509" t="str">
            <v>1855</v>
          </cell>
          <cell r="K509" t="str">
            <v>201602151421097</v>
          </cell>
          <cell r="M509" t="str">
            <v>葡萄糖酸锌口服液10ML*12支</v>
          </cell>
        </row>
        <row r="510">
          <cell r="E510" t="str">
            <v>0020070001ZYLC0001</v>
          </cell>
          <cell r="H510" t="str">
            <v>商店镇西毛社区卫生室</v>
          </cell>
          <cell r="J510" t="str">
            <v>1855</v>
          </cell>
          <cell r="K510" t="str">
            <v>201602151421097</v>
          </cell>
          <cell r="M510" t="str">
            <v>哈药六钙锌口服液10ml*12支</v>
          </cell>
        </row>
        <row r="511">
          <cell r="E511" t="str">
            <v>0020020021ZYLC0011</v>
          </cell>
          <cell r="H511" t="str">
            <v>阳信镇行宫庙村卫生室</v>
          </cell>
          <cell r="J511" t="str">
            <v>1855</v>
          </cell>
          <cell r="K511" t="str">
            <v>201602151421097</v>
          </cell>
          <cell r="M511" t="str">
            <v>严迪/罗红霉素分散片150mg*12片</v>
          </cell>
        </row>
        <row r="512">
          <cell r="E512" t="str">
            <v>0020020030ZYZC0264</v>
          </cell>
          <cell r="H512" t="str">
            <v>阳信镇行宫庙村卫生室</v>
          </cell>
          <cell r="J512" t="str">
            <v>1855</v>
          </cell>
          <cell r="K512" t="str">
            <v>201602151421097</v>
          </cell>
          <cell r="M512" t="str">
            <v>阿莫西林胶囊0.5g*20粒</v>
          </cell>
        </row>
        <row r="513">
          <cell r="E513" t="str">
            <v>0020030020ZYLC0010</v>
          </cell>
          <cell r="H513" t="str">
            <v>阳信镇行宫庙村卫生室</v>
          </cell>
          <cell r="J513" t="str">
            <v>1855</v>
          </cell>
          <cell r="K513" t="str">
            <v>201602151421097</v>
          </cell>
          <cell r="M513" t="str">
            <v>“为消”牌乳酸菌素片0.4g*36片</v>
          </cell>
        </row>
        <row r="514">
          <cell r="E514" t="str">
            <v>0020030020ZYLC0010</v>
          </cell>
          <cell r="H514" t="str">
            <v>水落坡乡郭马社区卫生室</v>
          </cell>
          <cell r="J514" t="str">
            <v>1855</v>
          </cell>
          <cell r="K514" t="str">
            <v>201602151421097</v>
          </cell>
          <cell r="M514" t="str">
            <v>乳酸菌素片/为消0.4g*36片</v>
          </cell>
        </row>
        <row r="515">
          <cell r="E515" t="str">
            <v>0020070000ZYLC0001</v>
          </cell>
          <cell r="H515" t="str">
            <v>康源诊所</v>
          </cell>
          <cell r="J515" t="str">
            <v>1857</v>
          </cell>
          <cell r="K515" t="str">
            <v>201602151421097</v>
          </cell>
          <cell r="M515" t="str">
            <v>新盖中盖高钙片2.5g*36P</v>
          </cell>
        </row>
        <row r="516">
          <cell r="E516" t="str">
            <v>0020070001ZYZC0383</v>
          </cell>
          <cell r="H516" t="str">
            <v>滨城区市西街道办事处社区卫生服务站</v>
          </cell>
          <cell r="J516" t="str">
            <v>1853</v>
          </cell>
          <cell r="K516" t="str">
            <v>201602151421097</v>
          </cell>
          <cell r="M516" t="str">
            <v>哈药牌钙铁锌口服液10ml*10支</v>
          </cell>
        </row>
        <row r="517">
          <cell r="E517" t="str">
            <v>0020050090SJZY0001</v>
          </cell>
          <cell r="H517" t="str">
            <v>滨城区市西街道办事处社区卫生服务站</v>
          </cell>
          <cell r="J517" t="str">
            <v>1853</v>
          </cell>
          <cell r="K517" t="str">
            <v>201602151421097</v>
          </cell>
          <cell r="M517" t="str">
            <v>双黄连口服液10ml*10支</v>
          </cell>
        </row>
        <row r="518">
          <cell r="E518" t="str">
            <v>0020020030SJMS0025</v>
          </cell>
          <cell r="H518" t="str">
            <v>邹平园春堂医药有限公司</v>
          </cell>
          <cell r="J518" t="str">
            <v>1859</v>
          </cell>
          <cell r="K518" t="str">
            <v>201602151421097</v>
          </cell>
          <cell r="M518" t="str">
            <v>人工牛黄甲硝唑胶囊/牙疼安10粒*3板</v>
          </cell>
        </row>
        <row r="519">
          <cell r="E519" t="str">
            <v>0020020030ZYZC0264</v>
          </cell>
          <cell r="H519" t="str">
            <v>邹平园春堂医药有限公司</v>
          </cell>
          <cell r="J519" t="str">
            <v>1859</v>
          </cell>
          <cell r="K519" t="str">
            <v>201602151421097</v>
          </cell>
          <cell r="M519" t="str">
            <v>阿莫西林胶囊0.5g*20粒</v>
          </cell>
        </row>
        <row r="520">
          <cell r="E520" t="str">
            <v>0020020021ZYLC0011</v>
          </cell>
          <cell r="H520" t="str">
            <v>邹平园春堂医药有限公司</v>
          </cell>
          <cell r="J520" t="str">
            <v>1859</v>
          </cell>
          <cell r="K520" t="str">
            <v>201602151421097</v>
          </cell>
          <cell r="M520" t="str">
            <v>严迪/罗红霉素分散片150mg*12片</v>
          </cell>
        </row>
        <row r="521">
          <cell r="E521" t="str">
            <v>0020070000ZYLC0001</v>
          </cell>
          <cell r="H521" t="str">
            <v>滨州市滨城区彭李街道办事处阳光社区卫生服务站</v>
          </cell>
          <cell r="J521" t="str">
            <v>1853</v>
          </cell>
          <cell r="K521" t="str">
            <v>201602151421097</v>
          </cell>
          <cell r="M521" t="str">
            <v>新盖中盖高钙片2.5g*36P</v>
          </cell>
        </row>
        <row r="522">
          <cell r="E522" t="str">
            <v>0020030001SJZY0009</v>
          </cell>
          <cell r="H522" t="str">
            <v>滨州市滨城区彭李街道办事处阳光社区卫生服务站</v>
          </cell>
          <cell r="J522" t="str">
            <v>1853</v>
          </cell>
          <cell r="K522" t="str">
            <v>201602151421097</v>
          </cell>
          <cell r="M522" t="str">
            <v>葡萄糖酸锌口服液10ML*12支</v>
          </cell>
        </row>
        <row r="523">
          <cell r="E523" t="str">
            <v>0020030001SJZY0006</v>
          </cell>
          <cell r="H523" t="str">
            <v>滨州康杰大药房有限责任公司</v>
          </cell>
          <cell r="J523" t="str">
            <v>1853</v>
          </cell>
          <cell r="K523" t="str">
            <v>201602151421097</v>
          </cell>
          <cell r="M523" t="str">
            <v>葡萄糖酸钙口服溶液（含糖）10ml*12支</v>
          </cell>
        </row>
        <row r="524">
          <cell r="E524" t="str">
            <v>0020020020ZYZC0473</v>
          </cell>
          <cell r="H524" t="str">
            <v>山东省惠民县民康大药店有限公司</v>
          </cell>
          <cell r="J524" t="str">
            <v>1854</v>
          </cell>
          <cell r="K524" t="str">
            <v>201602151421097</v>
          </cell>
          <cell r="M524" t="str">
            <v>盐酸环丙沙星片0.25g*12片</v>
          </cell>
        </row>
        <row r="525">
          <cell r="E525" t="str">
            <v>0020030040SJET0003</v>
          </cell>
          <cell r="H525" t="str">
            <v>文化街康民卫生室</v>
          </cell>
          <cell r="J525" t="str">
            <v>1854</v>
          </cell>
          <cell r="K525" t="str">
            <v>201602151421097</v>
          </cell>
          <cell r="M525" t="str">
            <v>氨金黄敏颗粒6g*10袋</v>
          </cell>
        </row>
        <row r="526">
          <cell r="E526" t="str">
            <v>0020020021ZYLC0011</v>
          </cell>
          <cell r="H526" t="str">
            <v>惠民仁和堂诊所</v>
          </cell>
          <cell r="J526" t="str">
            <v>1854</v>
          </cell>
          <cell r="K526" t="str">
            <v>201602151421097</v>
          </cell>
          <cell r="M526" t="str">
            <v>严迪/罗红霉素分散片150mg*12片</v>
          </cell>
        </row>
        <row r="527">
          <cell r="E527" t="str">
            <v>0020020020ZYZC0473</v>
          </cell>
          <cell r="H527" t="str">
            <v>惠民仁和堂诊所</v>
          </cell>
          <cell r="J527" t="str">
            <v>1854</v>
          </cell>
          <cell r="K527" t="str">
            <v>201602151421097</v>
          </cell>
          <cell r="M527" t="str">
            <v>盐酸环丙沙星片0.25g*12片</v>
          </cell>
        </row>
        <row r="528">
          <cell r="E528" t="str">
            <v>0020070000ZYLC0001</v>
          </cell>
          <cell r="H528" t="str">
            <v>滨州康乐医药连锁有限公司</v>
          </cell>
          <cell r="J528" t="str">
            <v>1853</v>
          </cell>
          <cell r="K528" t="str">
            <v>201602151421097</v>
          </cell>
          <cell r="M528" t="str">
            <v>新盖中盖高钙片2.5g*36P</v>
          </cell>
        </row>
        <row r="529">
          <cell r="E529" t="str">
            <v>0020030001SJZY0006</v>
          </cell>
          <cell r="H529" t="str">
            <v>滨州康乐医药连锁有限公司</v>
          </cell>
          <cell r="J529" t="str">
            <v>1853</v>
          </cell>
          <cell r="K529" t="str">
            <v>201602151421097</v>
          </cell>
          <cell r="M529" t="str">
            <v>葡萄糖酸钙口服溶液（含糖）10ml*12支</v>
          </cell>
        </row>
        <row r="530">
          <cell r="E530" t="str">
            <v>0020050090SJZY0001</v>
          </cell>
          <cell r="H530" t="str">
            <v>滨州康乐医药连锁有限公司</v>
          </cell>
          <cell r="J530" t="str">
            <v>1853</v>
          </cell>
          <cell r="K530" t="str">
            <v>201602151421097</v>
          </cell>
          <cell r="M530" t="str">
            <v>双黄连口服液10ml*10支</v>
          </cell>
        </row>
        <row r="531">
          <cell r="E531" t="str">
            <v>0020030001SJZY0009</v>
          </cell>
          <cell r="H531" t="str">
            <v>滨州康乐医药连锁有限公司</v>
          </cell>
          <cell r="J531" t="str">
            <v>1853</v>
          </cell>
          <cell r="K531" t="str">
            <v>201602151421097</v>
          </cell>
          <cell r="M531" t="str">
            <v>葡萄糖酸锌口服液10ML*12支</v>
          </cell>
        </row>
        <row r="532">
          <cell r="E532" t="str">
            <v>0020030001SJZY0006</v>
          </cell>
          <cell r="H532" t="str">
            <v>阳信县商店镇台属大药房</v>
          </cell>
          <cell r="J532" t="str">
            <v>1855</v>
          </cell>
          <cell r="K532" t="str">
            <v>201602151421097</v>
          </cell>
          <cell r="M532" t="str">
            <v>葡萄糖酸钙口服溶液（含糖）10ml*12支</v>
          </cell>
        </row>
        <row r="533">
          <cell r="E533" t="str">
            <v>0020030001SJZY0009</v>
          </cell>
          <cell r="H533" t="str">
            <v>阳信县商店镇台属大药房</v>
          </cell>
          <cell r="J533" t="str">
            <v>1855</v>
          </cell>
          <cell r="K533" t="str">
            <v>201602151421097</v>
          </cell>
          <cell r="M533" t="str">
            <v>葡萄糖酸锌口服液10ML*12支</v>
          </cell>
        </row>
        <row r="534">
          <cell r="E534" t="str">
            <v>0020050090SJZY0001</v>
          </cell>
          <cell r="H534" t="str">
            <v>阳信县商店镇台属大药房</v>
          </cell>
          <cell r="J534" t="str">
            <v>1855</v>
          </cell>
          <cell r="K534" t="str">
            <v>201602151421097</v>
          </cell>
          <cell r="M534" t="str">
            <v>双黄连口服液10ml*10支</v>
          </cell>
        </row>
        <row r="535">
          <cell r="E535" t="str">
            <v>0020030001SJZY0009</v>
          </cell>
          <cell r="H535" t="str">
            <v>滨州恒丰仁和医药连锁有限责任公司</v>
          </cell>
          <cell r="J535" t="str">
            <v>1853</v>
          </cell>
          <cell r="K535" t="str">
            <v>201602151421097</v>
          </cell>
          <cell r="M535" t="str">
            <v>葡萄糖酸锌口服液10ML*12支</v>
          </cell>
        </row>
        <row r="536">
          <cell r="E536" t="str">
            <v>0020030001SJZY0006</v>
          </cell>
          <cell r="H536" t="str">
            <v>滨州恒丰仁和医药连锁有限责任公司</v>
          </cell>
          <cell r="J536" t="str">
            <v>1853</v>
          </cell>
          <cell r="K536" t="str">
            <v>201602151421097</v>
          </cell>
          <cell r="M536" t="str">
            <v>葡萄糖酸钙口服溶液（含糖）10ml*12支</v>
          </cell>
        </row>
        <row r="537">
          <cell r="E537" t="str">
            <v>0020020030SJMS0025</v>
          </cell>
          <cell r="H537" t="str">
            <v>惠民润德堂诊所</v>
          </cell>
          <cell r="J537" t="str">
            <v>1854</v>
          </cell>
          <cell r="K537" t="str">
            <v>201602151421097</v>
          </cell>
          <cell r="M537" t="str">
            <v>人工牛黄甲硝唑胶囊/牙疼安10粒*3板</v>
          </cell>
        </row>
        <row r="538">
          <cell r="E538" t="str">
            <v>0020070000ZYLC0001</v>
          </cell>
          <cell r="H538" t="str">
            <v>博兴县德仁堂大药房连锁有限公司</v>
          </cell>
          <cell r="J538" t="str">
            <v>1858</v>
          </cell>
          <cell r="K538" t="str">
            <v>201602151421097</v>
          </cell>
          <cell r="M538" t="str">
            <v>新盖中盖高钙片2.5g*36P</v>
          </cell>
        </row>
        <row r="539">
          <cell r="E539" t="str">
            <v>0020030020ZYLC0010</v>
          </cell>
          <cell r="H539" t="str">
            <v>阳信尔康诊所</v>
          </cell>
          <cell r="J539" t="str">
            <v>1855</v>
          </cell>
          <cell r="K539" t="str">
            <v>201602151421097</v>
          </cell>
          <cell r="M539" t="str">
            <v>乳酸菌素片/为消0.4g*36片</v>
          </cell>
        </row>
        <row r="540">
          <cell r="E540" t="str">
            <v>0020030001SJZY0006</v>
          </cell>
          <cell r="H540" t="str">
            <v>滨州市益生园大药房连锁有限公司</v>
          </cell>
          <cell r="J540" t="str">
            <v>1858</v>
          </cell>
          <cell r="K540" t="str">
            <v>201602151421097</v>
          </cell>
          <cell r="M540" t="str">
            <v>葡萄糖酸钙口服溶液（含糖）10ml*12支</v>
          </cell>
        </row>
        <row r="541">
          <cell r="E541" t="str">
            <v>0020070001ZYLC0001</v>
          </cell>
          <cell r="H541" t="str">
            <v>沙河钟芹诊所</v>
          </cell>
          <cell r="J541" t="str">
            <v>1853</v>
          </cell>
          <cell r="K541" t="str">
            <v>201602151421097</v>
          </cell>
          <cell r="M541" t="str">
            <v>哈药六钙锌口服液10ml*12支</v>
          </cell>
        </row>
        <row r="542">
          <cell r="E542" t="str">
            <v>0020030001SJZY0009</v>
          </cell>
          <cell r="H542" t="str">
            <v>市中街道办事处济民社区卫生服务站</v>
          </cell>
          <cell r="J542" t="str">
            <v>1853</v>
          </cell>
          <cell r="K542" t="str">
            <v>201602151421097</v>
          </cell>
          <cell r="M542" t="str">
            <v>葡萄糖酸锌口服液10ML*12支</v>
          </cell>
        </row>
        <row r="543">
          <cell r="E543" t="str">
            <v>0020030020ZYLC0005</v>
          </cell>
          <cell r="H543" t="str">
            <v>惠民永康诊所</v>
          </cell>
          <cell r="J543" t="str">
            <v>1854</v>
          </cell>
          <cell r="K543" t="str">
            <v>201602151421097</v>
          </cell>
          <cell r="M543" t="str">
            <v>小儿氨酚黄那敏片0.125g*20片</v>
          </cell>
        </row>
        <row r="544">
          <cell r="E544" t="str">
            <v>0020020021ZYLC0011</v>
          </cell>
          <cell r="H544" t="str">
            <v>阳信县商店镇瑞康平民药店</v>
          </cell>
          <cell r="J544" t="str">
            <v>1855</v>
          </cell>
          <cell r="K544" t="str">
            <v>201602151421097</v>
          </cell>
          <cell r="M544" t="str">
            <v>严迪/罗红霉素分散片150mg*12片</v>
          </cell>
        </row>
        <row r="545">
          <cell r="E545" t="str">
            <v>0020070000ZYLC0003</v>
          </cell>
          <cell r="H545" t="str">
            <v>阳信县商店镇瑞康平民药店</v>
          </cell>
          <cell r="J545" t="str">
            <v>1855</v>
          </cell>
          <cell r="K545" t="str">
            <v>201602151421097</v>
          </cell>
          <cell r="M545" t="str">
            <v>新盖中盖牌儿童钙片1.75g*36p</v>
          </cell>
        </row>
        <row r="546">
          <cell r="E546" t="str">
            <v>0020020020ZYZC0473</v>
          </cell>
          <cell r="H546" t="str">
            <v>阳信县商店镇瑞康平民药店</v>
          </cell>
          <cell r="J546" t="str">
            <v>1855</v>
          </cell>
          <cell r="K546" t="str">
            <v>201602151421097</v>
          </cell>
          <cell r="M546" t="str">
            <v>盐酸环丙沙星片0.25g*12片</v>
          </cell>
        </row>
        <row r="547">
          <cell r="E547" t="str">
            <v>0020020030ZYZC0264</v>
          </cell>
          <cell r="H547" t="str">
            <v>阳信县商店镇瑞康平民药店</v>
          </cell>
          <cell r="J547" t="str">
            <v>1855</v>
          </cell>
          <cell r="K547" t="str">
            <v>201602151421097</v>
          </cell>
          <cell r="M547" t="str">
            <v>阿莫西林胶囊0.5g*20粒</v>
          </cell>
        </row>
        <row r="548">
          <cell r="E548" t="str">
            <v>0020020021ZYLC0011</v>
          </cell>
          <cell r="H548" t="str">
            <v>阳信县第二中学卫生室</v>
          </cell>
          <cell r="J548" t="str">
            <v>1855</v>
          </cell>
          <cell r="K548" t="str">
            <v>201602151421097</v>
          </cell>
          <cell r="M548" t="str">
            <v>严迪/罗红霉素分散片150mg*12片</v>
          </cell>
        </row>
        <row r="549">
          <cell r="E549" t="str">
            <v>0020030020SJSC0025</v>
          </cell>
          <cell r="H549" t="str">
            <v>阳信县商店镇台属大药房</v>
          </cell>
          <cell r="J549" t="str">
            <v>1855</v>
          </cell>
          <cell r="K549" t="str">
            <v>201602151421097</v>
          </cell>
          <cell r="M549" t="str">
            <v>复方氨酚烷胺片12片</v>
          </cell>
        </row>
        <row r="550">
          <cell r="E550" t="str">
            <v>0020030020ZYLC0010</v>
          </cell>
          <cell r="H550" t="str">
            <v>阳信县商店镇台属大药房</v>
          </cell>
          <cell r="J550" t="str">
            <v>1855</v>
          </cell>
          <cell r="K550" t="str">
            <v>201602151421097</v>
          </cell>
          <cell r="M550" t="str">
            <v>乳酸菌素片/为消0.4g*36片</v>
          </cell>
        </row>
        <row r="551">
          <cell r="E551" t="str">
            <v>0020050030SHYT0002</v>
          </cell>
          <cell r="H551" t="str">
            <v>阳信县商店镇台属大药房</v>
          </cell>
          <cell r="J551" t="str">
            <v>1855</v>
          </cell>
          <cell r="K551" t="str">
            <v>201602151421097</v>
          </cell>
          <cell r="M551" t="str">
            <v>羚羊感冒片24片</v>
          </cell>
        </row>
        <row r="552">
          <cell r="E552" t="str">
            <v>0020040030SHYT0003</v>
          </cell>
          <cell r="H552" t="str">
            <v>阳信县商店镇台属大药房</v>
          </cell>
          <cell r="J552" t="str">
            <v>1855</v>
          </cell>
          <cell r="K552" t="str">
            <v>201602151421097</v>
          </cell>
          <cell r="M552" t="str">
            <v>牛黄消炎片30片</v>
          </cell>
        </row>
        <row r="553">
          <cell r="E553" t="str">
            <v>0020020020ZYZC0473</v>
          </cell>
          <cell r="H553" t="str">
            <v>阳信县商店镇台属大药房</v>
          </cell>
          <cell r="J553" t="str">
            <v>1855</v>
          </cell>
          <cell r="K553" t="str">
            <v>201602151421097</v>
          </cell>
          <cell r="M553" t="str">
            <v>盐酸环丙沙星片0.25g*12片</v>
          </cell>
        </row>
        <row r="554">
          <cell r="E554" t="str">
            <v>0020070000ZYLC0003</v>
          </cell>
          <cell r="H554" t="str">
            <v>阳信县商店镇台属大药房</v>
          </cell>
          <cell r="J554" t="str">
            <v>1855</v>
          </cell>
          <cell r="K554" t="str">
            <v>201602151421097</v>
          </cell>
          <cell r="M554" t="str">
            <v>新盖中盖牌儿童钙片1.75g*36p</v>
          </cell>
        </row>
        <row r="555">
          <cell r="E555" t="str">
            <v>0020040001SHYT0028</v>
          </cell>
          <cell r="H555" t="str">
            <v>阳信县商店镇台属大药房</v>
          </cell>
          <cell r="J555" t="str">
            <v>1855</v>
          </cell>
          <cell r="K555" t="str">
            <v>201602151421097</v>
          </cell>
          <cell r="M555" t="str">
            <v>冠心苏合丸1.2g*30丸</v>
          </cell>
        </row>
        <row r="556">
          <cell r="E556" t="str">
            <v>0020020030ZYZC0231</v>
          </cell>
          <cell r="H556" t="str">
            <v>阳信县商店镇台属大药房</v>
          </cell>
          <cell r="J556" t="str">
            <v>1855</v>
          </cell>
          <cell r="K556" t="str">
            <v>201602151421097</v>
          </cell>
          <cell r="M556" t="str">
            <v>盐酸特拉唑嗪胶囊2mg*10粒</v>
          </cell>
        </row>
        <row r="557">
          <cell r="E557" t="str">
            <v>0020020030SJMS0024</v>
          </cell>
          <cell r="H557" t="str">
            <v>阳信县商店镇瑞康平民药店</v>
          </cell>
          <cell r="J557" t="str">
            <v>1855</v>
          </cell>
          <cell r="K557" t="str">
            <v>201602151421097</v>
          </cell>
          <cell r="M557" t="str">
            <v>人工牛黄甲硝唑胶囊/牙疼安10粒*2板</v>
          </cell>
        </row>
        <row r="558">
          <cell r="E558" t="str">
            <v>0020100000ZYLC0012</v>
          </cell>
          <cell r="H558" t="str">
            <v>博兴县济生堂大药店</v>
          </cell>
          <cell r="J558" t="str">
            <v>1858</v>
          </cell>
          <cell r="K558" t="str">
            <v>201602151421097</v>
          </cell>
          <cell r="M558" t="str">
            <v>退热贴40mm*110mm*2贴</v>
          </cell>
        </row>
        <row r="559">
          <cell r="E559" t="str">
            <v>0020020020ZYLC0010</v>
          </cell>
          <cell r="H559" t="str">
            <v>水落坡镇天主教堂卫生室</v>
          </cell>
          <cell r="J559" t="str">
            <v>1855</v>
          </cell>
          <cell r="K559" t="str">
            <v>201602151421097</v>
          </cell>
          <cell r="M559" t="str">
            <v xml:space="preserve">泻利停/颠茄磺苄啶片0.48g*10片 </v>
          </cell>
        </row>
        <row r="560">
          <cell r="E560" t="str">
            <v>0020100000ZYLC0012</v>
          </cell>
          <cell r="H560" t="str">
            <v>博兴县济生堂大药店</v>
          </cell>
          <cell r="J560" t="str">
            <v>1858</v>
          </cell>
          <cell r="K560" t="str">
            <v>201602151421097</v>
          </cell>
          <cell r="M560" t="str">
            <v>退热贴40mm*110mm*2贴</v>
          </cell>
        </row>
        <row r="561">
          <cell r="E561" t="str">
            <v>0020050001SHYT0023</v>
          </cell>
          <cell r="H561" t="str">
            <v>流坡坞镇南斜村卫生室</v>
          </cell>
          <cell r="J561" t="str">
            <v>1855</v>
          </cell>
          <cell r="K561" t="str">
            <v>201602151421097</v>
          </cell>
          <cell r="M561" t="str">
            <v>保和丸9g*10丸</v>
          </cell>
        </row>
        <row r="562">
          <cell r="E562" t="str">
            <v>0020030001SJZY0006</v>
          </cell>
          <cell r="H562" t="str">
            <v>博兴县康源大药房有限公司</v>
          </cell>
          <cell r="J562" t="str">
            <v>1858</v>
          </cell>
          <cell r="K562" t="str">
            <v>201602151421097</v>
          </cell>
          <cell r="M562" t="str">
            <v>葡萄糖酸钙口服溶液（含糖）10ml*12支</v>
          </cell>
        </row>
        <row r="563">
          <cell r="E563" t="str">
            <v>0020020021ZYLC0011</v>
          </cell>
          <cell r="H563" t="str">
            <v>博兴县康源大药房有限公司</v>
          </cell>
          <cell r="J563" t="str">
            <v>1858</v>
          </cell>
          <cell r="K563" t="str">
            <v>201602151421097</v>
          </cell>
          <cell r="M563" t="str">
            <v>严迪/罗红霉素分散片150mg*12片</v>
          </cell>
        </row>
        <row r="564">
          <cell r="E564" t="str">
            <v>0020030001SJZY0009</v>
          </cell>
          <cell r="H564" t="str">
            <v>博兴县康源大药房有限公司</v>
          </cell>
          <cell r="J564" t="str">
            <v>1858</v>
          </cell>
          <cell r="K564" t="str">
            <v>201602151421097</v>
          </cell>
          <cell r="M564" t="str">
            <v>葡萄糖酸锌口服液10ML*12支</v>
          </cell>
        </row>
        <row r="565">
          <cell r="E565" t="str">
            <v>0020020021ZYLC0010</v>
          </cell>
          <cell r="H565" t="str">
            <v>惠民县新花大药房连锁有限公司</v>
          </cell>
          <cell r="J565" t="str">
            <v>1854</v>
          </cell>
          <cell r="K565" t="str">
            <v>201602151421097</v>
          </cell>
          <cell r="M565" t="str">
            <v>克拉霉素分散片0.125g*12片</v>
          </cell>
        </row>
        <row r="566">
          <cell r="E566" t="str">
            <v>0020100000ZYLC0012</v>
          </cell>
          <cell r="H566" t="str">
            <v>阳信县商店镇台属大药房</v>
          </cell>
          <cell r="J566" t="str">
            <v>1855</v>
          </cell>
          <cell r="K566" t="str">
            <v>201602151421097</v>
          </cell>
          <cell r="M566" t="str">
            <v>退热贴40mm*110mm*2贴</v>
          </cell>
        </row>
        <row r="567">
          <cell r="E567" t="str">
            <v>0020070000ZYLC0055</v>
          </cell>
          <cell r="H567" t="str">
            <v>洋湖乡纪刘社区卫生室</v>
          </cell>
          <cell r="J567" t="str">
            <v>1855</v>
          </cell>
          <cell r="K567" t="str">
            <v>201602151421097</v>
          </cell>
          <cell r="M567" t="str">
            <v>朴血/乳酸亚铁口服液10ml*12支</v>
          </cell>
        </row>
        <row r="568">
          <cell r="E568" t="str">
            <v>0020050090SJZY0001</v>
          </cell>
          <cell r="H568" t="str">
            <v>博兴县济生堂大药店</v>
          </cell>
          <cell r="J568" t="str">
            <v>1858</v>
          </cell>
          <cell r="K568" t="str">
            <v>201602151421097</v>
          </cell>
          <cell r="M568" t="str">
            <v>双黄连口服液10ml*10支</v>
          </cell>
        </row>
        <row r="569">
          <cell r="E569" t="str">
            <v>0020030001SJZY0009</v>
          </cell>
          <cell r="H569" t="str">
            <v>博兴县济生堂大药店</v>
          </cell>
          <cell r="J569" t="str">
            <v>1858</v>
          </cell>
          <cell r="K569" t="str">
            <v>201602151421097</v>
          </cell>
          <cell r="M569" t="str">
            <v>葡萄糖酸锌口服液10ML*12支</v>
          </cell>
        </row>
        <row r="570">
          <cell r="E570" t="str">
            <v>0020030001SJZY0006</v>
          </cell>
          <cell r="H570" t="str">
            <v>博兴县济生堂大药店</v>
          </cell>
          <cell r="J570" t="str">
            <v>1858</v>
          </cell>
          <cell r="K570" t="str">
            <v>201602151421097</v>
          </cell>
          <cell r="M570" t="str">
            <v>葡萄糖酸钙口服溶液（含糖）10ml*12支</v>
          </cell>
        </row>
        <row r="571">
          <cell r="E571" t="str">
            <v>0020030040SJET0003</v>
          </cell>
          <cell r="H571" t="str">
            <v>阳信县天天平价医药连锁有限公司</v>
          </cell>
          <cell r="J571" t="str">
            <v>1855</v>
          </cell>
          <cell r="K571" t="str">
            <v>201602151421097</v>
          </cell>
          <cell r="M571" t="str">
            <v>氨金黄敏颗粒6g*10袋</v>
          </cell>
        </row>
        <row r="572">
          <cell r="E572" t="str">
            <v>0020030001SJZY0006</v>
          </cell>
          <cell r="H572" t="str">
            <v>博兴县济生堂大药店旗舰店</v>
          </cell>
          <cell r="J572" t="str">
            <v>1858</v>
          </cell>
          <cell r="K572" t="str">
            <v>201602151421097</v>
          </cell>
          <cell r="M572" t="str">
            <v>葡萄糖酸钙口服溶液（含糖）10ml*12支</v>
          </cell>
        </row>
        <row r="573">
          <cell r="E573" t="str">
            <v>0020030001SJZY0009</v>
          </cell>
          <cell r="H573" t="str">
            <v>博兴县济生堂大药店旗舰店</v>
          </cell>
          <cell r="J573" t="str">
            <v>1858</v>
          </cell>
          <cell r="K573" t="str">
            <v>201602151421097</v>
          </cell>
          <cell r="M573" t="str">
            <v>葡萄糖酸锌口服液10ML*12支</v>
          </cell>
        </row>
        <row r="574">
          <cell r="E574" t="str">
            <v>0020050090SJZY0001</v>
          </cell>
          <cell r="H574" t="str">
            <v>博兴县济生堂大药店旗舰店</v>
          </cell>
          <cell r="J574" t="str">
            <v>1858</v>
          </cell>
          <cell r="K574" t="str">
            <v>201602151421097</v>
          </cell>
          <cell r="M574" t="str">
            <v>双黄连口服液10ml*10支</v>
          </cell>
        </row>
        <row r="575">
          <cell r="E575" t="str">
            <v>0020050030SJSC0007</v>
          </cell>
          <cell r="H575" t="str">
            <v>阳信县天天平价医药连锁有限公司</v>
          </cell>
          <cell r="J575" t="str">
            <v>1855</v>
          </cell>
          <cell r="K575" t="str">
            <v>201602151421097</v>
          </cell>
          <cell r="M575" t="str">
            <v>菊梅利咽含片1.2g*18片</v>
          </cell>
        </row>
        <row r="576">
          <cell r="E576" t="str">
            <v>0020020030ZYZC0231</v>
          </cell>
          <cell r="H576" t="str">
            <v>阳信县天天平价医药连锁有限公司</v>
          </cell>
          <cell r="J576" t="str">
            <v>1855</v>
          </cell>
          <cell r="K576" t="str">
            <v>201602151421097</v>
          </cell>
          <cell r="M576" t="str">
            <v>盐酸特拉唑嗪胶囊2mg*10粒</v>
          </cell>
        </row>
        <row r="577">
          <cell r="E577" t="str">
            <v>0020030001SJZY0006</v>
          </cell>
          <cell r="H577" t="str">
            <v>商店镇王朝正社区卫生室</v>
          </cell>
          <cell r="J577" t="str">
            <v>1855</v>
          </cell>
          <cell r="K577" t="str">
            <v>201602151421097</v>
          </cell>
          <cell r="M577" t="str">
            <v>葡萄糖酸钙口服溶液（含糖）10ml*12支</v>
          </cell>
        </row>
        <row r="578">
          <cell r="E578" t="str">
            <v>0020100000ZYLC0012</v>
          </cell>
          <cell r="H578" t="str">
            <v>滨州市滨城区市中街道办事处便民社区卫生服务站</v>
          </cell>
          <cell r="J578" t="str">
            <v>1853</v>
          </cell>
          <cell r="K578" t="str">
            <v>201602151421097</v>
          </cell>
          <cell r="M578" t="str">
            <v>退热贴40mm*110mm*2贴</v>
          </cell>
        </row>
        <row r="579">
          <cell r="E579" t="str">
            <v>0020040030SJSC0003</v>
          </cell>
          <cell r="H579" t="str">
            <v>惠民县仁春医药有限公司</v>
          </cell>
          <cell r="J579" t="str">
            <v>1854</v>
          </cell>
          <cell r="K579" t="str">
            <v>201602151421097</v>
          </cell>
          <cell r="M579" t="str">
            <v>羊肝明目片0.35g*24片</v>
          </cell>
        </row>
        <row r="580">
          <cell r="E580" t="str">
            <v>0020050020SHYT0016</v>
          </cell>
          <cell r="H580" t="str">
            <v>阳信镇行宫庙村卫生室</v>
          </cell>
          <cell r="J580" t="str">
            <v>1855</v>
          </cell>
          <cell r="K580" t="str">
            <v>201602151421097</v>
          </cell>
          <cell r="M580" t="str">
            <v>复方金银花颗粒10g*10袋</v>
          </cell>
        </row>
        <row r="581">
          <cell r="E581" t="str">
            <v>0020020021ZYLC0011</v>
          </cell>
          <cell r="H581" t="str">
            <v>流坡坞镇红门堂村卫生室</v>
          </cell>
          <cell r="J581" t="str">
            <v>1855</v>
          </cell>
          <cell r="K581" t="str">
            <v>201602151421097</v>
          </cell>
          <cell r="M581" t="str">
            <v>严迪/罗红霉素分散片150mg*12片</v>
          </cell>
        </row>
        <row r="582">
          <cell r="E582" t="str">
            <v>0020050090SJZY0001</v>
          </cell>
          <cell r="H582" t="str">
            <v>惠民县仁春医药有限公司</v>
          </cell>
          <cell r="J582" t="str">
            <v>1854</v>
          </cell>
          <cell r="K582" t="str">
            <v>201602151421097</v>
          </cell>
          <cell r="M582" t="str">
            <v>双黄连口服液10ml*10支</v>
          </cell>
        </row>
        <row r="583">
          <cell r="E583" t="str">
            <v>0020030001SJZY0006</v>
          </cell>
          <cell r="H583" t="str">
            <v>惠民县仁春医药有限公司</v>
          </cell>
          <cell r="J583" t="str">
            <v>1854</v>
          </cell>
          <cell r="K583" t="str">
            <v>201602151421097</v>
          </cell>
          <cell r="M583" t="str">
            <v>葡萄糖酸钙口服溶液（含糖）10ml*12支</v>
          </cell>
        </row>
        <row r="584">
          <cell r="E584" t="str">
            <v>0020040070ZYEC0005</v>
          </cell>
          <cell r="H584" t="str">
            <v>惠民县仁春医药有限公司</v>
          </cell>
          <cell r="J584" t="str">
            <v>1854</v>
          </cell>
          <cell r="K584" t="str">
            <v>201602151421097</v>
          </cell>
          <cell r="M584" t="str">
            <v>小儿百部止咳糖浆100ml</v>
          </cell>
        </row>
        <row r="585">
          <cell r="E585" t="str">
            <v>0020070001ZYZC0377</v>
          </cell>
          <cell r="H585" t="str">
            <v>惠民县仁春医药有限公司</v>
          </cell>
          <cell r="J585" t="str">
            <v>1854</v>
          </cell>
          <cell r="K585" t="str">
            <v>201602151421097</v>
          </cell>
          <cell r="M585" t="str">
            <v>哈药牌钙铁锌口服液10ml*15支</v>
          </cell>
        </row>
        <row r="586">
          <cell r="E586" t="str">
            <v>0020020020ZYLC0011</v>
          </cell>
          <cell r="H586" t="str">
            <v>惠民县仁春医药有限公司</v>
          </cell>
          <cell r="J586" t="str">
            <v>1854</v>
          </cell>
          <cell r="K586" t="str">
            <v>201602151421097</v>
          </cell>
          <cell r="M586" t="str">
            <v xml:space="preserve">泻利停/颠茄磺苄啶片0.12g*20片 </v>
          </cell>
        </row>
        <row r="587">
          <cell r="E587" t="str">
            <v>0020100000ZYLC0012</v>
          </cell>
          <cell r="H587" t="str">
            <v>惠民县仁春医药有限公司</v>
          </cell>
          <cell r="J587" t="str">
            <v>1854</v>
          </cell>
          <cell r="K587" t="str">
            <v>201602151421097</v>
          </cell>
          <cell r="M587" t="str">
            <v>退热贴40mm*110mm*2贴</v>
          </cell>
        </row>
        <row r="588">
          <cell r="E588" t="str">
            <v>0020070000ZYLC0001</v>
          </cell>
          <cell r="H588" t="str">
            <v>孙武街道马虎村卫生室</v>
          </cell>
          <cell r="J588" t="str">
            <v>1854</v>
          </cell>
          <cell r="K588" t="str">
            <v>201602151421097</v>
          </cell>
          <cell r="M588" t="str">
            <v>新盖中盖高钙片2.5g*36P</v>
          </cell>
        </row>
        <row r="589">
          <cell r="E589" t="str">
            <v>0020070000ZYLC0055</v>
          </cell>
          <cell r="H589" t="str">
            <v>惠民润德堂诊所</v>
          </cell>
          <cell r="J589" t="str">
            <v>1854</v>
          </cell>
          <cell r="K589" t="str">
            <v>201602151421097</v>
          </cell>
          <cell r="M589" t="str">
            <v>朴血/乳酸亚铁口服液10ml*12支</v>
          </cell>
        </row>
        <row r="590">
          <cell r="E590" t="str">
            <v>0020030001SJZY0006</v>
          </cell>
          <cell r="H590" t="str">
            <v>惠民县敬文大药房</v>
          </cell>
          <cell r="J590" t="str">
            <v>1854</v>
          </cell>
          <cell r="K590" t="str">
            <v>201602151421097</v>
          </cell>
          <cell r="M590" t="str">
            <v>葡萄糖酸钙口服溶液（含糖）10ml*12支</v>
          </cell>
        </row>
        <row r="591">
          <cell r="E591" t="str">
            <v>0020030020SJSC0014</v>
          </cell>
          <cell r="H591" t="str">
            <v>水落坡乡大郭社区卫生室</v>
          </cell>
          <cell r="J591" t="str">
            <v>1855</v>
          </cell>
          <cell r="K591" t="str">
            <v>201602151421097</v>
          </cell>
          <cell r="M591" t="str">
            <v>维D2磷酸氢钙片60片</v>
          </cell>
        </row>
        <row r="592">
          <cell r="E592" t="str">
            <v>0020030001SJZY0006</v>
          </cell>
          <cell r="H592" t="str">
            <v>滨州市沾化区为民医药连锁有限公司</v>
          </cell>
          <cell r="J592" t="str">
            <v>1857</v>
          </cell>
          <cell r="K592" t="str">
            <v>201602151421097</v>
          </cell>
          <cell r="M592" t="str">
            <v>葡萄糖酸钙口服溶液（含糖）10ml*12支</v>
          </cell>
        </row>
        <row r="593">
          <cell r="E593" t="str">
            <v>0020030001SJZY0009</v>
          </cell>
          <cell r="H593" t="str">
            <v>滨州市沾化区为民医药连锁有限公司</v>
          </cell>
          <cell r="J593" t="str">
            <v>1857</v>
          </cell>
          <cell r="K593" t="str">
            <v>201602151421097</v>
          </cell>
          <cell r="M593" t="str">
            <v>葡萄糖酸锌口服液10ML*12支</v>
          </cell>
        </row>
        <row r="594">
          <cell r="E594" t="str">
            <v>0020030001SJZY0006</v>
          </cell>
          <cell r="H594" t="str">
            <v>滨州市沾化区泊头镇卫生院</v>
          </cell>
          <cell r="J594" t="str">
            <v>1857</v>
          </cell>
          <cell r="K594" t="str">
            <v>201602151421097</v>
          </cell>
          <cell r="M594" t="str">
            <v>葡萄糖酸钙口服溶液（含糖）10ml*12支</v>
          </cell>
        </row>
        <row r="595">
          <cell r="E595" t="str">
            <v>0020030001SJZY0006</v>
          </cell>
          <cell r="H595" t="str">
            <v>阳信药材公司诊所</v>
          </cell>
          <cell r="J595" t="str">
            <v>1855</v>
          </cell>
          <cell r="K595" t="str">
            <v>201602151421097</v>
          </cell>
          <cell r="M595" t="str">
            <v>葡萄糖酸钙口服溶液（含糖）10ml*12支</v>
          </cell>
        </row>
        <row r="596">
          <cell r="E596" t="str">
            <v>0020030001SJZY0006</v>
          </cell>
          <cell r="H596" t="str">
            <v>三胞联谊诊所</v>
          </cell>
          <cell r="J596" t="str">
            <v>1855</v>
          </cell>
          <cell r="K596" t="str">
            <v>201602151421097</v>
          </cell>
          <cell r="M596" t="str">
            <v>葡萄糖酸钙口服溶液（含糖）10ml*12支</v>
          </cell>
        </row>
        <row r="597">
          <cell r="E597" t="str">
            <v>0020020021ZYLC0004</v>
          </cell>
          <cell r="H597" t="str">
            <v>阳信镇段赵村卫生室</v>
          </cell>
          <cell r="J597" t="str">
            <v>1855</v>
          </cell>
          <cell r="K597" t="str">
            <v>201602151421097</v>
          </cell>
          <cell r="M597" t="str">
            <v>大严迪片/罗红霉素分散片75mg*12片</v>
          </cell>
        </row>
        <row r="598">
          <cell r="E598" t="str">
            <v>0020020021ZYLC0011</v>
          </cell>
          <cell r="H598" t="str">
            <v>阳信镇段赵村卫生室</v>
          </cell>
          <cell r="J598" t="str">
            <v>1855</v>
          </cell>
          <cell r="K598" t="str">
            <v>201602151421097</v>
          </cell>
          <cell r="M598" t="str">
            <v>严迪/罗红霉素分散片150mg*12片</v>
          </cell>
        </row>
        <row r="599">
          <cell r="E599" t="str">
            <v>0020020021ZYLC0005</v>
          </cell>
          <cell r="H599" t="str">
            <v>阳信镇段赵村卫生室</v>
          </cell>
          <cell r="J599" t="str">
            <v>1855</v>
          </cell>
          <cell r="K599" t="str">
            <v>201602151421097</v>
          </cell>
          <cell r="M599" t="str">
            <v>小儿严迪片/罗红霉素分散片50mg*12片</v>
          </cell>
        </row>
        <row r="600">
          <cell r="E600" t="str">
            <v>0020020021ZYLC0004</v>
          </cell>
          <cell r="H600" t="str">
            <v>阳信镇段赵村卫生室</v>
          </cell>
          <cell r="J600" t="str">
            <v>1855</v>
          </cell>
          <cell r="K600" t="str">
            <v>201602151421097</v>
          </cell>
          <cell r="M600" t="str">
            <v>大严迪片/罗红霉素分散片75mg*12片</v>
          </cell>
        </row>
        <row r="601">
          <cell r="E601" t="str">
            <v>0020030001SJZY0009</v>
          </cell>
          <cell r="H601" t="str">
            <v>欣康诊所</v>
          </cell>
          <cell r="J601" t="str">
            <v>1857</v>
          </cell>
          <cell r="K601" t="str">
            <v>201602151421097</v>
          </cell>
          <cell r="M601" t="str">
            <v>葡萄糖酸锌口服液10ML*12支</v>
          </cell>
        </row>
        <row r="602">
          <cell r="E602" t="str">
            <v>0020020030ZYZC0263</v>
          </cell>
          <cell r="H602" t="str">
            <v>沾化三易诊所</v>
          </cell>
          <cell r="J602" t="str">
            <v>1857</v>
          </cell>
          <cell r="K602" t="str">
            <v>201602151421097</v>
          </cell>
          <cell r="M602" t="str">
            <v>盐酸依托必利胶囊50mg*20粒</v>
          </cell>
        </row>
        <row r="603">
          <cell r="E603" t="str">
            <v>0020030020SJSC0004</v>
          </cell>
          <cell r="H603" t="str">
            <v>河流镇沙王村社区卫生室</v>
          </cell>
          <cell r="J603" t="str">
            <v>1855</v>
          </cell>
          <cell r="K603" t="str">
            <v>201602151421097</v>
          </cell>
          <cell r="M603" t="str">
            <v>胃必治/复方铝酸铋片50片</v>
          </cell>
        </row>
        <row r="604">
          <cell r="E604" t="str">
            <v>0020030001SJZY0009</v>
          </cell>
          <cell r="H604" t="str">
            <v>滨州市滨城区妇幼保健站</v>
          </cell>
          <cell r="J604" t="str">
            <v>1853</v>
          </cell>
          <cell r="K604" t="str">
            <v>201602151421097</v>
          </cell>
          <cell r="M604" t="str">
            <v>葡萄糖酸锌口服液10ML*12支</v>
          </cell>
        </row>
        <row r="605">
          <cell r="E605" t="str">
            <v>0020020021ZYZC0341</v>
          </cell>
          <cell r="H605" t="str">
            <v>滨城区市西街道办事处双庙刘第一卫生室</v>
          </cell>
          <cell r="J605" t="str">
            <v>1853</v>
          </cell>
          <cell r="K605" t="str">
            <v>201602151421097</v>
          </cell>
          <cell r="M605" t="str">
            <v>阿莫西林克拉维酸钾7:1分散片（胜艾）0.2285g*12片</v>
          </cell>
        </row>
        <row r="606">
          <cell r="E606" t="str">
            <v>0020030020SJSC0014</v>
          </cell>
          <cell r="H606" t="str">
            <v>滨城区市西办事处大有崔第三卫生室</v>
          </cell>
          <cell r="J606" t="str">
            <v>1853</v>
          </cell>
          <cell r="K606" t="str">
            <v>201602151421097</v>
          </cell>
          <cell r="M606" t="str">
            <v>维D2磷酸氢钙片60片</v>
          </cell>
        </row>
        <row r="607">
          <cell r="E607" t="str">
            <v>0020020020ZYLC0010</v>
          </cell>
          <cell r="H607" t="str">
            <v>滨城区市西办事处大有崔第三卫生室</v>
          </cell>
          <cell r="J607" t="str">
            <v>1853</v>
          </cell>
          <cell r="K607" t="str">
            <v>201602151421097</v>
          </cell>
          <cell r="M607" t="str">
            <v xml:space="preserve">泻利停/颠茄磺苄啶片0.48g*10片 </v>
          </cell>
        </row>
        <row r="608">
          <cell r="E608" t="str">
            <v>0020030001SJZY0006</v>
          </cell>
          <cell r="H608" t="str">
            <v>博兴县城东街道办事处国康大药房</v>
          </cell>
          <cell r="J608" t="str">
            <v>1858</v>
          </cell>
          <cell r="K608" t="str">
            <v>201602151421097</v>
          </cell>
          <cell r="M608" t="str">
            <v>葡萄糖酸钙口服溶液（含糖）10ml*12支</v>
          </cell>
        </row>
        <row r="609">
          <cell r="E609" t="str">
            <v>0020030001SJZY0009</v>
          </cell>
          <cell r="H609" t="str">
            <v>博兴县城东街道办事处国康大药房</v>
          </cell>
          <cell r="J609" t="str">
            <v>1858</v>
          </cell>
          <cell r="K609" t="str">
            <v>201602151421097</v>
          </cell>
          <cell r="M609" t="str">
            <v>葡萄糖酸锌口服液10ML*12支</v>
          </cell>
        </row>
        <row r="610">
          <cell r="E610" t="str">
            <v>0020070001ZYZC0383</v>
          </cell>
          <cell r="H610" t="str">
            <v>博兴县城东街道办事处国康大药房</v>
          </cell>
          <cell r="J610" t="str">
            <v>1858</v>
          </cell>
          <cell r="K610" t="str">
            <v>201602151421097</v>
          </cell>
          <cell r="M610" t="str">
            <v>哈药牌钙铁锌口服液10ml*10支</v>
          </cell>
        </row>
        <row r="611">
          <cell r="E611" t="str">
            <v>0020070000ZYLC0001</v>
          </cell>
          <cell r="H611" t="str">
            <v>博兴县城东街道办事处国康大药房</v>
          </cell>
          <cell r="J611" t="str">
            <v>1858</v>
          </cell>
          <cell r="K611" t="str">
            <v>201602151421097</v>
          </cell>
          <cell r="M611" t="str">
            <v>新盖中盖高钙片2.5g*36P</v>
          </cell>
        </row>
        <row r="612">
          <cell r="E612" t="str">
            <v>0020020013ZYZC0491</v>
          </cell>
          <cell r="H612" t="str">
            <v>孙武街道后娘娘坟村卫生室</v>
          </cell>
          <cell r="J612" t="str">
            <v>1854</v>
          </cell>
          <cell r="K612" t="str">
            <v>201602151421097</v>
          </cell>
          <cell r="M612" t="str">
            <v>阿奇针/注射用乳糖酸阿奇霉素针0.25g</v>
          </cell>
        </row>
        <row r="613">
          <cell r="E613" t="str">
            <v>0020070001ZYLC0001</v>
          </cell>
          <cell r="H613" t="str">
            <v>阳信县河流镇餐具厂卫生所</v>
          </cell>
          <cell r="J613" t="str">
            <v>1855</v>
          </cell>
          <cell r="K613" t="str">
            <v>201602151421097</v>
          </cell>
          <cell r="M613" t="str">
            <v>哈药六钙锌口服液10ml*12支</v>
          </cell>
        </row>
        <row r="614">
          <cell r="E614" t="str">
            <v>0020070000ZYLC0001</v>
          </cell>
          <cell r="H614" t="str">
            <v>阳信县河流镇餐具厂卫生所</v>
          </cell>
          <cell r="J614" t="str">
            <v>1855</v>
          </cell>
          <cell r="K614" t="str">
            <v>201602151421097</v>
          </cell>
          <cell r="M614" t="str">
            <v>新盖中盖高钙片2.5g*36P</v>
          </cell>
        </row>
        <row r="615">
          <cell r="E615" t="str">
            <v>0020050030SJSC0007</v>
          </cell>
          <cell r="H615" t="str">
            <v>阳信县商店镇台属大药房</v>
          </cell>
          <cell r="J615" t="str">
            <v>1855</v>
          </cell>
          <cell r="K615" t="str">
            <v>201602151421097</v>
          </cell>
          <cell r="M615" t="str">
            <v>菊梅利咽含片1.2g*18片</v>
          </cell>
        </row>
        <row r="616">
          <cell r="E616" t="str">
            <v>0020040001SHYT0027</v>
          </cell>
          <cell r="H616" t="str">
            <v>阳信县商店镇台属大药房</v>
          </cell>
          <cell r="J616" t="str">
            <v>1855</v>
          </cell>
          <cell r="K616" t="str">
            <v>201602151421097</v>
          </cell>
          <cell r="M616" t="str">
            <v>柏子养心丸9g*10丸</v>
          </cell>
        </row>
        <row r="617">
          <cell r="E617" t="str">
            <v>0020040001SHYT0011</v>
          </cell>
          <cell r="H617" t="str">
            <v>阳信县商店镇台属大药房</v>
          </cell>
          <cell r="J617" t="str">
            <v>1855</v>
          </cell>
          <cell r="K617" t="str">
            <v>201602151421097</v>
          </cell>
          <cell r="M617" t="str">
            <v>牛黄解毒丸3g*10丸</v>
          </cell>
        </row>
        <row r="618">
          <cell r="E618" t="str">
            <v>0020030001SJZY0006</v>
          </cell>
          <cell r="H618" t="str">
            <v>无棣万盛堂药店连锁有限公司</v>
          </cell>
          <cell r="J618" t="str">
            <v>1856</v>
          </cell>
          <cell r="K618" t="str">
            <v>201602151421097</v>
          </cell>
          <cell r="M618" t="str">
            <v>葡萄糖酸钙口服溶液（含糖）10ml*12支</v>
          </cell>
        </row>
        <row r="619">
          <cell r="E619" t="str">
            <v>0020020020SJMS0008</v>
          </cell>
          <cell r="H619" t="str">
            <v>无棣万盛堂药店连锁有限公司</v>
          </cell>
          <cell r="J619" t="str">
            <v>1856</v>
          </cell>
          <cell r="K619" t="str">
            <v>201602151421097</v>
          </cell>
          <cell r="M619" t="str">
            <v>拉西地平片/三精司乐平片4mg*15片</v>
          </cell>
        </row>
        <row r="620">
          <cell r="E620" t="str">
            <v>0020050090SJZY0001</v>
          </cell>
          <cell r="H620" t="str">
            <v>博兴县德仁堂大药房连锁有限公司</v>
          </cell>
          <cell r="J620" t="str">
            <v>1858</v>
          </cell>
          <cell r="K620" t="str">
            <v>201602151421097</v>
          </cell>
          <cell r="M620" t="str">
            <v>双黄连口服液10ml*10支</v>
          </cell>
        </row>
        <row r="621">
          <cell r="E621" t="str">
            <v>0020030001SJZY0006</v>
          </cell>
          <cell r="H621" t="str">
            <v>博兴县仁益大药房</v>
          </cell>
          <cell r="J621" t="str">
            <v>1858</v>
          </cell>
          <cell r="K621" t="str">
            <v>201602151421097</v>
          </cell>
          <cell r="M621" t="str">
            <v>葡萄糖酸钙口服溶液（含糖）10ml*12支</v>
          </cell>
        </row>
        <row r="622">
          <cell r="E622" t="str">
            <v>0020030020ZYLC0010</v>
          </cell>
          <cell r="H622" t="str">
            <v>滨城曹淑玲诊所</v>
          </cell>
          <cell r="J622" t="str">
            <v>1853</v>
          </cell>
          <cell r="K622" t="str">
            <v>201602151421097</v>
          </cell>
          <cell r="M622" t="str">
            <v>“为消”牌乳酸菌素片0.4g*36片</v>
          </cell>
        </row>
        <row r="623">
          <cell r="E623" t="str">
            <v>0020050002SHYT0013</v>
          </cell>
          <cell r="H623" t="str">
            <v>滨州市滨城区市西街道办事处利民社区第二卫生服务站</v>
          </cell>
          <cell r="J623" t="str">
            <v>1853</v>
          </cell>
          <cell r="K623" t="str">
            <v>201602151421097</v>
          </cell>
          <cell r="M623" t="str">
            <v>逍遥丸6g*10袋</v>
          </cell>
        </row>
        <row r="624">
          <cell r="E624" t="str">
            <v>0020050090ZYEC0004</v>
          </cell>
          <cell r="H624" t="str">
            <v>滨州市滨城区市西街道办事处利民社区第二卫生服务站</v>
          </cell>
          <cell r="J624" t="str">
            <v>1853</v>
          </cell>
          <cell r="K624" t="str">
            <v>201602151421097</v>
          </cell>
          <cell r="M624" t="str">
            <v>刺五加脑灵液100ml</v>
          </cell>
        </row>
        <row r="625">
          <cell r="E625" t="str">
            <v>0020040001SHYT0012</v>
          </cell>
          <cell r="H625" t="str">
            <v>滨州市滨城区市西街道办事处利民社区第二卫生服务站</v>
          </cell>
          <cell r="J625" t="str">
            <v>1853</v>
          </cell>
          <cell r="K625" t="str">
            <v>201602151421097</v>
          </cell>
          <cell r="M625" t="str">
            <v>牛黄清胃丸6g*10w</v>
          </cell>
        </row>
        <row r="626">
          <cell r="E626" t="str">
            <v>0020050001SHYT0023</v>
          </cell>
          <cell r="H626" t="str">
            <v>滨州市滨城区市西街道办事处利民社区第二卫生服务站</v>
          </cell>
          <cell r="J626" t="str">
            <v>1853</v>
          </cell>
          <cell r="K626" t="str">
            <v>201602151421097</v>
          </cell>
          <cell r="M626" t="str">
            <v>保和丸9g*10丸</v>
          </cell>
        </row>
        <row r="627">
          <cell r="E627" t="str">
            <v>0020050001SHYT0004</v>
          </cell>
          <cell r="H627" t="str">
            <v>滨州市滨城区市西街道办事处利民社区第二卫生服务站</v>
          </cell>
          <cell r="J627" t="str">
            <v>1853</v>
          </cell>
          <cell r="K627" t="str">
            <v>201602151421097</v>
          </cell>
          <cell r="M627" t="str">
            <v>龙胆泻肝丸6g*10丸</v>
          </cell>
        </row>
        <row r="628">
          <cell r="E628" t="str">
            <v>0020050001SHYT0027</v>
          </cell>
          <cell r="H628" t="str">
            <v>滨州市滨城区市西街道办事处利民社区第二卫生服务站</v>
          </cell>
          <cell r="J628" t="str">
            <v>1853</v>
          </cell>
          <cell r="K628" t="str">
            <v>201602151421097</v>
          </cell>
          <cell r="M628" t="str">
            <v>健脾丸9g*10丸</v>
          </cell>
        </row>
        <row r="629">
          <cell r="E629" t="str">
            <v>0020040001SHYT0027</v>
          </cell>
          <cell r="H629" t="str">
            <v>滨州市滨城区市西街道办事处利民社区第二卫生服务站</v>
          </cell>
          <cell r="J629" t="str">
            <v>1853</v>
          </cell>
          <cell r="K629" t="str">
            <v>201602151421097</v>
          </cell>
          <cell r="M629" t="str">
            <v>柏子养心丸9g*10丸</v>
          </cell>
        </row>
        <row r="630">
          <cell r="E630" t="str">
            <v>0020070001ZYZC0383</v>
          </cell>
          <cell r="H630" t="str">
            <v>惠民县广军康宁大药房有限公司</v>
          </cell>
          <cell r="J630" t="str">
            <v>1854</v>
          </cell>
          <cell r="K630" t="str">
            <v>201602151421097</v>
          </cell>
          <cell r="M630" t="str">
            <v>哈药牌钙铁锌口服液10ml*10支</v>
          </cell>
        </row>
        <row r="631">
          <cell r="E631" t="str">
            <v>0020050090SJZY0001</v>
          </cell>
          <cell r="H631" t="str">
            <v>惠民县广军康宁大药房有限公司</v>
          </cell>
          <cell r="J631" t="str">
            <v>1854</v>
          </cell>
          <cell r="K631" t="str">
            <v>201602151421097</v>
          </cell>
          <cell r="M631" t="str">
            <v>双黄连口服液10ml*10支</v>
          </cell>
        </row>
        <row r="632">
          <cell r="E632" t="str">
            <v>0020030001SJZY0006</v>
          </cell>
          <cell r="H632" t="str">
            <v>惠民县广军康宁大药房有限公司</v>
          </cell>
          <cell r="J632" t="str">
            <v>1854</v>
          </cell>
          <cell r="K632" t="str">
            <v>201602151421097</v>
          </cell>
          <cell r="M632" t="str">
            <v>葡萄糖酸钙口服溶液（含糖）10ml*12支</v>
          </cell>
        </row>
        <row r="633">
          <cell r="E633" t="str">
            <v>0020070001ZYLC0001</v>
          </cell>
          <cell r="H633" t="str">
            <v>惠民县广军康宁大药房有限公司</v>
          </cell>
          <cell r="J633" t="str">
            <v>1854</v>
          </cell>
          <cell r="K633" t="str">
            <v>201602151421097</v>
          </cell>
          <cell r="M633" t="str">
            <v>哈药六钙锌口服液10ml*12支</v>
          </cell>
        </row>
        <row r="634">
          <cell r="E634" t="str">
            <v>0020030001SJZY0009</v>
          </cell>
          <cell r="H634" t="str">
            <v>惠民县广军康宁大药房有限公司</v>
          </cell>
          <cell r="J634" t="str">
            <v>1854</v>
          </cell>
          <cell r="K634" t="str">
            <v>201602151421097</v>
          </cell>
          <cell r="M634" t="str">
            <v>葡萄糖酸锌口服液10ML*12支</v>
          </cell>
        </row>
        <row r="635">
          <cell r="E635" t="str">
            <v>0020030020SJSC0004</v>
          </cell>
          <cell r="H635" t="str">
            <v>惠民县广军康宁大药房有限公司</v>
          </cell>
          <cell r="J635" t="str">
            <v>1854</v>
          </cell>
          <cell r="K635" t="str">
            <v>201602151421097</v>
          </cell>
          <cell r="M635" t="str">
            <v>胃必治/复方铝酸铋片50片</v>
          </cell>
        </row>
        <row r="636">
          <cell r="E636" t="str">
            <v>0020020021ZYLC0005</v>
          </cell>
          <cell r="H636" t="str">
            <v>阳信赵家胡同中医诊所</v>
          </cell>
          <cell r="J636" t="str">
            <v>1855</v>
          </cell>
          <cell r="K636" t="str">
            <v>201602151421097</v>
          </cell>
          <cell r="M636" t="str">
            <v>小儿严迪片/罗红霉素分散片50mg*12片</v>
          </cell>
        </row>
        <row r="637">
          <cell r="E637" t="str">
            <v>0020050090SJZY0001</v>
          </cell>
          <cell r="H637" t="str">
            <v>阳信荣军医院</v>
          </cell>
          <cell r="J637" t="str">
            <v>1855</v>
          </cell>
          <cell r="K637" t="str">
            <v>201602151421097</v>
          </cell>
          <cell r="M637" t="str">
            <v>双黄连口服液10ml*10支</v>
          </cell>
        </row>
        <row r="638">
          <cell r="E638" t="str">
            <v>0020030020SJSC0004</v>
          </cell>
          <cell r="H638" t="str">
            <v>商店镇王朝正社区卫生室</v>
          </cell>
          <cell r="J638" t="str">
            <v>1855</v>
          </cell>
          <cell r="K638" t="str">
            <v>201602151421097</v>
          </cell>
          <cell r="M638" t="str">
            <v>胃必治/复方铝酸铋片50片</v>
          </cell>
        </row>
        <row r="639">
          <cell r="E639" t="str">
            <v>0020020020ZYLC0010</v>
          </cell>
          <cell r="H639" t="str">
            <v>商店镇王朝正社区卫生室</v>
          </cell>
          <cell r="J639" t="str">
            <v>1855</v>
          </cell>
          <cell r="K639" t="str">
            <v>201602151421097</v>
          </cell>
          <cell r="M639" t="str">
            <v xml:space="preserve">泻利停/颠茄磺苄啶片0.48g*10片 </v>
          </cell>
        </row>
        <row r="640">
          <cell r="E640" t="str">
            <v>0020020030SJMS0025</v>
          </cell>
          <cell r="H640" t="str">
            <v>阳信镇行宫庙村卫生室</v>
          </cell>
          <cell r="J640" t="str">
            <v>1855</v>
          </cell>
          <cell r="K640" t="str">
            <v>201602151421097</v>
          </cell>
          <cell r="M640" t="str">
            <v>人工牛黄甲硝唑胶囊/牙疼安10粒*3板</v>
          </cell>
        </row>
        <row r="641">
          <cell r="E641" t="str">
            <v>0020040030SJSC0009</v>
          </cell>
          <cell r="H641" t="str">
            <v xml:space="preserve">邹平县方正医药有限公司 </v>
          </cell>
          <cell r="J641" t="str">
            <v>1859</v>
          </cell>
          <cell r="K641" t="str">
            <v>201602151421097</v>
          </cell>
          <cell r="M641" t="str">
            <v>护肝片0.36g*100片</v>
          </cell>
        </row>
        <row r="642">
          <cell r="E642" t="str">
            <v>0020050020SHYT0016</v>
          </cell>
          <cell r="H642" t="str">
            <v xml:space="preserve">邹平县方正医药有限公司 </v>
          </cell>
          <cell r="J642" t="str">
            <v>1859</v>
          </cell>
          <cell r="K642" t="str">
            <v>201602151421097</v>
          </cell>
          <cell r="M642" t="str">
            <v>复方金银花颗粒10g*10袋</v>
          </cell>
        </row>
        <row r="643">
          <cell r="E643" t="str">
            <v>0020030001SJZY0006</v>
          </cell>
          <cell r="H643" t="str">
            <v>滨州盛泰医药连锁有限公司</v>
          </cell>
          <cell r="J643" t="str">
            <v>1858</v>
          </cell>
          <cell r="K643" t="str">
            <v>201602151421097</v>
          </cell>
          <cell r="M643" t="str">
            <v>葡萄糖酸钙口服溶液（含糖）10ml*12支</v>
          </cell>
        </row>
        <row r="644">
          <cell r="E644" t="str">
            <v>0020030001SJZY0009</v>
          </cell>
          <cell r="H644" t="str">
            <v>滨州盛泰医药连锁有限公司</v>
          </cell>
          <cell r="J644" t="str">
            <v>1858</v>
          </cell>
          <cell r="K644" t="str">
            <v>201602151421097</v>
          </cell>
          <cell r="M644" t="str">
            <v>葡萄糖酸锌口服液10ML*12支</v>
          </cell>
        </row>
        <row r="645">
          <cell r="E645" t="str">
            <v>0020040070ZYEC0005</v>
          </cell>
          <cell r="H645" t="str">
            <v>滨州盛泰医药连锁有限公司</v>
          </cell>
          <cell r="J645" t="str">
            <v>1858</v>
          </cell>
          <cell r="K645" t="str">
            <v>201602151421097</v>
          </cell>
          <cell r="M645" t="str">
            <v>小儿百部止咳糖浆100ml</v>
          </cell>
        </row>
        <row r="646">
          <cell r="E646" t="str">
            <v>0020070000ZYLC0055</v>
          </cell>
          <cell r="H646" t="str">
            <v>滨州盛泰医药连锁有限公司</v>
          </cell>
          <cell r="J646" t="str">
            <v>1858</v>
          </cell>
          <cell r="K646" t="str">
            <v>201602151421097</v>
          </cell>
          <cell r="M646" t="str">
            <v>朴血/乳酸亚铁口服液10ml*12支</v>
          </cell>
        </row>
        <row r="647">
          <cell r="E647" t="str">
            <v>0020030020ZYZC0360</v>
          </cell>
          <cell r="H647" t="str">
            <v>惠民县汉康大药房</v>
          </cell>
          <cell r="J647" t="str">
            <v>1854</v>
          </cell>
          <cell r="K647" t="str">
            <v>201602151421097</v>
          </cell>
          <cell r="M647" t="str">
            <v>维生素C咀嚼片/VC片0.1g*30片</v>
          </cell>
        </row>
        <row r="648">
          <cell r="E648" t="str">
            <v>0020030001SJZY0006</v>
          </cell>
          <cell r="H648" t="str">
            <v>邹平县泰康大药房有限公司</v>
          </cell>
          <cell r="J648" t="str">
            <v>1859</v>
          </cell>
          <cell r="K648" t="str">
            <v>201602151421097</v>
          </cell>
          <cell r="M648" t="str">
            <v>葡萄糖酸钙口服溶液（含糖）10ml*12支</v>
          </cell>
        </row>
        <row r="649">
          <cell r="E649" t="str">
            <v>0020050090SJZY0001</v>
          </cell>
          <cell r="H649" t="str">
            <v>邹平县泰康大药房有限公司</v>
          </cell>
          <cell r="J649" t="str">
            <v>1859</v>
          </cell>
          <cell r="K649" t="str">
            <v>201602151421097</v>
          </cell>
          <cell r="M649" t="str">
            <v>双黄连口服液10ml*10支</v>
          </cell>
        </row>
        <row r="650">
          <cell r="E650" t="str">
            <v>0020030001SJZY0009</v>
          </cell>
          <cell r="H650" t="str">
            <v>邹平县泰康大药房有限公司</v>
          </cell>
          <cell r="J650" t="str">
            <v>1859</v>
          </cell>
          <cell r="K650" t="str">
            <v>201602151421097</v>
          </cell>
          <cell r="M650" t="str">
            <v>葡萄糖酸锌口服液10ML*12支</v>
          </cell>
        </row>
        <row r="651">
          <cell r="E651" t="str">
            <v>0020100000ZYLC0012</v>
          </cell>
          <cell r="H651" t="str">
            <v>邹平县泰康大药房有限公司</v>
          </cell>
          <cell r="J651" t="str">
            <v>1859</v>
          </cell>
          <cell r="K651" t="str">
            <v>201602151421097</v>
          </cell>
          <cell r="M651" t="str">
            <v>退热贴40mm*110mm*2贴</v>
          </cell>
        </row>
        <row r="652">
          <cell r="E652" t="str">
            <v>0020070000ZYLC0001</v>
          </cell>
          <cell r="H652" t="str">
            <v>邹平仁济堂医药有限公司</v>
          </cell>
          <cell r="J652" t="str">
            <v>1859</v>
          </cell>
          <cell r="K652" t="str">
            <v>201602151421097</v>
          </cell>
          <cell r="M652" t="str">
            <v>新盖中盖高钙片2.5g*36P</v>
          </cell>
        </row>
        <row r="653">
          <cell r="E653" t="str">
            <v>0020020021ZYLC0015</v>
          </cell>
          <cell r="H653" t="str">
            <v>滨城翟玲诊所</v>
          </cell>
          <cell r="J653" t="str">
            <v>1853</v>
          </cell>
          <cell r="K653" t="str">
            <v>201602151421097</v>
          </cell>
          <cell r="M653" t="str">
            <v>克拉霉素分散片/长迪0.125g*24粒</v>
          </cell>
        </row>
        <row r="654">
          <cell r="E654" t="str">
            <v>0020030001SJZY0009</v>
          </cell>
          <cell r="H654" t="str">
            <v>滨城翟玲诊所</v>
          </cell>
          <cell r="J654" t="str">
            <v>1853</v>
          </cell>
          <cell r="K654" t="str">
            <v>201602151421097</v>
          </cell>
          <cell r="M654" t="str">
            <v>葡萄糖酸锌口服液10ML*12支</v>
          </cell>
        </row>
        <row r="655">
          <cell r="E655" t="str">
            <v>0020020030ZYZC0264</v>
          </cell>
          <cell r="H655" t="str">
            <v>邹平博祥医药连锁有限公司</v>
          </cell>
          <cell r="J655" t="str">
            <v>1859</v>
          </cell>
          <cell r="K655" t="str">
            <v>201602151421097</v>
          </cell>
          <cell r="M655" t="str">
            <v>阿莫西林胶囊0.5g*20粒</v>
          </cell>
        </row>
        <row r="656">
          <cell r="E656" t="str">
            <v>0020030001SJZY0009</v>
          </cell>
          <cell r="H656" t="str">
            <v>邹平博祥医药连锁有限公司</v>
          </cell>
          <cell r="J656" t="str">
            <v>1859</v>
          </cell>
          <cell r="K656" t="str">
            <v>201602151421097</v>
          </cell>
          <cell r="M656" t="str">
            <v>葡萄糖酸锌口服液10ML*12支</v>
          </cell>
        </row>
        <row r="657">
          <cell r="E657" t="str">
            <v>0020030001SJZY0006</v>
          </cell>
          <cell r="H657" t="str">
            <v>邹平博祥医药连锁有限公司</v>
          </cell>
          <cell r="J657" t="str">
            <v>1859</v>
          </cell>
          <cell r="K657" t="str">
            <v>201602151421097</v>
          </cell>
          <cell r="M657" t="str">
            <v>葡萄糖酸钙口服溶液（含糖）10ml*12支</v>
          </cell>
        </row>
        <row r="658">
          <cell r="E658" t="str">
            <v>0020030020SJSC0014</v>
          </cell>
          <cell r="H658" t="str">
            <v>水落坡镇秦家社区卫生室</v>
          </cell>
          <cell r="J658" t="str">
            <v>1855</v>
          </cell>
          <cell r="K658" t="str">
            <v>201602151421097</v>
          </cell>
          <cell r="M658" t="str">
            <v>维D2磷酸氢钙片60片</v>
          </cell>
        </row>
        <row r="659">
          <cell r="E659" t="str">
            <v>0020070000ZYLC0001</v>
          </cell>
          <cell r="H659" t="str">
            <v>信诚街道接官亭村第一卫生室</v>
          </cell>
          <cell r="J659" t="str">
            <v>1855</v>
          </cell>
          <cell r="K659" t="str">
            <v>201602151421097</v>
          </cell>
          <cell r="M659" t="str">
            <v>新盖中盖高钙片2.5g*36P</v>
          </cell>
        </row>
        <row r="660">
          <cell r="E660" t="str">
            <v>0020040070ZYEC0005</v>
          </cell>
          <cell r="H660" t="str">
            <v>阳信县仁和堂医药连锁有限公司</v>
          </cell>
          <cell r="J660" t="str">
            <v>1855</v>
          </cell>
          <cell r="K660" t="str">
            <v>201602151421097</v>
          </cell>
          <cell r="M660" t="str">
            <v>小儿百部止咳糖浆100ml</v>
          </cell>
        </row>
        <row r="661">
          <cell r="E661" t="str">
            <v>0020020020SJMS0008</v>
          </cell>
          <cell r="H661" t="str">
            <v>阳信县仁和堂医药连锁有限公司</v>
          </cell>
          <cell r="J661" t="str">
            <v>1855</v>
          </cell>
          <cell r="K661" t="str">
            <v>201602151421097</v>
          </cell>
          <cell r="M661" t="str">
            <v>拉西地平片/三精司乐平片4mg*15片</v>
          </cell>
        </row>
        <row r="662">
          <cell r="E662" t="str">
            <v>0020030020SJSC0025</v>
          </cell>
          <cell r="H662" t="str">
            <v>桑落墅镇梁家村卫生室</v>
          </cell>
          <cell r="J662" t="str">
            <v>1854</v>
          </cell>
          <cell r="K662" t="str">
            <v>201602151421097</v>
          </cell>
          <cell r="M662" t="str">
            <v>复方氨酚烷胺片12片</v>
          </cell>
        </row>
        <row r="663">
          <cell r="E663" t="str">
            <v>0020020013ZYZC0001</v>
          </cell>
          <cell r="H663" t="str">
            <v>高新国峰诊所</v>
          </cell>
          <cell r="J663" t="str">
            <v>1853</v>
          </cell>
          <cell r="K663" t="str">
            <v>201602151421097</v>
          </cell>
          <cell r="M663" t="str">
            <v>注射用青霉素钠0.48g（80万单位）1g</v>
          </cell>
        </row>
        <row r="664">
          <cell r="E664" t="str">
            <v>0020020021ZYLC0011</v>
          </cell>
          <cell r="H664" t="str">
            <v>无棣县埕口镇万豪药店</v>
          </cell>
          <cell r="J664" t="str">
            <v>1856</v>
          </cell>
          <cell r="K664" t="str">
            <v>201602151421097</v>
          </cell>
          <cell r="M664" t="str">
            <v>严迪/罗红霉素分散片150mg*12片</v>
          </cell>
        </row>
        <row r="665">
          <cell r="E665" t="str">
            <v>0020020021ZYLC0005</v>
          </cell>
          <cell r="H665" t="str">
            <v>无棣县埕口镇万豪药店</v>
          </cell>
          <cell r="J665" t="str">
            <v>1856</v>
          </cell>
          <cell r="K665" t="str">
            <v>201602151421097</v>
          </cell>
          <cell r="M665" t="str">
            <v>小儿严迪片/罗红霉素分散片50mg*12片</v>
          </cell>
        </row>
        <row r="666">
          <cell r="E666" t="str">
            <v>0020030001SJZY0006</v>
          </cell>
          <cell r="H666" t="str">
            <v>劳店乡西街村卫生室</v>
          </cell>
          <cell r="J666" t="str">
            <v>1855</v>
          </cell>
          <cell r="K666" t="str">
            <v>201602151421097</v>
          </cell>
          <cell r="M666" t="str">
            <v>葡萄糖酸钙口服溶液（含糖）10ml*12支</v>
          </cell>
        </row>
        <row r="667">
          <cell r="E667" t="str">
            <v>0020020020SJMS0008</v>
          </cell>
          <cell r="H667" t="str">
            <v>沾化济生堂大药房连锁有限公司</v>
          </cell>
          <cell r="J667" t="str">
            <v>1857</v>
          </cell>
          <cell r="K667" t="str">
            <v>201602151421097</v>
          </cell>
          <cell r="M667" t="str">
            <v>拉西地平片/三精司乐平片4mg*15片</v>
          </cell>
        </row>
        <row r="668">
          <cell r="E668" t="str">
            <v>0020070001ZYZC0383</v>
          </cell>
          <cell r="H668" t="str">
            <v>沾化济生堂大药房连锁有限公司</v>
          </cell>
          <cell r="J668" t="str">
            <v>1857</v>
          </cell>
          <cell r="K668" t="str">
            <v>201602151421097</v>
          </cell>
          <cell r="M668" t="str">
            <v>哈药牌钙铁锌口服液10ml*10支</v>
          </cell>
        </row>
        <row r="669">
          <cell r="E669" t="str">
            <v>0020070000ZYLC0055</v>
          </cell>
          <cell r="H669" t="str">
            <v>沾化济生堂大药房连锁有限公司</v>
          </cell>
          <cell r="J669" t="str">
            <v>1857</v>
          </cell>
          <cell r="K669" t="str">
            <v>201602151421097</v>
          </cell>
          <cell r="M669" t="str">
            <v>朴血/乳酸亚铁口服液10ml*12支</v>
          </cell>
        </row>
        <row r="670">
          <cell r="E670" t="str">
            <v>0020030001SJZY0009</v>
          </cell>
          <cell r="H670" t="str">
            <v>无棣康棣医药连锁有限公司</v>
          </cell>
          <cell r="J670" t="str">
            <v>1856</v>
          </cell>
          <cell r="K670" t="str">
            <v>201602151421097</v>
          </cell>
          <cell r="M670" t="str">
            <v>葡萄糖酸锌口服液10ML*12支</v>
          </cell>
        </row>
        <row r="671">
          <cell r="E671" t="str">
            <v>0020050001SHYT0027</v>
          </cell>
          <cell r="H671" t="str">
            <v>无棣益生堂药店连锁有限公司</v>
          </cell>
          <cell r="J671" t="str">
            <v>1856</v>
          </cell>
          <cell r="K671" t="str">
            <v>201602151421097</v>
          </cell>
          <cell r="M671" t="str">
            <v>健脾丸9g*10丸</v>
          </cell>
        </row>
        <row r="672">
          <cell r="E672" t="str">
            <v>0020050030SJSC0007</v>
          </cell>
          <cell r="H672" t="str">
            <v>苏氏诊所</v>
          </cell>
          <cell r="J672" t="str">
            <v>1856</v>
          </cell>
          <cell r="K672" t="str">
            <v>201602151421097</v>
          </cell>
          <cell r="M672" t="str">
            <v>菊梅利咽含片1.2g*18片</v>
          </cell>
        </row>
        <row r="673">
          <cell r="E673" t="str">
            <v>0020050001SHYT0037</v>
          </cell>
          <cell r="H673" t="str">
            <v>滨城韩吉福诊所</v>
          </cell>
          <cell r="J673" t="str">
            <v>1853</v>
          </cell>
          <cell r="K673" t="str">
            <v>201602151421097</v>
          </cell>
          <cell r="M673" t="str">
            <v>艾附暖宫丸9g*10丸</v>
          </cell>
        </row>
        <row r="674">
          <cell r="E674" t="str">
            <v>0020030020SJSC0004</v>
          </cell>
          <cell r="H674" t="str">
            <v>滨州市沾化区下河乡卫生院</v>
          </cell>
          <cell r="J674" t="str">
            <v>1857</v>
          </cell>
          <cell r="K674" t="str">
            <v>201602151421097</v>
          </cell>
          <cell r="M674" t="str">
            <v>胃必治/复方铝酸铋片50片</v>
          </cell>
        </row>
        <row r="675">
          <cell r="E675" t="str">
            <v>0020030001SJZY0006</v>
          </cell>
          <cell r="H675" t="str">
            <v>沾化县康宁诊所</v>
          </cell>
          <cell r="J675" t="str">
            <v>1857</v>
          </cell>
          <cell r="K675" t="str">
            <v>201602151421097</v>
          </cell>
          <cell r="M675" t="str">
            <v>葡萄糖酸钙口服溶液（含糖）10ml*12支</v>
          </cell>
        </row>
        <row r="676">
          <cell r="E676" t="str">
            <v>0020070001ZYLC0001</v>
          </cell>
          <cell r="H676" t="str">
            <v>沾化县康宁诊所</v>
          </cell>
          <cell r="J676" t="str">
            <v>1857</v>
          </cell>
          <cell r="K676" t="str">
            <v>201602151421097</v>
          </cell>
          <cell r="M676" t="str">
            <v>哈药六钙锌口服液10ml*12支</v>
          </cell>
        </row>
        <row r="677">
          <cell r="E677" t="str">
            <v>0020030001SJZY0009</v>
          </cell>
          <cell r="H677" t="str">
            <v>沾化县康宁诊所</v>
          </cell>
          <cell r="J677" t="str">
            <v>1857</v>
          </cell>
          <cell r="K677" t="str">
            <v>201602151421097</v>
          </cell>
          <cell r="M677" t="str">
            <v>葡萄糖酸锌口服液10ML*12支</v>
          </cell>
        </row>
        <row r="678">
          <cell r="E678" t="str">
            <v>0020070001ZYLC0001</v>
          </cell>
          <cell r="H678" t="str">
            <v>水落坡乡长庄社区卫生室</v>
          </cell>
          <cell r="J678" t="str">
            <v>1855</v>
          </cell>
          <cell r="K678" t="str">
            <v>201602151421097</v>
          </cell>
          <cell r="M678" t="str">
            <v>哈药六钙锌口服液10ml*12支</v>
          </cell>
        </row>
        <row r="679">
          <cell r="E679" t="str">
            <v>0020020021ZYLC0011</v>
          </cell>
          <cell r="H679" t="str">
            <v>冯家庙村卫生室</v>
          </cell>
          <cell r="J679" t="str">
            <v>1855</v>
          </cell>
          <cell r="K679" t="str">
            <v>201602151421097</v>
          </cell>
          <cell r="M679" t="str">
            <v>严迪/罗红霉素分散片150mg*12片</v>
          </cell>
        </row>
        <row r="680">
          <cell r="E680" t="str">
            <v>0020030020SJSC0014</v>
          </cell>
          <cell r="H680" t="str">
            <v>沾化区黄升镇黄四中心卫生室</v>
          </cell>
          <cell r="J680" t="str">
            <v>1857</v>
          </cell>
          <cell r="K680" t="str">
            <v>201602151421097</v>
          </cell>
          <cell r="M680" t="str">
            <v>维D2磷酸氢钙片60片</v>
          </cell>
        </row>
        <row r="681">
          <cell r="E681" t="str">
            <v>0020030020ZYLC0006</v>
          </cell>
          <cell r="H681" t="str">
            <v>山东省惠民县民康大药店有限公司</v>
          </cell>
          <cell r="J681" t="str">
            <v>1854</v>
          </cell>
          <cell r="K681" t="str">
            <v>201602151421097</v>
          </cell>
          <cell r="M681" t="str">
            <v>新迪/复方氨酚烷胺片12片</v>
          </cell>
        </row>
        <row r="682">
          <cell r="E682" t="str">
            <v>0020030020SJSC0004</v>
          </cell>
          <cell r="H682" t="str">
            <v>欣康诊所</v>
          </cell>
          <cell r="J682" t="str">
            <v>1857</v>
          </cell>
          <cell r="K682" t="str">
            <v>201602151421097</v>
          </cell>
          <cell r="M682" t="str">
            <v>胃必治/复方铝酸铋片50片</v>
          </cell>
        </row>
        <row r="683">
          <cell r="E683" t="str">
            <v>0020020030SJMS0025</v>
          </cell>
          <cell r="H683" t="str">
            <v>惠民县康复大药堂</v>
          </cell>
          <cell r="J683" t="str">
            <v>1854</v>
          </cell>
          <cell r="K683" t="str">
            <v>201602151421097</v>
          </cell>
          <cell r="M683" t="str">
            <v>人工牛黄甲硝唑胶囊/牙疼安10粒*3板</v>
          </cell>
        </row>
        <row r="684">
          <cell r="E684" t="str">
            <v>0020070000ZYLC0001</v>
          </cell>
          <cell r="H684" t="str">
            <v>文化街康民卫生室</v>
          </cell>
          <cell r="J684" t="str">
            <v>1854</v>
          </cell>
          <cell r="K684" t="str">
            <v>201602151421097</v>
          </cell>
          <cell r="M684" t="str">
            <v>新盖中盖高钙片2.5g*36P</v>
          </cell>
        </row>
        <row r="685">
          <cell r="E685" t="str">
            <v>0020070001ZYLC0001</v>
          </cell>
          <cell r="H685" t="str">
            <v>文化街康民卫生室</v>
          </cell>
          <cell r="J685" t="str">
            <v>1854</v>
          </cell>
          <cell r="K685" t="str">
            <v>201602151421097</v>
          </cell>
          <cell r="M685" t="str">
            <v>哈药六钙锌口服液10ml*12支</v>
          </cell>
        </row>
        <row r="686">
          <cell r="E686" t="str">
            <v>0020030001SJZY0009</v>
          </cell>
          <cell r="H686" t="str">
            <v>阳信县河流镇餐具厂卫生所</v>
          </cell>
          <cell r="J686" t="str">
            <v>1855</v>
          </cell>
          <cell r="K686" t="str">
            <v>201602151421097</v>
          </cell>
          <cell r="M686" t="str">
            <v>葡萄糖酸锌口服液10ML*12支</v>
          </cell>
        </row>
        <row r="687">
          <cell r="E687" t="str">
            <v>0020030001SJZY0006</v>
          </cell>
          <cell r="H687" t="str">
            <v>阳信县河流镇餐具厂卫生所</v>
          </cell>
          <cell r="J687" t="str">
            <v>1855</v>
          </cell>
          <cell r="K687" t="str">
            <v>201602151421097</v>
          </cell>
          <cell r="M687" t="str">
            <v>葡萄糖酸钙口服溶液（含糖）10ml*12支</v>
          </cell>
        </row>
        <row r="688">
          <cell r="E688" t="str">
            <v>0020040030SJSC0003</v>
          </cell>
          <cell r="H688" t="str">
            <v>商店镇王朝正社区卫生室</v>
          </cell>
          <cell r="J688" t="str">
            <v>1855</v>
          </cell>
          <cell r="K688" t="str">
            <v>201602151421097</v>
          </cell>
          <cell r="M688" t="str">
            <v>羊肝明目片0.35g*24片</v>
          </cell>
        </row>
        <row r="689">
          <cell r="E689" t="str">
            <v>0020030001SJZY0009</v>
          </cell>
          <cell r="H689" t="str">
            <v>阳信药材公司诊所</v>
          </cell>
          <cell r="J689" t="str">
            <v>1855</v>
          </cell>
          <cell r="K689" t="str">
            <v>201602151421097</v>
          </cell>
          <cell r="M689" t="str">
            <v>葡萄糖酸锌口服液10ML*12支</v>
          </cell>
        </row>
        <row r="690">
          <cell r="E690" t="str">
            <v>0020070000ZYLC0003</v>
          </cell>
          <cell r="H690" t="str">
            <v>博兴县康宁大药房</v>
          </cell>
          <cell r="J690" t="str">
            <v>1858</v>
          </cell>
          <cell r="K690" t="str">
            <v>201602151421097</v>
          </cell>
          <cell r="M690" t="str">
            <v>新盖中盖牌儿童钙片1.75g*36p</v>
          </cell>
        </row>
        <row r="691">
          <cell r="E691" t="str">
            <v>0020020021ZYZC0341</v>
          </cell>
          <cell r="H691" t="str">
            <v>博兴县康宁大药房</v>
          </cell>
          <cell r="J691" t="str">
            <v>1858</v>
          </cell>
          <cell r="K691" t="str">
            <v>201602151421097</v>
          </cell>
          <cell r="M691" t="str">
            <v>阿莫西林克拉维酸钾7:1分散片（胜艾）0.2285g*12片</v>
          </cell>
        </row>
        <row r="692">
          <cell r="E692" t="str">
            <v>0020020020ZYLC0010</v>
          </cell>
          <cell r="H692" t="str">
            <v>博兴县康宁大药房</v>
          </cell>
          <cell r="J692" t="str">
            <v>1858</v>
          </cell>
          <cell r="K692" t="str">
            <v>201602151421097</v>
          </cell>
          <cell r="M692" t="str">
            <v xml:space="preserve">泻利停/颠茄磺苄啶片0.48g*10片 </v>
          </cell>
        </row>
        <row r="693">
          <cell r="E693" t="str">
            <v>0020020021ZYZC0341</v>
          </cell>
          <cell r="H693" t="str">
            <v>阳信县商店镇台属大药房</v>
          </cell>
          <cell r="J693" t="str">
            <v>1855</v>
          </cell>
          <cell r="K693" t="str">
            <v>201602151421097</v>
          </cell>
          <cell r="M693" t="str">
            <v>阿莫西林克拉维酸钾7:1分散片（胜艾）0.2285g*12片</v>
          </cell>
        </row>
        <row r="694">
          <cell r="E694" t="str">
            <v>0020070000ZYLC0003</v>
          </cell>
          <cell r="H694" t="str">
            <v>博兴县康宁大药房旗舰店</v>
          </cell>
          <cell r="J694" t="str">
            <v>1858</v>
          </cell>
          <cell r="K694" t="str">
            <v>201602151421097</v>
          </cell>
          <cell r="M694" t="str">
            <v>新盖中盖牌儿童钙片1.75g*36p</v>
          </cell>
        </row>
        <row r="695">
          <cell r="E695" t="str">
            <v>0020020020ZYLC0010</v>
          </cell>
          <cell r="H695" t="str">
            <v>博兴县康宁大药房旗舰店</v>
          </cell>
          <cell r="J695" t="str">
            <v>1858</v>
          </cell>
          <cell r="K695" t="str">
            <v>201602151421097</v>
          </cell>
          <cell r="M695" t="str">
            <v xml:space="preserve">泻利停/颠茄磺苄啶片0.48g*10片 </v>
          </cell>
        </row>
        <row r="696">
          <cell r="E696" t="str">
            <v>0020020021ZYZC0341</v>
          </cell>
          <cell r="H696" t="str">
            <v>博兴县康宁大药房旗舰店</v>
          </cell>
          <cell r="J696" t="str">
            <v>1858</v>
          </cell>
          <cell r="K696" t="str">
            <v>201602151421097</v>
          </cell>
          <cell r="M696" t="str">
            <v>阿莫西林克拉维酸钾7:1分散片（胜艾）0.2285g*12片</v>
          </cell>
        </row>
        <row r="697">
          <cell r="E697" t="str">
            <v>0020020020ZYLC0010</v>
          </cell>
          <cell r="H697" t="str">
            <v>温店镇辛法张社区卫生室</v>
          </cell>
          <cell r="J697" t="str">
            <v>1855</v>
          </cell>
          <cell r="K697" t="str">
            <v>201602151421097</v>
          </cell>
          <cell r="M697" t="str">
            <v xml:space="preserve">泻利停/颠茄磺苄啶片0.48g*10片 </v>
          </cell>
        </row>
        <row r="698">
          <cell r="E698" t="str">
            <v>0020020021ZYZC0341</v>
          </cell>
          <cell r="H698" t="str">
            <v>惠民仁和堂诊所</v>
          </cell>
          <cell r="J698" t="str">
            <v>1854</v>
          </cell>
          <cell r="K698" t="str">
            <v>201602151421097</v>
          </cell>
          <cell r="M698" t="str">
            <v>阿莫西林克拉维酸钾7:1分散片（胜艾）0.2285g*12片</v>
          </cell>
        </row>
        <row r="699">
          <cell r="E699" t="str">
            <v>0020070001ZYZC0369</v>
          </cell>
          <cell r="H699" t="str">
            <v>山东惠民县仁爱大药房连锁有限公司</v>
          </cell>
          <cell r="J699" t="str">
            <v>1854</v>
          </cell>
          <cell r="K699" t="str">
            <v>201602151421097</v>
          </cell>
          <cell r="M699" t="str">
            <v>哈药牌钙铁锌口服液10ml*12支</v>
          </cell>
        </row>
        <row r="700">
          <cell r="E700" t="str">
            <v>0020030001SJZY0006</v>
          </cell>
          <cell r="H700" t="str">
            <v>山东惠民县仁爱大药房连锁有限公司</v>
          </cell>
          <cell r="J700" t="str">
            <v>1854</v>
          </cell>
          <cell r="K700" t="str">
            <v>201602151421097</v>
          </cell>
          <cell r="M700" t="str">
            <v>葡萄糖酸钙口服溶液（含糖）10ml*12支</v>
          </cell>
        </row>
        <row r="701">
          <cell r="E701" t="str">
            <v>0020030001SJZY0009</v>
          </cell>
          <cell r="H701" t="str">
            <v>山东惠民县仁爱大药房连锁有限公司</v>
          </cell>
          <cell r="J701" t="str">
            <v>1854</v>
          </cell>
          <cell r="K701" t="str">
            <v>201602151421097</v>
          </cell>
          <cell r="M701" t="str">
            <v>葡萄糖酸锌口服液10ML*12支</v>
          </cell>
        </row>
        <row r="702">
          <cell r="E702" t="str">
            <v>0020030001SJZY0006</v>
          </cell>
          <cell r="H702" t="str">
            <v>滨州高新区康福大药店</v>
          </cell>
          <cell r="J702" t="str">
            <v>1853</v>
          </cell>
          <cell r="K702" t="str">
            <v>201602151421097</v>
          </cell>
          <cell r="M702" t="str">
            <v>葡萄糖酸钙口服溶液（含糖）10ml*12支</v>
          </cell>
        </row>
        <row r="703">
          <cell r="E703" t="str">
            <v>0020040030SJSC0009</v>
          </cell>
          <cell r="H703" t="str">
            <v>滨城赵全红中医诊所</v>
          </cell>
          <cell r="J703" t="str">
            <v>1853</v>
          </cell>
          <cell r="K703" t="str">
            <v>201602151421097</v>
          </cell>
          <cell r="M703" t="str">
            <v>护肝片0.36g*100片</v>
          </cell>
        </row>
        <row r="704">
          <cell r="E704" t="str">
            <v>0020020021ZYZC0341</v>
          </cell>
          <cell r="H704" t="str">
            <v>滨城赵全红中医诊所</v>
          </cell>
          <cell r="J704" t="str">
            <v>1853</v>
          </cell>
          <cell r="K704" t="str">
            <v>201602151421097</v>
          </cell>
          <cell r="M704" t="str">
            <v>阿莫西林克拉维酸钾7:1分散片（胜艾）0.2285g*12片</v>
          </cell>
        </row>
        <row r="705">
          <cell r="E705" t="str">
            <v>0020070000ZYLC0001</v>
          </cell>
          <cell r="H705" t="str">
            <v>阳信福瑞源大药房</v>
          </cell>
          <cell r="J705" t="str">
            <v>1855</v>
          </cell>
          <cell r="K705" t="str">
            <v>201602151421097</v>
          </cell>
          <cell r="M705" t="str">
            <v>新盖中盖高钙片2.5g*36P</v>
          </cell>
        </row>
        <row r="706">
          <cell r="E706" t="str">
            <v>0020020021ZYLC0005</v>
          </cell>
          <cell r="H706" t="str">
            <v>阳信镇北关中心卫生室</v>
          </cell>
          <cell r="J706" t="str">
            <v>1855</v>
          </cell>
          <cell r="K706" t="str">
            <v>201602151421097</v>
          </cell>
          <cell r="M706" t="str">
            <v>小儿严迪片/罗红霉素分散片50mg*12片</v>
          </cell>
        </row>
        <row r="707">
          <cell r="E707" t="str">
            <v>0020020021ZYLC0011</v>
          </cell>
          <cell r="H707" t="str">
            <v>阳信镇北关中心卫生室</v>
          </cell>
          <cell r="J707" t="str">
            <v>1855</v>
          </cell>
          <cell r="K707" t="str">
            <v>201602151421097</v>
          </cell>
          <cell r="M707" t="str">
            <v>严迪/罗红霉素分散片150mg*12片</v>
          </cell>
        </row>
        <row r="708">
          <cell r="E708" t="str">
            <v>0020030001SJZY0009</v>
          </cell>
          <cell r="H708" t="str">
            <v>沾化国瑞医药连锁有限责任公司</v>
          </cell>
          <cell r="J708" t="str">
            <v>1857</v>
          </cell>
          <cell r="K708" t="str">
            <v>201602151421097</v>
          </cell>
          <cell r="M708" t="str">
            <v>葡萄糖酸锌口服液10ML*12支</v>
          </cell>
        </row>
        <row r="709">
          <cell r="E709" t="str">
            <v>0020030001SJZY0006</v>
          </cell>
          <cell r="H709" t="str">
            <v>沾化国瑞医药连锁有限责任公司</v>
          </cell>
          <cell r="J709" t="str">
            <v>1857</v>
          </cell>
          <cell r="K709" t="str">
            <v>201602151421097</v>
          </cell>
          <cell r="M709" t="str">
            <v>葡萄糖酸钙口服溶液（含糖）10ml*12支</v>
          </cell>
        </row>
        <row r="710">
          <cell r="E710" t="str">
            <v>0020030001SJZY0006</v>
          </cell>
          <cell r="H710" t="str">
            <v>无棣益生堂药店连锁有限公司</v>
          </cell>
          <cell r="J710" t="str">
            <v>1856</v>
          </cell>
          <cell r="K710" t="str">
            <v>201602151421097</v>
          </cell>
          <cell r="M710" t="str">
            <v>葡萄糖酸钙口服溶液（含糖）10ml*12支</v>
          </cell>
        </row>
        <row r="711">
          <cell r="E711" t="str">
            <v>0020030001SJZY0009</v>
          </cell>
          <cell r="H711" t="str">
            <v>无棣益生堂药店连锁有限公司</v>
          </cell>
          <cell r="J711" t="str">
            <v>1856</v>
          </cell>
          <cell r="K711" t="str">
            <v>201602151421097</v>
          </cell>
          <cell r="M711" t="str">
            <v>葡萄糖酸锌口服液10ML*12支</v>
          </cell>
        </row>
        <row r="712">
          <cell r="E712" t="str">
            <v>0020050090SJZY0001</v>
          </cell>
          <cell r="H712" t="str">
            <v>滨州市滨城区国美大药房有限公司</v>
          </cell>
          <cell r="J712" t="str">
            <v>1853</v>
          </cell>
          <cell r="K712" t="str">
            <v>201602151421097</v>
          </cell>
          <cell r="M712" t="str">
            <v>双黄连口服液10ml*10支</v>
          </cell>
        </row>
        <row r="713">
          <cell r="E713" t="str">
            <v>0020070000ZYLC0003</v>
          </cell>
          <cell r="H713" t="str">
            <v>无棣福顺康大药房</v>
          </cell>
          <cell r="J713" t="str">
            <v>1856</v>
          </cell>
          <cell r="K713" t="str">
            <v>201602151421097</v>
          </cell>
          <cell r="M713" t="str">
            <v>新盖中盖牌儿童钙片1.75g*36p</v>
          </cell>
        </row>
        <row r="714">
          <cell r="E714" t="str">
            <v>0020030001SJZY0006</v>
          </cell>
          <cell r="H714" t="str">
            <v>无棣福顺康大药房</v>
          </cell>
          <cell r="J714" t="str">
            <v>1856</v>
          </cell>
          <cell r="K714" t="str">
            <v>201602151421097</v>
          </cell>
          <cell r="M714" t="str">
            <v>葡萄糖酸钙口服溶液（含糖）10ml*12支</v>
          </cell>
        </row>
        <row r="715">
          <cell r="E715" t="str">
            <v>0020070000ZYLC0001</v>
          </cell>
          <cell r="H715" t="str">
            <v>无棣福顺康大药房</v>
          </cell>
          <cell r="J715" t="str">
            <v>1856</v>
          </cell>
          <cell r="K715" t="str">
            <v>201602151421097</v>
          </cell>
          <cell r="M715" t="str">
            <v>新盖中盖高钙片2.5g*36P</v>
          </cell>
        </row>
        <row r="716">
          <cell r="E716" t="str">
            <v>0020030001SJZY0009</v>
          </cell>
          <cell r="H716" t="str">
            <v>无棣福顺康大药房</v>
          </cell>
          <cell r="J716" t="str">
            <v>1856</v>
          </cell>
          <cell r="K716" t="str">
            <v>201602151421097</v>
          </cell>
          <cell r="M716" t="str">
            <v>葡萄糖酸锌口服液10ML*12支</v>
          </cell>
        </row>
        <row r="717">
          <cell r="E717" t="str">
            <v>0020070001ZYLC0001</v>
          </cell>
          <cell r="H717" t="str">
            <v>无棣福顺康大药房</v>
          </cell>
          <cell r="J717" t="str">
            <v>1856</v>
          </cell>
          <cell r="K717" t="str">
            <v>201602151421097</v>
          </cell>
          <cell r="M717" t="str">
            <v>哈药六钙锌口服液10ml*12支</v>
          </cell>
        </row>
        <row r="718">
          <cell r="E718" t="str">
            <v>0020020020ZYLC0010</v>
          </cell>
          <cell r="H718" t="str">
            <v>滨城刘虎中医诊所</v>
          </cell>
          <cell r="J718" t="str">
            <v>1853</v>
          </cell>
          <cell r="K718" t="str">
            <v>201602151421097</v>
          </cell>
          <cell r="M718" t="str">
            <v xml:space="preserve">泻利停/颠茄磺苄啶片0.48g*10片 </v>
          </cell>
        </row>
        <row r="719">
          <cell r="E719" t="str">
            <v>0020030020ZYLC0010</v>
          </cell>
          <cell r="H719" t="str">
            <v>无棣万盛堂药店连锁有限公司</v>
          </cell>
          <cell r="J719" t="str">
            <v>1856</v>
          </cell>
          <cell r="K719" t="str">
            <v>201602151421097</v>
          </cell>
          <cell r="M719" t="str">
            <v>“为消”牌乳酸菌素片0.4g*36片</v>
          </cell>
        </row>
        <row r="720">
          <cell r="E720" t="str">
            <v>0020030001SJZY0009</v>
          </cell>
          <cell r="H720" t="str">
            <v>无棣万盛堂药店连锁有限公司</v>
          </cell>
          <cell r="J720" t="str">
            <v>1856</v>
          </cell>
          <cell r="K720" t="str">
            <v>201602151421097</v>
          </cell>
          <cell r="M720" t="str">
            <v>葡萄糖酸锌口服液10ML*12支</v>
          </cell>
        </row>
        <row r="721">
          <cell r="E721" t="str">
            <v>0020020020ZYLC0010</v>
          </cell>
          <cell r="H721" t="str">
            <v>无棣万盛堂药店连锁有限公司</v>
          </cell>
          <cell r="J721" t="str">
            <v>1856</v>
          </cell>
          <cell r="K721" t="str">
            <v>201602151421097</v>
          </cell>
          <cell r="M721" t="str">
            <v xml:space="preserve">泻利停/颠茄磺苄啶片0.48g*10片 </v>
          </cell>
        </row>
        <row r="722">
          <cell r="E722" t="str">
            <v>0020050090SJZY0001</v>
          </cell>
          <cell r="H722" t="str">
            <v>无棣福顺康大药房</v>
          </cell>
          <cell r="J722" t="str">
            <v>1856</v>
          </cell>
          <cell r="K722" t="str">
            <v>201602151421097</v>
          </cell>
          <cell r="M722" t="str">
            <v>双黄连口服液10ml*10支</v>
          </cell>
        </row>
        <row r="723">
          <cell r="E723" t="str">
            <v>0020070000ZYLC0055</v>
          </cell>
          <cell r="H723" t="str">
            <v>无棣福顺康大药房</v>
          </cell>
          <cell r="J723" t="str">
            <v>1856</v>
          </cell>
          <cell r="K723" t="str">
            <v>201602151421097</v>
          </cell>
          <cell r="M723" t="str">
            <v>朴血/乳酸亚铁口服液10ml*12支</v>
          </cell>
        </row>
        <row r="724">
          <cell r="E724" t="str">
            <v>0020050090SJZY0001</v>
          </cell>
          <cell r="H724" t="str">
            <v>博兴县德仁堂大药房连锁有限公司</v>
          </cell>
          <cell r="J724" t="str">
            <v>1858</v>
          </cell>
          <cell r="K724" t="str">
            <v>201602151421097</v>
          </cell>
          <cell r="M724" t="str">
            <v>双黄连口服液10ml*10支</v>
          </cell>
        </row>
        <row r="725">
          <cell r="E725" t="str">
            <v>0020020020ZYLC0010</v>
          </cell>
          <cell r="H725" t="str">
            <v>博兴县德仁堂大药房连锁有限公司</v>
          </cell>
          <cell r="J725" t="str">
            <v>1858</v>
          </cell>
          <cell r="K725" t="str">
            <v>201602151421097</v>
          </cell>
          <cell r="M725" t="str">
            <v xml:space="preserve">泻利停/颠茄磺苄啶片0.48g*10片 </v>
          </cell>
        </row>
        <row r="726">
          <cell r="E726" t="str">
            <v>0020030001SJZY0009</v>
          </cell>
          <cell r="H726" t="str">
            <v>博兴县德仁堂大药房连锁有限公司</v>
          </cell>
          <cell r="J726" t="str">
            <v>1858</v>
          </cell>
          <cell r="K726" t="str">
            <v>201602151421097</v>
          </cell>
          <cell r="M726" t="str">
            <v>葡萄糖酸锌口服液10ML*12支</v>
          </cell>
        </row>
        <row r="727">
          <cell r="E727" t="str">
            <v>0020030001SJZY0006</v>
          </cell>
          <cell r="H727" t="str">
            <v>博兴县德仁堂大药房连锁有限公司</v>
          </cell>
          <cell r="J727" t="str">
            <v>1858</v>
          </cell>
          <cell r="K727" t="str">
            <v>201602151421097</v>
          </cell>
          <cell r="M727" t="str">
            <v>葡萄糖酸钙口服溶液（含糖）10ml*12支</v>
          </cell>
        </row>
        <row r="728">
          <cell r="E728" t="str">
            <v>0020020020ZYLC0010</v>
          </cell>
          <cell r="H728" t="str">
            <v>劳店乡西街村卫生室</v>
          </cell>
          <cell r="J728" t="str">
            <v>1855</v>
          </cell>
          <cell r="K728" t="str">
            <v>201602151421097</v>
          </cell>
          <cell r="M728" t="str">
            <v xml:space="preserve">泻利停/颠茄磺苄啶片0.48g*10片 </v>
          </cell>
        </row>
        <row r="729">
          <cell r="E729" t="str">
            <v>0020030020SJSC0004</v>
          </cell>
          <cell r="H729" t="str">
            <v>劳店乡西街村卫生室</v>
          </cell>
          <cell r="J729" t="str">
            <v>1855</v>
          </cell>
          <cell r="K729" t="str">
            <v>201602151421097</v>
          </cell>
          <cell r="M729" t="str">
            <v>胃必治/复方铝酸铋片50片</v>
          </cell>
        </row>
        <row r="730">
          <cell r="E730" t="str">
            <v>0020020020ZYZC0507</v>
          </cell>
          <cell r="H730" t="str">
            <v>商店镇商店第一社区卫生室</v>
          </cell>
          <cell r="J730" t="str">
            <v>1855</v>
          </cell>
          <cell r="K730" t="str">
            <v>201602151421097</v>
          </cell>
          <cell r="M730" t="str">
            <v>头孢氨苄片0.25g*30片</v>
          </cell>
        </row>
        <row r="731">
          <cell r="E731" t="str">
            <v>0020020021ZYLC0004</v>
          </cell>
          <cell r="H731" t="str">
            <v xml:space="preserve">邹平县方正医药有限公司 </v>
          </cell>
          <cell r="J731" t="str">
            <v>1859</v>
          </cell>
          <cell r="K731" t="str">
            <v>201602151421097</v>
          </cell>
          <cell r="M731" t="str">
            <v>大严迪片/罗红霉素分散片75mg*12片</v>
          </cell>
        </row>
        <row r="732">
          <cell r="E732" t="str">
            <v>0020020021ZYLC0004</v>
          </cell>
          <cell r="H732" t="str">
            <v xml:space="preserve">邹平县方正医药有限公司 </v>
          </cell>
          <cell r="J732" t="str">
            <v>1859</v>
          </cell>
          <cell r="K732" t="str">
            <v>201602151421097</v>
          </cell>
          <cell r="M732" t="str">
            <v>大严迪片/罗红霉素分散片75mg*12片</v>
          </cell>
        </row>
        <row r="733">
          <cell r="E733" t="str">
            <v>0020030020SJSC0004</v>
          </cell>
          <cell r="H733" t="str">
            <v xml:space="preserve">邹平县方正医药有限公司 </v>
          </cell>
          <cell r="J733" t="str">
            <v>1859</v>
          </cell>
          <cell r="K733" t="str">
            <v>201602151421097</v>
          </cell>
          <cell r="M733" t="str">
            <v>胃必治/复方铝酸铋片50片</v>
          </cell>
        </row>
        <row r="734">
          <cell r="E734" t="str">
            <v>0020040001SHYT0018</v>
          </cell>
          <cell r="H734" t="str">
            <v xml:space="preserve">邹平县方正医药有限公司 </v>
          </cell>
          <cell r="J734" t="str">
            <v>1859</v>
          </cell>
          <cell r="K734" t="str">
            <v>201602151421097</v>
          </cell>
          <cell r="M734" t="str">
            <v>血府逐淤丸9g*10丸</v>
          </cell>
        </row>
        <row r="735">
          <cell r="E735" t="str">
            <v>0020030020ZYLC0010</v>
          </cell>
          <cell r="H735" t="str">
            <v>阳信荣军诊所</v>
          </cell>
          <cell r="J735" t="str">
            <v>1855</v>
          </cell>
          <cell r="K735" t="str">
            <v>201602151421097</v>
          </cell>
          <cell r="M735" t="str">
            <v>乳酸菌素片/为消0.4g*36片</v>
          </cell>
        </row>
        <row r="736">
          <cell r="E736" t="str">
            <v>0020020021ZYLC0004</v>
          </cell>
          <cell r="H736" t="str">
            <v>山东省惠民县梦之康大药房连锁有限公司</v>
          </cell>
          <cell r="J736" t="str">
            <v>1854</v>
          </cell>
          <cell r="K736" t="str">
            <v>201602151421097</v>
          </cell>
          <cell r="M736" t="str">
            <v>大严迪片/罗红霉素分散片75mg*12片</v>
          </cell>
        </row>
        <row r="737">
          <cell r="E737" t="str">
            <v>0020030020SJSC0004</v>
          </cell>
          <cell r="H737" t="str">
            <v>山东省惠民县梦之康大药房连锁有限公司</v>
          </cell>
          <cell r="J737" t="str">
            <v>1854</v>
          </cell>
          <cell r="K737" t="str">
            <v>201602151421097</v>
          </cell>
          <cell r="M737" t="str">
            <v>胃必治/复方铝酸铋片50片</v>
          </cell>
        </row>
        <row r="738">
          <cell r="E738" t="str">
            <v>0020070001ZYZC0383</v>
          </cell>
          <cell r="H738" t="str">
            <v>山东省惠民县梦之康大药房连锁有限公司</v>
          </cell>
          <cell r="J738" t="str">
            <v>1854</v>
          </cell>
          <cell r="K738" t="str">
            <v>201602151421097</v>
          </cell>
          <cell r="M738" t="str">
            <v>哈药牌钙铁锌口服液10ml*10支</v>
          </cell>
        </row>
        <row r="739">
          <cell r="E739" t="str">
            <v>0020030020ZYLC0010</v>
          </cell>
          <cell r="H739" t="str">
            <v>山东省惠民县梦之康大药房连锁有限公司</v>
          </cell>
          <cell r="J739" t="str">
            <v>1854</v>
          </cell>
          <cell r="K739" t="str">
            <v>201602151421097</v>
          </cell>
          <cell r="M739" t="str">
            <v>“为消”牌乳酸菌素片0.4g*36片</v>
          </cell>
        </row>
        <row r="740">
          <cell r="E740" t="str">
            <v>0020020021ZYLC0011</v>
          </cell>
          <cell r="H740" t="str">
            <v>山东省惠民县梦之康大药房连锁有限公司</v>
          </cell>
          <cell r="J740" t="str">
            <v>1854</v>
          </cell>
          <cell r="K740" t="str">
            <v>201602151421097</v>
          </cell>
          <cell r="M740" t="str">
            <v>严迪/罗红霉素分散片150mg*12片</v>
          </cell>
        </row>
        <row r="741">
          <cell r="E741" t="str">
            <v>0020030020ZYLC0010</v>
          </cell>
          <cell r="H741" t="str">
            <v>山东省惠民县梦之康大药房连锁有限公司</v>
          </cell>
          <cell r="J741" t="str">
            <v>1854</v>
          </cell>
          <cell r="K741" t="str">
            <v>201602151421097</v>
          </cell>
          <cell r="M741" t="str">
            <v>乳酸菌素片/为消0.4g*36片</v>
          </cell>
        </row>
        <row r="742">
          <cell r="E742" t="str">
            <v>0020070000ZYLC0001</v>
          </cell>
          <cell r="H742" t="str">
            <v>山东省惠民县梦之康大药房连锁有限公司</v>
          </cell>
          <cell r="J742" t="str">
            <v>1854</v>
          </cell>
          <cell r="K742" t="str">
            <v>201602151421097</v>
          </cell>
          <cell r="M742" t="str">
            <v>新盖中盖高钙片2.5g*36P</v>
          </cell>
        </row>
        <row r="743">
          <cell r="E743" t="str">
            <v>0020030040ZYLC0001</v>
          </cell>
          <cell r="H743" t="str">
            <v>山东省惠民县梦之康大药房连锁有限公司</v>
          </cell>
          <cell r="J743" t="str">
            <v>1854</v>
          </cell>
          <cell r="K743" t="str">
            <v>201602151421097</v>
          </cell>
          <cell r="M743" t="str">
            <v>护彤冲剂/小儿氨酚黄那敏颗粒2g*12袋</v>
          </cell>
        </row>
        <row r="744">
          <cell r="E744" t="str">
            <v>0020070000ZYLC0003</v>
          </cell>
          <cell r="H744" t="str">
            <v>山东省惠民县梦之康大药房连锁有限公司</v>
          </cell>
          <cell r="J744" t="str">
            <v>1854</v>
          </cell>
          <cell r="K744" t="str">
            <v>201602151421097</v>
          </cell>
          <cell r="M744" t="str">
            <v>新盖中盖牌儿童钙片1.75g*36p</v>
          </cell>
        </row>
        <row r="745">
          <cell r="E745" t="str">
            <v>0020030001SJZY0009</v>
          </cell>
          <cell r="H745" t="str">
            <v>山东省惠民县梦之康大药房连锁有限公司</v>
          </cell>
          <cell r="J745" t="str">
            <v>1854</v>
          </cell>
          <cell r="K745" t="str">
            <v>201602151421097</v>
          </cell>
          <cell r="M745" t="str">
            <v>葡萄糖酸锌口服液10ML*12支</v>
          </cell>
        </row>
        <row r="746">
          <cell r="E746" t="str">
            <v>0020070001ZYZC0377</v>
          </cell>
          <cell r="H746" t="str">
            <v>山东省惠民县梦之康大药房连锁有限公司</v>
          </cell>
          <cell r="J746" t="str">
            <v>1854</v>
          </cell>
          <cell r="K746" t="str">
            <v>201602151421097</v>
          </cell>
          <cell r="M746" t="str">
            <v>哈药牌钙铁锌口服液10ml*15支</v>
          </cell>
        </row>
        <row r="747">
          <cell r="E747" t="str">
            <v>0020050090SJZY0001</v>
          </cell>
          <cell r="H747" t="str">
            <v>山东省惠民县梦之康大药房连锁有限公司</v>
          </cell>
          <cell r="J747" t="str">
            <v>1854</v>
          </cell>
          <cell r="K747" t="str">
            <v>201602151421097</v>
          </cell>
          <cell r="M747" t="str">
            <v>双黄连口服液10ml*10支</v>
          </cell>
        </row>
        <row r="748">
          <cell r="E748" t="str">
            <v>0020020030ZYZC0508</v>
          </cell>
          <cell r="H748" t="str">
            <v>山东省惠民县梦之康大药房连锁有限公司</v>
          </cell>
          <cell r="J748" t="str">
            <v>1854</v>
          </cell>
          <cell r="K748" t="str">
            <v>201602151421097</v>
          </cell>
          <cell r="M748" t="str">
            <v>阿莫西林胶囊0.25g*20s</v>
          </cell>
        </row>
        <row r="749">
          <cell r="E749" t="str">
            <v>0020030001SJZY0009</v>
          </cell>
          <cell r="H749" t="str">
            <v>洋湖乡张扬社区卫生室</v>
          </cell>
          <cell r="J749" t="str">
            <v>1855</v>
          </cell>
          <cell r="K749" t="str">
            <v>201602151421097</v>
          </cell>
          <cell r="M749" t="str">
            <v>葡萄糖酸锌口服液10ML*12支</v>
          </cell>
        </row>
        <row r="750">
          <cell r="E750" t="str">
            <v>0020030001SJZY0009</v>
          </cell>
          <cell r="H750" t="str">
            <v>滨州市沾化区泊头镇卫生院</v>
          </cell>
          <cell r="J750" t="str">
            <v>1857</v>
          </cell>
          <cell r="K750" t="str">
            <v>201602151421097</v>
          </cell>
          <cell r="M750" t="str">
            <v>葡萄糖酸锌口服液10ML*12支</v>
          </cell>
        </row>
        <row r="751">
          <cell r="E751" t="str">
            <v>0020050090SJZY0001</v>
          </cell>
          <cell r="H751" t="str">
            <v>滨州市沾化区泊头镇卫生院</v>
          </cell>
          <cell r="J751" t="str">
            <v>1857</v>
          </cell>
          <cell r="K751" t="str">
            <v>201602151421097</v>
          </cell>
          <cell r="M751" t="str">
            <v>双黄连口服液10ml*10支</v>
          </cell>
        </row>
        <row r="752">
          <cell r="E752" t="str">
            <v>0020100000ZYLC0012</v>
          </cell>
          <cell r="H752" t="str">
            <v>滨州市沾化区泊头镇卫生院</v>
          </cell>
          <cell r="J752" t="str">
            <v>1857</v>
          </cell>
          <cell r="K752" t="str">
            <v>201602151421097</v>
          </cell>
          <cell r="M752" t="str">
            <v>退热贴40mm*110mm*2贴</v>
          </cell>
        </row>
        <row r="753">
          <cell r="E753" t="str">
            <v>0020030020ZYLC0010</v>
          </cell>
          <cell r="H753" t="str">
            <v>沾化三易诊所</v>
          </cell>
          <cell r="J753" t="str">
            <v>1857</v>
          </cell>
          <cell r="K753" t="str">
            <v>201602151421097</v>
          </cell>
          <cell r="M753" t="str">
            <v>乳酸菌素片/为消0.4g*36片</v>
          </cell>
        </row>
        <row r="754">
          <cell r="E754" t="str">
            <v>0020020021ZYLC0011</v>
          </cell>
          <cell r="H754" t="str">
            <v>沾化三易诊所</v>
          </cell>
          <cell r="J754" t="str">
            <v>1857</v>
          </cell>
          <cell r="K754" t="str">
            <v>201602151421097</v>
          </cell>
          <cell r="M754" t="str">
            <v>严迪/罗红霉素分散片150mg*12片</v>
          </cell>
        </row>
        <row r="755">
          <cell r="E755" t="str">
            <v>0020050090SJZY0001</v>
          </cell>
          <cell r="H755" t="str">
            <v>欣康诊所</v>
          </cell>
          <cell r="J755" t="str">
            <v>1857</v>
          </cell>
          <cell r="K755" t="str">
            <v>201602151421097</v>
          </cell>
          <cell r="M755" t="str">
            <v>双黄连口服液10ml*10支</v>
          </cell>
        </row>
        <row r="756">
          <cell r="E756" t="str">
            <v>0020100000ZYLC0012</v>
          </cell>
          <cell r="H756" t="str">
            <v>欣康诊所</v>
          </cell>
          <cell r="J756" t="str">
            <v>1857</v>
          </cell>
          <cell r="K756" t="str">
            <v>201602151421097</v>
          </cell>
          <cell r="M756" t="str">
            <v>退热贴40mm*110mm*2贴</v>
          </cell>
        </row>
        <row r="757">
          <cell r="E757" t="str">
            <v>0020070001ZYLC0001</v>
          </cell>
          <cell r="H757" t="str">
            <v>信城街道西关社区卫生室</v>
          </cell>
          <cell r="J757" t="str">
            <v>1855</v>
          </cell>
          <cell r="K757" t="str">
            <v>201602151421097</v>
          </cell>
          <cell r="M757" t="str">
            <v>哈药六钙锌口服液10ml*12支</v>
          </cell>
        </row>
        <row r="758">
          <cell r="E758" t="str">
            <v>0020030001SJZY0009</v>
          </cell>
          <cell r="H758" t="str">
            <v>阳信县仁和堂医药连锁有限公司</v>
          </cell>
          <cell r="J758" t="str">
            <v>1855</v>
          </cell>
          <cell r="K758" t="str">
            <v>201602151421097</v>
          </cell>
          <cell r="M758" t="str">
            <v>葡萄糖酸锌口服液10ML*12支</v>
          </cell>
        </row>
        <row r="759">
          <cell r="E759" t="str">
            <v>0020030020SJSC0004</v>
          </cell>
          <cell r="H759" t="str">
            <v>阳信县仁和堂医药连锁有限公司</v>
          </cell>
          <cell r="J759" t="str">
            <v>1855</v>
          </cell>
          <cell r="K759" t="str">
            <v>201602151421097</v>
          </cell>
          <cell r="M759" t="str">
            <v>胃必治/复方铝酸铋片50片</v>
          </cell>
        </row>
        <row r="760">
          <cell r="E760" t="str">
            <v>0020030001SJZY0009</v>
          </cell>
          <cell r="H760" t="str">
            <v>阳信镇霍楼社区卫生室</v>
          </cell>
          <cell r="J760" t="str">
            <v>1855</v>
          </cell>
          <cell r="K760" t="str">
            <v>201602151421097</v>
          </cell>
          <cell r="M760" t="str">
            <v>葡萄糖酸锌口服液10ML*12支</v>
          </cell>
        </row>
        <row r="761">
          <cell r="E761" t="str">
            <v>0020070001ZYLC0001</v>
          </cell>
          <cell r="H761" t="str">
            <v>阳信镇霍楼社区卫生室</v>
          </cell>
          <cell r="J761" t="str">
            <v>1855</v>
          </cell>
          <cell r="K761" t="str">
            <v>201602151421097</v>
          </cell>
          <cell r="M761" t="str">
            <v>哈药六钙锌口服液10ml*12支</v>
          </cell>
        </row>
        <row r="762">
          <cell r="E762" t="str">
            <v>0020070000ZYLC0055</v>
          </cell>
          <cell r="H762" t="str">
            <v>阳信镇霍楼社区卫生室</v>
          </cell>
          <cell r="J762" t="str">
            <v>1855</v>
          </cell>
          <cell r="K762" t="str">
            <v>201602151421097</v>
          </cell>
          <cell r="M762" t="str">
            <v>朴血/乳酸亚铁口服液10ml*12支</v>
          </cell>
        </row>
        <row r="763">
          <cell r="E763" t="str">
            <v>0020030001SJZY0006</v>
          </cell>
          <cell r="H763" t="str">
            <v>阳信镇霍楼社区卫生室</v>
          </cell>
          <cell r="J763" t="str">
            <v>1855</v>
          </cell>
          <cell r="K763" t="str">
            <v>201602151421097</v>
          </cell>
          <cell r="M763" t="str">
            <v>葡萄糖酸钙口服溶液（含糖）10ml*12支</v>
          </cell>
        </row>
        <row r="764">
          <cell r="E764" t="str">
            <v>0020020021ZYLC0015</v>
          </cell>
          <cell r="H764" t="str">
            <v>阳信镇行宫庙村卫生室</v>
          </cell>
          <cell r="J764" t="str">
            <v>1855</v>
          </cell>
          <cell r="K764" t="str">
            <v>201602151421097</v>
          </cell>
          <cell r="M764" t="str">
            <v>克拉霉素分散片/长迪0.125g*24粒</v>
          </cell>
        </row>
        <row r="765">
          <cell r="E765" t="str">
            <v>0020070001ZYZC0383</v>
          </cell>
          <cell r="H765" t="str">
            <v>阳信县仁和堂医药连锁有限公司</v>
          </cell>
          <cell r="J765" t="str">
            <v>1855</v>
          </cell>
          <cell r="K765" t="str">
            <v>201602151421097</v>
          </cell>
          <cell r="M765" t="str">
            <v>哈药牌钙铁锌口服液10ml*10支</v>
          </cell>
        </row>
        <row r="766">
          <cell r="E766" t="str">
            <v>0020030001SJZY0006</v>
          </cell>
          <cell r="H766" t="str">
            <v>山东省惠民县梦之康大药房连锁有限公司</v>
          </cell>
          <cell r="J766" t="str">
            <v>1854</v>
          </cell>
          <cell r="K766" t="str">
            <v>201602151421097</v>
          </cell>
          <cell r="M766" t="str">
            <v>葡萄糖酸钙口服溶液（含糖）10ml*12支</v>
          </cell>
        </row>
        <row r="767">
          <cell r="E767" t="str">
            <v>0020020021ZYLC0011</v>
          </cell>
          <cell r="H767" t="str">
            <v>阳信县仁和堂医药连锁有限公司</v>
          </cell>
          <cell r="J767" t="str">
            <v>1855</v>
          </cell>
          <cell r="K767" t="str">
            <v>201602151421097</v>
          </cell>
          <cell r="M767" t="str">
            <v>严迪/罗红霉素分散片150mg*12片</v>
          </cell>
        </row>
        <row r="768">
          <cell r="E768" t="str">
            <v>0020030001SJZY0006</v>
          </cell>
          <cell r="H768" t="str">
            <v>阳信县仁和堂医药连锁有限公司</v>
          </cell>
          <cell r="J768" t="str">
            <v>1855</v>
          </cell>
          <cell r="K768" t="str">
            <v>201602151421097</v>
          </cell>
          <cell r="M768" t="str">
            <v>葡萄糖酸钙口服溶液（含糖）10ml*12支</v>
          </cell>
        </row>
        <row r="769">
          <cell r="E769" t="str">
            <v>0020050090SJZY0001</v>
          </cell>
          <cell r="H769" t="str">
            <v>阳信县仁和堂医药连锁有限公司</v>
          </cell>
          <cell r="J769" t="str">
            <v>1855</v>
          </cell>
          <cell r="K769" t="str">
            <v>201602151421097</v>
          </cell>
          <cell r="M769" t="str">
            <v>双黄连口服液10ml*10支</v>
          </cell>
        </row>
        <row r="770">
          <cell r="E770" t="str">
            <v>0020100000ZYLC0012</v>
          </cell>
          <cell r="H770" t="str">
            <v>阳信县仁和堂医药连锁有限公司</v>
          </cell>
          <cell r="J770" t="str">
            <v>1855</v>
          </cell>
          <cell r="K770" t="str">
            <v>201602151421097</v>
          </cell>
          <cell r="M770" t="str">
            <v>退热贴40mm*110mm*2贴</v>
          </cell>
        </row>
        <row r="771">
          <cell r="E771" t="str">
            <v>0020070000ZYLC0001</v>
          </cell>
          <cell r="H771" t="str">
            <v>阳信县天天平价医药连锁有限公司</v>
          </cell>
          <cell r="J771" t="str">
            <v>1855</v>
          </cell>
          <cell r="K771" t="str">
            <v>201602151421097</v>
          </cell>
          <cell r="M771" t="str">
            <v>新盖中盖高钙片2.5g*36P</v>
          </cell>
        </row>
        <row r="772">
          <cell r="E772" t="str">
            <v>0020050001SHYT0023</v>
          </cell>
          <cell r="H772" t="str">
            <v>阳信县天天平价医药连锁有限公司</v>
          </cell>
          <cell r="J772" t="str">
            <v>1855</v>
          </cell>
          <cell r="K772" t="str">
            <v>201602151421097</v>
          </cell>
          <cell r="M772" t="str">
            <v>保和丸9g*10丸</v>
          </cell>
        </row>
        <row r="773">
          <cell r="E773" t="str">
            <v>0020040030SHYT0002</v>
          </cell>
          <cell r="H773" t="str">
            <v>阳信县天天平价医药连锁有限公司</v>
          </cell>
          <cell r="J773" t="str">
            <v>1855</v>
          </cell>
          <cell r="K773" t="str">
            <v>201602151421097</v>
          </cell>
          <cell r="M773" t="str">
            <v>牛黄消炎片0.12g*24片</v>
          </cell>
        </row>
        <row r="774">
          <cell r="E774" t="str">
            <v>0020070000ZYLC0003</v>
          </cell>
          <cell r="H774" t="str">
            <v>阳信县天天平价医药连锁有限公司</v>
          </cell>
          <cell r="J774" t="str">
            <v>1855</v>
          </cell>
          <cell r="K774" t="str">
            <v>201602151421097</v>
          </cell>
          <cell r="M774" t="str">
            <v>新盖中盖牌儿童钙片1.75g*36p</v>
          </cell>
        </row>
        <row r="775">
          <cell r="E775" t="str">
            <v>0020020021ZYZC0341</v>
          </cell>
          <cell r="H775" t="str">
            <v>棉纺诊所</v>
          </cell>
          <cell r="J775" t="str">
            <v>1857</v>
          </cell>
          <cell r="K775" t="str">
            <v>201602151421097</v>
          </cell>
          <cell r="M775" t="str">
            <v>阿莫西林克拉维酸钾分散片0.2285g*12片</v>
          </cell>
        </row>
        <row r="776">
          <cell r="E776" t="str">
            <v>0020030040SJET0003</v>
          </cell>
          <cell r="H776" t="str">
            <v>文化街康民卫生室</v>
          </cell>
          <cell r="J776" t="str">
            <v>1854</v>
          </cell>
          <cell r="K776" t="str">
            <v>201602151421097</v>
          </cell>
          <cell r="M776" t="str">
            <v>氨金黄敏颗粒6g*10袋</v>
          </cell>
        </row>
        <row r="777">
          <cell r="E777" t="str">
            <v>0020050030SJSC0007</v>
          </cell>
          <cell r="H777" t="str">
            <v>文化街康民卫生室</v>
          </cell>
          <cell r="J777" t="str">
            <v>1854</v>
          </cell>
          <cell r="K777" t="str">
            <v>201602151421097</v>
          </cell>
          <cell r="M777" t="str">
            <v>菊梅利咽含片1.2g*18片</v>
          </cell>
        </row>
        <row r="778">
          <cell r="E778" t="str">
            <v>0020070001ZYZC0377</v>
          </cell>
          <cell r="H778" t="str">
            <v>文化街康民卫生室</v>
          </cell>
          <cell r="J778" t="str">
            <v>1854</v>
          </cell>
          <cell r="K778" t="str">
            <v>201602151421097</v>
          </cell>
          <cell r="M778" t="str">
            <v>哈药牌钙铁锌口服液10ml*15支</v>
          </cell>
        </row>
        <row r="779">
          <cell r="E779" t="str">
            <v>0020020021ZYZC0341</v>
          </cell>
          <cell r="H779" t="str">
            <v>文化街康民卫生室</v>
          </cell>
          <cell r="J779" t="str">
            <v>1854</v>
          </cell>
          <cell r="K779" t="str">
            <v>201602151421097</v>
          </cell>
          <cell r="M779" t="str">
            <v>阿莫西林克拉维酸钾分散片0.2285g*12片</v>
          </cell>
        </row>
        <row r="780">
          <cell r="E780" t="str">
            <v>0020070001ZYZC0369</v>
          </cell>
          <cell r="H780" t="str">
            <v>文化街康民卫生室</v>
          </cell>
          <cell r="J780" t="str">
            <v>1854</v>
          </cell>
          <cell r="K780" t="str">
            <v>201602151421097</v>
          </cell>
          <cell r="M780" t="str">
            <v>哈药牌钙铁锌口服液10ml*12支</v>
          </cell>
        </row>
        <row r="781">
          <cell r="E781" t="str">
            <v>0020030001SJZY0009</v>
          </cell>
          <cell r="H781" t="str">
            <v>惠民广益堂诊所</v>
          </cell>
          <cell r="J781" t="str">
            <v>1854</v>
          </cell>
          <cell r="K781" t="str">
            <v>201602151421097</v>
          </cell>
          <cell r="M781" t="str">
            <v>葡萄糖酸锌口服液10ML*12支</v>
          </cell>
        </row>
        <row r="782">
          <cell r="E782" t="str">
            <v>0020050020SHYT0016</v>
          </cell>
          <cell r="H782" t="str">
            <v>惠民广益堂诊所</v>
          </cell>
          <cell r="J782" t="str">
            <v>1854</v>
          </cell>
          <cell r="K782" t="str">
            <v>201602151421097</v>
          </cell>
          <cell r="M782" t="str">
            <v>复方金银花颗粒10g*10袋</v>
          </cell>
        </row>
        <row r="783">
          <cell r="E783" t="str">
            <v>0020070000ZYLC0003</v>
          </cell>
          <cell r="H783" t="str">
            <v>惠民广益堂诊所</v>
          </cell>
          <cell r="J783" t="str">
            <v>1854</v>
          </cell>
          <cell r="K783" t="str">
            <v>201602151421097</v>
          </cell>
          <cell r="M783" t="str">
            <v>新盖中盖牌儿童钙片1.75g*36p</v>
          </cell>
        </row>
        <row r="784">
          <cell r="E784" t="str">
            <v>0020030001SJZY0009</v>
          </cell>
          <cell r="H784" t="str">
            <v>惠民县古城药房</v>
          </cell>
          <cell r="J784" t="str">
            <v>1854</v>
          </cell>
          <cell r="K784" t="str">
            <v>201602151421097</v>
          </cell>
          <cell r="M784" t="str">
            <v>葡萄糖酸锌口服液10ML*12支</v>
          </cell>
        </row>
        <row r="785">
          <cell r="E785" t="str">
            <v>0020070001ZYZC0383</v>
          </cell>
          <cell r="H785" t="str">
            <v>惠民县古城药房</v>
          </cell>
          <cell r="J785" t="str">
            <v>1854</v>
          </cell>
          <cell r="K785" t="str">
            <v>201602151421097</v>
          </cell>
          <cell r="M785" t="str">
            <v>哈药牌钙铁锌口服液10ml*10支</v>
          </cell>
        </row>
        <row r="786">
          <cell r="E786" t="str">
            <v>0020070000ZYLC0001</v>
          </cell>
          <cell r="H786" t="str">
            <v>惠民县古城药房</v>
          </cell>
          <cell r="J786" t="str">
            <v>1854</v>
          </cell>
          <cell r="K786" t="str">
            <v>201602151421097</v>
          </cell>
          <cell r="M786" t="str">
            <v>新盖中盖高钙片2.5g*36P</v>
          </cell>
        </row>
        <row r="787">
          <cell r="E787" t="str">
            <v>0020030040ZYLC0001</v>
          </cell>
          <cell r="H787" t="str">
            <v>惠民县古城药房</v>
          </cell>
          <cell r="J787" t="str">
            <v>1854</v>
          </cell>
          <cell r="K787" t="str">
            <v>201602151421097</v>
          </cell>
          <cell r="M787" t="str">
            <v>护彤冲剂/小儿氨酚黄那敏颗粒2g*12袋</v>
          </cell>
        </row>
        <row r="788">
          <cell r="E788" t="str">
            <v>0020020021ZYLC0004</v>
          </cell>
          <cell r="H788" t="str">
            <v>惠民县古城药房</v>
          </cell>
          <cell r="J788" t="str">
            <v>1854</v>
          </cell>
          <cell r="K788" t="str">
            <v>201602151421097</v>
          </cell>
          <cell r="M788" t="str">
            <v>大严迪片/罗红霉素分散片75mg*12片</v>
          </cell>
        </row>
        <row r="789">
          <cell r="E789" t="str">
            <v>0020070000ZYLC0003</v>
          </cell>
          <cell r="H789" t="str">
            <v>惠民县古城药房</v>
          </cell>
          <cell r="J789" t="str">
            <v>1854</v>
          </cell>
          <cell r="K789" t="str">
            <v>201602151421097</v>
          </cell>
          <cell r="M789" t="str">
            <v>新盖中盖牌儿童钙片1.75g*36p</v>
          </cell>
        </row>
        <row r="790">
          <cell r="E790" t="str">
            <v>0020050030SJSC0007</v>
          </cell>
          <cell r="H790" t="str">
            <v>阳信荣军诊所</v>
          </cell>
          <cell r="J790" t="str">
            <v>1855</v>
          </cell>
          <cell r="K790" t="str">
            <v>201602151421097</v>
          </cell>
          <cell r="M790" t="str">
            <v>菊梅利咽含片1.2g*18片</v>
          </cell>
        </row>
        <row r="791">
          <cell r="E791" t="str">
            <v>0020050090SJZY0001</v>
          </cell>
          <cell r="H791" t="str">
            <v>滨州鲁恒眼科医院</v>
          </cell>
          <cell r="J791" t="str">
            <v>1853</v>
          </cell>
          <cell r="K791" t="str">
            <v>201602151421097</v>
          </cell>
          <cell r="M791" t="str">
            <v>双黄连口服液10ml*10支</v>
          </cell>
        </row>
        <row r="792">
          <cell r="E792" t="str">
            <v>0020030020SJSC0004</v>
          </cell>
          <cell r="H792" t="str">
            <v>滨州市沾化区为民医药连锁有限公司</v>
          </cell>
          <cell r="J792" t="str">
            <v>1857</v>
          </cell>
          <cell r="K792" t="str">
            <v>201602151421097</v>
          </cell>
          <cell r="M792" t="str">
            <v>胃必治/复方铝酸铋片50片</v>
          </cell>
        </row>
        <row r="793">
          <cell r="E793" t="str">
            <v>0020070000ZYLC0001</v>
          </cell>
          <cell r="H793" t="str">
            <v>商店镇王朝正社区卫生室</v>
          </cell>
          <cell r="J793" t="str">
            <v>1855</v>
          </cell>
          <cell r="K793" t="str">
            <v>201602151421097</v>
          </cell>
          <cell r="M793" t="str">
            <v>新盖中盖高钙片2.5g*36P</v>
          </cell>
        </row>
        <row r="794">
          <cell r="E794" t="str">
            <v>0020030001SJZY0009</v>
          </cell>
          <cell r="H794" t="str">
            <v>无棣锦绣城诊所</v>
          </cell>
          <cell r="J794" t="str">
            <v>1856</v>
          </cell>
          <cell r="K794" t="str">
            <v>201602151421097</v>
          </cell>
          <cell r="M794" t="str">
            <v>葡萄糖酸锌口服液10ML*12支</v>
          </cell>
        </row>
        <row r="795">
          <cell r="E795" t="str">
            <v>0020070001ZYLC0001</v>
          </cell>
          <cell r="H795" t="str">
            <v>滨州市沾化区泊头镇卫生院</v>
          </cell>
          <cell r="J795" t="str">
            <v>1857</v>
          </cell>
          <cell r="K795" t="str">
            <v>201602151421097</v>
          </cell>
          <cell r="M795" t="str">
            <v>哈药六钙锌口服液10ml*12支</v>
          </cell>
        </row>
        <row r="796">
          <cell r="E796" t="str">
            <v>0020020021ZYLC0011</v>
          </cell>
          <cell r="H796" t="str">
            <v>阳信县河流镇餐具厂卫生所</v>
          </cell>
          <cell r="J796" t="str">
            <v>1855</v>
          </cell>
          <cell r="K796" t="str">
            <v>201602151421097</v>
          </cell>
          <cell r="M796" t="str">
            <v>严迪/罗红霉素分散片150mg*12片</v>
          </cell>
        </row>
        <row r="797">
          <cell r="E797" t="str">
            <v>0020020020ZYLC0010</v>
          </cell>
          <cell r="H797" t="str">
            <v>惠民县春英大药房</v>
          </cell>
          <cell r="J797" t="str">
            <v>1854</v>
          </cell>
          <cell r="K797" t="str">
            <v>201602151421097</v>
          </cell>
          <cell r="M797" t="str">
            <v xml:space="preserve">泻利停/颠茄磺苄啶片0.48g*10片 </v>
          </cell>
        </row>
        <row r="798">
          <cell r="E798" t="str">
            <v>0020020020SJMS0008</v>
          </cell>
          <cell r="H798" t="str">
            <v>滨州康杰大药房有限责任公司</v>
          </cell>
          <cell r="J798" t="str">
            <v>1853</v>
          </cell>
          <cell r="K798" t="str">
            <v>201602151421097</v>
          </cell>
          <cell r="M798" t="str">
            <v>拉西地平片/三精司乐平片4mg*15片</v>
          </cell>
        </row>
        <row r="799">
          <cell r="E799" t="str">
            <v>0020030001SJZY0009</v>
          </cell>
          <cell r="H799" t="str">
            <v>高新区小营社区门诊</v>
          </cell>
          <cell r="J799" t="str">
            <v>1853</v>
          </cell>
          <cell r="K799" t="str">
            <v>201602151421097</v>
          </cell>
          <cell r="M799" t="str">
            <v>葡萄糖酸锌口服液10ML*12支</v>
          </cell>
        </row>
        <row r="800">
          <cell r="E800" t="str">
            <v>0020030020ZYLC0010</v>
          </cell>
          <cell r="H800" t="str">
            <v>博兴县德仁堂大药房连锁有限公司</v>
          </cell>
          <cell r="J800" t="str">
            <v>1858</v>
          </cell>
          <cell r="K800" t="str">
            <v>201602151421097</v>
          </cell>
          <cell r="M800" t="str">
            <v>“为消”牌乳酸菌素片0.4g*36片</v>
          </cell>
        </row>
        <row r="801">
          <cell r="E801" t="str">
            <v>0020030001SJZY0009</v>
          </cell>
          <cell r="H801" t="str">
            <v>商店镇张连范社区卫生室</v>
          </cell>
          <cell r="J801" t="str">
            <v>1855</v>
          </cell>
          <cell r="K801" t="str">
            <v>201602151421097</v>
          </cell>
          <cell r="M801" t="str">
            <v>葡萄糖酸锌口服液10ML*12支</v>
          </cell>
        </row>
        <row r="802">
          <cell r="E802" t="str">
            <v>0020030020ZYLC0005</v>
          </cell>
          <cell r="H802" t="str">
            <v>大洋集团诊所</v>
          </cell>
          <cell r="J802" t="str">
            <v>1856</v>
          </cell>
          <cell r="K802" t="str">
            <v>201602151421097</v>
          </cell>
          <cell r="M802" t="str">
            <v>小儿氨酚黄那敏片0.125g*20片</v>
          </cell>
        </row>
        <row r="803">
          <cell r="E803" t="str">
            <v>0020040070ZYEC0005</v>
          </cell>
          <cell r="H803" t="str">
            <v>大洋集团诊所</v>
          </cell>
          <cell r="J803" t="str">
            <v>1856</v>
          </cell>
          <cell r="K803" t="str">
            <v>201602151421097</v>
          </cell>
          <cell r="M803" t="str">
            <v>小儿百部止咳糖浆100ml</v>
          </cell>
        </row>
        <row r="804">
          <cell r="E804" t="str">
            <v>0020020021ZYLC0005</v>
          </cell>
          <cell r="H804" t="str">
            <v>大洋集团诊所</v>
          </cell>
          <cell r="J804" t="str">
            <v>1856</v>
          </cell>
          <cell r="K804" t="str">
            <v>201602151421097</v>
          </cell>
          <cell r="M804" t="str">
            <v>小儿严迪片/罗红霉素分散片50mg*12片</v>
          </cell>
        </row>
        <row r="805">
          <cell r="E805" t="str">
            <v>0020030020ZYLC0010</v>
          </cell>
          <cell r="H805" t="str">
            <v>大洋集团诊所</v>
          </cell>
          <cell r="J805" t="str">
            <v>1856</v>
          </cell>
          <cell r="K805" t="str">
            <v>201602151421097</v>
          </cell>
          <cell r="M805" t="str">
            <v>乳酸菌素片/为消0.4g*36片</v>
          </cell>
        </row>
        <row r="806">
          <cell r="E806" t="str">
            <v>0020050090SJZY0001</v>
          </cell>
          <cell r="H806" t="str">
            <v>邹平县宏盛堂大药店</v>
          </cell>
          <cell r="J806" t="str">
            <v>1859</v>
          </cell>
          <cell r="K806" t="str">
            <v>201602151421097</v>
          </cell>
          <cell r="M806" t="str">
            <v>双黄连口服液10ml*10支</v>
          </cell>
        </row>
        <row r="807">
          <cell r="E807" t="str">
            <v>0020030001SJZY0009</v>
          </cell>
          <cell r="H807" t="str">
            <v>邹平县宏盛堂大药店</v>
          </cell>
          <cell r="J807" t="str">
            <v>1859</v>
          </cell>
          <cell r="K807" t="str">
            <v>201602151421097</v>
          </cell>
          <cell r="M807" t="str">
            <v>葡萄糖酸锌口服液10ML*12支</v>
          </cell>
        </row>
        <row r="808">
          <cell r="E808" t="str">
            <v>0020030001SJZY0006</v>
          </cell>
          <cell r="H808" t="str">
            <v>邹平县宏盛堂大药店</v>
          </cell>
          <cell r="J808" t="str">
            <v>1859</v>
          </cell>
          <cell r="K808" t="str">
            <v>201602151421097</v>
          </cell>
          <cell r="M808" t="str">
            <v>葡萄糖酸钙口服溶液（含糖）10ml*12支</v>
          </cell>
        </row>
        <row r="809">
          <cell r="E809" t="str">
            <v>0020100000ZYLC0012</v>
          </cell>
          <cell r="H809" t="str">
            <v>邹平县宏盛堂大药店</v>
          </cell>
          <cell r="J809" t="str">
            <v>1859</v>
          </cell>
          <cell r="K809" t="str">
            <v>201602151421097</v>
          </cell>
          <cell r="M809" t="str">
            <v>退热贴40mm*110mm*2贴</v>
          </cell>
        </row>
        <row r="810">
          <cell r="E810" t="str">
            <v>0020020020ZYZC0473</v>
          </cell>
          <cell r="H810" t="str">
            <v>滨州市靖和堂大药房医药连锁有限公司</v>
          </cell>
          <cell r="J810" t="str">
            <v>1858</v>
          </cell>
          <cell r="K810" t="str">
            <v>201602151421097</v>
          </cell>
          <cell r="M810" t="str">
            <v>盐酸环丙沙星片0.25g*12片</v>
          </cell>
        </row>
        <row r="811">
          <cell r="E811" t="str">
            <v>0020020030ZYZC0264</v>
          </cell>
          <cell r="H811" t="str">
            <v>滨州市靖和堂大药房医药连锁有限公司</v>
          </cell>
          <cell r="J811" t="str">
            <v>1858</v>
          </cell>
          <cell r="K811" t="str">
            <v>201602151421097</v>
          </cell>
          <cell r="M811" t="str">
            <v>阿莫西林胶囊0.5g*20粒</v>
          </cell>
        </row>
        <row r="812">
          <cell r="E812" t="str">
            <v>0020070001ZYZC0383</v>
          </cell>
          <cell r="H812" t="str">
            <v>滨州市靖和堂大药房医药连锁有限公司</v>
          </cell>
          <cell r="J812" t="str">
            <v>1858</v>
          </cell>
          <cell r="K812" t="str">
            <v>201602151421097</v>
          </cell>
          <cell r="M812" t="str">
            <v>哈药牌钙铁锌口服液10ml*10支</v>
          </cell>
        </row>
        <row r="813">
          <cell r="E813" t="str">
            <v>0020030001SJZY0009</v>
          </cell>
          <cell r="H813" t="str">
            <v>商店镇魏宅社区卫生室</v>
          </cell>
          <cell r="J813" t="str">
            <v>1855</v>
          </cell>
          <cell r="K813" t="str">
            <v>201602151421097</v>
          </cell>
          <cell r="M813" t="str">
            <v>葡萄糖酸锌口服液10ML*12支</v>
          </cell>
        </row>
        <row r="814">
          <cell r="E814" t="str">
            <v>0020070001ZYLC0001</v>
          </cell>
          <cell r="H814" t="str">
            <v>商店镇魏宅社区卫生室</v>
          </cell>
          <cell r="J814" t="str">
            <v>1855</v>
          </cell>
          <cell r="K814" t="str">
            <v>201602151421097</v>
          </cell>
          <cell r="M814" t="str">
            <v>哈药六钙锌口服液10ml*12支</v>
          </cell>
        </row>
        <row r="815">
          <cell r="E815" t="str">
            <v>0020050090SJZY0001</v>
          </cell>
          <cell r="H815" t="str">
            <v>无棣万盛堂药店连锁有限公司</v>
          </cell>
          <cell r="J815" t="str">
            <v>1856</v>
          </cell>
          <cell r="K815" t="str">
            <v>201602151421097</v>
          </cell>
          <cell r="M815" t="str">
            <v>双黄连口服液10ml*10支</v>
          </cell>
        </row>
        <row r="816">
          <cell r="E816" t="str">
            <v>0020030020SJSC0004</v>
          </cell>
          <cell r="H816" t="str">
            <v>无棣万盛堂药店连锁有限公司</v>
          </cell>
          <cell r="J816" t="str">
            <v>1856</v>
          </cell>
          <cell r="K816" t="str">
            <v>201602151421097</v>
          </cell>
          <cell r="M816" t="str">
            <v>胃必治/复方铝酸铋片50片</v>
          </cell>
        </row>
        <row r="817">
          <cell r="E817" t="str">
            <v>0020020030ZYZC0282</v>
          </cell>
          <cell r="H817" t="str">
            <v>大洋集团诊所</v>
          </cell>
          <cell r="J817" t="str">
            <v>1856</v>
          </cell>
          <cell r="K817" t="str">
            <v>201602151421097</v>
          </cell>
          <cell r="M817" t="str">
            <v>小檗碱甲氧苄啶胶囊30粒</v>
          </cell>
        </row>
        <row r="818">
          <cell r="E818" t="str">
            <v>0020030001SJZY0009</v>
          </cell>
          <cell r="H818" t="str">
            <v>杜店刘桂然诊所</v>
          </cell>
          <cell r="J818" t="str">
            <v>1853</v>
          </cell>
          <cell r="K818" t="str">
            <v>201602151421097</v>
          </cell>
          <cell r="M818" t="str">
            <v>葡萄糖酸锌口服液10ML*12支</v>
          </cell>
        </row>
        <row r="819">
          <cell r="E819" t="str">
            <v>0020040001SHYT0018</v>
          </cell>
          <cell r="H819" t="str">
            <v>商店镇北街社区卫生室</v>
          </cell>
          <cell r="J819" t="str">
            <v>1855</v>
          </cell>
          <cell r="K819" t="str">
            <v>201602151421097</v>
          </cell>
          <cell r="M819" t="str">
            <v>血府逐淤丸9g*10丸</v>
          </cell>
        </row>
        <row r="820">
          <cell r="E820" t="str">
            <v>0020030020SJSC0014</v>
          </cell>
          <cell r="H820" t="str">
            <v>商店镇北街社区卫生室</v>
          </cell>
          <cell r="J820" t="str">
            <v>1855</v>
          </cell>
          <cell r="K820" t="str">
            <v>201602151421097</v>
          </cell>
          <cell r="M820" t="str">
            <v>维D2磷酸氢钙片60片</v>
          </cell>
        </row>
        <row r="821">
          <cell r="E821" t="str">
            <v>0020050090ZYEC0005</v>
          </cell>
          <cell r="H821" t="str">
            <v>阳信县仁和堂医药连锁有限公司</v>
          </cell>
          <cell r="J821" t="str">
            <v>1855</v>
          </cell>
          <cell r="K821" t="str">
            <v>201602151421097</v>
          </cell>
          <cell r="M821" t="str">
            <v>清热解毒口服液10ML*10支</v>
          </cell>
        </row>
        <row r="822">
          <cell r="E822" t="str">
            <v>0020020030ZYZC0264</v>
          </cell>
          <cell r="H822" t="str">
            <v>阳信县仁和堂医药连锁有限公司</v>
          </cell>
          <cell r="J822" t="str">
            <v>1855</v>
          </cell>
          <cell r="K822" t="str">
            <v>201602151421097</v>
          </cell>
          <cell r="M822" t="str">
            <v>阿莫西林胶囊0.5g*20粒</v>
          </cell>
        </row>
        <row r="823">
          <cell r="E823" t="str">
            <v>0020040001SHYT0026</v>
          </cell>
          <cell r="H823" t="str">
            <v>阳信县仁和堂医药连锁有限公司</v>
          </cell>
          <cell r="J823" t="str">
            <v>1855</v>
          </cell>
          <cell r="K823" t="str">
            <v>201602151421097</v>
          </cell>
          <cell r="M823" t="str">
            <v>小活络丸3g*10丸</v>
          </cell>
        </row>
        <row r="824">
          <cell r="E824" t="str">
            <v>0020030020ZYLC0005</v>
          </cell>
          <cell r="H824" t="str">
            <v>阳信县仁和堂医药连锁有限公司</v>
          </cell>
          <cell r="J824" t="str">
            <v>1855</v>
          </cell>
          <cell r="K824" t="str">
            <v>201602151421097</v>
          </cell>
          <cell r="M824" t="str">
            <v>小儿氨酚黄那敏片0.125g*20片</v>
          </cell>
        </row>
        <row r="825">
          <cell r="E825" t="str">
            <v>0020020020ZYZC0473</v>
          </cell>
          <cell r="H825" t="str">
            <v>阳信县仁和堂医药连锁有限公司</v>
          </cell>
          <cell r="J825" t="str">
            <v>1855</v>
          </cell>
          <cell r="K825" t="str">
            <v>201602151421097</v>
          </cell>
          <cell r="M825" t="str">
            <v>盐酸环丙沙星片0.25g*12片</v>
          </cell>
        </row>
        <row r="826">
          <cell r="E826" t="str">
            <v>0020020030ZYZC0283</v>
          </cell>
          <cell r="H826" t="str">
            <v>阳信县仁和堂医药连锁有限公司</v>
          </cell>
          <cell r="J826" t="str">
            <v>1855</v>
          </cell>
          <cell r="K826" t="str">
            <v>201602151421097</v>
          </cell>
          <cell r="M826" t="str">
            <v>头孢拉定胶囊0.25g*24粒</v>
          </cell>
        </row>
        <row r="827">
          <cell r="E827" t="str">
            <v>0020020020ZYZC0359</v>
          </cell>
          <cell r="H827" t="str">
            <v>阳信县仁和堂医药连锁有限公司</v>
          </cell>
          <cell r="J827" t="str">
            <v>1855</v>
          </cell>
          <cell r="K827" t="str">
            <v>201602151421097</v>
          </cell>
          <cell r="M827" t="str">
            <v>青霉素V钾片（仙芬）0.236g*24片</v>
          </cell>
        </row>
        <row r="828">
          <cell r="E828" t="str">
            <v>0020050090ZYEC0004</v>
          </cell>
          <cell r="H828" t="str">
            <v>阳信县仁和堂医药连锁有限公司</v>
          </cell>
          <cell r="J828" t="str">
            <v>1855</v>
          </cell>
          <cell r="K828" t="str">
            <v>201602151421097</v>
          </cell>
          <cell r="M828" t="str">
            <v>刺五加脑灵液100ml</v>
          </cell>
        </row>
        <row r="829">
          <cell r="E829" t="str">
            <v>0020020021ZYLC0015</v>
          </cell>
          <cell r="H829" t="str">
            <v>阳信县仁和堂医药连锁有限公司</v>
          </cell>
          <cell r="J829" t="str">
            <v>1855</v>
          </cell>
          <cell r="K829" t="str">
            <v>201602151421097</v>
          </cell>
          <cell r="M829" t="str">
            <v>克拉霉素分散片/长迪0.125g*24粒</v>
          </cell>
        </row>
        <row r="830">
          <cell r="E830" t="str">
            <v>0020020021ZYLC0012</v>
          </cell>
          <cell r="H830" t="str">
            <v>阳信县仁和堂医药连锁有限公司</v>
          </cell>
          <cell r="J830" t="str">
            <v>1855</v>
          </cell>
          <cell r="K830" t="str">
            <v>201602151421097</v>
          </cell>
          <cell r="M830" t="str">
            <v>阿奇霉素分散片0.25*6片</v>
          </cell>
        </row>
        <row r="831">
          <cell r="E831" t="str">
            <v>0020020030ZYZC0511</v>
          </cell>
          <cell r="H831" t="str">
            <v>阳信县仁和堂医药连锁有限公司</v>
          </cell>
          <cell r="J831" t="str">
            <v>1855</v>
          </cell>
          <cell r="K831" t="str">
            <v>201602151421097</v>
          </cell>
          <cell r="M831" t="str">
            <v>头孢氨苄胶囊0.125g*20粒</v>
          </cell>
        </row>
        <row r="832">
          <cell r="E832" t="str">
            <v>0020020021ZYLC0015</v>
          </cell>
          <cell r="H832" t="str">
            <v>阳信县仁和堂医药连锁有限公司</v>
          </cell>
          <cell r="J832" t="str">
            <v>1855</v>
          </cell>
          <cell r="K832" t="str">
            <v>201602151421097</v>
          </cell>
          <cell r="M832" t="str">
            <v>克拉霉素分散片/长迪0.125g*24粒</v>
          </cell>
        </row>
        <row r="833">
          <cell r="E833" t="str">
            <v>0020030020SJSC0014</v>
          </cell>
          <cell r="H833" t="str">
            <v>阳信县仁和堂医药连锁有限公司</v>
          </cell>
          <cell r="J833" t="str">
            <v>1855</v>
          </cell>
          <cell r="K833" t="str">
            <v>201602151421097</v>
          </cell>
          <cell r="M833" t="str">
            <v>维D2磷酸氢钙片60片</v>
          </cell>
        </row>
        <row r="834">
          <cell r="E834" t="str">
            <v>0020020021ZYZC0341</v>
          </cell>
          <cell r="H834" t="str">
            <v>阳信县仁和堂医药连锁有限公司</v>
          </cell>
          <cell r="J834" t="str">
            <v>1855</v>
          </cell>
          <cell r="K834" t="str">
            <v>201602151421097</v>
          </cell>
          <cell r="M834" t="str">
            <v>阿莫西林克拉维酸钾分散片0.2285g*12片</v>
          </cell>
        </row>
        <row r="835">
          <cell r="E835" t="str">
            <v>0020030020ZYLC0010</v>
          </cell>
          <cell r="H835" t="str">
            <v>阳信县仁和堂医药连锁有限公司</v>
          </cell>
          <cell r="J835" t="str">
            <v>1855</v>
          </cell>
          <cell r="K835" t="str">
            <v>201602151421097</v>
          </cell>
          <cell r="M835" t="str">
            <v>乳酸菌素片/为消0.4g*36片</v>
          </cell>
        </row>
        <row r="836">
          <cell r="E836" t="str">
            <v>0020030040ZYLC0001</v>
          </cell>
          <cell r="H836" t="str">
            <v xml:space="preserve">邹平县方正医药有限公司 </v>
          </cell>
          <cell r="J836" t="str">
            <v>1859</v>
          </cell>
          <cell r="K836" t="str">
            <v>201602151421097</v>
          </cell>
          <cell r="M836" t="str">
            <v>护彤冲剂/小儿氨酚黄那敏颗粒2g*12袋</v>
          </cell>
        </row>
        <row r="837">
          <cell r="E837" t="str">
            <v>0020020021ZYLC0005</v>
          </cell>
          <cell r="H837" t="str">
            <v>阳信荣军诊所</v>
          </cell>
          <cell r="J837" t="str">
            <v>1855</v>
          </cell>
          <cell r="K837" t="str">
            <v>201602151421097</v>
          </cell>
          <cell r="M837" t="str">
            <v>小儿严迪片/罗红霉素分散片50mg*12片</v>
          </cell>
        </row>
        <row r="838">
          <cell r="E838" t="str">
            <v>0020070000ZYLC0001</v>
          </cell>
          <cell r="H838" t="str">
            <v>阳信镇行宫庙村卫生室</v>
          </cell>
          <cell r="J838" t="str">
            <v>1855</v>
          </cell>
          <cell r="K838" t="str">
            <v>201602151421097</v>
          </cell>
          <cell r="M838" t="str">
            <v>新盖中盖高钙片2.5g*36P</v>
          </cell>
        </row>
        <row r="839">
          <cell r="E839" t="str">
            <v>0020070001ZYLC0001</v>
          </cell>
          <cell r="H839" t="str">
            <v>阳信镇行宫庙村卫生室</v>
          </cell>
          <cell r="J839" t="str">
            <v>1855</v>
          </cell>
          <cell r="K839" t="str">
            <v>201602151421097</v>
          </cell>
          <cell r="M839" t="str">
            <v>哈药六钙锌口服液10ml*12支</v>
          </cell>
        </row>
        <row r="840">
          <cell r="E840" t="str">
            <v>0020020020ZYLC0003</v>
          </cell>
          <cell r="H840" t="str">
            <v>阳信镇行宫庙村卫生室</v>
          </cell>
          <cell r="J840" t="str">
            <v>1855</v>
          </cell>
          <cell r="K840" t="str">
            <v>201602151421097</v>
          </cell>
          <cell r="M840" t="str">
            <v>泻立停片/颠茄磺苄啶片0.4g：80mg：8mg*12片</v>
          </cell>
        </row>
        <row r="841">
          <cell r="E841" t="str">
            <v>0020030040ZYLC0001</v>
          </cell>
          <cell r="H841" t="str">
            <v>阳信镇行宫庙村卫生室</v>
          </cell>
          <cell r="J841" t="str">
            <v>1855</v>
          </cell>
          <cell r="K841" t="str">
            <v>201602151421097</v>
          </cell>
          <cell r="M841" t="str">
            <v>护彤冲剂/小儿氨酚黄那敏颗粒2g*12袋</v>
          </cell>
        </row>
        <row r="842">
          <cell r="E842" t="str">
            <v>0020020030ZYZC0508</v>
          </cell>
          <cell r="H842" t="str">
            <v>阳信镇行宫庙村卫生室</v>
          </cell>
          <cell r="J842" t="str">
            <v>1855</v>
          </cell>
          <cell r="K842" t="str">
            <v>201602151421097</v>
          </cell>
          <cell r="M842" t="str">
            <v>阿莫西林胶囊0.25g*20s</v>
          </cell>
        </row>
        <row r="843">
          <cell r="E843" t="str">
            <v>0020020013ZYZC0491</v>
          </cell>
          <cell r="H843" t="str">
            <v>黄山办乔木新村卫生室</v>
          </cell>
          <cell r="J843" t="str">
            <v>1859</v>
          </cell>
          <cell r="K843" t="str">
            <v>201602151421097</v>
          </cell>
          <cell r="M843" t="str">
            <v>阿奇针/注射用乳糖酸阿奇霉素针0.25g</v>
          </cell>
        </row>
        <row r="844">
          <cell r="E844" t="str">
            <v>0020040220SHYT0004</v>
          </cell>
          <cell r="H844" t="str">
            <v>商店镇王朝正社区卫生室</v>
          </cell>
          <cell r="J844" t="str">
            <v>1855</v>
          </cell>
          <cell r="K844" t="str">
            <v>201602151421097</v>
          </cell>
          <cell r="M844" t="str">
            <v>妇宁栓1.6g*8枚</v>
          </cell>
        </row>
        <row r="845">
          <cell r="E845" t="str">
            <v>0020020021ZYLC0004</v>
          </cell>
          <cell r="H845" t="str">
            <v>邹平孙辉诊所</v>
          </cell>
          <cell r="J845" t="str">
            <v>1859</v>
          </cell>
          <cell r="K845" t="str">
            <v>201602151421097</v>
          </cell>
          <cell r="M845" t="str">
            <v>大严迪片/罗红霉素分散片75mg*12片</v>
          </cell>
        </row>
        <row r="846">
          <cell r="E846" t="str">
            <v>0020020030ZYZC0508</v>
          </cell>
          <cell r="H846" t="str">
            <v>阳信县商店镇台属大药房</v>
          </cell>
          <cell r="J846" t="str">
            <v>1855</v>
          </cell>
          <cell r="K846" t="str">
            <v>201602151421097</v>
          </cell>
          <cell r="M846" t="str">
            <v>阿莫西林胶囊0.25g*20s</v>
          </cell>
        </row>
        <row r="847">
          <cell r="E847" t="str">
            <v>0020030001SJZY0009</v>
          </cell>
          <cell r="H847" t="str">
            <v>信诚街道接官亭村第一卫生室</v>
          </cell>
          <cell r="J847" t="str">
            <v>1855</v>
          </cell>
          <cell r="K847" t="str">
            <v>201602151421097</v>
          </cell>
          <cell r="M847" t="str">
            <v>葡萄糖酸锌口服液10ML*12支</v>
          </cell>
        </row>
        <row r="848">
          <cell r="E848" t="str">
            <v>0020020021ZYLC0011</v>
          </cell>
          <cell r="H848" t="str">
            <v>流坡坞镇南街社区卫生室</v>
          </cell>
          <cell r="J848" t="str">
            <v>1855</v>
          </cell>
          <cell r="K848" t="str">
            <v>201602151421097</v>
          </cell>
          <cell r="M848" t="str">
            <v>严迪/罗红霉素分散片150mg*12片</v>
          </cell>
        </row>
        <row r="849">
          <cell r="E849" t="str">
            <v>0020030001SJZY0006</v>
          </cell>
          <cell r="H849" t="str">
            <v>惠民县春英大药房</v>
          </cell>
          <cell r="J849" t="str">
            <v>1854</v>
          </cell>
          <cell r="K849" t="str">
            <v>201602151421097</v>
          </cell>
          <cell r="M849" t="str">
            <v>葡萄糖酸钙口服溶液（含糖）10ml*12支</v>
          </cell>
        </row>
        <row r="850">
          <cell r="E850" t="str">
            <v>0020050090SJZY0001</v>
          </cell>
          <cell r="H850" t="str">
            <v>惠民县春英大药房</v>
          </cell>
          <cell r="J850" t="str">
            <v>1854</v>
          </cell>
          <cell r="K850" t="str">
            <v>201602151421097</v>
          </cell>
          <cell r="M850" t="str">
            <v>双黄连口服液10ml*10支</v>
          </cell>
        </row>
        <row r="851">
          <cell r="E851" t="str">
            <v>0020030001SJZY0009</v>
          </cell>
          <cell r="H851" t="str">
            <v>惠民县春英大药房</v>
          </cell>
          <cell r="J851" t="str">
            <v>1854</v>
          </cell>
          <cell r="K851" t="str">
            <v>201602151421097</v>
          </cell>
          <cell r="M851" t="str">
            <v>葡萄糖酸锌口服液10ML*12支</v>
          </cell>
        </row>
        <row r="852">
          <cell r="E852" t="str">
            <v>0020020030ZYZC0508</v>
          </cell>
          <cell r="H852" t="str">
            <v>惠民县春英大药房</v>
          </cell>
          <cell r="J852" t="str">
            <v>1854</v>
          </cell>
          <cell r="K852" t="str">
            <v>201602151421097</v>
          </cell>
          <cell r="M852" t="str">
            <v>阿莫西林胶囊0.25g*20s</v>
          </cell>
        </row>
        <row r="853">
          <cell r="E853" t="str">
            <v>0020030001SJZY0006</v>
          </cell>
          <cell r="H853" t="str">
            <v>滨城区彭李街道办事处张课第一卫生室</v>
          </cell>
          <cell r="J853" t="str">
            <v>1853</v>
          </cell>
          <cell r="K853" t="str">
            <v>201602151421097</v>
          </cell>
          <cell r="M853" t="str">
            <v>葡萄糖酸钙口服溶液（含糖）10ml*12支</v>
          </cell>
        </row>
        <row r="854">
          <cell r="E854" t="str">
            <v>0020070001ZYZC0377</v>
          </cell>
          <cell r="H854" t="str">
            <v>滨城区市西街道办事处兴民社区卫生服务站</v>
          </cell>
          <cell r="J854" t="str">
            <v>1853</v>
          </cell>
          <cell r="K854" t="str">
            <v>201602151421097</v>
          </cell>
          <cell r="M854" t="str">
            <v>哈药牌钙铁锌口服液10ml*15支</v>
          </cell>
        </row>
        <row r="855">
          <cell r="E855" t="str">
            <v>0020030040ZYLC0001</v>
          </cell>
          <cell r="H855" t="str">
            <v>文化街康民卫生室</v>
          </cell>
          <cell r="J855" t="str">
            <v>1854</v>
          </cell>
          <cell r="K855" t="str">
            <v>201602151421097</v>
          </cell>
          <cell r="M855" t="str">
            <v>护彤冲剂/小儿氨酚黄那敏颗粒2g*12袋</v>
          </cell>
        </row>
        <row r="856">
          <cell r="E856" t="str">
            <v>0020020020ZYLC0003</v>
          </cell>
          <cell r="H856" t="str">
            <v>文化街康民卫生室</v>
          </cell>
          <cell r="J856" t="str">
            <v>1854</v>
          </cell>
          <cell r="K856" t="str">
            <v>201602151421097</v>
          </cell>
          <cell r="M856" t="str">
            <v>泻立停片/颠茄磺苄啶片0.4g：80mg：8mg*12片</v>
          </cell>
        </row>
        <row r="857">
          <cell r="E857" t="str">
            <v>0020030001SJZY0009</v>
          </cell>
          <cell r="H857" t="str">
            <v>邹平惠康医药有限公司</v>
          </cell>
          <cell r="J857" t="str">
            <v>1859</v>
          </cell>
          <cell r="K857" t="str">
            <v>201602151421097</v>
          </cell>
          <cell r="M857" t="str">
            <v>葡萄糖酸锌口服液10ML*12支</v>
          </cell>
        </row>
        <row r="858">
          <cell r="E858" t="str">
            <v>0020030001SJZY0006</v>
          </cell>
          <cell r="H858" t="str">
            <v>邹平惠康医药有限公司</v>
          </cell>
          <cell r="J858" t="str">
            <v>1859</v>
          </cell>
          <cell r="K858" t="str">
            <v>201602151421097</v>
          </cell>
          <cell r="M858" t="str">
            <v>葡萄糖酸钙口服溶液（含糖）10ml*12支</v>
          </cell>
        </row>
        <row r="859">
          <cell r="E859" t="str">
            <v>0020050090SJZY0001</v>
          </cell>
          <cell r="H859" t="str">
            <v>邹平惠康医药有限公司</v>
          </cell>
          <cell r="J859" t="str">
            <v>1859</v>
          </cell>
          <cell r="K859" t="str">
            <v>201602151421097</v>
          </cell>
          <cell r="M859" t="str">
            <v>双黄连口服液10ml*10支</v>
          </cell>
        </row>
        <row r="860">
          <cell r="E860" t="str">
            <v>0020020030ZYZC0508</v>
          </cell>
          <cell r="H860" t="str">
            <v>文化街康民卫生室</v>
          </cell>
          <cell r="J860" t="str">
            <v>1854</v>
          </cell>
          <cell r="K860" t="str">
            <v>201602151421097</v>
          </cell>
          <cell r="M860" t="str">
            <v>阿莫西林胶囊0.25g*20s</v>
          </cell>
        </row>
        <row r="861">
          <cell r="E861" t="str">
            <v>0020020021ZYLC0011</v>
          </cell>
          <cell r="H861" t="str">
            <v>无棣县埕口镇万豪药店</v>
          </cell>
          <cell r="J861" t="str">
            <v>1856</v>
          </cell>
          <cell r="K861" t="str">
            <v>201602151421097</v>
          </cell>
          <cell r="M861" t="str">
            <v>严迪/罗红霉素分散片150mg*12片</v>
          </cell>
        </row>
        <row r="862">
          <cell r="E862" t="str">
            <v>0020030001SJZY0006</v>
          </cell>
          <cell r="H862" t="str">
            <v>滨州市沾化区泊头镇卫生院</v>
          </cell>
          <cell r="J862" t="str">
            <v>1857</v>
          </cell>
          <cell r="K862" t="str">
            <v>201602151421097</v>
          </cell>
          <cell r="M862" t="str">
            <v>葡萄糖酸钙口服溶液（含糖）10ml*12支</v>
          </cell>
        </row>
        <row r="863">
          <cell r="E863" t="str">
            <v>0020030001SJZY0006</v>
          </cell>
          <cell r="H863" t="str">
            <v>欣康诊所</v>
          </cell>
          <cell r="J863" t="str">
            <v>1857</v>
          </cell>
          <cell r="K863" t="str">
            <v>201602151421097</v>
          </cell>
          <cell r="M863" t="str">
            <v>葡萄糖酸钙口服溶液（含糖）10ml*12支</v>
          </cell>
        </row>
        <row r="864">
          <cell r="E864" t="str">
            <v>0020030001SJZY0006</v>
          </cell>
          <cell r="H864" t="str">
            <v>滨州市滨城区彭李街道办事处安民社区卫生服务站</v>
          </cell>
          <cell r="J864" t="str">
            <v>1853</v>
          </cell>
          <cell r="K864" t="str">
            <v>201602151421097</v>
          </cell>
          <cell r="M864" t="str">
            <v>葡萄糖酸钙口服溶液（含糖）10ml*12支</v>
          </cell>
        </row>
        <row r="865">
          <cell r="E865" t="str">
            <v>0020030001SJZY0009</v>
          </cell>
          <cell r="H865" t="str">
            <v>滨州市滨城区彭李街道办事处安民社区卫生服务站</v>
          </cell>
          <cell r="J865" t="str">
            <v>1853</v>
          </cell>
          <cell r="K865" t="str">
            <v>201602151421097</v>
          </cell>
          <cell r="M865" t="str">
            <v>葡萄糖酸锌口服液10ML*12支</v>
          </cell>
        </row>
        <row r="866">
          <cell r="E866" t="str">
            <v>0020030001SJZY0009</v>
          </cell>
          <cell r="H866" t="str">
            <v>滨州市滨城区彭李街道办事处安民社区卫生服务站</v>
          </cell>
          <cell r="J866" t="str">
            <v>1853</v>
          </cell>
          <cell r="K866" t="str">
            <v>201602151421097</v>
          </cell>
          <cell r="M866" t="str">
            <v>葡萄糖酸锌口服液10ML*12支</v>
          </cell>
        </row>
        <row r="867">
          <cell r="E867" t="str">
            <v>0020050090SJZY0001</v>
          </cell>
          <cell r="H867" t="str">
            <v>阳信县河流镇餐具厂卫生所</v>
          </cell>
          <cell r="J867" t="str">
            <v>1855</v>
          </cell>
          <cell r="K867" t="str">
            <v>201602151421097</v>
          </cell>
          <cell r="M867" t="str">
            <v>双黄连口服液10ml*10支</v>
          </cell>
        </row>
        <row r="868">
          <cell r="E868" t="str">
            <v>0020030040ZYLC0001</v>
          </cell>
          <cell r="H868" t="str">
            <v>滨州市沾化区下河乡卫生院</v>
          </cell>
          <cell r="J868" t="str">
            <v>1857</v>
          </cell>
          <cell r="K868" t="str">
            <v>201602151421097</v>
          </cell>
          <cell r="M868" t="str">
            <v>护彤冲剂/小儿氨酚黄那敏颗粒2g*12袋</v>
          </cell>
        </row>
        <row r="869">
          <cell r="E869" t="str">
            <v>0020030001SJZY0006</v>
          </cell>
          <cell r="H869" t="str">
            <v>阳信镇段赵村卫生室</v>
          </cell>
          <cell r="J869" t="str">
            <v>1855</v>
          </cell>
          <cell r="K869" t="str">
            <v>201602151421097</v>
          </cell>
          <cell r="M869" t="str">
            <v>葡萄糖酸钙口服溶液（含糖）10ml*12支</v>
          </cell>
        </row>
        <row r="870">
          <cell r="E870" t="str">
            <v>0020070000ZYLC0001</v>
          </cell>
          <cell r="H870" t="str">
            <v>沾化济生堂大药房连锁有限公司</v>
          </cell>
          <cell r="J870" t="str">
            <v>1857</v>
          </cell>
          <cell r="K870" t="str">
            <v>201602151421097</v>
          </cell>
          <cell r="M870" t="str">
            <v>新盖中盖高钙片2.5g*36P</v>
          </cell>
        </row>
        <row r="871">
          <cell r="E871" t="str">
            <v>0020030020SJSC0004</v>
          </cell>
          <cell r="H871" t="str">
            <v>沾化济生堂大药房连锁有限公司</v>
          </cell>
          <cell r="J871" t="str">
            <v>1857</v>
          </cell>
          <cell r="K871" t="str">
            <v>201602151421097</v>
          </cell>
          <cell r="M871" t="str">
            <v>胃必治/复方铝酸铋片50片</v>
          </cell>
        </row>
        <row r="872">
          <cell r="E872" t="str">
            <v>0020030001SJZY0009</v>
          </cell>
          <cell r="H872" t="str">
            <v xml:space="preserve">水落坡镇水落坡街村南卫生室 </v>
          </cell>
          <cell r="J872" t="str">
            <v>1855</v>
          </cell>
          <cell r="K872" t="str">
            <v>201602151421097</v>
          </cell>
          <cell r="M872" t="str">
            <v>葡萄糖酸锌口服液10ML*12支</v>
          </cell>
        </row>
        <row r="873">
          <cell r="E873" t="str">
            <v>0020020021ZYLC0010</v>
          </cell>
          <cell r="H873" t="str">
            <v>博兴县福康大药房</v>
          </cell>
          <cell r="J873" t="str">
            <v>1858</v>
          </cell>
          <cell r="K873" t="str">
            <v>201602151421097</v>
          </cell>
          <cell r="M873" t="str">
            <v>克拉霉素分散片0.125g*12片</v>
          </cell>
        </row>
        <row r="874">
          <cell r="E874" t="str">
            <v>0020030001SJZY0006</v>
          </cell>
          <cell r="H874" t="str">
            <v>滨州市沾化区中医院</v>
          </cell>
          <cell r="J874" t="str">
            <v>1857</v>
          </cell>
          <cell r="K874" t="str">
            <v>201602151421097</v>
          </cell>
          <cell r="M874" t="str">
            <v>葡萄糖酸钙口服溶液（含糖）10ml*12支</v>
          </cell>
        </row>
        <row r="875">
          <cell r="E875" t="str">
            <v>0020030001SJZY0006</v>
          </cell>
          <cell r="H875" t="str">
            <v>信诚街道接官亭村第一卫生室</v>
          </cell>
          <cell r="J875" t="str">
            <v>1855</v>
          </cell>
          <cell r="K875" t="str">
            <v>201602151421097</v>
          </cell>
          <cell r="M875" t="str">
            <v>葡萄糖酸钙口服溶液（含糖）10ml*12支</v>
          </cell>
        </row>
        <row r="876">
          <cell r="E876" t="str">
            <v>0020100000ZYLC0012</v>
          </cell>
          <cell r="H876" t="str">
            <v>沾化区黄升镇黄四中心卫生室</v>
          </cell>
          <cell r="J876" t="str">
            <v>1857</v>
          </cell>
          <cell r="K876" t="str">
            <v>201602151421097</v>
          </cell>
          <cell r="M876" t="str">
            <v>退热贴40mm*110mm*2贴</v>
          </cell>
        </row>
        <row r="877">
          <cell r="E877" t="str">
            <v>0020020020ZYLC0003</v>
          </cell>
          <cell r="H877" t="str">
            <v>水落坡乡郭赵湾社区卫生室</v>
          </cell>
          <cell r="J877" t="str">
            <v>1855</v>
          </cell>
          <cell r="K877" t="str">
            <v>201602151421097</v>
          </cell>
          <cell r="M877" t="str">
            <v>泻立停片/颠茄磺苄啶片0.4g：80mg：8mg*12片</v>
          </cell>
        </row>
        <row r="878">
          <cell r="E878" t="str">
            <v>0020070001ZYLC0001</v>
          </cell>
          <cell r="H878" t="str">
            <v>水落坡乡五支刘社区卫生室</v>
          </cell>
          <cell r="J878" t="str">
            <v>1855</v>
          </cell>
          <cell r="K878" t="str">
            <v>201602151421097</v>
          </cell>
          <cell r="M878" t="str">
            <v>哈药六钙锌口服液10ml*12支</v>
          </cell>
        </row>
        <row r="879">
          <cell r="E879" t="str">
            <v>0020020021ZYLC0011</v>
          </cell>
          <cell r="H879" t="str">
            <v>阳信县天天平价医药连锁有限公司</v>
          </cell>
          <cell r="J879" t="str">
            <v>1855</v>
          </cell>
          <cell r="K879" t="str">
            <v>201602151421097</v>
          </cell>
          <cell r="M879" t="str">
            <v>严迪/罗红霉素分散片150mg*12片</v>
          </cell>
        </row>
        <row r="880">
          <cell r="E880" t="str">
            <v>0020020020ZYLC0003</v>
          </cell>
          <cell r="H880" t="str">
            <v>商店镇张连范社区卫生室</v>
          </cell>
          <cell r="J880" t="str">
            <v>1855</v>
          </cell>
          <cell r="K880" t="str">
            <v>201602151421097</v>
          </cell>
          <cell r="M880" t="str">
            <v>泻立停片/颠茄磺苄啶片0.4g：80mg：8mg*12片</v>
          </cell>
        </row>
        <row r="881">
          <cell r="E881" t="str">
            <v>0020040070ZYEC0005</v>
          </cell>
          <cell r="H881" t="str">
            <v>滨州市沾化区泊头镇卫生院</v>
          </cell>
          <cell r="J881" t="str">
            <v>1857</v>
          </cell>
          <cell r="K881" t="str">
            <v>201602151421097</v>
          </cell>
          <cell r="M881" t="str">
            <v>小儿百部止咳糖浆100ml</v>
          </cell>
        </row>
        <row r="882">
          <cell r="E882" t="str">
            <v>0020030020ZYLC0010</v>
          </cell>
          <cell r="H882" t="str">
            <v>无棣康棣医药连锁有限公司</v>
          </cell>
          <cell r="J882" t="str">
            <v>1856</v>
          </cell>
          <cell r="K882" t="str">
            <v>201602151421097</v>
          </cell>
          <cell r="M882" t="str">
            <v>乳酸菌素片/为消0.4g*36片</v>
          </cell>
        </row>
        <row r="883">
          <cell r="E883" t="str">
            <v>0020020021ZYLC0011</v>
          </cell>
          <cell r="H883" t="str">
            <v>滨州恒丰仁和医药连锁有限责任公司</v>
          </cell>
          <cell r="J883" t="str">
            <v>1853</v>
          </cell>
          <cell r="K883" t="str">
            <v>201602151421097</v>
          </cell>
          <cell r="M883" t="str">
            <v>严迪/罗红霉素分散片150mg*12片</v>
          </cell>
        </row>
        <row r="884">
          <cell r="E884" t="str">
            <v>0020020021ZYZC0341</v>
          </cell>
          <cell r="H884" t="str">
            <v>阳信县商店镇台属大药房</v>
          </cell>
          <cell r="J884" t="str">
            <v>1855</v>
          </cell>
          <cell r="K884" t="str">
            <v>201602151421097</v>
          </cell>
          <cell r="M884" t="str">
            <v>阿莫西林克拉维酸钾分散片0.2285g*12片</v>
          </cell>
        </row>
        <row r="885">
          <cell r="E885" t="str">
            <v>0020030040SJET0003</v>
          </cell>
          <cell r="H885" t="str">
            <v>博兴县德仁堂大药房连锁有限公司</v>
          </cell>
          <cell r="J885" t="str">
            <v>1858</v>
          </cell>
          <cell r="K885" t="str">
            <v>201602151421097</v>
          </cell>
          <cell r="M885" t="str">
            <v>氨金黄敏颗粒6g*10袋</v>
          </cell>
        </row>
        <row r="886">
          <cell r="E886" t="str">
            <v>0020030040SJET0003</v>
          </cell>
          <cell r="H886" t="str">
            <v>博兴县德仁堂大药房连锁有限公司</v>
          </cell>
          <cell r="J886" t="str">
            <v>1858</v>
          </cell>
          <cell r="K886" t="str">
            <v>201602151421097</v>
          </cell>
          <cell r="M886" t="str">
            <v>氨金黄敏颗粒6g*10袋</v>
          </cell>
        </row>
        <row r="887">
          <cell r="E887" t="str">
            <v>0020030020ZYLC0010</v>
          </cell>
          <cell r="H887" t="str">
            <v>阳信县第二中学卫生室</v>
          </cell>
          <cell r="J887" t="str">
            <v>1855</v>
          </cell>
          <cell r="K887" t="str">
            <v>201602151421097</v>
          </cell>
          <cell r="M887" t="str">
            <v>乳酸菌素片/为消0.4g*36片</v>
          </cell>
        </row>
        <row r="888">
          <cell r="E888" t="str">
            <v>0020030001SJZY0006</v>
          </cell>
          <cell r="H888" t="str">
            <v>滨州康杰大药房有限责任公司</v>
          </cell>
          <cell r="J888" t="str">
            <v>1853</v>
          </cell>
          <cell r="K888" t="str">
            <v>201602151421097</v>
          </cell>
          <cell r="M888" t="str">
            <v>葡萄糖酸钙口服溶液（含糖）10ml*12支</v>
          </cell>
        </row>
        <row r="889">
          <cell r="E889" t="str">
            <v>0020030001SJZY0006</v>
          </cell>
          <cell r="H889" t="str">
            <v>山东滨州万寿堂医药有限公司万寿堂大药房</v>
          </cell>
          <cell r="J889" t="str">
            <v>1853</v>
          </cell>
          <cell r="K889" t="str">
            <v>201602151421097</v>
          </cell>
          <cell r="M889" t="str">
            <v>葡萄糖酸钙口服溶液（含糖）10ml*12支</v>
          </cell>
        </row>
        <row r="890">
          <cell r="E890" t="str">
            <v>0020030020SJSC0004</v>
          </cell>
          <cell r="H890" t="str">
            <v>滨城区彭李街道办事处张课第一卫生室</v>
          </cell>
          <cell r="J890" t="str">
            <v>1853</v>
          </cell>
          <cell r="K890" t="str">
            <v>201602151421097</v>
          </cell>
          <cell r="M890" t="str">
            <v>胃必治/复方铝酸铋片50片</v>
          </cell>
        </row>
        <row r="891">
          <cell r="E891" t="str">
            <v>0020020030ZYZC0264</v>
          </cell>
          <cell r="H891" t="str">
            <v>阳信镇行宫庙村卫生室</v>
          </cell>
          <cell r="J891" t="str">
            <v>1855</v>
          </cell>
          <cell r="K891" t="str">
            <v>201602151421097</v>
          </cell>
          <cell r="M891" t="str">
            <v>阿莫西林胶囊0.5g*20粒</v>
          </cell>
        </row>
        <row r="892">
          <cell r="E892" t="str">
            <v>0020020021ZYLC0005</v>
          </cell>
          <cell r="H892" t="str">
            <v>滨州市修正堂医药有限公司</v>
          </cell>
          <cell r="J892" t="str">
            <v>1853</v>
          </cell>
          <cell r="K892" t="str">
            <v>201602151421097</v>
          </cell>
          <cell r="M892" t="str">
            <v>小儿严迪片/罗红霉素分散片50mg*12片</v>
          </cell>
        </row>
        <row r="893">
          <cell r="E893" t="str">
            <v>0020020030SJMS0025</v>
          </cell>
          <cell r="H893" t="str">
            <v>滨州市修正堂医药有限公司</v>
          </cell>
          <cell r="J893" t="str">
            <v>1853</v>
          </cell>
          <cell r="K893" t="str">
            <v>201602151421097</v>
          </cell>
          <cell r="M893" t="str">
            <v>人工牛黄甲硝唑胶囊/牙疼安10粒*3板</v>
          </cell>
        </row>
        <row r="894">
          <cell r="E894" t="str">
            <v>0020020021ZYLC0004</v>
          </cell>
          <cell r="H894" t="str">
            <v>滨州市修正堂医药有限公司</v>
          </cell>
          <cell r="J894" t="str">
            <v>1853</v>
          </cell>
          <cell r="K894" t="str">
            <v>201602151421097</v>
          </cell>
          <cell r="M894" t="str">
            <v>大严迪片/罗红霉素分散片75mg*12片</v>
          </cell>
        </row>
        <row r="895">
          <cell r="E895" t="str">
            <v>0020030001SJZY0009</v>
          </cell>
          <cell r="H895" t="str">
            <v>无棣万盛堂药店连锁有限公司</v>
          </cell>
          <cell r="J895" t="str">
            <v>1856</v>
          </cell>
          <cell r="K895" t="str">
            <v>201602151421097</v>
          </cell>
          <cell r="M895" t="str">
            <v>葡萄糖酸锌口服液10ML*12支</v>
          </cell>
        </row>
        <row r="896">
          <cell r="E896" t="str">
            <v>0020030001SJZY0009</v>
          </cell>
          <cell r="H896" t="str">
            <v>惠民县淄角镇东街本草堂药店</v>
          </cell>
          <cell r="J896" t="str">
            <v>1854</v>
          </cell>
          <cell r="K896" t="str">
            <v>201602151421097</v>
          </cell>
          <cell r="M896" t="str">
            <v>葡萄糖酸锌口服液10ML*12支</v>
          </cell>
        </row>
        <row r="897">
          <cell r="E897" t="str">
            <v>0020070001ZYLC0001</v>
          </cell>
          <cell r="H897" t="str">
            <v>惠民县淄角镇东街本草堂药店</v>
          </cell>
          <cell r="J897" t="str">
            <v>1854</v>
          </cell>
          <cell r="K897" t="str">
            <v>201602151421097</v>
          </cell>
          <cell r="M897" t="str">
            <v>哈药六钙锌口服液10ml*12支</v>
          </cell>
        </row>
        <row r="898">
          <cell r="E898" t="str">
            <v>0020020020ZYLC0003</v>
          </cell>
          <cell r="H898" t="str">
            <v>惠民温博园诊所</v>
          </cell>
          <cell r="J898" t="str">
            <v>1854</v>
          </cell>
          <cell r="K898" t="str">
            <v>201602151421097</v>
          </cell>
          <cell r="M898" t="str">
            <v>泻立停片/颠茄磺苄啶片0.4g：80mg：8mg*12片</v>
          </cell>
        </row>
        <row r="899">
          <cell r="E899" t="str">
            <v>0020020021ZYLC0012</v>
          </cell>
          <cell r="H899" t="str">
            <v>邹平仁济堂医药有限公司</v>
          </cell>
          <cell r="J899" t="str">
            <v>1859</v>
          </cell>
          <cell r="K899" t="str">
            <v>201602151421097</v>
          </cell>
          <cell r="M899" t="str">
            <v>阿奇霉素分散片0.25*6片</v>
          </cell>
        </row>
        <row r="900">
          <cell r="E900" t="str">
            <v>0020020040ZYZC0304</v>
          </cell>
          <cell r="H900" t="str">
            <v>邹平仁济堂医药有限公司</v>
          </cell>
          <cell r="J900" t="str">
            <v>1859</v>
          </cell>
          <cell r="K900" t="str">
            <v>201602151421097</v>
          </cell>
          <cell r="M900" t="str">
            <v>阿莫西林颗粒0.125g*12袋</v>
          </cell>
        </row>
        <row r="901">
          <cell r="E901" t="str">
            <v>0020030020SJSC0014</v>
          </cell>
          <cell r="H901" t="str">
            <v>孙武街道马虎村卫生室</v>
          </cell>
          <cell r="J901" t="str">
            <v>1854</v>
          </cell>
          <cell r="K901" t="str">
            <v>201602151421097</v>
          </cell>
          <cell r="M901" t="str">
            <v>维D2磷酸氢钙片60片</v>
          </cell>
        </row>
        <row r="902">
          <cell r="E902" t="str">
            <v>0020020021ZYLC0015</v>
          </cell>
          <cell r="H902" t="str">
            <v>阳信县天天平价医药连锁有限公司</v>
          </cell>
          <cell r="J902" t="str">
            <v>1855</v>
          </cell>
          <cell r="K902" t="str">
            <v>201602151421097</v>
          </cell>
          <cell r="M902" t="str">
            <v>克拉霉素分散片/长迪0.125g*24粒</v>
          </cell>
        </row>
        <row r="903">
          <cell r="E903" t="str">
            <v>0020020021ZYLC0012</v>
          </cell>
          <cell r="H903" t="str">
            <v>惠民仁和堂诊所</v>
          </cell>
          <cell r="J903" t="str">
            <v>1854</v>
          </cell>
          <cell r="K903" t="str">
            <v>201602151421097</v>
          </cell>
          <cell r="M903" t="str">
            <v>阿奇霉素分散片0.25*6片</v>
          </cell>
        </row>
        <row r="904">
          <cell r="E904" t="str">
            <v>0020020021ZYLC0010</v>
          </cell>
          <cell r="H904" t="str">
            <v>惠民仁和堂诊所</v>
          </cell>
          <cell r="J904" t="str">
            <v>1854</v>
          </cell>
          <cell r="K904" t="str">
            <v>201602151421097</v>
          </cell>
          <cell r="M904" t="str">
            <v>克拉霉素分散片0.125g*12片</v>
          </cell>
        </row>
        <row r="905">
          <cell r="E905" t="str">
            <v>0020020020ZYLC0003</v>
          </cell>
          <cell r="H905" t="str">
            <v>欣康诊所</v>
          </cell>
          <cell r="J905" t="str">
            <v>1857</v>
          </cell>
          <cell r="K905" t="str">
            <v>201602151421097</v>
          </cell>
          <cell r="M905" t="str">
            <v>泻立停片/颠茄磺苄啶片0.4g：80mg：8mg*12片</v>
          </cell>
        </row>
        <row r="906">
          <cell r="E906" t="str">
            <v>0020040220SHYT0005</v>
          </cell>
          <cell r="H906" t="str">
            <v>欣康诊所</v>
          </cell>
          <cell r="J906" t="str">
            <v>1857</v>
          </cell>
          <cell r="K906" t="str">
            <v>201602151421097</v>
          </cell>
          <cell r="M906" t="str">
            <v>妇宁栓1.6g×7枚</v>
          </cell>
        </row>
        <row r="907">
          <cell r="E907" t="str">
            <v>0020020021ZYLC0012</v>
          </cell>
          <cell r="H907" t="str">
            <v>欣康诊所</v>
          </cell>
          <cell r="J907" t="str">
            <v>1857</v>
          </cell>
          <cell r="K907" t="str">
            <v>201602151421097</v>
          </cell>
          <cell r="M907" t="str">
            <v>阿奇霉素分散片0.25*6片</v>
          </cell>
        </row>
        <row r="908">
          <cell r="E908" t="str">
            <v>0020070001ZYZC0369</v>
          </cell>
          <cell r="H908" t="str">
            <v>欣康诊所</v>
          </cell>
          <cell r="J908" t="str">
            <v>1857</v>
          </cell>
          <cell r="K908" t="str">
            <v>201602151421097</v>
          </cell>
          <cell r="M908" t="str">
            <v>哈药牌钙铁锌口服液10ml*12支</v>
          </cell>
        </row>
        <row r="909">
          <cell r="E909" t="str">
            <v>0020030170ZYEC0003</v>
          </cell>
          <cell r="H909" t="str">
            <v>欣康诊所</v>
          </cell>
          <cell r="J909" t="str">
            <v>1857</v>
          </cell>
          <cell r="K909" t="str">
            <v>201602151421097</v>
          </cell>
          <cell r="M909" t="str">
            <v>蒙脱石散3g*12袋</v>
          </cell>
        </row>
        <row r="910">
          <cell r="E910" t="str">
            <v>0020070001ZYLC0001</v>
          </cell>
          <cell r="H910" t="str">
            <v>欣康诊所</v>
          </cell>
          <cell r="J910" t="str">
            <v>1857</v>
          </cell>
          <cell r="K910" t="str">
            <v>201602151421097</v>
          </cell>
          <cell r="M910" t="str">
            <v>哈药六钙锌口服液10ml*12支</v>
          </cell>
        </row>
        <row r="911">
          <cell r="E911" t="str">
            <v>0020070000ZYLC0001</v>
          </cell>
          <cell r="H911" t="str">
            <v>欣康诊所</v>
          </cell>
          <cell r="J911" t="str">
            <v>1857</v>
          </cell>
          <cell r="K911" t="str">
            <v>201602151421097</v>
          </cell>
          <cell r="M911" t="str">
            <v>新盖中盖高钙片2.5g*36P</v>
          </cell>
        </row>
        <row r="912">
          <cell r="E912" t="str">
            <v>0020020021ZYLC0010</v>
          </cell>
          <cell r="H912" t="str">
            <v>博兴县康源大药房有限公司</v>
          </cell>
          <cell r="J912" t="str">
            <v>1858</v>
          </cell>
          <cell r="K912" t="str">
            <v>201602151421097</v>
          </cell>
          <cell r="M912" t="str">
            <v>克拉霉素分散片0.125g*12片</v>
          </cell>
        </row>
        <row r="913">
          <cell r="E913" t="str">
            <v>0020020021ZYLC0012</v>
          </cell>
          <cell r="H913" t="str">
            <v>博兴县康源大药房有限公司</v>
          </cell>
          <cell r="J913" t="str">
            <v>1858</v>
          </cell>
          <cell r="K913" t="str">
            <v>201602151421097</v>
          </cell>
          <cell r="M913" t="str">
            <v>阿奇霉素分散片0.25*6片</v>
          </cell>
        </row>
        <row r="914">
          <cell r="E914" t="str">
            <v>0020030001SJZY0006</v>
          </cell>
          <cell r="H914" t="str">
            <v>无棣益生堂药店连锁有限公司</v>
          </cell>
          <cell r="J914" t="str">
            <v>1856</v>
          </cell>
          <cell r="K914" t="str">
            <v>201602151421097</v>
          </cell>
          <cell r="M914" t="str">
            <v>葡萄糖酸钙口服溶液（含糖）10ml*12支</v>
          </cell>
        </row>
        <row r="915">
          <cell r="E915" t="str">
            <v>0020030001SJZY0009</v>
          </cell>
          <cell r="H915" t="str">
            <v>无棣益生堂药店连锁有限公司</v>
          </cell>
          <cell r="J915" t="str">
            <v>1856</v>
          </cell>
          <cell r="K915" t="str">
            <v>201602151421097</v>
          </cell>
          <cell r="M915" t="str">
            <v>葡萄糖酸锌口服液10ML*12支</v>
          </cell>
        </row>
        <row r="916">
          <cell r="E916" t="str">
            <v>0020050030SHYT0002</v>
          </cell>
          <cell r="H916" t="str">
            <v>邹平县韩店镇仁源堂药店</v>
          </cell>
          <cell r="J916" t="str">
            <v>1859</v>
          </cell>
          <cell r="K916" t="str">
            <v>201602151421097</v>
          </cell>
          <cell r="M916" t="str">
            <v>羚羊感冒片24片</v>
          </cell>
        </row>
        <row r="917">
          <cell r="E917" t="str">
            <v>0020020021ZYZC0341</v>
          </cell>
          <cell r="H917" t="str">
            <v xml:space="preserve">邹平县方正医药有限公司 </v>
          </cell>
          <cell r="J917" t="str">
            <v>1859</v>
          </cell>
          <cell r="K917" t="str">
            <v>201602151421097</v>
          </cell>
          <cell r="M917" t="str">
            <v>阿莫西林克拉维酸钾分散片0.2285g*12片</v>
          </cell>
        </row>
        <row r="918">
          <cell r="E918" t="str">
            <v>0020070000ZYLC0001</v>
          </cell>
          <cell r="H918" t="str">
            <v>惠民县汉康大药房</v>
          </cell>
          <cell r="J918" t="str">
            <v>1854</v>
          </cell>
          <cell r="K918" t="str">
            <v>201602151421097</v>
          </cell>
          <cell r="M918" t="str">
            <v>新盖中盖高钙片2.5g*36P</v>
          </cell>
        </row>
        <row r="919">
          <cell r="E919" t="str">
            <v>0020030020SJSC0014</v>
          </cell>
          <cell r="H919" t="str">
            <v>黛溪办鄢家村卫生室</v>
          </cell>
          <cell r="J919" t="str">
            <v>1859</v>
          </cell>
          <cell r="K919" t="str">
            <v>201602151421097</v>
          </cell>
          <cell r="M919" t="str">
            <v>维D2磷酸氢钙片60片</v>
          </cell>
        </row>
        <row r="920">
          <cell r="E920" t="str">
            <v>0020020020ZYLC0011</v>
          </cell>
          <cell r="H920" t="str">
            <v>阳信县商店镇瑞康平民药店</v>
          </cell>
          <cell r="J920" t="str">
            <v>1855</v>
          </cell>
          <cell r="K920" t="str">
            <v>201602151421097</v>
          </cell>
          <cell r="M920" t="str">
            <v xml:space="preserve">泻利停/颠茄磺苄啶片0.12g*20片 </v>
          </cell>
        </row>
        <row r="921">
          <cell r="E921" t="str">
            <v>0020030001SJZY0009</v>
          </cell>
          <cell r="H921" t="str">
            <v>无棣县聚福堂药店连锁有限公司</v>
          </cell>
          <cell r="J921" t="str">
            <v>1856</v>
          </cell>
          <cell r="K921" t="str">
            <v>201602151421097</v>
          </cell>
          <cell r="M921" t="str">
            <v>葡萄糖酸锌口服液10ML*12支</v>
          </cell>
        </row>
        <row r="922">
          <cell r="E922" t="str">
            <v>0020030040SHYT0010</v>
          </cell>
          <cell r="H922" t="str">
            <v>无棣县聚福堂药店连锁有限公司</v>
          </cell>
          <cell r="J922" t="str">
            <v>1856</v>
          </cell>
          <cell r="K922" t="str">
            <v>201602151421097</v>
          </cell>
          <cell r="M922" t="str">
            <v>布洛芬颗粒0.2g*12袋</v>
          </cell>
        </row>
        <row r="923">
          <cell r="E923" t="str">
            <v>0020070001ZYZC0383</v>
          </cell>
          <cell r="H923" t="str">
            <v>无棣县聚福堂药店连锁有限公司</v>
          </cell>
          <cell r="J923" t="str">
            <v>1856</v>
          </cell>
          <cell r="K923" t="str">
            <v>201602151421097</v>
          </cell>
          <cell r="M923" t="str">
            <v>哈药牌钙铁锌口服液10ml*10支</v>
          </cell>
        </row>
        <row r="924">
          <cell r="E924" t="str">
            <v>0020020020ZYZC0359</v>
          </cell>
          <cell r="H924" t="str">
            <v>无棣县聚福堂药店连锁有限公司</v>
          </cell>
          <cell r="J924" t="str">
            <v>1856</v>
          </cell>
          <cell r="K924" t="str">
            <v>201602151421097</v>
          </cell>
          <cell r="M924" t="str">
            <v>青霉素V钾片（仙芬）0.236g*24片</v>
          </cell>
        </row>
        <row r="925">
          <cell r="E925" t="str">
            <v>0020030001SJZY0006</v>
          </cell>
          <cell r="H925" t="str">
            <v>无棣县聚福堂药店连锁有限公司</v>
          </cell>
          <cell r="J925" t="str">
            <v>1856</v>
          </cell>
          <cell r="K925" t="str">
            <v>201602151421097</v>
          </cell>
          <cell r="M925" t="str">
            <v>葡萄糖酸钙口服溶液（含糖）10ml*12支</v>
          </cell>
        </row>
        <row r="926">
          <cell r="E926" t="str">
            <v>0020070000ZYLC0001</v>
          </cell>
          <cell r="H926" t="str">
            <v>无棣县聚福堂药店连锁有限公司</v>
          </cell>
          <cell r="J926" t="str">
            <v>1856</v>
          </cell>
          <cell r="K926" t="str">
            <v>201602151421097</v>
          </cell>
          <cell r="M926" t="str">
            <v>新盖中盖高钙片2.5g*36P</v>
          </cell>
        </row>
        <row r="927">
          <cell r="E927" t="str">
            <v>0020020030ZYZC0511</v>
          </cell>
          <cell r="H927" t="str">
            <v>无棣县聚福堂药店连锁有限公司</v>
          </cell>
          <cell r="J927" t="str">
            <v>1856</v>
          </cell>
          <cell r="K927" t="str">
            <v>201602151421097</v>
          </cell>
          <cell r="M927" t="str">
            <v>头孢氨苄胶囊0.125g*20粒</v>
          </cell>
        </row>
        <row r="928">
          <cell r="E928" t="str">
            <v>0020070000ZYLC0003</v>
          </cell>
          <cell r="H928" t="str">
            <v>无棣县聚福堂药店连锁有限公司</v>
          </cell>
          <cell r="J928" t="str">
            <v>1856</v>
          </cell>
          <cell r="K928" t="str">
            <v>201602151421097</v>
          </cell>
          <cell r="M928" t="str">
            <v>新盖中盖牌儿童钙片1.75g*36p</v>
          </cell>
        </row>
        <row r="929">
          <cell r="E929" t="str">
            <v>0020030020SJSC0014</v>
          </cell>
          <cell r="H929" t="str">
            <v>洋湖乡魏楼社区卫生室</v>
          </cell>
          <cell r="J929" t="str">
            <v>1855</v>
          </cell>
          <cell r="K929" t="str">
            <v>201602151421097</v>
          </cell>
          <cell r="M929" t="str">
            <v>维D2磷酸氢钙片60片</v>
          </cell>
        </row>
        <row r="930">
          <cell r="E930" t="str">
            <v>0020030001SJZY0009</v>
          </cell>
          <cell r="H930" t="str">
            <v>阳信县仁和堂医药连锁有限公司</v>
          </cell>
          <cell r="J930" t="str">
            <v>1855</v>
          </cell>
          <cell r="K930" t="str">
            <v>201602151421097</v>
          </cell>
          <cell r="M930" t="str">
            <v>葡萄糖酸锌口服液10ML*12支</v>
          </cell>
        </row>
        <row r="931">
          <cell r="E931" t="str">
            <v>0020070000ZYLC0055</v>
          </cell>
          <cell r="H931" t="str">
            <v>阳信县仁和堂医药连锁有限公司</v>
          </cell>
          <cell r="J931" t="str">
            <v>1855</v>
          </cell>
          <cell r="K931" t="str">
            <v>201602151421097</v>
          </cell>
          <cell r="M931" t="str">
            <v>朴血/乳酸亚铁口服液10ml*12支</v>
          </cell>
        </row>
        <row r="932">
          <cell r="E932" t="str">
            <v>0020050090ZYEC0004</v>
          </cell>
          <cell r="H932" t="str">
            <v>滨州市修正堂医药有限公司</v>
          </cell>
          <cell r="J932" t="str">
            <v>1853</v>
          </cell>
          <cell r="K932" t="str">
            <v>201602151421097</v>
          </cell>
          <cell r="M932" t="str">
            <v>刺五加脑灵液100ml</v>
          </cell>
        </row>
        <row r="933">
          <cell r="E933" t="str">
            <v>0020020021ZYZC0341</v>
          </cell>
          <cell r="H933" t="str">
            <v>惠民仁和堂诊所</v>
          </cell>
          <cell r="J933" t="str">
            <v>1854</v>
          </cell>
          <cell r="K933" t="str">
            <v>201602151421097</v>
          </cell>
          <cell r="M933" t="str">
            <v>阿莫西林克拉维酸钾分散片0.2285g*12片</v>
          </cell>
        </row>
        <row r="934">
          <cell r="E934" t="str">
            <v>0020030001SJZY0009</v>
          </cell>
          <cell r="H934" t="str">
            <v>无棣汇仁堂药店</v>
          </cell>
          <cell r="J934" t="str">
            <v>1856</v>
          </cell>
          <cell r="K934" t="str">
            <v>201602151421097</v>
          </cell>
          <cell r="M934" t="str">
            <v>葡萄糖酸锌口服液10ML*12支</v>
          </cell>
        </row>
        <row r="935">
          <cell r="E935" t="str">
            <v>0020030001SJZY0006</v>
          </cell>
          <cell r="H935" t="str">
            <v>无棣汇仁堂药店</v>
          </cell>
          <cell r="J935" t="str">
            <v>1856</v>
          </cell>
          <cell r="K935" t="str">
            <v>201602151421097</v>
          </cell>
          <cell r="M935" t="str">
            <v>葡萄糖酸钙口服溶液（含糖）10ml*12支</v>
          </cell>
        </row>
        <row r="936">
          <cell r="E936" t="str">
            <v>0020030001SJZY0006</v>
          </cell>
          <cell r="H936" t="str">
            <v>无棣万盛堂药店连锁有限公司</v>
          </cell>
          <cell r="J936" t="str">
            <v>1856</v>
          </cell>
          <cell r="K936" t="str">
            <v>201602151421097</v>
          </cell>
          <cell r="M936" t="str">
            <v>葡萄糖酸钙口服溶液（含糖）10ml*12支</v>
          </cell>
        </row>
        <row r="937">
          <cell r="E937" t="str">
            <v>0020030001SJZY0009</v>
          </cell>
          <cell r="H937" t="str">
            <v>无棣福顺康大药房</v>
          </cell>
          <cell r="J937" t="str">
            <v>1856</v>
          </cell>
          <cell r="K937" t="str">
            <v>201602151421097</v>
          </cell>
          <cell r="M937" t="str">
            <v>葡萄糖酸锌口服液10ML*12支</v>
          </cell>
        </row>
        <row r="938">
          <cell r="E938" t="str">
            <v>0020030001SJZY0006</v>
          </cell>
          <cell r="H938" t="str">
            <v>无棣福顺康大药房</v>
          </cell>
          <cell r="J938" t="str">
            <v>1856</v>
          </cell>
          <cell r="K938" t="str">
            <v>201602151421097</v>
          </cell>
          <cell r="M938" t="str">
            <v>葡萄糖酸钙口服溶液（含糖）10ml*12支</v>
          </cell>
        </row>
        <row r="939">
          <cell r="E939" t="str">
            <v>0020030001SJZY0009</v>
          </cell>
          <cell r="H939" t="str">
            <v>阳信县济康大药房</v>
          </cell>
          <cell r="J939" t="str">
            <v>1855</v>
          </cell>
          <cell r="K939" t="str">
            <v>201602151421097</v>
          </cell>
          <cell r="M939" t="str">
            <v>葡萄糖酸锌口服液10ML*12支</v>
          </cell>
        </row>
        <row r="940">
          <cell r="E940" t="str">
            <v>0020050090SJZY0001</v>
          </cell>
          <cell r="H940" t="str">
            <v>阳信县济康大药房</v>
          </cell>
          <cell r="J940" t="str">
            <v>1855</v>
          </cell>
          <cell r="K940" t="str">
            <v>201602151421097</v>
          </cell>
          <cell r="M940" t="str">
            <v>双黄连口服液10ml*10支</v>
          </cell>
        </row>
        <row r="941">
          <cell r="E941" t="str">
            <v>0020030001SJZY0006</v>
          </cell>
          <cell r="H941" t="str">
            <v>阳信县济康大药房</v>
          </cell>
          <cell r="J941" t="str">
            <v>1855</v>
          </cell>
          <cell r="K941" t="str">
            <v>201602151421097</v>
          </cell>
          <cell r="M941" t="str">
            <v>葡萄糖酸钙口服溶液（含糖）10ml*12支</v>
          </cell>
        </row>
        <row r="942">
          <cell r="E942" t="str">
            <v>0020100000ZYLC0012</v>
          </cell>
          <cell r="H942" t="str">
            <v>阳信县济康大药房</v>
          </cell>
          <cell r="J942" t="str">
            <v>1855</v>
          </cell>
          <cell r="K942" t="str">
            <v>201602151421097</v>
          </cell>
          <cell r="M942" t="str">
            <v>退热贴40mm*110mm*2贴</v>
          </cell>
        </row>
        <row r="943">
          <cell r="E943" t="str">
            <v>0020020013ZYZC0491</v>
          </cell>
          <cell r="H943" t="str">
            <v>滨州市沾化区为民医药连锁有限公司</v>
          </cell>
          <cell r="J943" t="str">
            <v>1857</v>
          </cell>
          <cell r="K943" t="str">
            <v>201602151421097</v>
          </cell>
          <cell r="M943" t="str">
            <v>阿奇针/注射用乳糖酸阿奇霉素针0.25g</v>
          </cell>
        </row>
        <row r="944">
          <cell r="E944" t="str">
            <v>0020050030SJSC0007</v>
          </cell>
          <cell r="H944" t="str">
            <v>阳信县商店镇台属大药房</v>
          </cell>
          <cell r="J944" t="str">
            <v>1855</v>
          </cell>
          <cell r="K944" t="str">
            <v>201602151421097</v>
          </cell>
          <cell r="M944" t="str">
            <v>菊梅利咽含片1.2g*18片</v>
          </cell>
        </row>
        <row r="945">
          <cell r="E945" t="str">
            <v>0020030020ZYLC0010</v>
          </cell>
          <cell r="H945" t="str">
            <v>阳信县商店镇台属大药房</v>
          </cell>
          <cell r="J945" t="str">
            <v>1855</v>
          </cell>
          <cell r="K945" t="str">
            <v>201602151421097</v>
          </cell>
          <cell r="M945" t="str">
            <v>“为消”牌乳酸菌素片0.4g*36片</v>
          </cell>
        </row>
        <row r="946">
          <cell r="E946" t="str">
            <v>0020070000ZYLC0055</v>
          </cell>
          <cell r="H946" t="str">
            <v>劳店乡西街村卫生室</v>
          </cell>
          <cell r="J946" t="str">
            <v>1855</v>
          </cell>
          <cell r="K946" t="str">
            <v>201602151421097</v>
          </cell>
          <cell r="M946" t="str">
            <v>朴血/乳酸亚铁口服液10ml*12支</v>
          </cell>
        </row>
        <row r="947">
          <cell r="E947" t="str">
            <v>0020030020ZYZC0360</v>
          </cell>
          <cell r="H947" t="str">
            <v>恒泰社区卫生室</v>
          </cell>
          <cell r="J947" t="str">
            <v>1855</v>
          </cell>
          <cell r="K947" t="str">
            <v>201602151421097</v>
          </cell>
          <cell r="M947" t="str">
            <v>*维生素C咀嚼片/VC片0.1g*30片</v>
          </cell>
        </row>
        <row r="948">
          <cell r="E948" t="str">
            <v>0020040030SHYT0002</v>
          </cell>
          <cell r="H948" t="str">
            <v>三胞联谊诊所</v>
          </cell>
          <cell r="J948" t="str">
            <v>1855</v>
          </cell>
          <cell r="K948" t="str">
            <v>201602151421097</v>
          </cell>
          <cell r="M948" t="str">
            <v>牛黄消炎片0.12g*24片</v>
          </cell>
        </row>
        <row r="949">
          <cell r="E949" t="str">
            <v>0020030020SJSC0004</v>
          </cell>
          <cell r="H949" t="str">
            <v>信诚街道接官亭村第一卫生室</v>
          </cell>
          <cell r="J949" t="str">
            <v>1855</v>
          </cell>
          <cell r="K949" t="str">
            <v>201602151421097</v>
          </cell>
          <cell r="M949" t="str">
            <v>胃必治/复方铝酸铋片50片</v>
          </cell>
        </row>
        <row r="950">
          <cell r="E950" t="str">
            <v>0020030001SJZY0006</v>
          </cell>
          <cell r="H950" t="str">
            <v>沾化济生堂大药房连锁有限公司</v>
          </cell>
          <cell r="J950" t="str">
            <v>1857</v>
          </cell>
          <cell r="K950" t="str">
            <v>201602151421097</v>
          </cell>
          <cell r="M950" t="str">
            <v>葡萄糖酸钙口服溶液（含糖）10ml*12支</v>
          </cell>
        </row>
        <row r="951">
          <cell r="E951" t="str">
            <v>0020030001SJZY0009</v>
          </cell>
          <cell r="H951" t="str">
            <v>沾化济生堂大药房连锁有限公司</v>
          </cell>
          <cell r="J951" t="str">
            <v>1857</v>
          </cell>
          <cell r="K951" t="str">
            <v>201602151421097</v>
          </cell>
          <cell r="M951" t="str">
            <v>葡萄糖酸锌口服液10ML*12支</v>
          </cell>
        </row>
        <row r="952">
          <cell r="E952" t="str">
            <v>0020030040SHYT0010</v>
          </cell>
          <cell r="H952" t="str">
            <v>沾化济生堂大药房连锁有限公司</v>
          </cell>
          <cell r="J952" t="str">
            <v>1857</v>
          </cell>
          <cell r="K952" t="str">
            <v>201602151421097</v>
          </cell>
          <cell r="M952" t="str">
            <v>布洛芬颗粒0.2g*12袋</v>
          </cell>
        </row>
        <row r="953">
          <cell r="E953" t="str">
            <v>0020020021ZYLC0012</v>
          </cell>
          <cell r="H953" t="str">
            <v>沾化济生堂大药房连锁有限公司</v>
          </cell>
          <cell r="J953" t="str">
            <v>1857</v>
          </cell>
          <cell r="K953" t="str">
            <v>201602151421097</v>
          </cell>
          <cell r="M953" t="str">
            <v>阿奇霉素分散片0.25*6片</v>
          </cell>
        </row>
        <row r="954">
          <cell r="E954" t="str">
            <v>0020030020SJSC0004</v>
          </cell>
          <cell r="H954" t="str">
            <v>沾化济生堂大药房连锁有限公司</v>
          </cell>
          <cell r="J954" t="str">
            <v>1857</v>
          </cell>
          <cell r="K954" t="str">
            <v>201602151421097</v>
          </cell>
          <cell r="M954" t="str">
            <v>胃必治/复方铝酸铋片50片</v>
          </cell>
        </row>
        <row r="955">
          <cell r="E955" t="str">
            <v>0020070000ZYLC0001</v>
          </cell>
          <cell r="H955" t="str">
            <v>河流镇户李村社区卫生室</v>
          </cell>
          <cell r="J955" t="str">
            <v>1855</v>
          </cell>
          <cell r="K955" t="str">
            <v>201602151421097</v>
          </cell>
          <cell r="M955" t="str">
            <v>新盖中盖高钙片2.5g*36P</v>
          </cell>
        </row>
        <row r="956">
          <cell r="E956" t="str">
            <v>0020030020SJSC0025</v>
          </cell>
          <cell r="H956" t="str">
            <v>高新区小营社区门诊</v>
          </cell>
          <cell r="J956" t="str">
            <v>1853</v>
          </cell>
          <cell r="K956" t="str">
            <v>201602151421097</v>
          </cell>
          <cell r="M956" t="str">
            <v>复方氨酚烷胺片12片</v>
          </cell>
        </row>
        <row r="957">
          <cell r="E957" t="str">
            <v>0020030020ZYLC0010</v>
          </cell>
          <cell r="H957" t="str">
            <v>滨城陈树勇诊所</v>
          </cell>
          <cell r="J957" t="str">
            <v>1853</v>
          </cell>
          <cell r="K957" t="str">
            <v>201602151421097</v>
          </cell>
          <cell r="M957" t="str">
            <v>乳酸菌素片/为消0.4g*36片</v>
          </cell>
        </row>
        <row r="958">
          <cell r="E958" t="str">
            <v>0020020021ZYLC0011</v>
          </cell>
          <cell r="H958" t="str">
            <v>河流镇西孟社区卫生室</v>
          </cell>
          <cell r="J958" t="str">
            <v>1855</v>
          </cell>
          <cell r="K958" t="str">
            <v>201602151421097</v>
          </cell>
          <cell r="M958" t="str">
            <v>严迪/罗红霉素分散片150mg*12片</v>
          </cell>
        </row>
        <row r="959">
          <cell r="E959" t="str">
            <v>0020050090SJZY0001</v>
          </cell>
          <cell r="H959" t="str">
            <v>山东省惠民县民康大药店有限公司</v>
          </cell>
          <cell r="J959" t="str">
            <v>1854</v>
          </cell>
          <cell r="K959" t="str">
            <v>201602151421097</v>
          </cell>
          <cell r="M959" t="str">
            <v>双黄连口服液10ml*10支</v>
          </cell>
        </row>
        <row r="960">
          <cell r="E960" t="str">
            <v>0020100000ZYLC0012</v>
          </cell>
          <cell r="H960" t="str">
            <v>山东省惠民县民康大药店有限公司</v>
          </cell>
          <cell r="J960" t="str">
            <v>1854</v>
          </cell>
          <cell r="K960" t="str">
            <v>201602151421097</v>
          </cell>
          <cell r="M960" t="str">
            <v>退热贴40mm*110mm*2贴</v>
          </cell>
        </row>
        <row r="961">
          <cell r="E961" t="str">
            <v>0020030020SJSC0014</v>
          </cell>
          <cell r="H961" t="str">
            <v>桑落墅镇梁家村卫生室</v>
          </cell>
          <cell r="J961" t="str">
            <v>1854</v>
          </cell>
          <cell r="K961" t="str">
            <v>201602151421097</v>
          </cell>
          <cell r="M961" t="str">
            <v>维D2磷酸氢钙片60片</v>
          </cell>
        </row>
        <row r="962">
          <cell r="E962" t="str">
            <v>0020030040SJET0003</v>
          </cell>
          <cell r="H962" t="str">
            <v>滨州市滨城区康宁药店有限公司</v>
          </cell>
          <cell r="J962" t="str">
            <v>1853</v>
          </cell>
          <cell r="K962" t="str">
            <v>201602151421097</v>
          </cell>
          <cell r="M962" t="str">
            <v>氨金黄敏颗粒6g*10袋</v>
          </cell>
        </row>
        <row r="963">
          <cell r="E963" t="str">
            <v>0020050030SJSC0007</v>
          </cell>
          <cell r="H963" t="str">
            <v>滨州市滨城区康宁药店有限公司</v>
          </cell>
          <cell r="J963" t="str">
            <v>1853</v>
          </cell>
          <cell r="K963" t="str">
            <v>201602151421097</v>
          </cell>
          <cell r="M963" t="str">
            <v>菊梅利咽含片1.2g*18片</v>
          </cell>
        </row>
        <row r="964">
          <cell r="E964" t="str">
            <v>0020030001SJZY0009</v>
          </cell>
          <cell r="H964" t="str">
            <v>滨州市滨城区康宁药店有限公司</v>
          </cell>
          <cell r="J964" t="str">
            <v>1853</v>
          </cell>
          <cell r="K964" t="str">
            <v>201602151421097</v>
          </cell>
          <cell r="M964" t="str">
            <v>葡萄糖酸锌口服液10ML*12支</v>
          </cell>
        </row>
        <row r="965">
          <cell r="E965" t="str">
            <v>0020030001SJZY0006</v>
          </cell>
          <cell r="H965" t="str">
            <v>阳信县劳店健民大药房</v>
          </cell>
          <cell r="J965" t="str">
            <v>1855</v>
          </cell>
          <cell r="K965" t="str">
            <v>201602151421097</v>
          </cell>
          <cell r="M965" t="str">
            <v>葡萄糖酸钙口服溶液（含糖）10ml*12支</v>
          </cell>
        </row>
        <row r="966">
          <cell r="E966" t="str">
            <v>0020070001ZYLC0001</v>
          </cell>
          <cell r="H966" t="str">
            <v>滨城区市西街道办事处魏家卫生室</v>
          </cell>
          <cell r="J966" t="str">
            <v>1853</v>
          </cell>
          <cell r="K966" t="str">
            <v>201602151421097</v>
          </cell>
          <cell r="M966" t="str">
            <v>哈药六钙锌口服液10ml*12支</v>
          </cell>
        </row>
        <row r="967">
          <cell r="E967" t="str">
            <v>0020030001SJZY0009</v>
          </cell>
          <cell r="H967" t="str">
            <v>滨城区市西街道办事处魏家卫生室</v>
          </cell>
          <cell r="J967" t="str">
            <v>1853</v>
          </cell>
          <cell r="K967" t="str">
            <v>201602151421097</v>
          </cell>
          <cell r="M967" t="str">
            <v>葡萄糖酸锌口服液10ML*12支</v>
          </cell>
        </row>
        <row r="968">
          <cell r="E968" t="str">
            <v>0020030001SJZY0006</v>
          </cell>
          <cell r="H968" t="str">
            <v>滨城区市西街道办事处魏家卫生室</v>
          </cell>
          <cell r="J968" t="str">
            <v>1853</v>
          </cell>
          <cell r="K968" t="str">
            <v>201602151421097</v>
          </cell>
          <cell r="M968" t="str">
            <v>葡萄糖酸钙口服溶液（含糖）10ml*12支</v>
          </cell>
        </row>
        <row r="969">
          <cell r="E969" t="str">
            <v>0020030001SJZY0006</v>
          </cell>
          <cell r="H969" t="str">
            <v>滨城万寿堂医院</v>
          </cell>
          <cell r="J969" t="str">
            <v>1853</v>
          </cell>
          <cell r="K969" t="str">
            <v>201602151421097</v>
          </cell>
          <cell r="M969" t="str">
            <v>葡萄糖酸钙口服溶液（含糖）10ml*12支</v>
          </cell>
        </row>
        <row r="970">
          <cell r="E970" t="str">
            <v>0020030001SJZY0009</v>
          </cell>
          <cell r="H970" t="str">
            <v>滨城万寿堂医院</v>
          </cell>
          <cell r="J970" t="str">
            <v>1853</v>
          </cell>
          <cell r="K970" t="str">
            <v>201602151421097</v>
          </cell>
          <cell r="M970" t="str">
            <v>葡萄糖酸锌口服液10ML*12支</v>
          </cell>
        </row>
        <row r="971">
          <cell r="E971" t="str">
            <v>0020020021ZYLC0010</v>
          </cell>
          <cell r="H971" t="str">
            <v>杜店蒋秀芬诊所</v>
          </cell>
          <cell r="J971" t="str">
            <v>1853</v>
          </cell>
          <cell r="K971" t="str">
            <v>201602151421097</v>
          </cell>
          <cell r="M971" t="str">
            <v>克拉霉素分散片0.125g*12片</v>
          </cell>
        </row>
        <row r="972">
          <cell r="E972" t="str">
            <v>0020030040SHYT0010</v>
          </cell>
          <cell r="H972" t="str">
            <v>惠民润德堂诊所</v>
          </cell>
          <cell r="J972" t="str">
            <v>1854</v>
          </cell>
          <cell r="K972" t="str">
            <v>201602151421097</v>
          </cell>
          <cell r="M972" t="str">
            <v>布洛芬颗粒0.2g*12袋</v>
          </cell>
        </row>
        <row r="973">
          <cell r="E973" t="str">
            <v>0020030020ZYLC0010</v>
          </cell>
          <cell r="H973" t="str">
            <v>大洋集团诊所</v>
          </cell>
          <cell r="J973" t="str">
            <v>1856</v>
          </cell>
          <cell r="K973" t="str">
            <v>201602151421097</v>
          </cell>
          <cell r="M973" t="str">
            <v>“为消”牌乳酸菌素片0.4g*36片</v>
          </cell>
        </row>
        <row r="974">
          <cell r="E974" t="str">
            <v>0020030020ZYLC0010</v>
          </cell>
          <cell r="H974" t="str">
            <v>刘立波诊所</v>
          </cell>
          <cell r="J974" t="str">
            <v>1853</v>
          </cell>
          <cell r="K974" t="str">
            <v>201602151421097</v>
          </cell>
          <cell r="M974" t="str">
            <v>“为消”牌乳酸菌素片0.4g*36片</v>
          </cell>
        </row>
        <row r="975">
          <cell r="E975" t="str">
            <v>0020050020SHYT0016</v>
          </cell>
          <cell r="H975" t="str">
            <v>文化街康民卫生室</v>
          </cell>
          <cell r="J975" t="str">
            <v>1854</v>
          </cell>
          <cell r="K975" t="str">
            <v>201602151421097</v>
          </cell>
          <cell r="M975" t="str">
            <v>复方金银花颗粒10g*10袋</v>
          </cell>
        </row>
        <row r="976">
          <cell r="E976" t="str">
            <v>0020020030SJMS0025</v>
          </cell>
          <cell r="H976" t="str">
            <v>文化街康民卫生室</v>
          </cell>
          <cell r="J976" t="str">
            <v>1854</v>
          </cell>
          <cell r="K976" t="str">
            <v>201602151421097</v>
          </cell>
          <cell r="M976" t="str">
            <v>人工牛黄甲硝唑胶囊/牙疼安10粒*3板</v>
          </cell>
        </row>
        <row r="977">
          <cell r="E977" t="str">
            <v>0020020020SJMS0008</v>
          </cell>
          <cell r="H977" t="str">
            <v>博兴县德仁堂大药房连锁有限公司</v>
          </cell>
          <cell r="J977" t="str">
            <v>1858</v>
          </cell>
          <cell r="K977" t="str">
            <v>201602151421097</v>
          </cell>
          <cell r="M977" t="str">
            <v>拉西地平片/三精司乐平片4mg*15片</v>
          </cell>
        </row>
        <row r="978">
          <cell r="E978" t="str">
            <v>0020020021ZYLC0005</v>
          </cell>
          <cell r="H978" t="str">
            <v>滨城谢凤树诊所</v>
          </cell>
          <cell r="J978" t="str">
            <v>1853</v>
          </cell>
          <cell r="K978" t="str">
            <v>201602151421097</v>
          </cell>
          <cell r="M978" t="str">
            <v>小儿严迪片/罗红霉素分散片50mg*12片</v>
          </cell>
        </row>
        <row r="979">
          <cell r="E979" t="str">
            <v>0020020020ZYLC0003</v>
          </cell>
          <cell r="H979" t="str">
            <v>邹平仁济堂医药有限公司</v>
          </cell>
          <cell r="J979" t="str">
            <v>1859</v>
          </cell>
          <cell r="K979" t="str">
            <v>201602151421097</v>
          </cell>
          <cell r="M979" t="str">
            <v>泻立停片/颠茄磺苄啶片0.4g：80mg：8mg*12片</v>
          </cell>
        </row>
        <row r="980">
          <cell r="E980" t="str">
            <v>0020030001SJZY0006</v>
          </cell>
          <cell r="H980" t="str">
            <v>邹平仁济堂医药有限公司</v>
          </cell>
          <cell r="J980" t="str">
            <v>1859</v>
          </cell>
          <cell r="K980" t="str">
            <v>201602151421097</v>
          </cell>
          <cell r="M980" t="str">
            <v>葡萄糖酸钙口服溶液（含糖）10ml*12支</v>
          </cell>
        </row>
        <row r="981">
          <cell r="E981" t="str">
            <v>0020020021ZYLC0004</v>
          </cell>
          <cell r="H981" t="str">
            <v>邹平仁济堂医药有限公司</v>
          </cell>
          <cell r="J981" t="str">
            <v>1859</v>
          </cell>
          <cell r="K981" t="str">
            <v>201602151421097</v>
          </cell>
          <cell r="M981" t="str">
            <v>大严迪片/罗红霉素分散片75mg*12片</v>
          </cell>
        </row>
        <row r="982">
          <cell r="E982" t="str">
            <v>0020030001SJZY0009</v>
          </cell>
          <cell r="H982" t="str">
            <v>邹平仁济堂医药有限公司</v>
          </cell>
          <cell r="J982" t="str">
            <v>1859</v>
          </cell>
          <cell r="K982" t="str">
            <v>201602151421097</v>
          </cell>
          <cell r="M982" t="str">
            <v>葡萄糖酸锌口服液10ML*12支</v>
          </cell>
        </row>
        <row r="983">
          <cell r="E983" t="str">
            <v>0020030040ZYLC0001</v>
          </cell>
          <cell r="H983" t="str">
            <v>邹平仁济堂医药有限公司</v>
          </cell>
          <cell r="J983" t="str">
            <v>1859</v>
          </cell>
          <cell r="K983" t="str">
            <v>201602151421097</v>
          </cell>
          <cell r="M983" t="str">
            <v>护彤冲剂/小儿氨酚黄那敏颗粒2g*12袋</v>
          </cell>
        </row>
        <row r="984">
          <cell r="E984" t="str">
            <v>0020070001ZYZC0383</v>
          </cell>
          <cell r="H984" t="str">
            <v>居民诊所</v>
          </cell>
          <cell r="J984" t="str">
            <v>1855</v>
          </cell>
          <cell r="K984" t="str">
            <v>201602151421097</v>
          </cell>
          <cell r="M984" t="str">
            <v>哈药牌钙铁锌口服液10ml*10支</v>
          </cell>
        </row>
        <row r="985">
          <cell r="E985" t="str">
            <v>0020020021ZYLC0004</v>
          </cell>
          <cell r="H985" t="str">
            <v>居民诊所</v>
          </cell>
          <cell r="J985" t="str">
            <v>1855</v>
          </cell>
          <cell r="K985" t="str">
            <v>201602151421097</v>
          </cell>
          <cell r="M985" t="str">
            <v>大严迪片/罗红霉素分散片75mg*12片</v>
          </cell>
        </row>
        <row r="986">
          <cell r="E986" t="str">
            <v>0020030020SJSC0014</v>
          </cell>
          <cell r="H986" t="str">
            <v>居民诊所</v>
          </cell>
          <cell r="J986" t="str">
            <v>1855</v>
          </cell>
          <cell r="K986" t="str">
            <v>201602151421097</v>
          </cell>
          <cell r="M986" t="str">
            <v>维D2磷酸氢钙片60片</v>
          </cell>
        </row>
        <row r="987">
          <cell r="E987" t="str">
            <v>0020030020ZYLC0010</v>
          </cell>
          <cell r="H987" t="str">
            <v>居民诊所</v>
          </cell>
          <cell r="J987" t="str">
            <v>1855</v>
          </cell>
          <cell r="K987" t="str">
            <v>201602151421097</v>
          </cell>
          <cell r="M987" t="str">
            <v>乳酸菌素片/为消0.4g*36片</v>
          </cell>
        </row>
        <row r="988">
          <cell r="E988" t="str">
            <v>0020020021ZYLC0005</v>
          </cell>
          <cell r="H988" t="str">
            <v>居民诊所</v>
          </cell>
          <cell r="J988" t="str">
            <v>1855</v>
          </cell>
          <cell r="K988" t="str">
            <v>201602151421097</v>
          </cell>
          <cell r="M988" t="str">
            <v>小儿严迪片/罗红霉素分散片50mg*12片</v>
          </cell>
        </row>
        <row r="989">
          <cell r="E989" t="str">
            <v>0020070000ZYLC0055</v>
          </cell>
          <cell r="H989" t="str">
            <v>居民诊所</v>
          </cell>
          <cell r="J989" t="str">
            <v>1855</v>
          </cell>
          <cell r="K989" t="str">
            <v>201602151421097</v>
          </cell>
          <cell r="M989" t="str">
            <v>朴血/乳酸亚铁口服液10ml*12支</v>
          </cell>
        </row>
        <row r="990">
          <cell r="E990" t="str">
            <v>0020030040ZYLC0001</v>
          </cell>
          <cell r="H990" t="str">
            <v>沾化济生堂大药房连锁有限公司</v>
          </cell>
          <cell r="J990" t="str">
            <v>1857</v>
          </cell>
          <cell r="K990" t="str">
            <v>201602151421097</v>
          </cell>
          <cell r="M990" t="str">
            <v>护彤冲剂/小儿氨酚黄那敏颗粒2g*12袋</v>
          </cell>
        </row>
        <row r="991">
          <cell r="E991" t="str">
            <v>0020070001ZYLC0001</v>
          </cell>
          <cell r="H991" t="str">
            <v>沾化济生堂大药房连锁有限公司</v>
          </cell>
          <cell r="J991" t="str">
            <v>1857</v>
          </cell>
          <cell r="K991" t="str">
            <v>201602151421097</v>
          </cell>
          <cell r="M991" t="str">
            <v>哈药六钙锌口服液10ml*12支</v>
          </cell>
        </row>
        <row r="992">
          <cell r="E992" t="str">
            <v>0020030001SJZY0009</v>
          </cell>
          <cell r="H992" t="str">
            <v xml:space="preserve">阳信人民诊所  </v>
          </cell>
          <cell r="J992" t="str">
            <v>1855</v>
          </cell>
          <cell r="K992" t="str">
            <v>201602151421097</v>
          </cell>
          <cell r="M992" t="str">
            <v>葡萄糖酸锌口服液10ML*12支</v>
          </cell>
        </row>
        <row r="993">
          <cell r="E993" t="str">
            <v>0020050090SJZY0001</v>
          </cell>
          <cell r="H993" t="str">
            <v xml:space="preserve">阳信人民诊所  </v>
          </cell>
          <cell r="J993" t="str">
            <v>1855</v>
          </cell>
          <cell r="K993" t="str">
            <v>201602151421097</v>
          </cell>
          <cell r="M993" t="str">
            <v>双黄连口服液10ml*10支</v>
          </cell>
        </row>
        <row r="994">
          <cell r="E994" t="str">
            <v>0020020030ZYZC0508</v>
          </cell>
          <cell r="H994" t="str">
            <v xml:space="preserve">阳信人民诊所  </v>
          </cell>
          <cell r="J994" t="str">
            <v>1855</v>
          </cell>
          <cell r="K994" t="str">
            <v>201602151421097</v>
          </cell>
          <cell r="M994" t="str">
            <v>阿莫西林胶囊0.25g*20s</v>
          </cell>
        </row>
        <row r="995">
          <cell r="E995" t="str">
            <v>0020070000ZYLC0001</v>
          </cell>
          <cell r="H995" t="str">
            <v>惠民县益达康大药房连锁有限公司</v>
          </cell>
          <cell r="J995" t="str">
            <v>1854</v>
          </cell>
          <cell r="K995" t="str">
            <v>201602151421097</v>
          </cell>
          <cell r="M995" t="str">
            <v>新盖中盖高钙片2.5g*36P</v>
          </cell>
        </row>
        <row r="996">
          <cell r="E996" t="str">
            <v>0020020021ZYLC0005</v>
          </cell>
          <cell r="H996" t="str">
            <v>阳信镇西关村第二卫生室</v>
          </cell>
          <cell r="J996" t="str">
            <v>1855</v>
          </cell>
          <cell r="K996" t="str">
            <v>201602151421097</v>
          </cell>
          <cell r="M996" t="str">
            <v>小儿严迪片/罗红霉素分散片50mg*12片</v>
          </cell>
        </row>
        <row r="997">
          <cell r="E997" t="str">
            <v>0020070000ZYLC0001</v>
          </cell>
          <cell r="H997" t="str">
            <v>贾家台村卫生室</v>
          </cell>
          <cell r="J997" t="str">
            <v>1854</v>
          </cell>
          <cell r="K997" t="str">
            <v>201602151421097</v>
          </cell>
          <cell r="M997" t="str">
            <v>新盖中盖高钙片2.5g*36P</v>
          </cell>
        </row>
        <row r="998">
          <cell r="E998" t="str">
            <v>0020030001SJZY0006</v>
          </cell>
          <cell r="H998" t="str">
            <v>阳信福瑞源大药房</v>
          </cell>
          <cell r="J998" t="str">
            <v>1855</v>
          </cell>
          <cell r="K998" t="str">
            <v>201602151421097</v>
          </cell>
          <cell r="M998" t="str">
            <v>葡萄糖酸钙口服溶液（含糖）10ml*12支</v>
          </cell>
        </row>
        <row r="999">
          <cell r="E999" t="str">
            <v>0020030001SJZY0009</v>
          </cell>
          <cell r="H999" t="str">
            <v>阳信福瑞源大药房</v>
          </cell>
          <cell r="J999" t="str">
            <v>1855</v>
          </cell>
          <cell r="K999" t="str">
            <v>201602151421097</v>
          </cell>
          <cell r="M999" t="str">
            <v>葡萄糖酸锌口服液10ML*12支</v>
          </cell>
        </row>
        <row r="1000">
          <cell r="E1000" t="str">
            <v>0020030020SJSC0004</v>
          </cell>
          <cell r="H1000" t="str">
            <v>流坡坞镇西苟社区卫生室</v>
          </cell>
          <cell r="J1000" t="str">
            <v>1855</v>
          </cell>
          <cell r="K1000" t="str">
            <v>201602151421097</v>
          </cell>
          <cell r="M1000" t="str">
            <v>胃必治/复方铝酸铋片50片</v>
          </cell>
        </row>
        <row r="1001">
          <cell r="E1001" t="str">
            <v>0020020020ZYLC0011</v>
          </cell>
          <cell r="H1001" t="str">
            <v>滨城区市西街道办事处丁口第三卫生室</v>
          </cell>
          <cell r="J1001" t="str">
            <v>1853</v>
          </cell>
          <cell r="K1001" t="str">
            <v>201602151421097</v>
          </cell>
          <cell r="M1001" t="str">
            <v xml:space="preserve">泻利停/颠茄磺苄啶片0.12g*20片 </v>
          </cell>
        </row>
        <row r="1002">
          <cell r="E1002" t="str">
            <v>0020070000ZYLC0003</v>
          </cell>
          <cell r="H1002" t="str">
            <v>滨城区市西街道办事处丁口第三卫生室</v>
          </cell>
          <cell r="J1002" t="str">
            <v>1853</v>
          </cell>
          <cell r="K1002" t="str">
            <v>201602151421097</v>
          </cell>
          <cell r="M1002" t="str">
            <v>新盖中盖牌儿童钙片1.75g*36p</v>
          </cell>
        </row>
        <row r="1003">
          <cell r="E1003" t="str">
            <v>0020030040ZYLC0001</v>
          </cell>
          <cell r="H1003" t="str">
            <v>滨城区市西街道办事处康家卫生室</v>
          </cell>
          <cell r="J1003" t="str">
            <v>1853</v>
          </cell>
          <cell r="K1003" t="str">
            <v>201602151421097</v>
          </cell>
          <cell r="M1003" t="str">
            <v>护彤冲剂/小儿氨酚黄那敏颗粒2g*12袋</v>
          </cell>
        </row>
        <row r="1004">
          <cell r="E1004" t="str">
            <v>0020070000ZYLC0001</v>
          </cell>
          <cell r="H1004" t="str">
            <v>杜店蒋秀芬诊所</v>
          </cell>
          <cell r="J1004" t="str">
            <v>1853</v>
          </cell>
          <cell r="K1004" t="str">
            <v>201602151421097</v>
          </cell>
          <cell r="M1004" t="str">
            <v>新盖中盖高钙片2.5g*36P</v>
          </cell>
        </row>
        <row r="1005">
          <cell r="E1005" t="str">
            <v>0020030001SJZY0006</v>
          </cell>
          <cell r="H1005" t="str">
            <v>山东省惠民县民康大药店有限公司</v>
          </cell>
          <cell r="J1005" t="str">
            <v>1854</v>
          </cell>
          <cell r="K1005" t="str">
            <v>201602151421097</v>
          </cell>
          <cell r="M1005" t="str">
            <v>葡萄糖酸钙口服溶液（含糖）10ml*12支</v>
          </cell>
        </row>
        <row r="1006">
          <cell r="E1006" t="str">
            <v>0020030001SJZY0009</v>
          </cell>
          <cell r="H1006" t="str">
            <v>山东省惠民县民康大药店有限公司</v>
          </cell>
          <cell r="J1006" t="str">
            <v>1854</v>
          </cell>
          <cell r="K1006" t="str">
            <v>201602151421097</v>
          </cell>
          <cell r="M1006" t="str">
            <v>葡萄糖酸锌口服液10ML*12支</v>
          </cell>
        </row>
        <row r="1007">
          <cell r="E1007" t="str">
            <v>0020030001SJZY0006</v>
          </cell>
          <cell r="H1007" t="str">
            <v>博兴县德仁堂大药房连锁有限公司</v>
          </cell>
          <cell r="J1007" t="str">
            <v>1858</v>
          </cell>
          <cell r="K1007" t="str">
            <v>201602151421097</v>
          </cell>
          <cell r="M1007" t="str">
            <v>葡萄糖酸钙口服溶液（含糖）10ml*12支</v>
          </cell>
        </row>
        <row r="1008">
          <cell r="E1008" t="str">
            <v>0020020021ZYLC0011</v>
          </cell>
          <cell r="H1008" t="str">
            <v>商店镇魏宅社区卫生室</v>
          </cell>
          <cell r="J1008" t="str">
            <v>1855</v>
          </cell>
          <cell r="K1008" t="str">
            <v>201602151421097</v>
          </cell>
          <cell r="M1008" t="str">
            <v>严迪/罗红霉素分散片150mg*12片</v>
          </cell>
        </row>
        <row r="1009">
          <cell r="E1009" t="str">
            <v>0020070001ZYZC0383</v>
          </cell>
          <cell r="H1009" t="str">
            <v>滨州市滨城区市西街道办事处利民社区第二卫生服务站</v>
          </cell>
          <cell r="J1009" t="str">
            <v>1853</v>
          </cell>
          <cell r="K1009" t="str">
            <v>201602151421097</v>
          </cell>
          <cell r="M1009" t="str">
            <v>哈药牌钙铁锌口服液10ml*10支</v>
          </cell>
        </row>
        <row r="1010">
          <cell r="E1010" t="str">
            <v>0020020020ZYLC0003</v>
          </cell>
          <cell r="H1010" t="str">
            <v>滨州市滨城区市西街道办事处利民社区第二卫生服务站</v>
          </cell>
          <cell r="J1010" t="str">
            <v>1853</v>
          </cell>
          <cell r="K1010" t="str">
            <v>201602151421097</v>
          </cell>
          <cell r="M1010" t="str">
            <v>泻立停片/颠茄磺苄啶片0.4g：80mg：8mg*12片</v>
          </cell>
        </row>
        <row r="1011">
          <cell r="E1011" t="str">
            <v>0020030020SJSC0004</v>
          </cell>
          <cell r="H1011" t="str">
            <v>滨州市滨城区市西街道办事处利民社区第二卫生服务站</v>
          </cell>
          <cell r="J1011" t="str">
            <v>1853</v>
          </cell>
          <cell r="K1011" t="str">
            <v>201602151421097</v>
          </cell>
          <cell r="M1011" t="str">
            <v>胃必治/复方铝酸铋片50片</v>
          </cell>
        </row>
        <row r="1012">
          <cell r="E1012" t="str">
            <v>0020070001ZYLC0001</v>
          </cell>
          <cell r="H1012" t="str">
            <v>邹平仁济堂医药有限公司</v>
          </cell>
          <cell r="J1012" t="str">
            <v>1859</v>
          </cell>
          <cell r="K1012" t="str">
            <v>201602151421097</v>
          </cell>
          <cell r="M1012" t="str">
            <v>哈药六钙锌口服液10ml*12支</v>
          </cell>
        </row>
        <row r="1013">
          <cell r="E1013" t="str">
            <v>0020070001ZYLC0001</v>
          </cell>
          <cell r="H1013" t="str">
            <v>邹平仁济堂医药有限公司</v>
          </cell>
          <cell r="J1013" t="str">
            <v>1859</v>
          </cell>
          <cell r="K1013" t="str">
            <v>201602151421097</v>
          </cell>
          <cell r="M1013" t="str">
            <v>哈药六钙锌口服液10ml*12支</v>
          </cell>
        </row>
        <row r="1014">
          <cell r="E1014" t="str">
            <v>0020030001SJZY0006</v>
          </cell>
          <cell r="H1014" t="str">
            <v xml:space="preserve">阳信人民诊所  </v>
          </cell>
          <cell r="J1014" t="str">
            <v>1855</v>
          </cell>
          <cell r="K1014" t="str">
            <v>201602151421097</v>
          </cell>
          <cell r="M1014" t="str">
            <v>葡萄糖酸钙口服溶液（含糖）10ml*12支</v>
          </cell>
        </row>
        <row r="1015">
          <cell r="E1015" t="str">
            <v>0020030040ZYZC0307</v>
          </cell>
          <cell r="H1015" t="str">
            <v>无棣县埕口镇万豪药店</v>
          </cell>
          <cell r="J1015" t="str">
            <v>1856</v>
          </cell>
          <cell r="K1015" t="str">
            <v>201602151421097</v>
          </cell>
          <cell r="M1015" t="str">
            <v>富马酸亚铁颗粒2g*6袋</v>
          </cell>
        </row>
        <row r="1016">
          <cell r="E1016" t="str">
            <v>0020030040SHYT0010</v>
          </cell>
          <cell r="H1016" t="str">
            <v>无棣县埕口镇万豪药店</v>
          </cell>
          <cell r="J1016" t="str">
            <v>1856</v>
          </cell>
          <cell r="K1016" t="str">
            <v>201602151421097</v>
          </cell>
          <cell r="M1016" t="str">
            <v>布洛芬颗粒0.2g*12袋</v>
          </cell>
        </row>
        <row r="1017">
          <cell r="E1017" t="str">
            <v>0020020030ZYZC0264</v>
          </cell>
          <cell r="H1017" t="str">
            <v>商店镇王朝正社区卫生室</v>
          </cell>
          <cell r="J1017" t="str">
            <v>1855</v>
          </cell>
          <cell r="K1017" t="str">
            <v>201602151421097</v>
          </cell>
          <cell r="M1017" t="str">
            <v>阿莫西林胶囊0.5g*20粒</v>
          </cell>
        </row>
        <row r="1018">
          <cell r="E1018" t="str">
            <v>0020040003SHYT0002</v>
          </cell>
          <cell r="H1018" t="str">
            <v>滨州市靖和堂大药房医药连锁有限公司</v>
          </cell>
          <cell r="J1018" t="str">
            <v>1858</v>
          </cell>
          <cell r="K1018" t="str">
            <v>201602151421097</v>
          </cell>
          <cell r="M1018" t="str">
            <v>金匮肾气丸72g</v>
          </cell>
        </row>
        <row r="1019">
          <cell r="E1019" t="str">
            <v>0020070000ZYLC0001</v>
          </cell>
          <cell r="H1019" t="str">
            <v>阳信县商店镇台属大药房</v>
          </cell>
          <cell r="J1019" t="str">
            <v>1855</v>
          </cell>
          <cell r="K1019" t="str">
            <v>201602151421097</v>
          </cell>
          <cell r="M1019" t="str">
            <v>新盖中盖高钙片2.5g*36P</v>
          </cell>
        </row>
        <row r="1020">
          <cell r="E1020" t="str">
            <v>0020020020ZYLC0003</v>
          </cell>
          <cell r="H1020" t="str">
            <v>滨州市沾化区益生堂大药房有限公司</v>
          </cell>
          <cell r="J1020" t="str">
            <v>1857</v>
          </cell>
          <cell r="K1020" t="str">
            <v>201602151421097</v>
          </cell>
          <cell r="M1020" t="str">
            <v>泻立停片/颠茄磺苄啶片0.4g：80mg：8mg*12片</v>
          </cell>
        </row>
        <row r="1021">
          <cell r="E1021" t="str">
            <v>0020040220SHYT0004</v>
          </cell>
          <cell r="H1021" t="str">
            <v>滨州市沾化区益生堂大药房有限公司</v>
          </cell>
          <cell r="J1021" t="str">
            <v>1857</v>
          </cell>
          <cell r="K1021" t="str">
            <v>201602151421097</v>
          </cell>
          <cell r="M1021" t="str">
            <v>妇宁栓1.6g*8枚</v>
          </cell>
        </row>
        <row r="1022">
          <cell r="E1022" t="str">
            <v>0020030040ZYLC0001</v>
          </cell>
          <cell r="H1022" t="str">
            <v>滨州市沾化区益生堂大药房有限公司</v>
          </cell>
          <cell r="J1022" t="str">
            <v>1857</v>
          </cell>
          <cell r="K1022" t="str">
            <v>201602151421097</v>
          </cell>
          <cell r="M1022" t="str">
            <v>护彤冲剂/小儿氨酚黄那敏颗粒2g*12袋</v>
          </cell>
        </row>
        <row r="1023">
          <cell r="E1023" t="str">
            <v>0020070000ZYLC0001</v>
          </cell>
          <cell r="H1023" t="str">
            <v>滨州市沾化区益生堂大药房有限公司</v>
          </cell>
          <cell r="J1023" t="str">
            <v>1857</v>
          </cell>
          <cell r="K1023" t="str">
            <v>201602151421097</v>
          </cell>
          <cell r="M1023" t="str">
            <v>新盖中盖高钙片2.5g*36P</v>
          </cell>
        </row>
        <row r="1024">
          <cell r="E1024" t="str">
            <v>0020070001ZYLC0001</v>
          </cell>
          <cell r="H1024" t="str">
            <v>滨州市沾化区益生堂大药房有限公司</v>
          </cell>
          <cell r="J1024" t="str">
            <v>1857</v>
          </cell>
          <cell r="K1024" t="str">
            <v>201602151421097</v>
          </cell>
          <cell r="M1024" t="str">
            <v>哈药六钙锌口服液10ml*12支</v>
          </cell>
        </row>
        <row r="1025">
          <cell r="E1025" t="str">
            <v>0020030040ZYLC0001</v>
          </cell>
          <cell r="H1025" t="str">
            <v>欣康诊所</v>
          </cell>
          <cell r="J1025" t="str">
            <v>1857</v>
          </cell>
          <cell r="K1025" t="str">
            <v>201602151421097</v>
          </cell>
          <cell r="M1025" t="str">
            <v>护彤冲剂/小儿氨酚黄那敏颗粒2g*12袋</v>
          </cell>
        </row>
        <row r="1026">
          <cell r="E1026" t="str">
            <v>0020020030ZYZC0508</v>
          </cell>
          <cell r="H1026" t="str">
            <v>滨州市沾化区益生堂大药房有限公司</v>
          </cell>
          <cell r="J1026" t="str">
            <v>1857</v>
          </cell>
          <cell r="K1026" t="str">
            <v>201602151421097</v>
          </cell>
          <cell r="M1026" t="str">
            <v>阿莫西林胶囊0.25g*20s</v>
          </cell>
        </row>
        <row r="1027">
          <cell r="E1027" t="str">
            <v>0020020021ZYLC0010</v>
          </cell>
          <cell r="H1027" t="str">
            <v>关帝庙街卫生室</v>
          </cell>
          <cell r="J1027" t="str">
            <v>1855</v>
          </cell>
          <cell r="K1027" t="str">
            <v>201602151421097</v>
          </cell>
          <cell r="M1027" t="str">
            <v>克拉霉素分散片0.125g*12片</v>
          </cell>
        </row>
        <row r="1028">
          <cell r="E1028" t="str">
            <v>0020050030SJSC0007</v>
          </cell>
          <cell r="H1028" t="str">
            <v>商店镇王朝正社区卫生室</v>
          </cell>
          <cell r="J1028" t="str">
            <v>1855</v>
          </cell>
          <cell r="K1028" t="str">
            <v>201602151421097</v>
          </cell>
          <cell r="M1028" t="str">
            <v>菊梅利咽含片1.2g*18片</v>
          </cell>
        </row>
        <row r="1029">
          <cell r="E1029" t="str">
            <v>0020040020SHYT0007</v>
          </cell>
          <cell r="H1029" t="str">
            <v>商店镇王朝正社区卫生室</v>
          </cell>
          <cell r="J1029" t="str">
            <v>1855</v>
          </cell>
          <cell r="K1029" t="str">
            <v>201602151421097</v>
          </cell>
          <cell r="M1029" t="str">
            <v>丹佛胃尔康颗粒10g*6袋</v>
          </cell>
        </row>
        <row r="1030">
          <cell r="E1030" t="str">
            <v>0020050090SJZY0001</v>
          </cell>
          <cell r="H1030" t="str">
            <v>信诚街道接官亭村第一卫生室</v>
          </cell>
          <cell r="J1030" t="str">
            <v>1855</v>
          </cell>
          <cell r="K1030" t="str">
            <v>201602151421097</v>
          </cell>
          <cell r="M1030" t="str">
            <v>双黄连口服液10ml*10支</v>
          </cell>
        </row>
        <row r="1031">
          <cell r="E1031" t="str">
            <v>0020020020ZYZC0473</v>
          </cell>
          <cell r="H1031" t="str">
            <v>何坊街道香翟村卫生室</v>
          </cell>
          <cell r="J1031" t="str">
            <v>1855</v>
          </cell>
          <cell r="K1031" t="str">
            <v>201602151421097</v>
          </cell>
          <cell r="M1031" t="str">
            <v>盐酸环丙沙星片0.25g*12片</v>
          </cell>
        </row>
        <row r="1032">
          <cell r="E1032" t="str">
            <v>0020030001SJZY0009</v>
          </cell>
          <cell r="H1032" t="str">
            <v>水落坡乡雷家社区卫生室</v>
          </cell>
          <cell r="J1032" t="str">
            <v>1855</v>
          </cell>
          <cell r="K1032" t="str">
            <v>201602151421097</v>
          </cell>
          <cell r="M1032" t="str">
            <v>葡萄糖酸锌口服液10ML*12支</v>
          </cell>
        </row>
        <row r="1033">
          <cell r="E1033" t="str">
            <v>0020070000ZYLC0055</v>
          </cell>
          <cell r="H1033" t="str">
            <v>滨城刘虎中医诊所</v>
          </cell>
          <cell r="J1033" t="str">
            <v>1853</v>
          </cell>
          <cell r="K1033" t="str">
            <v>201602151421097</v>
          </cell>
          <cell r="M1033" t="str">
            <v>朴血/乳酸亚铁口服液10ml*12支</v>
          </cell>
        </row>
        <row r="1034">
          <cell r="E1034" t="str">
            <v>0020020030ZYZC0283</v>
          </cell>
          <cell r="H1034" t="str">
            <v>沾化国瑞医药连锁有限责任公司</v>
          </cell>
          <cell r="J1034" t="str">
            <v>1857</v>
          </cell>
          <cell r="K1034" t="str">
            <v>201602151421097</v>
          </cell>
          <cell r="M1034" t="str">
            <v>头孢拉定胶囊0.25g*24粒</v>
          </cell>
        </row>
        <row r="1035">
          <cell r="E1035" t="str">
            <v>0020030001SJZY0009</v>
          </cell>
          <cell r="H1035" t="str">
            <v>信诚街道办事处东南村卫生室</v>
          </cell>
          <cell r="J1035" t="str">
            <v>1855</v>
          </cell>
          <cell r="K1035" t="str">
            <v>201602151421097</v>
          </cell>
          <cell r="M1035" t="str">
            <v>葡萄糖酸锌口服液10ML*12支</v>
          </cell>
        </row>
        <row r="1036">
          <cell r="E1036" t="str">
            <v>0020020021ZYLC0011</v>
          </cell>
          <cell r="H1036" t="str">
            <v>阳信县河流镇餐具厂卫生所</v>
          </cell>
          <cell r="J1036" t="str">
            <v>1855</v>
          </cell>
          <cell r="K1036" t="str">
            <v>201602151421097</v>
          </cell>
          <cell r="M1036" t="str">
            <v>严迪/罗红霉素分散片150mg*12片</v>
          </cell>
        </row>
        <row r="1037">
          <cell r="E1037" t="str">
            <v>0020030001SJZY0006</v>
          </cell>
          <cell r="H1037" t="str">
            <v>滨州市滨城区妇幼保健站</v>
          </cell>
          <cell r="J1037" t="str">
            <v>1853</v>
          </cell>
          <cell r="K1037" t="str">
            <v>201602151421097</v>
          </cell>
          <cell r="M1037" t="str">
            <v>葡萄糖酸钙口服溶液（含糖）10ml*12支</v>
          </cell>
        </row>
        <row r="1038">
          <cell r="E1038" t="str">
            <v>0020020030ZYZC0508</v>
          </cell>
          <cell r="H1038" t="str">
            <v>邹平仁济堂医药有限公司</v>
          </cell>
          <cell r="J1038" t="str">
            <v>1859</v>
          </cell>
          <cell r="K1038" t="str">
            <v>201602151421097</v>
          </cell>
          <cell r="M1038" t="str">
            <v>阿莫西林胶囊0.25g*20s</v>
          </cell>
        </row>
        <row r="1039">
          <cell r="E1039" t="str">
            <v>0020030001SJZY0006</v>
          </cell>
          <cell r="H1039" t="str">
            <v>滨州市滨城区含芳药店</v>
          </cell>
          <cell r="J1039" t="str">
            <v>1853</v>
          </cell>
          <cell r="K1039" t="str">
            <v>201602151421097</v>
          </cell>
          <cell r="M1039" t="str">
            <v>葡萄糖酸钙口服溶液（含糖）10ml*12支</v>
          </cell>
        </row>
        <row r="1040">
          <cell r="E1040" t="str">
            <v>0020030001SJZY0009</v>
          </cell>
          <cell r="H1040" t="str">
            <v>滨州市滨城区含芳药店</v>
          </cell>
          <cell r="J1040" t="str">
            <v>1853</v>
          </cell>
          <cell r="K1040" t="str">
            <v>201602151421097</v>
          </cell>
          <cell r="M1040" t="str">
            <v>葡萄糖酸锌口服液10ML*12支</v>
          </cell>
        </row>
        <row r="1041">
          <cell r="E1041" t="str">
            <v>0020020030SJMS0025</v>
          </cell>
          <cell r="H1041" t="str">
            <v>阳信县商店镇台属大药房</v>
          </cell>
          <cell r="J1041" t="str">
            <v>1855</v>
          </cell>
          <cell r="K1041" t="str">
            <v>201602151421097</v>
          </cell>
          <cell r="M1041" t="str">
            <v>人工牛黄甲硝唑胶囊/牙疼安10粒*3板</v>
          </cell>
        </row>
        <row r="1042">
          <cell r="E1042" t="str">
            <v>0020030020SJSC0014</v>
          </cell>
          <cell r="H1042" t="str">
            <v>滨城朱林诊所</v>
          </cell>
          <cell r="J1042" t="str">
            <v>1853</v>
          </cell>
          <cell r="K1042" t="str">
            <v>201602151421097</v>
          </cell>
          <cell r="M1042" t="str">
            <v>维D2磷酸氢钙片60片</v>
          </cell>
        </row>
        <row r="1043">
          <cell r="E1043" t="str">
            <v>0020070001ZYZC0383</v>
          </cell>
          <cell r="H1043" t="str">
            <v>博兴县仁益大药房</v>
          </cell>
          <cell r="J1043" t="str">
            <v>1858</v>
          </cell>
          <cell r="K1043" t="str">
            <v>201602151421097</v>
          </cell>
          <cell r="M1043" t="str">
            <v>哈药牌钙铁锌口服液10ml*10支</v>
          </cell>
        </row>
        <row r="1044">
          <cell r="E1044" t="str">
            <v>0020070001ZYZC0383</v>
          </cell>
          <cell r="H1044" t="str">
            <v>阳信县商店镇瑞康平民药店</v>
          </cell>
          <cell r="J1044" t="str">
            <v>1855</v>
          </cell>
          <cell r="K1044" t="str">
            <v>201602151421097</v>
          </cell>
          <cell r="M1044" t="str">
            <v>哈药牌钙铁锌口服液10ml*10支</v>
          </cell>
        </row>
        <row r="1045">
          <cell r="E1045" t="str">
            <v>0020020020SJSC0004</v>
          </cell>
          <cell r="H1045" t="str">
            <v>阳信县商店镇瑞康平民药店</v>
          </cell>
          <cell r="J1045" t="str">
            <v>1855</v>
          </cell>
          <cell r="K1045" t="str">
            <v>201602151421097</v>
          </cell>
          <cell r="M1045" t="str">
            <v>左羟丙哌嗪分散片60mg*12片</v>
          </cell>
        </row>
        <row r="1046">
          <cell r="E1046" t="str">
            <v>0020020020ZYLC0011</v>
          </cell>
          <cell r="H1046" t="str">
            <v>滨城韩吉福诊所</v>
          </cell>
          <cell r="J1046" t="str">
            <v>1853</v>
          </cell>
          <cell r="K1046" t="str">
            <v>201602151421097</v>
          </cell>
          <cell r="M1046" t="str">
            <v xml:space="preserve">泻利停/颠茄磺苄啶片0.12g*20片 </v>
          </cell>
        </row>
        <row r="1047">
          <cell r="E1047" t="str">
            <v>0020040030SHYT0002</v>
          </cell>
          <cell r="H1047" t="str">
            <v>阳信县仁和堂医药连锁有限公司</v>
          </cell>
          <cell r="J1047" t="str">
            <v>1855</v>
          </cell>
          <cell r="K1047" t="str">
            <v>201602151421097</v>
          </cell>
          <cell r="M1047" t="str">
            <v>牛黄消炎片0.12g*24片</v>
          </cell>
        </row>
        <row r="1048">
          <cell r="E1048" t="str">
            <v>0020070000ZYLC0055</v>
          </cell>
          <cell r="H1048" t="str">
            <v>阳信县仁和堂医药连锁有限公司</v>
          </cell>
          <cell r="J1048" t="str">
            <v>1855</v>
          </cell>
          <cell r="K1048" t="str">
            <v>201602151421097</v>
          </cell>
          <cell r="M1048" t="str">
            <v>朴血/乳酸亚铁口服液10ml*12支</v>
          </cell>
        </row>
        <row r="1049">
          <cell r="E1049" t="str">
            <v>0020070001ZYZC0377</v>
          </cell>
          <cell r="H1049" t="str">
            <v>阳信县仁和堂医药连锁有限公司</v>
          </cell>
          <cell r="J1049" t="str">
            <v>1855</v>
          </cell>
          <cell r="K1049" t="str">
            <v>201602151421097</v>
          </cell>
          <cell r="M1049" t="str">
            <v>哈药牌钙铁锌口服液10ml*15支</v>
          </cell>
        </row>
        <row r="1050">
          <cell r="E1050" t="str">
            <v>0020020030SJMS0025</v>
          </cell>
          <cell r="H1050" t="str">
            <v>惠民县汉康大药房</v>
          </cell>
          <cell r="J1050" t="str">
            <v>1854</v>
          </cell>
          <cell r="K1050" t="str">
            <v>201602151421097</v>
          </cell>
          <cell r="M1050" t="str">
            <v>人工牛黄甲硝唑胶囊/牙疼安10粒*3板</v>
          </cell>
        </row>
        <row r="1051">
          <cell r="E1051" t="str">
            <v>0020030020SJSC0004</v>
          </cell>
          <cell r="H1051" t="str">
            <v>惠民县仁春医药有限公司</v>
          </cell>
          <cell r="J1051" t="str">
            <v>1854</v>
          </cell>
          <cell r="K1051" t="str">
            <v>201602151421097</v>
          </cell>
          <cell r="M1051" t="str">
            <v>胃必治/复方铝酸铋片50片</v>
          </cell>
        </row>
        <row r="1052">
          <cell r="E1052" t="str">
            <v>0020020021ZYLC0011</v>
          </cell>
          <cell r="H1052" t="str">
            <v>惠民县仁春医药有限公司</v>
          </cell>
          <cell r="J1052" t="str">
            <v>1854</v>
          </cell>
          <cell r="K1052" t="str">
            <v>201602151421097</v>
          </cell>
          <cell r="M1052" t="str">
            <v>严迪/罗红霉素分散片150mg*12片</v>
          </cell>
        </row>
        <row r="1053">
          <cell r="E1053" t="str">
            <v>0020050020SHYT0014</v>
          </cell>
          <cell r="H1053" t="str">
            <v>惠民县仁春医药有限公司</v>
          </cell>
          <cell r="J1053" t="str">
            <v>1854</v>
          </cell>
          <cell r="K1053" t="str">
            <v>201602151421097</v>
          </cell>
          <cell r="M1053" t="str">
            <v>宫血停颗粒10g*12袋</v>
          </cell>
        </row>
        <row r="1054">
          <cell r="E1054" t="str">
            <v>0020050090SJZY0001</v>
          </cell>
          <cell r="H1054" t="str">
            <v>商店镇王朝正社区卫生室</v>
          </cell>
          <cell r="J1054" t="str">
            <v>1855</v>
          </cell>
          <cell r="K1054" t="str">
            <v>201602151421097</v>
          </cell>
          <cell r="M1054" t="str">
            <v>双黄连口服液10ml*10支</v>
          </cell>
        </row>
        <row r="1055">
          <cell r="E1055" t="str">
            <v>0020030001SJZY0006</v>
          </cell>
          <cell r="H1055" t="str">
            <v>惠民县舒泰大药房有限公司</v>
          </cell>
          <cell r="J1055" t="str">
            <v>1854</v>
          </cell>
          <cell r="K1055" t="str">
            <v>201602151421097</v>
          </cell>
          <cell r="M1055" t="str">
            <v>葡萄糖酸钙口服溶液（含糖）10ml*12支</v>
          </cell>
        </row>
        <row r="1056">
          <cell r="E1056" t="str">
            <v>0020020021ZYLC0005</v>
          </cell>
          <cell r="H1056" t="str">
            <v>博兴县城东街道办事处国康大药房</v>
          </cell>
          <cell r="J1056" t="str">
            <v>1858</v>
          </cell>
          <cell r="K1056" t="str">
            <v>201602151421097</v>
          </cell>
          <cell r="M1056" t="str">
            <v>小儿严迪片/罗红霉素分散片50mg*12片</v>
          </cell>
        </row>
        <row r="1057">
          <cell r="E1057" t="str">
            <v>0020030001SJZY0006</v>
          </cell>
          <cell r="H1057" t="str">
            <v>博兴县城东街道办事处国康大药房</v>
          </cell>
          <cell r="J1057" t="str">
            <v>1858</v>
          </cell>
          <cell r="K1057" t="str">
            <v>201602151421097</v>
          </cell>
          <cell r="M1057" t="str">
            <v>葡萄糖酸钙口服溶液（含糖）10ml*12支</v>
          </cell>
        </row>
        <row r="1058">
          <cell r="E1058" t="str">
            <v>0020020021ZYLC0004</v>
          </cell>
          <cell r="H1058" t="str">
            <v>博兴县城东街道办事处国康大药房</v>
          </cell>
          <cell r="J1058" t="str">
            <v>1858</v>
          </cell>
          <cell r="K1058" t="str">
            <v>201602151421097</v>
          </cell>
          <cell r="M1058" t="str">
            <v>大严迪片/罗红霉素分散片75mg*12片</v>
          </cell>
        </row>
        <row r="1059">
          <cell r="E1059" t="str">
            <v>0020030001SJZY0009</v>
          </cell>
          <cell r="H1059" t="str">
            <v>博兴县城东街道办事处国康大药房</v>
          </cell>
          <cell r="J1059" t="str">
            <v>1858</v>
          </cell>
          <cell r="K1059" t="str">
            <v>201602151421097</v>
          </cell>
          <cell r="M1059" t="str">
            <v>葡萄糖酸锌口服液10ML*12支</v>
          </cell>
        </row>
        <row r="1060">
          <cell r="E1060" t="str">
            <v>0020030040ZYLC0001</v>
          </cell>
          <cell r="H1060" t="str">
            <v>博兴县永康药店</v>
          </cell>
          <cell r="J1060" t="str">
            <v>1858</v>
          </cell>
          <cell r="K1060" t="str">
            <v>201602151421097</v>
          </cell>
          <cell r="M1060" t="str">
            <v>护彤冲剂/小儿氨酚黄那敏颗粒2g*12袋</v>
          </cell>
        </row>
        <row r="1061">
          <cell r="E1061" t="str">
            <v>0020030001SJZY0006</v>
          </cell>
          <cell r="H1061" t="str">
            <v>博兴县永康药店</v>
          </cell>
          <cell r="J1061" t="str">
            <v>1858</v>
          </cell>
          <cell r="K1061" t="str">
            <v>201602151421097</v>
          </cell>
          <cell r="M1061" t="str">
            <v>葡萄糖酸钙口服溶液（含糖）10ml*12支</v>
          </cell>
        </row>
        <row r="1062">
          <cell r="E1062" t="str">
            <v>0020030001SJZY0009</v>
          </cell>
          <cell r="H1062" t="str">
            <v>博兴县永康药店</v>
          </cell>
          <cell r="J1062" t="str">
            <v>1858</v>
          </cell>
          <cell r="K1062" t="str">
            <v>201602151421097</v>
          </cell>
          <cell r="M1062" t="str">
            <v>葡萄糖酸锌口服液10ML*12支</v>
          </cell>
        </row>
        <row r="1063">
          <cell r="E1063" t="str">
            <v>0020020021ZYLC0004</v>
          </cell>
          <cell r="H1063" t="str">
            <v>流坡坞镇红门堂村卫生室</v>
          </cell>
          <cell r="J1063" t="str">
            <v>1855</v>
          </cell>
          <cell r="K1063" t="str">
            <v>201602151421097</v>
          </cell>
          <cell r="M1063" t="str">
            <v>大严迪片/罗红霉素分散片75mg*12片</v>
          </cell>
        </row>
        <row r="1064">
          <cell r="E1064" t="str">
            <v>0020030020ZYZC0360</v>
          </cell>
          <cell r="H1064" t="str">
            <v>邹平高涛中医诊所</v>
          </cell>
          <cell r="J1064" t="str">
            <v>1859</v>
          </cell>
          <cell r="K1064" t="str">
            <v>201602151421097</v>
          </cell>
          <cell r="M1064" t="str">
            <v>维生素C咀嚼片/VC片0.1g*30片</v>
          </cell>
        </row>
        <row r="1065">
          <cell r="E1065" t="str">
            <v>0020070001ZYZC0369</v>
          </cell>
          <cell r="H1065" t="str">
            <v>滨州市万全医药保健品连锁有限公司</v>
          </cell>
          <cell r="J1065" t="str">
            <v>1853</v>
          </cell>
          <cell r="K1065" t="str">
            <v>201602151421097</v>
          </cell>
          <cell r="M1065" t="str">
            <v>哈药牌钙铁锌口服液10ml*12支</v>
          </cell>
        </row>
        <row r="1066">
          <cell r="E1066" t="str">
            <v>0020070000ZYLC0055</v>
          </cell>
          <cell r="H1066" t="str">
            <v>滨州市万全医药保健品连锁有限公司</v>
          </cell>
          <cell r="J1066" t="str">
            <v>1853</v>
          </cell>
          <cell r="K1066" t="str">
            <v>201602151421097</v>
          </cell>
          <cell r="M1066" t="str">
            <v>朴血/乳酸亚铁口服液10ml*12支</v>
          </cell>
        </row>
        <row r="1067">
          <cell r="E1067" t="str">
            <v>0020030001SJZY0006</v>
          </cell>
          <cell r="H1067" t="str">
            <v>靖和堂医药花园新城诊所</v>
          </cell>
          <cell r="J1067" t="str">
            <v>1858</v>
          </cell>
          <cell r="K1067" t="str">
            <v>201602151421097</v>
          </cell>
          <cell r="M1067" t="str">
            <v>葡萄糖酸钙口服溶液（含糖）10ml*12支</v>
          </cell>
        </row>
        <row r="1068">
          <cell r="E1068" t="str">
            <v>0020020020ZYZC0507</v>
          </cell>
          <cell r="H1068" t="str">
            <v>靖和堂医药花园新城诊所</v>
          </cell>
          <cell r="J1068" t="str">
            <v>1858</v>
          </cell>
          <cell r="K1068" t="str">
            <v>201602151421097</v>
          </cell>
          <cell r="M1068" t="str">
            <v>头孢氨苄片0.25g*30片</v>
          </cell>
        </row>
        <row r="1069">
          <cell r="E1069" t="str">
            <v>0020030020ZYZC0360</v>
          </cell>
          <cell r="H1069" t="str">
            <v>靖和堂医药花园新城诊所</v>
          </cell>
          <cell r="J1069" t="str">
            <v>1858</v>
          </cell>
          <cell r="K1069" t="str">
            <v>201602151421097</v>
          </cell>
          <cell r="M1069" t="str">
            <v>*维生素C咀嚼片/VC片0.1g*30片</v>
          </cell>
        </row>
        <row r="1070">
          <cell r="E1070" t="str">
            <v>0020030020SJSC0004</v>
          </cell>
          <cell r="H1070" t="str">
            <v>水落坡乡钦八社区卫生室</v>
          </cell>
          <cell r="J1070" t="str">
            <v>1855</v>
          </cell>
          <cell r="K1070" t="str">
            <v>201602151421097</v>
          </cell>
          <cell r="M1070" t="str">
            <v>胃必治/复方铝酸铋片50片</v>
          </cell>
        </row>
        <row r="1071">
          <cell r="E1071" t="str">
            <v>0020020020ZYLC0003</v>
          </cell>
          <cell r="H1071" t="str">
            <v>水落坡乡钦八社区卫生室</v>
          </cell>
          <cell r="J1071" t="str">
            <v>1855</v>
          </cell>
          <cell r="K1071" t="str">
            <v>201602151421097</v>
          </cell>
          <cell r="M1071" t="str">
            <v>泻立停片/颠茄磺苄啶片0.4g：80mg：8mg*12片</v>
          </cell>
        </row>
        <row r="1072">
          <cell r="E1072" t="str">
            <v>0020030001SJZY0006</v>
          </cell>
          <cell r="H1072" t="str">
            <v>水落坡乡郭马社区卫生室</v>
          </cell>
          <cell r="J1072" t="str">
            <v>1855</v>
          </cell>
          <cell r="K1072" t="str">
            <v>201602151421097</v>
          </cell>
          <cell r="M1072" t="str">
            <v>葡萄糖酸钙口服溶液（含糖）10ml*12支</v>
          </cell>
        </row>
        <row r="1073">
          <cell r="E1073" t="str">
            <v>0020030020SJSC0004</v>
          </cell>
          <cell r="H1073" t="str">
            <v>阳信镇侯家社区卫生室</v>
          </cell>
          <cell r="J1073" t="str">
            <v>1855</v>
          </cell>
          <cell r="K1073" t="str">
            <v>201602151421097</v>
          </cell>
          <cell r="M1073" t="str">
            <v>胃必治/复方铝酸铋片50片</v>
          </cell>
        </row>
        <row r="1074">
          <cell r="E1074" t="str">
            <v>0020020021ZYLC0011</v>
          </cell>
          <cell r="H1074" t="str">
            <v xml:space="preserve">水落坡镇水落坡街村南卫生室 </v>
          </cell>
          <cell r="J1074" t="str">
            <v>1855</v>
          </cell>
          <cell r="K1074" t="str">
            <v>201602151421097</v>
          </cell>
          <cell r="M1074" t="str">
            <v>严迪/罗红霉素分散片150mg*12片</v>
          </cell>
        </row>
        <row r="1075">
          <cell r="E1075" t="str">
            <v>0020020013ZYZC0491</v>
          </cell>
          <cell r="H1075" t="str">
            <v>滨州市沾化区下河乡卫生院</v>
          </cell>
          <cell r="J1075" t="str">
            <v>1857</v>
          </cell>
          <cell r="K1075" t="str">
            <v>201602151421097</v>
          </cell>
          <cell r="M1075" t="str">
            <v>阿奇针/注射用乳糖酸阿奇霉素针0.25g</v>
          </cell>
        </row>
        <row r="1076">
          <cell r="E1076" t="str">
            <v>0020030020ZYLC0005</v>
          </cell>
          <cell r="H1076" t="str">
            <v>滨城谢凤树诊所</v>
          </cell>
          <cell r="J1076" t="str">
            <v>1853</v>
          </cell>
          <cell r="K1076" t="str">
            <v>201602151421097</v>
          </cell>
          <cell r="M1076" t="str">
            <v>小儿氨酚黄那敏片0.125g*20片</v>
          </cell>
        </row>
        <row r="1077">
          <cell r="E1077" t="str">
            <v>0020030001SJZY0006</v>
          </cell>
          <cell r="H1077" t="str">
            <v>无棣康棣医药连锁有限公司</v>
          </cell>
          <cell r="J1077" t="str">
            <v>1856</v>
          </cell>
          <cell r="K1077" t="str">
            <v>201602151421097</v>
          </cell>
          <cell r="M1077" t="str">
            <v>葡萄糖酸钙口服溶液（含糖）10ml*12支</v>
          </cell>
        </row>
        <row r="1078">
          <cell r="E1078" t="str">
            <v>0020020020ZYLC0011</v>
          </cell>
          <cell r="H1078" t="str">
            <v>惠民县东涛大药房</v>
          </cell>
          <cell r="J1078" t="str">
            <v>1854</v>
          </cell>
          <cell r="K1078" t="str">
            <v>201602151421097</v>
          </cell>
          <cell r="M1078" t="str">
            <v xml:space="preserve">泻利停/颠茄磺苄啶片0.12g*20片 </v>
          </cell>
        </row>
        <row r="1079">
          <cell r="E1079" t="str">
            <v>0020040001SHYT0018</v>
          </cell>
          <cell r="H1079" t="str">
            <v>惠民县东涛大药房</v>
          </cell>
          <cell r="J1079" t="str">
            <v>1854</v>
          </cell>
          <cell r="K1079" t="str">
            <v>201602151421097</v>
          </cell>
          <cell r="M1079" t="str">
            <v>血府逐淤丸9g*10丸</v>
          </cell>
        </row>
        <row r="1080">
          <cell r="E1080" t="str">
            <v>0020030001SJZY0009</v>
          </cell>
          <cell r="H1080" t="str">
            <v>阳信县百姓大药房医药连锁有限公司</v>
          </cell>
          <cell r="J1080" t="str">
            <v>1855</v>
          </cell>
          <cell r="K1080" t="str">
            <v>201602151421097</v>
          </cell>
          <cell r="M1080" t="str">
            <v>葡萄糖酸锌口服液10ML*12支</v>
          </cell>
        </row>
        <row r="1081">
          <cell r="E1081" t="str">
            <v>0020030001SJZY0006</v>
          </cell>
          <cell r="H1081" t="str">
            <v>阳信县百姓大药房医药连锁有限公司</v>
          </cell>
          <cell r="J1081" t="str">
            <v>1855</v>
          </cell>
          <cell r="K1081" t="str">
            <v>201602151421097</v>
          </cell>
          <cell r="M1081" t="str">
            <v>葡萄糖酸钙口服溶液（含糖）10ml*12支</v>
          </cell>
        </row>
        <row r="1082">
          <cell r="E1082" t="str">
            <v>0020020020SJMS0008</v>
          </cell>
          <cell r="H1082" t="str">
            <v>惠民县众可万寿堂大药房连锁有限公司</v>
          </cell>
          <cell r="J1082" t="str">
            <v>1854</v>
          </cell>
          <cell r="K1082" t="str">
            <v>201602151421097</v>
          </cell>
          <cell r="M1082" t="str">
            <v>拉西地平片/三精司乐平片4mg*15片</v>
          </cell>
        </row>
        <row r="1083">
          <cell r="E1083" t="str">
            <v>0020070000ZYLC0001</v>
          </cell>
          <cell r="H1083" t="str">
            <v>博兴县盛和堂大药店</v>
          </cell>
          <cell r="J1083" t="str">
            <v>1858</v>
          </cell>
          <cell r="K1083" t="str">
            <v>201602151421097</v>
          </cell>
          <cell r="M1083" t="str">
            <v>新盖中盖高钙片2.5g*36P</v>
          </cell>
        </row>
        <row r="1084">
          <cell r="E1084" t="str">
            <v>0020030001SJZY0009</v>
          </cell>
          <cell r="H1084" t="str">
            <v>滨州市滨城区彭李街道办事处黄河社区卫生服务站</v>
          </cell>
          <cell r="J1084" t="str">
            <v>1853</v>
          </cell>
          <cell r="K1084" t="str">
            <v>201602151421097</v>
          </cell>
          <cell r="M1084" t="str">
            <v>葡萄糖酸锌口服液10ML*12支</v>
          </cell>
        </row>
        <row r="1085">
          <cell r="E1085" t="str">
            <v>0020050090SJZY0001</v>
          </cell>
          <cell r="H1085" t="str">
            <v>滨州市滨城区彭李街道办事处黄河社区卫生服务站</v>
          </cell>
          <cell r="J1085" t="str">
            <v>1853</v>
          </cell>
          <cell r="K1085" t="str">
            <v>201602151421097</v>
          </cell>
          <cell r="M1085" t="str">
            <v>双黄连口服液10ml*10支</v>
          </cell>
        </row>
        <row r="1086">
          <cell r="E1086" t="str">
            <v>0020070000ZYLC0003</v>
          </cell>
          <cell r="H1086" t="str">
            <v>孙武街道高官村卫生室</v>
          </cell>
          <cell r="J1086" t="str">
            <v>1854</v>
          </cell>
          <cell r="K1086" t="str">
            <v>201602151421097</v>
          </cell>
          <cell r="M1086" t="str">
            <v>新盖中盖牌儿童钙片1.75g*36p</v>
          </cell>
        </row>
        <row r="1087">
          <cell r="E1087" t="str">
            <v>0020030020ZYLC0010</v>
          </cell>
          <cell r="H1087" t="str">
            <v>惠民县古城药房</v>
          </cell>
          <cell r="J1087" t="str">
            <v>1854</v>
          </cell>
          <cell r="K1087" t="str">
            <v>201602151421097</v>
          </cell>
          <cell r="M1087" t="str">
            <v>乳酸菌素片/为消0.4g*36片</v>
          </cell>
        </row>
        <row r="1088">
          <cell r="E1088" t="str">
            <v>0020030040ZYLC0001</v>
          </cell>
          <cell r="H1088" t="str">
            <v>滨州市精诚便民医药连锁有限公司</v>
          </cell>
          <cell r="J1088" t="str">
            <v>1853</v>
          </cell>
          <cell r="K1088" t="str">
            <v>201602151421097</v>
          </cell>
          <cell r="M1088" t="str">
            <v>护彤冲剂/小儿氨酚黄那敏颗粒2g*12袋</v>
          </cell>
        </row>
        <row r="1089">
          <cell r="E1089" t="str">
            <v>0020030001SJZY0006</v>
          </cell>
          <cell r="H1089" t="str">
            <v>滨州市靖和堂大药房医药连锁有限公司</v>
          </cell>
          <cell r="J1089" t="str">
            <v>1858</v>
          </cell>
          <cell r="K1089" t="str">
            <v>201602151421097</v>
          </cell>
          <cell r="M1089" t="str">
            <v>葡萄糖酸钙口服溶液（含糖）10ml*12支</v>
          </cell>
        </row>
        <row r="1090">
          <cell r="E1090" t="str">
            <v>0020070001ZYLC0001</v>
          </cell>
          <cell r="H1090" t="str">
            <v>滨州市靖和堂大药房医药连锁有限公司</v>
          </cell>
          <cell r="J1090" t="str">
            <v>1858</v>
          </cell>
          <cell r="K1090" t="str">
            <v>201602151421097</v>
          </cell>
          <cell r="M1090" t="str">
            <v>哈药六钙锌口服液10ml*12支</v>
          </cell>
        </row>
        <row r="1091">
          <cell r="E1091" t="str">
            <v>0020070000ZYLC0001</v>
          </cell>
          <cell r="H1091" t="str">
            <v>滨州市靖和堂大药房医药连锁有限公司</v>
          </cell>
          <cell r="J1091" t="str">
            <v>1858</v>
          </cell>
          <cell r="K1091" t="str">
            <v>201602151421097</v>
          </cell>
          <cell r="M1091" t="str">
            <v>新盖中盖高钙片2.5g*36P</v>
          </cell>
        </row>
        <row r="1092">
          <cell r="E1092" t="str">
            <v>0020030001SJZY0009</v>
          </cell>
          <cell r="H1092" t="str">
            <v>滨州市靖和堂大药房医药连锁有限公司</v>
          </cell>
          <cell r="J1092" t="str">
            <v>1858</v>
          </cell>
          <cell r="K1092" t="str">
            <v>201602151421097</v>
          </cell>
          <cell r="M1092" t="str">
            <v>葡萄糖酸锌口服液10ML*12支</v>
          </cell>
        </row>
        <row r="1093">
          <cell r="E1093" t="str">
            <v>0020050090SJZY0001</v>
          </cell>
          <cell r="H1093" t="str">
            <v>滨州市靖和堂大药房医药连锁有限公司</v>
          </cell>
          <cell r="J1093" t="str">
            <v>1858</v>
          </cell>
          <cell r="K1093" t="str">
            <v>201602151421097</v>
          </cell>
          <cell r="M1093" t="str">
            <v>双黄连口服液10ml*10支</v>
          </cell>
        </row>
        <row r="1094">
          <cell r="E1094" t="str">
            <v>0020020021ZYLC0011</v>
          </cell>
          <cell r="H1094" t="str">
            <v>滨州市修正堂医药有限公司</v>
          </cell>
          <cell r="J1094" t="str">
            <v>1853</v>
          </cell>
          <cell r="K1094" t="str">
            <v>201602151421097</v>
          </cell>
          <cell r="M1094" t="str">
            <v>严迪/罗红霉素分散片150mg*12片</v>
          </cell>
        </row>
        <row r="1095">
          <cell r="E1095" t="str">
            <v>0020070000ZYLC0001</v>
          </cell>
          <cell r="H1095" t="str">
            <v>滨州市滨城区泰华堂大药房</v>
          </cell>
          <cell r="J1095" t="str">
            <v>1853</v>
          </cell>
          <cell r="K1095" t="str">
            <v>201602151421097</v>
          </cell>
          <cell r="M1095" t="str">
            <v>新盖中盖高钙片2.5g*36P</v>
          </cell>
        </row>
        <row r="1096">
          <cell r="E1096" t="str">
            <v>0020030001SJZY0009</v>
          </cell>
          <cell r="H1096" t="str">
            <v>滨州益民堂大药房有限公司</v>
          </cell>
          <cell r="J1096" t="str">
            <v>1853</v>
          </cell>
          <cell r="K1096" t="str">
            <v>201602151421097</v>
          </cell>
          <cell r="M1096" t="str">
            <v>葡萄糖酸锌口服液10ML*12支</v>
          </cell>
        </row>
        <row r="1097">
          <cell r="E1097" t="str">
            <v>0020030020ZYLC0010</v>
          </cell>
          <cell r="H1097" t="str">
            <v>何坊街道王官村卫生室</v>
          </cell>
          <cell r="J1097" t="str">
            <v>1854</v>
          </cell>
          <cell r="K1097" t="str">
            <v>201602151421097</v>
          </cell>
          <cell r="M1097" t="str">
            <v>“为消”牌乳酸菌素片0.4g*36片</v>
          </cell>
        </row>
        <row r="1098">
          <cell r="E1098" t="str">
            <v>0020030040ZYLC0001</v>
          </cell>
          <cell r="H1098" t="str">
            <v>滨州市滨城区彭李街道办事处阳光社区卫生服务站</v>
          </cell>
          <cell r="J1098" t="str">
            <v>1853</v>
          </cell>
          <cell r="K1098" t="str">
            <v>201602151421097</v>
          </cell>
          <cell r="M1098" t="str">
            <v>护彤冲剂/小儿氨酚黄那敏颗粒2g*12袋</v>
          </cell>
        </row>
        <row r="1099">
          <cell r="E1099" t="str">
            <v>0020070001ZYLC0001</v>
          </cell>
          <cell r="H1099" t="str">
            <v>信诚街道办事处东南村卫生室</v>
          </cell>
          <cell r="J1099" t="str">
            <v>1855</v>
          </cell>
          <cell r="K1099" t="str">
            <v>201602151421097</v>
          </cell>
          <cell r="M1099" t="str">
            <v>哈药六钙锌口服液10ml*12支</v>
          </cell>
        </row>
        <row r="1100">
          <cell r="E1100" t="str">
            <v>0020070000ZYLC0055</v>
          </cell>
          <cell r="H1100" t="str">
            <v>金阳街道张杠社区卫生室</v>
          </cell>
          <cell r="J1100" t="str">
            <v>1855</v>
          </cell>
          <cell r="K1100" t="str">
            <v>201602151421097</v>
          </cell>
          <cell r="M1100" t="str">
            <v>朴血/乳酸亚铁口服液10ml*12支</v>
          </cell>
        </row>
        <row r="1101">
          <cell r="E1101" t="str">
            <v>0020030020SJSC0014</v>
          </cell>
          <cell r="H1101" t="str">
            <v>滨城区市西街道办事处张八棍第四卫生室</v>
          </cell>
          <cell r="J1101" t="str">
            <v>1853</v>
          </cell>
          <cell r="K1101" t="str">
            <v>201602151421097</v>
          </cell>
          <cell r="M1101" t="str">
            <v>维D2磷酸氢钙片60片</v>
          </cell>
        </row>
        <row r="1102">
          <cell r="E1102" t="str">
            <v>0020070000ZYLC0001</v>
          </cell>
          <cell r="H1102" t="str">
            <v>沾化国瑞医药连锁有限责任公司</v>
          </cell>
          <cell r="J1102" t="str">
            <v>1857</v>
          </cell>
          <cell r="K1102" t="str">
            <v>201602151421097</v>
          </cell>
          <cell r="M1102" t="str">
            <v>新盖中盖高钙片2.5g*36P</v>
          </cell>
        </row>
        <row r="1103">
          <cell r="E1103" t="str">
            <v>0020050001SHYT0017</v>
          </cell>
          <cell r="H1103" t="str">
            <v>商店镇北街社区卫生室</v>
          </cell>
          <cell r="J1103" t="str">
            <v>1855</v>
          </cell>
          <cell r="K1103" t="str">
            <v>201602151421097</v>
          </cell>
          <cell r="M1103" t="str">
            <v>附子理中丸9g*10丸</v>
          </cell>
        </row>
        <row r="1104">
          <cell r="E1104" t="str">
            <v>0020030001SJZY0006</v>
          </cell>
          <cell r="H1104" t="str">
            <v>滨州市滨城区市中街道办事处便民社区卫生服务站</v>
          </cell>
          <cell r="J1104" t="str">
            <v>1853</v>
          </cell>
          <cell r="K1104" t="str">
            <v>201602151421097</v>
          </cell>
          <cell r="M1104" t="str">
            <v>葡萄糖酸钙口服溶液（含糖）10ml*12支</v>
          </cell>
        </row>
        <row r="1105">
          <cell r="E1105" t="str">
            <v>0020030001SJZY0009</v>
          </cell>
          <cell r="H1105" t="str">
            <v>邹平仁益医药连锁有限公司</v>
          </cell>
          <cell r="J1105" t="str">
            <v>1859</v>
          </cell>
          <cell r="K1105" t="str">
            <v>201602151421097</v>
          </cell>
          <cell r="M1105" t="str">
            <v>葡萄糖酸锌口服液10ML*12支</v>
          </cell>
        </row>
        <row r="1106">
          <cell r="E1106" t="str">
            <v>0020050090SJZY0001</v>
          </cell>
          <cell r="H1106" t="str">
            <v>邹平仁益医药连锁有限公司</v>
          </cell>
          <cell r="J1106" t="str">
            <v>1859</v>
          </cell>
          <cell r="K1106" t="str">
            <v>201602151421097</v>
          </cell>
          <cell r="M1106" t="str">
            <v>双黄连口服液10ml*10支</v>
          </cell>
        </row>
        <row r="1107">
          <cell r="E1107" t="str">
            <v>0020050090SJZY0001</v>
          </cell>
          <cell r="H1107" t="str">
            <v>无棣县益寿康大药房</v>
          </cell>
          <cell r="J1107" t="str">
            <v>1856</v>
          </cell>
          <cell r="K1107" t="str">
            <v>201602151421097</v>
          </cell>
          <cell r="M1107" t="str">
            <v>双黄连口服液10ml*10支</v>
          </cell>
        </row>
        <row r="1108">
          <cell r="E1108" t="str">
            <v>0020030020SJSC0014</v>
          </cell>
          <cell r="H1108" t="str">
            <v>滨城王洪波诊所</v>
          </cell>
          <cell r="J1108" t="str">
            <v>1853</v>
          </cell>
          <cell r="K1108" t="str">
            <v>201602151421097</v>
          </cell>
          <cell r="M1108" t="str">
            <v>维D2磷酸氢钙片60片</v>
          </cell>
        </row>
        <row r="1109">
          <cell r="E1109" t="str">
            <v>0020020030ZYZC0264</v>
          </cell>
          <cell r="H1109" t="str">
            <v>大洋集团诊所</v>
          </cell>
          <cell r="J1109" t="str">
            <v>1856</v>
          </cell>
          <cell r="K1109" t="str">
            <v>201602151421097</v>
          </cell>
          <cell r="M1109" t="str">
            <v>阿莫西林胶囊0.5g*20粒</v>
          </cell>
        </row>
        <row r="1110">
          <cell r="E1110" t="str">
            <v>0020040001SHYT0027</v>
          </cell>
          <cell r="H1110" t="str">
            <v>翟王镇粉刘中心卫生室</v>
          </cell>
          <cell r="J1110" t="str">
            <v>1855</v>
          </cell>
          <cell r="K1110" t="str">
            <v>201602151421097</v>
          </cell>
          <cell r="M1110" t="str">
            <v>柏子养心丸9g*10丸</v>
          </cell>
        </row>
        <row r="1111">
          <cell r="E1111" t="str">
            <v>0020070000ZYLC0055</v>
          </cell>
          <cell r="H1111" t="str">
            <v>信诚街道接官亭村第一卫生室</v>
          </cell>
          <cell r="J1111" t="str">
            <v>1855</v>
          </cell>
          <cell r="K1111" t="str">
            <v>201602151421097</v>
          </cell>
          <cell r="M1111" t="str">
            <v>朴血/乳酸亚铁口服液10ml*12支</v>
          </cell>
        </row>
        <row r="1112">
          <cell r="E1112" t="str">
            <v>0020070001ZYZC0369</v>
          </cell>
          <cell r="H1112" t="str">
            <v>信诚街道接官亭村第一卫生室</v>
          </cell>
          <cell r="J1112" t="str">
            <v>1855</v>
          </cell>
          <cell r="K1112" t="str">
            <v>201602151421097</v>
          </cell>
          <cell r="M1112" t="str">
            <v>哈药牌钙铁锌口服液10ml*12支</v>
          </cell>
        </row>
        <row r="1113">
          <cell r="E1113" t="str">
            <v>0020050090SJZY0001</v>
          </cell>
          <cell r="H1113" t="str">
            <v>信诚街道接官亭村第一卫生室</v>
          </cell>
          <cell r="J1113" t="str">
            <v>1855</v>
          </cell>
          <cell r="K1113" t="str">
            <v>201602151421097</v>
          </cell>
          <cell r="M1113" t="str">
            <v>双黄连口服液10ml*10支</v>
          </cell>
        </row>
        <row r="1114">
          <cell r="E1114" t="str">
            <v>0020030020SJSC0004</v>
          </cell>
          <cell r="H1114" t="str">
            <v>无棣益生堂药店连锁有限公司</v>
          </cell>
          <cell r="J1114" t="str">
            <v>1856</v>
          </cell>
          <cell r="K1114" t="str">
            <v>201602151421097</v>
          </cell>
          <cell r="M1114" t="str">
            <v>胃必治/复方铝酸铋片50片</v>
          </cell>
        </row>
        <row r="1115">
          <cell r="E1115" t="str">
            <v>0020030001SJZY0006</v>
          </cell>
          <cell r="H1115" t="str">
            <v>劳店乡西街村卫生室</v>
          </cell>
          <cell r="J1115" t="str">
            <v>1855</v>
          </cell>
          <cell r="K1115" t="str">
            <v>201602151421097</v>
          </cell>
          <cell r="M1115" t="str">
            <v>葡萄糖酸钙口服溶液（含糖）10ml*12支</v>
          </cell>
        </row>
        <row r="1116">
          <cell r="E1116" t="str">
            <v>0020020020ZYLC0003</v>
          </cell>
          <cell r="H1116" t="str">
            <v>劳店乡西街村卫生室</v>
          </cell>
          <cell r="J1116" t="str">
            <v>1855</v>
          </cell>
          <cell r="K1116" t="str">
            <v>201602151421097</v>
          </cell>
          <cell r="M1116" t="str">
            <v>泻立停片/颠茄磺苄啶片0.4g：80mg：8mg*12片</v>
          </cell>
        </row>
        <row r="1117">
          <cell r="E1117" t="str">
            <v>0020040030SHYT0002</v>
          </cell>
          <cell r="H1117" t="str">
            <v>商店镇小桑园区第一社区卫生室</v>
          </cell>
          <cell r="J1117" t="str">
            <v>1855</v>
          </cell>
          <cell r="K1117" t="str">
            <v>201602151421097</v>
          </cell>
          <cell r="M1117" t="str">
            <v>牛黄消炎片0.12g*24片</v>
          </cell>
        </row>
        <row r="1118">
          <cell r="E1118" t="str">
            <v>0020030170ZYEC0003</v>
          </cell>
          <cell r="H1118" t="str">
            <v>惠民广益堂诊所</v>
          </cell>
          <cell r="J1118" t="str">
            <v>1854</v>
          </cell>
          <cell r="K1118" t="str">
            <v>201602151421097</v>
          </cell>
          <cell r="M1118" t="str">
            <v>蒙脱石散3g*12袋</v>
          </cell>
        </row>
        <row r="1119">
          <cell r="E1119" t="str">
            <v>0020020020ZYLC0003</v>
          </cell>
          <cell r="H1119" t="str">
            <v>惠民广益堂诊所</v>
          </cell>
          <cell r="J1119" t="str">
            <v>1854</v>
          </cell>
          <cell r="K1119" t="str">
            <v>201602151421097</v>
          </cell>
          <cell r="M1119" t="str">
            <v>泻立停片/颠茄磺苄啶片0.4g：80mg：8mg*12片</v>
          </cell>
        </row>
        <row r="1120">
          <cell r="E1120" t="str">
            <v>0020020020ZYLC0003</v>
          </cell>
          <cell r="H1120" t="str">
            <v>惠民仁和堂诊所</v>
          </cell>
          <cell r="J1120" t="str">
            <v>1854</v>
          </cell>
          <cell r="K1120" t="str">
            <v>201602151421097</v>
          </cell>
          <cell r="M1120" t="str">
            <v>泻立停片/颠茄磺苄啶片0.4g：80mg：8mg*12片</v>
          </cell>
        </row>
        <row r="1121">
          <cell r="E1121" t="str">
            <v>0020050090SJZY0001</v>
          </cell>
          <cell r="H1121" t="str">
            <v>滨城朱林诊所</v>
          </cell>
          <cell r="J1121" t="str">
            <v>1853</v>
          </cell>
          <cell r="K1121" t="str">
            <v>201602151421097</v>
          </cell>
          <cell r="M1121" t="str">
            <v>双黄连口服液10ml*10支</v>
          </cell>
        </row>
        <row r="1122">
          <cell r="E1122" t="str">
            <v>0020020020ZYLC0003</v>
          </cell>
          <cell r="H1122" t="str">
            <v>阳信镇北关中心卫生室</v>
          </cell>
          <cell r="J1122" t="str">
            <v>1855</v>
          </cell>
          <cell r="K1122" t="str">
            <v>201602151421097</v>
          </cell>
          <cell r="M1122" t="str">
            <v>泻立停片/颠茄磺苄啶片0.4g：80mg：8mg*12片</v>
          </cell>
        </row>
        <row r="1123">
          <cell r="E1123" t="str">
            <v>0020050090SJZY0001</v>
          </cell>
          <cell r="H1123" t="str">
            <v>无棣县埕口镇万豪药店</v>
          </cell>
          <cell r="J1123" t="str">
            <v>1856</v>
          </cell>
          <cell r="K1123" t="str">
            <v>201602151421097</v>
          </cell>
          <cell r="M1123" t="str">
            <v>双黄连口服液10ml*10支</v>
          </cell>
        </row>
        <row r="1124">
          <cell r="E1124" t="str">
            <v>0020030020SJSC0004</v>
          </cell>
          <cell r="H1124" t="str">
            <v>无棣县埕口镇万豪药店</v>
          </cell>
          <cell r="J1124" t="str">
            <v>1856</v>
          </cell>
          <cell r="K1124" t="str">
            <v>201602151421097</v>
          </cell>
          <cell r="M1124" t="str">
            <v>胃必治/复方铝酸铋片50片</v>
          </cell>
        </row>
        <row r="1125">
          <cell r="E1125" t="str">
            <v>0020030020SJSC0025</v>
          </cell>
          <cell r="H1125" t="str">
            <v>商店镇王朝正社区卫生室</v>
          </cell>
          <cell r="J1125" t="str">
            <v>1855</v>
          </cell>
          <cell r="K1125" t="str">
            <v>201602151421097</v>
          </cell>
          <cell r="M1125" t="str">
            <v>复方氨酚烷胺片12片</v>
          </cell>
        </row>
        <row r="1126">
          <cell r="E1126" t="str">
            <v>0020020021ZYZC0341</v>
          </cell>
          <cell r="H1126" t="str">
            <v>沾化济生堂大药房连锁有限公司</v>
          </cell>
          <cell r="J1126" t="str">
            <v>1857</v>
          </cell>
          <cell r="K1126" t="str">
            <v>201602151421097</v>
          </cell>
          <cell r="M1126" t="str">
            <v>阿莫西林克拉维酸钾分散片0.2285g*12片</v>
          </cell>
        </row>
        <row r="1127">
          <cell r="E1127" t="str">
            <v>0020020030ZYZC0283</v>
          </cell>
          <cell r="H1127" t="str">
            <v>沾化济生堂大药房连锁有限公司</v>
          </cell>
          <cell r="J1127" t="str">
            <v>1857</v>
          </cell>
          <cell r="K1127" t="str">
            <v>201602151421097</v>
          </cell>
          <cell r="M1127" t="str">
            <v>头孢拉定胶囊0.25g*24粒</v>
          </cell>
        </row>
        <row r="1128">
          <cell r="E1128" t="str">
            <v>0020020021ZYLC0010</v>
          </cell>
          <cell r="H1128" t="str">
            <v>沾化济生堂大药房连锁有限公司</v>
          </cell>
          <cell r="J1128" t="str">
            <v>1857</v>
          </cell>
          <cell r="K1128" t="str">
            <v>201602151421097</v>
          </cell>
          <cell r="M1128" t="str">
            <v>克拉霉素分散片0.125g*12片</v>
          </cell>
        </row>
        <row r="1129">
          <cell r="E1129" t="str">
            <v>0020050090SJZY0001</v>
          </cell>
          <cell r="H1129" t="str">
            <v>滨州市滨城区市中街道办事处便民社区卫生服务站</v>
          </cell>
          <cell r="J1129" t="str">
            <v>1853</v>
          </cell>
          <cell r="K1129" t="str">
            <v>201602151421097</v>
          </cell>
          <cell r="M1129" t="str">
            <v>双黄连口服液10ml*10支</v>
          </cell>
        </row>
        <row r="1130">
          <cell r="E1130" t="str">
            <v>0020030020SJSC0025</v>
          </cell>
          <cell r="H1130" t="str">
            <v>大洋集团诊所</v>
          </cell>
          <cell r="J1130" t="str">
            <v>1856</v>
          </cell>
          <cell r="K1130" t="str">
            <v>201602151421097</v>
          </cell>
          <cell r="M1130" t="str">
            <v>复方氨酚烷胺片12片</v>
          </cell>
        </row>
        <row r="1131">
          <cell r="E1131" t="str">
            <v>0020050090ZYEC0004</v>
          </cell>
          <cell r="H1131" t="str">
            <v>大洋集团诊所</v>
          </cell>
          <cell r="J1131" t="str">
            <v>1856</v>
          </cell>
          <cell r="K1131" t="str">
            <v>201602151421097</v>
          </cell>
          <cell r="M1131" t="str">
            <v>刺五加脑灵液100ml</v>
          </cell>
        </row>
        <row r="1132">
          <cell r="E1132" t="str">
            <v>0020040030SHYT0002</v>
          </cell>
          <cell r="H1132" t="str">
            <v>沾化三易诊所</v>
          </cell>
          <cell r="J1132" t="str">
            <v>1857</v>
          </cell>
          <cell r="K1132" t="str">
            <v>201602151421097</v>
          </cell>
          <cell r="M1132" t="str">
            <v>牛黄消炎片0.12g*24片</v>
          </cell>
        </row>
        <row r="1133">
          <cell r="E1133" t="str">
            <v>0020020020ZYLC0003</v>
          </cell>
          <cell r="H1133" t="str">
            <v>水落坡乡五支刘社区卫生室</v>
          </cell>
          <cell r="J1133" t="str">
            <v>1855</v>
          </cell>
          <cell r="K1133" t="str">
            <v>201602151421097</v>
          </cell>
          <cell r="M1133" t="str">
            <v>泻立停片/颠茄磺苄啶片0.4g：80mg：8mg*12片</v>
          </cell>
        </row>
        <row r="1134">
          <cell r="E1134" t="str">
            <v>0020020020ZYZC0473</v>
          </cell>
          <cell r="H1134" t="str">
            <v>欣康诊所</v>
          </cell>
          <cell r="J1134" t="str">
            <v>1857</v>
          </cell>
          <cell r="K1134" t="str">
            <v>201602151421097</v>
          </cell>
          <cell r="M1134" t="str">
            <v>盐酸环丙沙星片0.25g*12片</v>
          </cell>
        </row>
        <row r="1135">
          <cell r="E1135" t="str">
            <v>0020070001ZYZC0369</v>
          </cell>
          <cell r="H1135" t="str">
            <v>无棣益生堂药店连锁有限公司</v>
          </cell>
          <cell r="J1135" t="str">
            <v>1856</v>
          </cell>
          <cell r="K1135" t="str">
            <v>201602151421097</v>
          </cell>
          <cell r="M1135" t="str">
            <v>哈药牌钙铁锌口服液10ml*12支</v>
          </cell>
        </row>
        <row r="1136">
          <cell r="E1136" t="str">
            <v>0020030001SJZY0006</v>
          </cell>
          <cell r="H1136" t="str">
            <v>无棣益生堂药店连锁有限公司</v>
          </cell>
          <cell r="J1136" t="str">
            <v>1856</v>
          </cell>
          <cell r="K1136" t="str">
            <v>201602151421097</v>
          </cell>
          <cell r="M1136" t="str">
            <v>葡萄糖酸钙口服溶液10ml*12支</v>
          </cell>
        </row>
        <row r="1137">
          <cell r="E1137" t="str">
            <v>0020030020ZYLC0010</v>
          </cell>
          <cell r="H1137" t="str">
            <v>滨州宁心医药有限公司</v>
          </cell>
          <cell r="J1137" t="str">
            <v>1853</v>
          </cell>
          <cell r="K1137" t="str">
            <v>201602151421097</v>
          </cell>
          <cell r="M1137" t="str">
            <v>乳酸菌素片0.4g*36片/小包</v>
          </cell>
        </row>
        <row r="1138">
          <cell r="E1138" t="str">
            <v>0020030001SJZY0006</v>
          </cell>
          <cell r="H1138" t="str">
            <v>滨州盛泰医药连锁有限公司</v>
          </cell>
          <cell r="J1138" t="str">
            <v>1858</v>
          </cell>
          <cell r="K1138" t="str">
            <v>201602151421097</v>
          </cell>
          <cell r="M1138" t="str">
            <v>葡萄糖酸钙口服溶液10ml*12支</v>
          </cell>
        </row>
        <row r="1139">
          <cell r="E1139" t="str">
            <v>0020030001SJZY0009</v>
          </cell>
          <cell r="H1139" t="str">
            <v>滨州盛泰医药连锁有限公司</v>
          </cell>
          <cell r="J1139" t="str">
            <v>1858</v>
          </cell>
          <cell r="K1139" t="str">
            <v>201602151421097</v>
          </cell>
          <cell r="M1139" t="str">
            <v>葡萄糖酸锌口服溶液10ml*12支</v>
          </cell>
        </row>
        <row r="1140">
          <cell r="E1140" t="str">
            <v>0020020021ZYLC0004</v>
          </cell>
          <cell r="H1140" t="str">
            <v>博兴县德康大药店</v>
          </cell>
          <cell r="J1140" t="str">
            <v>1858</v>
          </cell>
          <cell r="K1140" t="str">
            <v>201602151421097</v>
          </cell>
          <cell r="M1140" t="str">
            <v>罗红霉素分散片75mg*12片</v>
          </cell>
        </row>
        <row r="1141">
          <cell r="E1141" t="str">
            <v>0020020021ZYLC0005</v>
          </cell>
          <cell r="H1141" t="str">
            <v>博兴县德康大药店</v>
          </cell>
          <cell r="J1141" t="str">
            <v>1858</v>
          </cell>
          <cell r="K1141" t="str">
            <v>201602151421097</v>
          </cell>
          <cell r="M1141" t="str">
            <v>罗红霉素分散片50mg*12片</v>
          </cell>
        </row>
        <row r="1142">
          <cell r="E1142" t="str">
            <v>0020030020ZYLC0013</v>
          </cell>
          <cell r="H1142" t="str">
            <v>滨城曹淑玲诊所</v>
          </cell>
          <cell r="J1142" t="str">
            <v>1853</v>
          </cell>
          <cell r="K1142" t="str">
            <v>201602151421097</v>
          </cell>
          <cell r="M1142" t="str">
            <v>乳酸菌素片0.4g*12片*3板</v>
          </cell>
        </row>
        <row r="1143">
          <cell r="E1143" t="str">
            <v>0020020030ZYZC0289</v>
          </cell>
          <cell r="H1143" t="str">
            <v>滨州市第一中学卫生室</v>
          </cell>
          <cell r="J1143" t="str">
            <v>1853</v>
          </cell>
          <cell r="K1143" t="str">
            <v>201602151421097</v>
          </cell>
          <cell r="M1143" t="str">
            <v>阿莫西林胶囊0.5g*36粒</v>
          </cell>
        </row>
        <row r="1144">
          <cell r="E1144" t="str">
            <v>0020030001SJZY0009</v>
          </cell>
          <cell r="H1144" t="str">
            <v>山东弘旭医药连锁经营有限公司</v>
          </cell>
          <cell r="J1144" t="str">
            <v>1853</v>
          </cell>
          <cell r="K1144" t="str">
            <v>201602151421097</v>
          </cell>
          <cell r="M1144" t="str">
            <v>葡萄糖酸锌口服溶液10ml*12支</v>
          </cell>
        </row>
        <row r="1145">
          <cell r="E1145" t="str">
            <v>0020030020ZYLC0013</v>
          </cell>
          <cell r="H1145" t="str">
            <v>滨城赵淑潭诊所</v>
          </cell>
          <cell r="J1145" t="str">
            <v>1853</v>
          </cell>
          <cell r="K1145" t="str">
            <v>201602151421097</v>
          </cell>
          <cell r="M1145" t="str">
            <v>乳酸菌素片0.4g*12片*3板</v>
          </cell>
        </row>
        <row r="1146">
          <cell r="E1146" t="str">
            <v>0020030001SJZY0006</v>
          </cell>
          <cell r="H1146" t="str">
            <v>滨州市滨源医药连锁有限公司</v>
          </cell>
          <cell r="J1146" t="str">
            <v>1853</v>
          </cell>
          <cell r="K1146" t="str">
            <v>201602151421097</v>
          </cell>
          <cell r="M1146" t="str">
            <v>葡萄糖酸钙口服溶液10ml*12支</v>
          </cell>
        </row>
        <row r="1147">
          <cell r="E1147" t="str">
            <v>0020030001SJZY0009</v>
          </cell>
          <cell r="H1147" t="str">
            <v>滨州市滨源医药连锁有限公司</v>
          </cell>
          <cell r="J1147" t="str">
            <v>1853</v>
          </cell>
          <cell r="K1147" t="str">
            <v>201602151421097</v>
          </cell>
          <cell r="M1147" t="str">
            <v>葡萄糖酸锌口服溶液10ml*12支</v>
          </cell>
        </row>
        <row r="1148">
          <cell r="E1148" t="str">
            <v>0020050090SJZY0001</v>
          </cell>
          <cell r="H1148" t="str">
            <v>滨州市滨源医药连锁有限公司</v>
          </cell>
          <cell r="J1148" t="str">
            <v>1853</v>
          </cell>
          <cell r="K1148" t="str">
            <v>201602151421097</v>
          </cell>
          <cell r="M1148" t="str">
            <v>双黄连口服液10ml*10支</v>
          </cell>
        </row>
        <row r="1149">
          <cell r="E1149" t="str">
            <v>0020030001SJZY0009</v>
          </cell>
          <cell r="H1149" t="str">
            <v>滨州宁心医药有限公司</v>
          </cell>
          <cell r="J1149" t="str">
            <v>1853</v>
          </cell>
          <cell r="K1149" t="str">
            <v>201602151421097</v>
          </cell>
          <cell r="M1149" t="str">
            <v>葡萄糖酸锌口服溶液10ml*12支</v>
          </cell>
        </row>
        <row r="1150">
          <cell r="E1150" t="str">
            <v>0020070000ZYLC0055</v>
          </cell>
          <cell r="H1150" t="str">
            <v>振邦诊所</v>
          </cell>
          <cell r="J1150" t="str">
            <v>1853</v>
          </cell>
          <cell r="K1150" t="str">
            <v>201602151421097</v>
          </cell>
          <cell r="M1150" t="str">
            <v>朴雪乳酸亚铁口服液10ml*12支</v>
          </cell>
        </row>
        <row r="1151">
          <cell r="E1151" t="str">
            <v>0020070000ZYLC0055</v>
          </cell>
          <cell r="H1151" t="str">
            <v>滨州康乐医药连锁有限公司</v>
          </cell>
          <cell r="J1151" t="str">
            <v>1853</v>
          </cell>
          <cell r="K1151" t="str">
            <v>201602151421097</v>
          </cell>
          <cell r="M1151" t="str">
            <v>朴雪乳酸亚铁口服液10ml*12支</v>
          </cell>
        </row>
        <row r="1152">
          <cell r="E1152" t="str">
            <v>0020030001SJZY0009</v>
          </cell>
          <cell r="H1152" t="str">
            <v>麻店镇麻店街卫生所</v>
          </cell>
          <cell r="J1152" t="str">
            <v>1854</v>
          </cell>
          <cell r="K1152" t="str">
            <v>201602151421097</v>
          </cell>
          <cell r="M1152" t="str">
            <v>葡萄糖酸锌口服溶液10ml*12支</v>
          </cell>
        </row>
        <row r="1153">
          <cell r="E1153" t="str">
            <v>0020030001SJZY0009</v>
          </cell>
          <cell r="H1153" t="str">
            <v>利津曙光诊所</v>
          </cell>
          <cell r="J1153" t="str">
            <v>1757</v>
          </cell>
          <cell r="M1153" t="str">
            <v>葡萄糖酸锌口服溶液10ml*12支</v>
          </cell>
        </row>
        <row r="1154">
          <cell r="E1154" t="str">
            <v>0020030020SJSC0025</v>
          </cell>
          <cell r="H1154" t="str">
            <v>博兴县永康药店</v>
          </cell>
          <cell r="J1154" t="str">
            <v>1858</v>
          </cell>
          <cell r="K1154" t="str">
            <v>201602151421097</v>
          </cell>
          <cell r="M1154" t="str">
            <v>复方氨酚烷胺片12片</v>
          </cell>
        </row>
        <row r="1155">
          <cell r="E1155" t="str">
            <v>0020030001SJZY0006</v>
          </cell>
          <cell r="H1155" t="str">
            <v>博兴县永康药店</v>
          </cell>
          <cell r="J1155" t="str">
            <v>1858</v>
          </cell>
          <cell r="K1155" t="str">
            <v>201602151421097</v>
          </cell>
          <cell r="M1155" t="str">
            <v>葡萄糖酸钙口服溶液10ml*12支</v>
          </cell>
        </row>
        <row r="1156">
          <cell r="E1156" t="str">
            <v>0020030001SJZY0009</v>
          </cell>
          <cell r="H1156" t="str">
            <v>博兴县永康药店</v>
          </cell>
          <cell r="J1156" t="str">
            <v>1858</v>
          </cell>
          <cell r="K1156" t="str">
            <v>201602151421097</v>
          </cell>
          <cell r="M1156" t="str">
            <v>葡萄糖酸锌口服溶液10ml*12支</v>
          </cell>
        </row>
        <row r="1157">
          <cell r="E1157" t="str">
            <v>0020030001SJZY0009</v>
          </cell>
          <cell r="H1157" t="str">
            <v>沾化国瑞医药连锁有限责任公司</v>
          </cell>
          <cell r="J1157" t="str">
            <v>1857</v>
          </cell>
          <cell r="K1157" t="str">
            <v>201602151421097</v>
          </cell>
          <cell r="M1157" t="str">
            <v>葡萄糖酸锌口服溶液10ml*12支</v>
          </cell>
        </row>
        <row r="1158">
          <cell r="E1158" t="str">
            <v>0020020021ZYLC0004</v>
          </cell>
          <cell r="H1158" t="str">
            <v>沾化国瑞医药连锁有限责任公司</v>
          </cell>
          <cell r="J1158" t="str">
            <v>1857</v>
          </cell>
          <cell r="K1158" t="str">
            <v>201602151421097</v>
          </cell>
          <cell r="M1158" t="str">
            <v>罗红霉素分散片75mg*12片</v>
          </cell>
        </row>
        <row r="1159">
          <cell r="E1159" t="str">
            <v>0020030001SJZY0006</v>
          </cell>
          <cell r="H1159" t="str">
            <v>博兴县陈户镇福百仁大药房</v>
          </cell>
          <cell r="J1159" t="str">
            <v>1858</v>
          </cell>
          <cell r="K1159" t="str">
            <v>201602151421097</v>
          </cell>
          <cell r="M1159" t="str">
            <v>葡萄糖酸钙口服溶液10ml*12支</v>
          </cell>
        </row>
        <row r="1160">
          <cell r="E1160" t="str">
            <v>0020030001SJZY0009</v>
          </cell>
          <cell r="H1160" t="str">
            <v>博兴县陈户镇福百仁大药房</v>
          </cell>
          <cell r="J1160" t="str">
            <v>1858</v>
          </cell>
          <cell r="K1160" t="str">
            <v>201602151421097</v>
          </cell>
          <cell r="M1160" t="str">
            <v>葡萄糖酸锌口服溶液10ml*12支</v>
          </cell>
        </row>
        <row r="1161">
          <cell r="E1161" t="str">
            <v>0020030040SJET0003</v>
          </cell>
          <cell r="H1161" t="str">
            <v>邹平百盛医药连锁有限公司</v>
          </cell>
          <cell r="J1161" t="str">
            <v>1859</v>
          </cell>
          <cell r="K1161" t="str">
            <v>201602151421097</v>
          </cell>
          <cell r="M1161" t="str">
            <v>氨金黄敏颗粒6g*10袋</v>
          </cell>
        </row>
        <row r="1162">
          <cell r="E1162" t="str">
            <v>0020030020SJSC0004</v>
          </cell>
          <cell r="H1162" t="str">
            <v>邹平百盛医药连锁有限公司</v>
          </cell>
          <cell r="J1162" t="str">
            <v>1859</v>
          </cell>
          <cell r="K1162" t="str">
            <v>201602151421097</v>
          </cell>
          <cell r="M1162" t="str">
            <v>复方铝酸铋片50片</v>
          </cell>
        </row>
        <row r="1163">
          <cell r="E1163" t="str">
            <v>0020030001SJZY0009</v>
          </cell>
          <cell r="H1163" t="str">
            <v>邹平百盛医药连锁有限公司</v>
          </cell>
          <cell r="J1163" t="str">
            <v>1859</v>
          </cell>
          <cell r="K1163" t="str">
            <v>201602151421097</v>
          </cell>
          <cell r="M1163" t="str">
            <v>葡萄糖酸锌口服溶液10ml*12支</v>
          </cell>
        </row>
        <row r="1164">
          <cell r="E1164" t="str">
            <v>0020050090SJZY0001</v>
          </cell>
          <cell r="H1164" t="str">
            <v>邹平百盛医药连锁有限公司</v>
          </cell>
          <cell r="J1164" t="str">
            <v>1859</v>
          </cell>
          <cell r="K1164" t="str">
            <v>201602151421097</v>
          </cell>
          <cell r="M1164" t="str">
            <v>双黄连口服液10ml*10支</v>
          </cell>
        </row>
        <row r="1165">
          <cell r="E1165" t="str">
            <v>0020020021ZYLC0004</v>
          </cell>
          <cell r="H1165" t="str">
            <v>邹平百盛医药连锁有限公司</v>
          </cell>
          <cell r="J1165" t="str">
            <v>1859</v>
          </cell>
          <cell r="K1165" t="str">
            <v>201602151421097</v>
          </cell>
          <cell r="M1165" t="str">
            <v>罗红霉素分散片75mg*12片</v>
          </cell>
        </row>
        <row r="1166">
          <cell r="E1166" t="str">
            <v>0020020021ZYLC0005</v>
          </cell>
          <cell r="H1166" t="str">
            <v>邹平百盛医药连锁有限公司</v>
          </cell>
          <cell r="J1166" t="str">
            <v>1859</v>
          </cell>
          <cell r="K1166" t="str">
            <v>201602151421097</v>
          </cell>
          <cell r="M1166" t="str">
            <v>罗红霉素分散片50mg*12片</v>
          </cell>
        </row>
        <row r="1167">
          <cell r="E1167" t="str">
            <v>0020030040ZYLC0001</v>
          </cell>
          <cell r="H1167" t="str">
            <v>邹平百盛医药连锁有限公司</v>
          </cell>
          <cell r="J1167" t="str">
            <v>1859</v>
          </cell>
          <cell r="K1167" t="str">
            <v>201602151421097</v>
          </cell>
          <cell r="M1167" t="str">
            <v>小儿氨酚黄那敏颗粒12袋</v>
          </cell>
        </row>
        <row r="1168">
          <cell r="E1168" t="str">
            <v>0020030001SJZY0009</v>
          </cell>
          <cell r="H1168" t="str">
            <v>高新区小营办事处愉悦城中心卫生室</v>
          </cell>
          <cell r="J1168" t="str">
            <v>1853</v>
          </cell>
          <cell r="K1168" t="str">
            <v>201602151421097</v>
          </cell>
          <cell r="M1168" t="str">
            <v>葡萄糖酸锌口服溶液10ml*12支</v>
          </cell>
        </row>
        <row r="1169">
          <cell r="E1169" t="str">
            <v>0020030040ZYLC0001</v>
          </cell>
          <cell r="H1169" t="str">
            <v>山东张氏君安医药有限公司</v>
          </cell>
          <cell r="J1169" t="str">
            <v>1853</v>
          </cell>
          <cell r="K1169" t="str">
            <v>201602151421097</v>
          </cell>
          <cell r="M1169" t="str">
            <v>小儿氨酚黄那敏颗粒12袋</v>
          </cell>
        </row>
        <row r="1170">
          <cell r="E1170" t="str">
            <v>0020070000ZYLC0001</v>
          </cell>
          <cell r="H1170" t="str">
            <v>邹平百盛医药连锁有限公司</v>
          </cell>
          <cell r="J1170" t="str">
            <v>1859</v>
          </cell>
          <cell r="K1170" t="str">
            <v>201602151421097</v>
          </cell>
          <cell r="M1170" t="str">
            <v>新盖中盖牌高钙片2.5g*36片</v>
          </cell>
        </row>
        <row r="1171">
          <cell r="E1171" t="str">
            <v>0020070000ZYLC0001</v>
          </cell>
          <cell r="H1171" t="str">
            <v>市东办事处福临家园社区卫生服务站</v>
          </cell>
          <cell r="J1171" t="str">
            <v>1853</v>
          </cell>
          <cell r="K1171" t="str">
            <v>201602151421097</v>
          </cell>
          <cell r="M1171" t="str">
            <v>新盖中盖牌高钙片2.5g*36片</v>
          </cell>
        </row>
        <row r="1172">
          <cell r="E1172" t="str">
            <v>0020070001ZYZC0369</v>
          </cell>
          <cell r="H1172" t="str">
            <v>市东办事处福临家园社区卫生服务站</v>
          </cell>
          <cell r="J1172" t="str">
            <v>1853</v>
          </cell>
          <cell r="K1172" t="str">
            <v>201602151421097</v>
          </cell>
          <cell r="M1172" t="str">
            <v>哈药牌钙铁锌口服液10ml*12支</v>
          </cell>
        </row>
        <row r="1173">
          <cell r="E1173" t="str">
            <v>0020030001SJZY0009</v>
          </cell>
          <cell r="H1173" t="str">
            <v>市东办事处福临家园社区卫生服务站</v>
          </cell>
          <cell r="J1173" t="str">
            <v>1853</v>
          </cell>
          <cell r="K1173" t="str">
            <v>201602151421097</v>
          </cell>
          <cell r="M1173" t="str">
            <v>葡萄糖酸锌口服溶液10ml*12支</v>
          </cell>
        </row>
        <row r="1174">
          <cell r="E1174" t="str">
            <v>0020030001SJZY0006</v>
          </cell>
          <cell r="H1174" t="str">
            <v>高青县天德堂药店</v>
          </cell>
          <cell r="J1174" t="str">
            <v>1744</v>
          </cell>
          <cell r="M1174" t="str">
            <v>葡萄糖酸钙口服溶液10ml*12支</v>
          </cell>
        </row>
        <row r="1175">
          <cell r="E1175" t="str">
            <v>0020070000ZYLC0003</v>
          </cell>
          <cell r="H1175" t="str">
            <v>博兴县康惠大药房</v>
          </cell>
          <cell r="J1175" t="str">
            <v>1858</v>
          </cell>
          <cell r="K1175" t="str">
            <v>201602151421097</v>
          </cell>
          <cell r="M1175" t="str">
            <v>新盖中盖牌儿童钙片36片</v>
          </cell>
        </row>
        <row r="1176">
          <cell r="E1176" t="str">
            <v>0020030001SJZY0006</v>
          </cell>
          <cell r="H1176" t="str">
            <v>博兴县瑞康药房</v>
          </cell>
          <cell r="J1176" t="str">
            <v>1858</v>
          </cell>
          <cell r="K1176" t="str">
            <v>201602151421097</v>
          </cell>
          <cell r="M1176" t="str">
            <v>葡萄糖酸钙口服溶液10ml*12支</v>
          </cell>
        </row>
        <row r="1177">
          <cell r="E1177" t="str">
            <v>0020020020ZYLC0003</v>
          </cell>
          <cell r="H1177" t="str">
            <v>博兴县瑞康药房</v>
          </cell>
          <cell r="J1177" t="str">
            <v>1858</v>
          </cell>
          <cell r="K1177" t="str">
            <v>201602151421097</v>
          </cell>
          <cell r="M1177" t="str">
            <v>颠茄磺苄啶片12片</v>
          </cell>
        </row>
        <row r="1178">
          <cell r="E1178" t="str">
            <v>0020020021ZYLC0004</v>
          </cell>
          <cell r="H1178" t="str">
            <v>博兴县瑞康药房</v>
          </cell>
          <cell r="J1178" t="str">
            <v>1858</v>
          </cell>
          <cell r="K1178" t="str">
            <v>201602151421097</v>
          </cell>
          <cell r="M1178" t="str">
            <v>罗红霉素分散片75mg*12片</v>
          </cell>
        </row>
        <row r="1179">
          <cell r="E1179" t="str">
            <v>0020020021ZYLC0004</v>
          </cell>
          <cell r="H1179" t="str">
            <v>西门街卫生室</v>
          </cell>
          <cell r="J1179" t="str">
            <v>1854</v>
          </cell>
          <cell r="K1179" t="str">
            <v>201602151421097</v>
          </cell>
          <cell r="M1179" t="str">
            <v>罗红霉素分散片75mg*12片</v>
          </cell>
        </row>
        <row r="1180">
          <cell r="E1180" t="str">
            <v>0020030020ZYLC0013</v>
          </cell>
          <cell r="H1180" t="str">
            <v>西门街卫生室</v>
          </cell>
          <cell r="J1180" t="str">
            <v>1854</v>
          </cell>
          <cell r="K1180" t="str">
            <v>201602151421097</v>
          </cell>
          <cell r="M1180" t="str">
            <v>乳酸菌素片0.4g*12片*3板</v>
          </cell>
        </row>
        <row r="1181">
          <cell r="E1181" t="str">
            <v>0020030001SJZY0009</v>
          </cell>
          <cell r="H1181" t="str">
            <v>滨城区市东街道办事处郑家第一卫生室</v>
          </cell>
          <cell r="J1181" t="str">
            <v>1853</v>
          </cell>
          <cell r="K1181" t="str">
            <v>201602151421097</v>
          </cell>
          <cell r="M1181" t="str">
            <v>葡萄糖酸锌口服溶液10ml*12支</v>
          </cell>
        </row>
        <row r="1182">
          <cell r="E1182" t="str">
            <v>0020050090SJZY0001</v>
          </cell>
          <cell r="H1182" t="str">
            <v>国昌控股集团有限公司医务室</v>
          </cell>
          <cell r="J1182" t="str">
            <v>1853</v>
          </cell>
          <cell r="K1182" t="str">
            <v>201602151421097</v>
          </cell>
          <cell r="M1182" t="str">
            <v>双黄连口服液10ml*10支</v>
          </cell>
        </row>
        <row r="1183">
          <cell r="E1183" t="str">
            <v>0020020020ZYZC0359</v>
          </cell>
          <cell r="H1183" t="str">
            <v>博兴县陈户镇春梅便民药店</v>
          </cell>
          <cell r="J1183" t="str">
            <v>1858</v>
          </cell>
          <cell r="K1183" t="str">
            <v>201602151421097</v>
          </cell>
          <cell r="M1183" t="str">
            <v>青霉素V钾片0.236g*24片</v>
          </cell>
        </row>
        <row r="1184">
          <cell r="E1184" t="str">
            <v>0020030020SJSC0014</v>
          </cell>
          <cell r="H1184" t="str">
            <v>博兴县济生堂大药房旗舰店</v>
          </cell>
          <cell r="J1184" t="str">
            <v>1858</v>
          </cell>
          <cell r="K1184" t="str">
            <v>201602151421097</v>
          </cell>
          <cell r="M1184" t="str">
            <v>维D2磷酸氢钙片60片</v>
          </cell>
        </row>
        <row r="1185">
          <cell r="E1185" t="str">
            <v>0020030020SJSC0014</v>
          </cell>
          <cell r="H1185" t="str">
            <v>博兴县济生堂大药店</v>
          </cell>
          <cell r="J1185" t="str">
            <v>1858</v>
          </cell>
          <cell r="K1185" t="str">
            <v>201602151421097</v>
          </cell>
          <cell r="M1185" t="str">
            <v>维D2磷酸氢钙片60片</v>
          </cell>
        </row>
        <row r="1186">
          <cell r="E1186" t="str">
            <v>0020030001SJZY0006</v>
          </cell>
          <cell r="H1186" t="str">
            <v>滨州市住房和城乡建设局卫生所</v>
          </cell>
          <cell r="J1186" t="str">
            <v>1853</v>
          </cell>
          <cell r="K1186" t="str">
            <v>201602151421097</v>
          </cell>
          <cell r="M1186" t="str">
            <v>葡萄糖酸钙口服溶液10ml*12支</v>
          </cell>
        </row>
        <row r="1187">
          <cell r="E1187" t="str">
            <v>0020030001SJZY0009</v>
          </cell>
          <cell r="H1187" t="str">
            <v>滨州市住房和城乡建设局卫生所</v>
          </cell>
          <cell r="J1187" t="str">
            <v>1853</v>
          </cell>
          <cell r="K1187" t="str">
            <v>201602151421097</v>
          </cell>
          <cell r="M1187" t="str">
            <v>葡萄糖酸锌口服溶液10ml*12支</v>
          </cell>
        </row>
        <row r="1188">
          <cell r="E1188" t="str">
            <v>0020030001SJZY0006</v>
          </cell>
          <cell r="H1188" t="str">
            <v>邹平县金正医药连锁有限公司</v>
          </cell>
          <cell r="J1188" t="str">
            <v>1859</v>
          </cell>
          <cell r="K1188" t="str">
            <v>201602151421097</v>
          </cell>
          <cell r="M1188" t="str">
            <v>葡萄糖酸钙口服溶液10ml*12支</v>
          </cell>
        </row>
        <row r="1189">
          <cell r="E1189" t="str">
            <v>0020030001SJZY0009</v>
          </cell>
          <cell r="H1189" t="str">
            <v>邹平县金正医药连锁有限公司</v>
          </cell>
          <cell r="J1189" t="str">
            <v>1859</v>
          </cell>
          <cell r="K1189" t="str">
            <v>201602151421097</v>
          </cell>
          <cell r="M1189" t="str">
            <v>葡萄糖酸锌口服溶液10ml*12支</v>
          </cell>
        </row>
        <row r="1190">
          <cell r="E1190" t="str">
            <v>0020030020ZYLC0013</v>
          </cell>
          <cell r="H1190" t="str">
            <v>邹平仁益医药连锁有限公司</v>
          </cell>
          <cell r="J1190" t="str">
            <v>1859</v>
          </cell>
          <cell r="K1190" t="str">
            <v>201602151421097</v>
          </cell>
          <cell r="M1190" t="str">
            <v>乳酸菌素片0.4g*12片*3板</v>
          </cell>
        </row>
        <row r="1191">
          <cell r="E1191" t="str">
            <v>0020030001SJZY0006</v>
          </cell>
          <cell r="H1191" t="str">
            <v>山东弘旭医药连锁经营有限公司</v>
          </cell>
          <cell r="J1191" t="str">
            <v>1853</v>
          </cell>
          <cell r="K1191" t="str">
            <v>201602151421097</v>
          </cell>
          <cell r="M1191" t="str">
            <v>葡萄糖酸钙口服溶液10ml*12支</v>
          </cell>
        </row>
        <row r="1192">
          <cell r="E1192" t="str">
            <v>0020020021ZYLC0005</v>
          </cell>
          <cell r="H1192" t="str">
            <v>山东弘旭医药连锁经营有限公司</v>
          </cell>
          <cell r="J1192" t="str">
            <v>1853</v>
          </cell>
          <cell r="K1192" t="str">
            <v>201602151421097</v>
          </cell>
          <cell r="M1192" t="str">
            <v>罗红霉素分散片50mg*12片</v>
          </cell>
        </row>
        <row r="1193">
          <cell r="E1193" t="str">
            <v>0020070000ZYLC0003</v>
          </cell>
          <cell r="H1193" t="str">
            <v>高新办魏纺路路北卫生室</v>
          </cell>
          <cell r="J1193" t="str">
            <v>1859</v>
          </cell>
          <cell r="K1193" t="str">
            <v>201602151421097</v>
          </cell>
          <cell r="M1193" t="str">
            <v>新盖中盖牌儿童钙片36片</v>
          </cell>
        </row>
        <row r="1194">
          <cell r="E1194" t="str">
            <v>0020070000ZYLC0001</v>
          </cell>
          <cell r="H1194" t="str">
            <v>高新办魏纺路路北卫生室</v>
          </cell>
          <cell r="J1194" t="str">
            <v>1859</v>
          </cell>
          <cell r="K1194" t="str">
            <v>201602151421097</v>
          </cell>
          <cell r="M1194" t="str">
            <v>新盖中盖牌高钙片2.5g*36片</v>
          </cell>
        </row>
        <row r="1195">
          <cell r="E1195" t="str">
            <v>0020030001SJZY0006</v>
          </cell>
          <cell r="H1195" t="str">
            <v>滨州市厚德医药有限公司</v>
          </cell>
          <cell r="J1195" t="str">
            <v>1853</v>
          </cell>
          <cell r="K1195" t="str">
            <v>201602151421097</v>
          </cell>
          <cell r="M1195" t="str">
            <v>葡萄糖酸钙口服溶液10ml*12支</v>
          </cell>
        </row>
        <row r="1196">
          <cell r="E1196" t="str">
            <v>0020030001SJZY0006</v>
          </cell>
          <cell r="H1196" t="str">
            <v>河口胜利药店第二药店</v>
          </cell>
          <cell r="J1196" t="str">
            <v>1755</v>
          </cell>
          <cell r="M1196" t="str">
            <v>葡萄糖酸钙口服溶液10ml*12支</v>
          </cell>
        </row>
        <row r="1197">
          <cell r="E1197" t="str">
            <v>0020030001SJZY0009</v>
          </cell>
          <cell r="H1197" t="str">
            <v>河口胜利药店第二药店</v>
          </cell>
          <cell r="J1197" t="str">
            <v>1755</v>
          </cell>
          <cell r="M1197" t="str">
            <v>葡萄糖酸锌口服溶液10ml*12支</v>
          </cell>
        </row>
        <row r="1198">
          <cell r="E1198" t="str">
            <v>0020020020ZYLC0003</v>
          </cell>
          <cell r="H1198" t="str">
            <v>滨城区彭李街道办事处张课第一卫生室</v>
          </cell>
          <cell r="J1198" t="str">
            <v>1853</v>
          </cell>
          <cell r="K1198" t="str">
            <v>201602151421097</v>
          </cell>
          <cell r="M1198" t="str">
            <v>颠茄磺苄啶片12片</v>
          </cell>
        </row>
        <row r="1199">
          <cell r="E1199" t="str">
            <v>0020050090SJZY0001</v>
          </cell>
          <cell r="H1199" t="str">
            <v>河口廷胜诊所</v>
          </cell>
          <cell r="J1199" t="str">
            <v>1755</v>
          </cell>
          <cell r="M1199" t="str">
            <v>双黄连口服液10ml*10支</v>
          </cell>
        </row>
        <row r="1200">
          <cell r="E1200" t="str">
            <v>0020030001SJZY0009</v>
          </cell>
          <cell r="H1200" t="str">
            <v>高新国峰诊所</v>
          </cell>
          <cell r="J1200" t="str">
            <v>1853</v>
          </cell>
          <cell r="K1200" t="str">
            <v>201602151421097</v>
          </cell>
          <cell r="M1200" t="str">
            <v>葡萄糖酸锌口服溶液10ml*12支</v>
          </cell>
        </row>
        <row r="1201">
          <cell r="E1201" t="str">
            <v>0020030001SJZY0006</v>
          </cell>
          <cell r="H1201" t="str">
            <v>滨城区市东街道办事处天王堂第一卫生室</v>
          </cell>
          <cell r="J1201" t="str">
            <v>1853</v>
          </cell>
          <cell r="K1201" t="str">
            <v>201602151421097</v>
          </cell>
          <cell r="M1201" t="str">
            <v>葡萄糖酸钙口服溶液10ml*12支</v>
          </cell>
        </row>
        <row r="1202">
          <cell r="E1202" t="str">
            <v>0020030040ZYLC0001</v>
          </cell>
          <cell r="H1202" t="str">
            <v>沾化济生堂大药房连锁有限公司</v>
          </cell>
          <cell r="J1202" t="str">
            <v>1857</v>
          </cell>
          <cell r="K1202" t="str">
            <v>201602151421097</v>
          </cell>
          <cell r="M1202" t="str">
            <v>小儿氨酚黄那敏颗粒12袋</v>
          </cell>
        </row>
        <row r="1203">
          <cell r="E1203" t="str">
            <v>0020030001SJZY0006</v>
          </cell>
          <cell r="H1203" t="str">
            <v>山东京博控股股份有限公司京博雅苑卫生室</v>
          </cell>
          <cell r="J1203" t="str">
            <v>1858</v>
          </cell>
          <cell r="K1203" t="str">
            <v>201602151421097</v>
          </cell>
          <cell r="M1203" t="str">
            <v>葡萄糖酸钙口服溶液10ml*12支</v>
          </cell>
        </row>
        <row r="1204">
          <cell r="E1204" t="str">
            <v>0020030001SJZY0009</v>
          </cell>
          <cell r="H1204" t="str">
            <v>山东京博控股股份有限公司京博雅苑卫生室</v>
          </cell>
          <cell r="J1204" t="str">
            <v>1858</v>
          </cell>
          <cell r="K1204" t="str">
            <v>201602151421097</v>
          </cell>
          <cell r="M1204" t="str">
            <v>葡萄糖酸锌口服溶液10ml*12支</v>
          </cell>
        </row>
        <row r="1205">
          <cell r="E1205" t="str">
            <v>0020030020ZYLC0013</v>
          </cell>
          <cell r="H1205" t="str">
            <v>山东京博控股股份有限公司京博雅苑卫生室</v>
          </cell>
          <cell r="J1205" t="str">
            <v>1858</v>
          </cell>
          <cell r="K1205" t="str">
            <v>201602151421097</v>
          </cell>
          <cell r="M1205" t="str">
            <v>乳酸菌素片0.4g*12片*3板</v>
          </cell>
        </row>
        <row r="1206">
          <cell r="E1206" t="str">
            <v>0020030001SJZY0006</v>
          </cell>
          <cell r="H1206" t="str">
            <v>山东京博控股股份有限公司工业园卫生室</v>
          </cell>
          <cell r="J1206" t="str">
            <v>1858</v>
          </cell>
          <cell r="K1206" t="str">
            <v>201602151421097</v>
          </cell>
          <cell r="M1206" t="str">
            <v>葡萄糖酸钙口服溶液10ml*12支</v>
          </cell>
        </row>
        <row r="1207">
          <cell r="E1207" t="str">
            <v>0020030001SJZY0009</v>
          </cell>
          <cell r="H1207" t="str">
            <v>山东京博控股股份有限公司工业园卫生室</v>
          </cell>
          <cell r="J1207" t="str">
            <v>1858</v>
          </cell>
          <cell r="K1207" t="str">
            <v>201602151421097</v>
          </cell>
          <cell r="M1207" t="str">
            <v>葡萄糖酸锌口服溶液10ml*12支</v>
          </cell>
        </row>
        <row r="1208">
          <cell r="E1208" t="str">
            <v>0020020021ZYLC0005</v>
          </cell>
          <cell r="H1208" t="str">
            <v>居民诊所</v>
          </cell>
          <cell r="J1208" t="str">
            <v>1855</v>
          </cell>
          <cell r="K1208" t="str">
            <v>201602151421097</v>
          </cell>
          <cell r="M1208" t="str">
            <v>罗红霉素分散片50mg*12片</v>
          </cell>
        </row>
        <row r="1209">
          <cell r="E1209" t="str">
            <v>0020070000ZYLC0001</v>
          </cell>
          <cell r="H1209" t="str">
            <v>滨城区市东街道办事处天王堂第一卫生室</v>
          </cell>
          <cell r="J1209" t="str">
            <v>1853</v>
          </cell>
          <cell r="K1209" t="str">
            <v>201602151421097</v>
          </cell>
          <cell r="M1209" t="str">
            <v>新盖中盖牌高钙片2.5g*36片</v>
          </cell>
        </row>
        <row r="1210">
          <cell r="E1210" t="str">
            <v>0020020013ZYZC0491</v>
          </cell>
          <cell r="H1210" t="str">
            <v>滨城赵玉芬诊所</v>
          </cell>
          <cell r="J1210" t="str">
            <v>1853</v>
          </cell>
          <cell r="K1210" t="str">
            <v>201602151421097</v>
          </cell>
          <cell r="M1210" t="str">
            <v>注射用乳糖酸阿奇霉素0.25g</v>
          </cell>
        </row>
        <row r="1211">
          <cell r="E1211" t="str">
            <v>0020040220SHYT0004</v>
          </cell>
          <cell r="H1211" t="str">
            <v>滨州市北海经济开发区马山子镇济堂药店</v>
          </cell>
          <cell r="J1211" t="str">
            <v>1856</v>
          </cell>
          <cell r="K1211" t="str">
            <v>201602151421097</v>
          </cell>
          <cell r="M1211" t="str">
            <v>妇宁栓1.6g*8粒</v>
          </cell>
        </row>
        <row r="1212">
          <cell r="E1212" t="str">
            <v>0020020030ZYZC0264</v>
          </cell>
          <cell r="H1212" t="str">
            <v>滨州市第一中学卫生室</v>
          </cell>
          <cell r="J1212" t="str">
            <v>1853</v>
          </cell>
          <cell r="K1212" t="str">
            <v>201602151421097</v>
          </cell>
          <cell r="M1212" t="str">
            <v>阿莫西林胶囊0.5g*20粒</v>
          </cell>
        </row>
        <row r="1213">
          <cell r="E1213" t="str">
            <v>0020030001SJZY0006</v>
          </cell>
          <cell r="H1213" t="str">
            <v>滨州职业学院附属医院</v>
          </cell>
          <cell r="J1213" t="str">
            <v>1853</v>
          </cell>
          <cell r="K1213" t="str">
            <v>201602151421097</v>
          </cell>
          <cell r="M1213" t="str">
            <v>葡萄糖酸钙口服溶液10ml*12支</v>
          </cell>
        </row>
        <row r="1214">
          <cell r="E1214" t="str">
            <v>0020030001SJZY0009</v>
          </cell>
          <cell r="H1214" t="str">
            <v>滨州职业学院附属医院</v>
          </cell>
          <cell r="J1214" t="str">
            <v>1853</v>
          </cell>
          <cell r="K1214" t="str">
            <v>201602151421097</v>
          </cell>
          <cell r="M1214" t="str">
            <v>葡萄糖酸锌口服溶液10ml*12支</v>
          </cell>
        </row>
        <row r="1215">
          <cell r="E1215" t="str">
            <v>0020030001SJZY0006</v>
          </cell>
          <cell r="H1215" t="str">
            <v>博兴县陈户镇桥子村卫生室</v>
          </cell>
          <cell r="J1215" t="str">
            <v>1858</v>
          </cell>
          <cell r="K1215" t="str">
            <v>201602151421097</v>
          </cell>
          <cell r="M1215" t="str">
            <v>葡萄糖酸钙口服溶液10ml*12支</v>
          </cell>
        </row>
        <row r="1216">
          <cell r="E1216" t="str">
            <v>0020030001SJZY0009</v>
          </cell>
          <cell r="H1216" t="str">
            <v>博兴县陈户镇桥子村卫生室</v>
          </cell>
          <cell r="J1216" t="str">
            <v>1858</v>
          </cell>
          <cell r="K1216" t="str">
            <v>201602151421097</v>
          </cell>
          <cell r="M1216" t="str">
            <v>葡萄糖酸锌口服溶液10ml*12支</v>
          </cell>
        </row>
        <row r="1217">
          <cell r="E1217" t="str">
            <v>0020030020ZYLC0013</v>
          </cell>
          <cell r="H1217" t="str">
            <v>滨州市住房和城乡建设局卫生所</v>
          </cell>
          <cell r="J1217" t="str">
            <v>1853</v>
          </cell>
          <cell r="K1217" t="str">
            <v>201602151421097</v>
          </cell>
          <cell r="M1217" t="str">
            <v>乳酸菌素片0.4g*12片*3板</v>
          </cell>
        </row>
        <row r="1218">
          <cell r="E1218" t="str">
            <v>0020050090SJZY0001</v>
          </cell>
          <cell r="H1218" t="str">
            <v>滨州市住房和城乡建设局卫生所</v>
          </cell>
          <cell r="J1218" t="str">
            <v>1853</v>
          </cell>
          <cell r="K1218" t="str">
            <v>201602151421097</v>
          </cell>
          <cell r="M1218" t="str">
            <v>双黄连口服液10ml*10支</v>
          </cell>
        </row>
        <row r="1219">
          <cell r="E1219" t="str">
            <v>0020030001SJZY0006</v>
          </cell>
          <cell r="H1219" t="str">
            <v>滨州市滨城区市西办事处春晖社区卫生服务站</v>
          </cell>
          <cell r="J1219" t="str">
            <v>1853</v>
          </cell>
          <cell r="K1219" t="str">
            <v>201602151421097</v>
          </cell>
          <cell r="M1219" t="str">
            <v>葡萄糖酸钙口服溶液10ml*12支</v>
          </cell>
        </row>
        <row r="1220">
          <cell r="E1220" t="str">
            <v>0020030001SJZY0009</v>
          </cell>
          <cell r="H1220" t="str">
            <v>滨州市滨城区市西办事处春晖社区卫生服务站</v>
          </cell>
          <cell r="J1220" t="str">
            <v>1853</v>
          </cell>
          <cell r="K1220" t="str">
            <v>201602151421097</v>
          </cell>
          <cell r="M1220" t="str">
            <v>葡萄糖酸锌口服溶液10ml*12支</v>
          </cell>
        </row>
        <row r="1221">
          <cell r="E1221" t="str">
            <v>0020030020SJSC0014</v>
          </cell>
          <cell r="H1221" t="str">
            <v>滨城区市东街道办事处沙家第一卫生室</v>
          </cell>
          <cell r="J1221" t="str">
            <v>1853</v>
          </cell>
          <cell r="K1221" t="str">
            <v>201602151421097</v>
          </cell>
          <cell r="M1221" t="str">
            <v>维D2磷酸氢钙片60片</v>
          </cell>
        </row>
        <row r="1222">
          <cell r="E1222" t="str">
            <v>0020030001SJZY0009</v>
          </cell>
          <cell r="H1222" t="str">
            <v>滨州市滨源医药连锁有限公司</v>
          </cell>
          <cell r="J1222" t="str">
            <v>1853</v>
          </cell>
          <cell r="K1222" t="str">
            <v>201602151421097</v>
          </cell>
          <cell r="M1222" t="str">
            <v>葡萄糖酸锌口服溶液10ml*12支</v>
          </cell>
        </row>
        <row r="1223">
          <cell r="E1223" t="str">
            <v>0020070000ZYLC0052</v>
          </cell>
          <cell r="H1223" t="str">
            <v>滨城区三河湖镇曹桥村卫生室</v>
          </cell>
          <cell r="J1223" t="str">
            <v>1853</v>
          </cell>
          <cell r="K1223" t="str">
            <v>201602151421097</v>
          </cell>
          <cell r="M1223" t="str">
            <v>哈药六牌钙加锌口服液10ml*12支</v>
          </cell>
        </row>
        <row r="1224">
          <cell r="E1224" t="str">
            <v>0020030020ZYLC0013</v>
          </cell>
          <cell r="H1224" t="str">
            <v>滨城区三河湖镇曹桥村卫生室</v>
          </cell>
          <cell r="J1224" t="str">
            <v>1853</v>
          </cell>
          <cell r="K1224" t="str">
            <v>201602151421097</v>
          </cell>
          <cell r="M1224" t="str">
            <v>乳酸菌素片0.4g*12片*3板</v>
          </cell>
        </row>
        <row r="1225">
          <cell r="E1225" t="str">
            <v>0020020021ZYLC0010</v>
          </cell>
          <cell r="H1225" t="str">
            <v>邹平县方正医药有限公司</v>
          </cell>
          <cell r="J1225" t="str">
            <v>1859</v>
          </cell>
          <cell r="K1225" t="str">
            <v>201602151421097</v>
          </cell>
          <cell r="M1225" t="str">
            <v>克拉霉素分散片0.125g*12片</v>
          </cell>
        </row>
        <row r="1226">
          <cell r="E1226" t="str">
            <v>0020030032ZYZC0300</v>
          </cell>
          <cell r="H1226" t="str">
            <v>邹平县方正医药有限公司</v>
          </cell>
          <cell r="J1226" t="str">
            <v>1859</v>
          </cell>
          <cell r="K1226" t="str">
            <v>201602151421097</v>
          </cell>
          <cell r="M1226" t="str">
            <v>维生素E软胶囊30粒</v>
          </cell>
        </row>
        <row r="1227">
          <cell r="E1227" t="str">
            <v>0020030001SJZY0006</v>
          </cell>
          <cell r="H1227" t="str">
            <v>滨城安新岐诊所</v>
          </cell>
          <cell r="J1227" t="str">
            <v>1853</v>
          </cell>
          <cell r="K1227" t="str">
            <v>201602151421097</v>
          </cell>
          <cell r="M1227" t="str">
            <v>葡萄糖酸钙口服溶液10ml*12支</v>
          </cell>
        </row>
        <row r="1228">
          <cell r="E1228" t="str">
            <v>0020030001SJZY0009</v>
          </cell>
          <cell r="H1228" t="str">
            <v>滨城安新岐诊所</v>
          </cell>
          <cell r="J1228" t="str">
            <v>1853</v>
          </cell>
          <cell r="K1228" t="str">
            <v>201602151421097</v>
          </cell>
          <cell r="M1228" t="str">
            <v>葡萄糖酸锌口服溶液10ml*12支</v>
          </cell>
        </row>
        <row r="1229">
          <cell r="E1229" t="str">
            <v>0020030001SJZY0006</v>
          </cell>
          <cell r="H1229" t="str">
            <v>滨州市滨城区彭李街道办事处阳光社区卫生服务站</v>
          </cell>
          <cell r="J1229" t="str">
            <v>1853</v>
          </cell>
          <cell r="K1229" t="str">
            <v>201602151421097</v>
          </cell>
          <cell r="M1229" t="str">
            <v>葡萄糖酸钙口服溶液10ml*12支</v>
          </cell>
        </row>
        <row r="1230">
          <cell r="E1230" t="str">
            <v>0020030001SJZY0009</v>
          </cell>
          <cell r="H1230" t="str">
            <v>滨州市滨城区彭李街道办事处阳光社区卫生服务站</v>
          </cell>
          <cell r="J1230" t="str">
            <v>1853</v>
          </cell>
          <cell r="K1230" t="str">
            <v>201602151421097</v>
          </cell>
          <cell r="M1230" t="str">
            <v>葡萄糖酸锌口服溶液10ml*12支</v>
          </cell>
        </row>
        <row r="1231">
          <cell r="E1231" t="str">
            <v>0020050090SJZY0001</v>
          </cell>
          <cell r="H1231" t="str">
            <v>滨州市滨城区彭李街道办事处阳光社区卫生服务站</v>
          </cell>
          <cell r="J1231" t="str">
            <v>1853</v>
          </cell>
          <cell r="K1231" t="str">
            <v>201602151421097</v>
          </cell>
          <cell r="M1231" t="str">
            <v>双黄连口服液10ml*10支</v>
          </cell>
        </row>
        <row r="1232">
          <cell r="E1232" t="str">
            <v>0020100000ZYLC0012</v>
          </cell>
          <cell r="H1232" t="str">
            <v>滨州市滨城区彭李街道办事处阳光社区卫生服务站</v>
          </cell>
          <cell r="J1232" t="str">
            <v>1853</v>
          </cell>
          <cell r="K1232" t="str">
            <v>201602151421097</v>
          </cell>
          <cell r="M1232" t="str">
            <v>医用退热贴2贴</v>
          </cell>
        </row>
        <row r="1233">
          <cell r="E1233" t="str">
            <v>0020030020ZYLC0010</v>
          </cell>
          <cell r="H1233" t="str">
            <v>滨州市滨城区彭李街道办事处阳光社区卫生服务站</v>
          </cell>
          <cell r="J1233" t="str">
            <v>1853</v>
          </cell>
          <cell r="K1233" t="str">
            <v>201602151421097</v>
          </cell>
          <cell r="M1233" t="str">
            <v>乳酸菌素片0.4g*36片/小包</v>
          </cell>
        </row>
        <row r="1234">
          <cell r="E1234" t="str">
            <v>0020030001SJZY0006</v>
          </cell>
          <cell r="H1234" t="str">
            <v>滨州市滨城区彭李街道办事处安民社区卫生服务站</v>
          </cell>
          <cell r="J1234" t="str">
            <v>1853</v>
          </cell>
          <cell r="K1234" t="str">
            <v>201602151421097</v>
          </cell>
          <cell r="M1234" t="str">
            <v>葡萄糖酸钙口服溶液10ml*12支</v>
          </cell>
        </row>
        <row r="1235">
          <cell r="E1235" t="str">
            <v>0020030001SJZY0006</v>
          </cell>
          <cell r="H1235" t="str">
            <v>滨城区滨北街道办事处利民社区卫生服务站</v>
          </cell>
          <cell r="J1235" t="str">
            <v>1853</v>
          </cell>
          <cell r="K1235" t="str">
            <v>201602151421097</v>
          </cell>
          <cell r="M1235" t="str">
            <v>葡萄糖酸钙口服溶液10ml*12支</v>
          </cell>
        </row>
        <row r="1236">
          <cell r="E1236" t="str">
            <v>0020030001SJZY0009</v>
          </cell>
          <cell r="H1236" t="str">
            <v>滨城区滨北街道办事处利民社区卫生服务站</v>
          </cell>
          <cell r="J1236" t="str">
            <v>1853</v>
          </cell>
          <cell r="K1236" t="str">
            <v>201602151421097</v>
          </cell>
          <cell r="M1236" t="str">
            <v>葡萄糖酸锌口服溶液10ml*12支</v>
          </cell>
        </row>
        <row r="1237">
          <cell r="E1237" t="str">
            <v>0020070000ZYLC0001</v>
          </cell>
          <cell r="H1237" t="str">
            <v>滨城区滨北街道办事处利民社区卫生服务站</v>
          </cell>
          <cell r="J1237" t="str">
            <v>1853</v>
          </cell>
          <cell r="K1237" t="str">
            <v>201602151421097</v>
          </cell>
          <cell r="M1237" t="str">
            <v>新盖中盖牌高钙片2.5g*36片</v>
          </cell>
        </row>
        <row r="1238">
          <cell r="E1238" t="str">
            <v>0020070000ZYLC0001</v>
          </cell>
          <cell r="H1238" t="str">
            <v>滨州济民堂医药有限公司</v>
          </cell>
          <cell r="J1238" t="str">
            <v>1853</v>
          </cell>
          <cell r="K1238" t="str">
            <v>201602151421097</v>
          </cell>
          <cell r="M1238" t="str">
            <v>新盖中盖牌高钙片2.5g*36片</v>
          </cell>
        </row>
        <row r="1239">
          <cell r="E1239" t="str">
            <v>0020030001SJZY0006</v>
          </cell>
          <cell r="H1239" t="str">
            <v>滨城区北镇街道办事处化工社区卫生服务站</v>
          </cell>
          <cell r="J1239" t="str">
            <v>1853</v>
          </cell>
          <cell r="K1239" t="str">
            <v>201602151421097</v>
          </cell>
          <cell r="M1239" t="str">
            <v>葡萄糖酸钙口服溶液10ml*12支</v>
          </cell>
        </row>
        <row r="1240">
          <cell r="E1240" t="str">
            <v>0020030020ZYLC0013</v>
          </cell>
          <cell r="H1240" t="str">
            <v>山东京博控股股份有限公司工业园卫生室</v>
          </cell>
          <cell r="J1240" t="str">
            <v>1858</v>
          </cell>
          <cell r="K1240" t="str">
            <v>201602151421097</v>
          </cell>
          <cell r="M1240" t="str">
            <v>乳酸菌素片0.4g*12片*3板</v>
          </cell>
        </row>
        <row r="1241">
          <cell r="E1241" t="str">
            <v>0020020020ZYLC0010</v>
          </cell>
          <cell r="H1241" t="str">
            <v>山东京博控股股份有限公司京博和谐家园卫生室</v>
          </cell>
          <cell r="J1241" t="str">
            <v>1858</v>
          </cell>
          <cell r="K1241" t="str">
            <v>201602151421097</v>
          </cell>
          <cell r="M1241" t="str">
            <v>颠茄磺苄啶片10片/瓶</v>
          </cell>
        </row>
        <row r="1242">
          <cell r="E1242" t="str">
            <v>0020070000ZYLC0052</v>
          </cell>
          <cell r="H1242" t="str">
            <v>振邦诊所</v>
          </cell>
          <cell r="J1242" t="str">
            <v>1853</v>
          </cell>
          <cell r="K1242" t="str">
            <v>201602151421097</v>
          </cell>
          <cell r="M1242" t="str">
            <v>哈药六牌钙加锌口服液10ml*12支</v>
          </cell>
        </row>
        <row r="1243">
          <cell r="E1243" t="str">
            <v>0020020021ZYLC0011</v>
          </cell>
          <cell r="H1243" t="str">
            <v>阳信县商店镇台属大药房</v>
          </cell>
          <cell r="J1243" t="str">
            <v>1855</v>
          </cell>
          <cell r="K1243" t="str">
            <v>201602151421097</v>
          </cell>
          <cell r="M1243" t="str">
            <v>罗红霉素分散片150mg*12片</v>
          </cell>
        </row>
        <row r="1244">
          <cell r="E1244" t="str">
            <v>0020030032ZYZC0300</v>
          </cell>
          <cell r="H1244" t="str">
            <v>滨州盛泰医药连锁有限公司</v>
          </cell>
          <cell r="J1244" t="str">
            <v>1858</v>
          </cell>
          <cell r="K1244" t="str">
            <v>201602151421097</v>
          </cell>
          <cell r="M1244" t="str">
            <v>维生素E软胶囊30粒</v>
          </cell>
        </row>
        <row r="1245">
          <cell r="E1245" t="str">
            <v>0020020030ZYZC0508</v>
          </cell>
          <cell r="H1245" t="str">
            <v>山东无棣医药公司</v>
          </cell>
          <cell r="J1245" t="str">
            <v>1856</v>
          </cell>
          <cell r="K1245" t="str">
            <v>201602151421097</v>
          </cell>
          <cell r="M1245" t="str">
            <v>阿莫西林胶囊0.25g*20粒</v>
          </cell>
        </row>
        <row r="1246">
          <cell r="E1246" t="str">
            <v>0020040220SHYT0004</v>
          </cell>
          <cell r="H1246" t="str">
            <v>滨州盛泰医药连锁有限公司</v>
          </cell>
          <cell r="J1246" t="str">
            <v>1858</v>
          </cell>
          <cell r="K1246" t="str">
            <v>201602151421097</v>
          </cell>
          <cell r="M1246" t="str">
            <v>妇宁栓1.6g*8粒</v>
          </cell>
        </row>
        <row r="1247">
          <cell r="E1247" t="str">
            <v>0020020021ZYLC0015</v>
          </cell>
          <cell r="H1247" t="str">
            <v>滨州盛泰医药连锁有限公司</v>
          </cell>
          <cell r="J1247" t="str">
            <v>1858</v>
          </cell>
          <cell r="K1247" t="str">
            <v>201602151421097</v>
          </cell>
          <cell r="M1247" t="str">
            <v>克拉霉素分散片0.125g*24片</v>
          </cell>
        </row>
        <row r="1248">
          <cell r="E1248" t="str">
            <v>0020070000ZYLC0001</v>
          </cell>
          <cell r="H1248" t="str">
            <v>居民诊所</v>
          </cell>
          <cell r="J1248" t="str">
            <v>1855</v>
          </cell>
          <cell r="K1248" t="str">
            <v>201602151421097</v>
          </cell>
          <cell r="M1248" t="str">
            <v>新盖中盖牌高钙片2.5g*36片</v>
          </cell>
        </row>
        <row r="1249">
          <cell r="E1249" t="str">
            <v>0020020020ZYLC0010</v>
          </cell>
          <cell r="H1249" t="str">
            <v>阳信县商店镇瑞康平民药店</v>
          </cell>
          <cell r="J1249" t="str">
            <v>1855</v>
          </cell>
          <cell r="K1249" t="str">
            <v>201602151421097</v>
          </cell>
          <cell r="M1249" t="str">
            <v>颠茄磺苄啶片10片/瓶</v>
          </cell>
        </row>
        <row r="1250">
          <cell r="E1250" t="str">
            <v>0020070000ZYLC0055</v>
          </cell>
          <cell r="H1250" t="str">
            <v>滨州宁心医药有限公司</v>
          </cell>
          <cell r="J1250" t="str">
            <v>1853</v>
          </cell>
          <cell r="K1250" t="str">
            <v>201602151421097</v>
          </cell>
          <cell r="M1250" t="str">
            <v>朴雪乳酸亚铁口服液10ml*12支</v>
          </cell>
        </row>
        <row r="1251">
          <cell r="E1251" t="str">
            <v>0020070000ZYLC0001</v>
          </cell>
          <cell r="H1251" t="str">
            <v>滨州宁心医药有限公司</v>
          </cell>
          <cell r="J1251" t="str">
            <v>1853</v>
          </cell>
          <cell r="K1251" t="str">
            <v>201602151421097</v>
          </cell>
          <cell r="M1251" t="str">
            <v>新盖中盖牌高钙片2.5g*36片</v>
          </cell>
        </row>
        <row r="1252">
          <cell r="E1252" t="str">
            <v>0020020020ZYLC0010</v>
          </cell>
          <cell r="H1252" t="str">
            <v>刁口乡兴牧村卫生室</v>
          </cell>
          <cell r="J1252" t="str">
            <v>1757</v>
          </cell>
          <cell r="M1252" t="str">
            <v>颠茄磺苄啶片10片/瓶</v>
          </cell>
        </row>
        <row r="1253">
          <cell r="E1253" t="str">
            <v>0020070000ZYLC0055</v>
          </cell>
          <cell r="H1253" t="str">
            <v>邹平县方正医药有限公司</v>
          </cell>
          <cell r="J1253" t="str">
            <v>1859</v>
          </cell>
          <cell r="K1253" t="str">
            <v>201602151421097</v>
          </cell>
          <cell r="M1253" t="str">
            <v>朴雪乳酸亚铁口服液10ml*12支</v>
          </cell>
        </row>
        <row r="1254">
          <cell r="E1254" t="str">
            <v>0020030001SJZY0006</v>
          </cell>
          <cell r="H1254" t="str">
            <v>滨州市住房和城乡建设局卫生所</v>
          </cell>
          <cell r="J1254" t="str">
            <v>1853</v>
          </cell>
          <cell r="K1254" t="str">
            <v>201602151421097</v>
          </cell>
          <cell r="M1254" t="str">
            <v>葡萄糖酸钙口服溶液10ml*12支</v>
          </cell>
        </row>
        <row r="1255">
          <cell r="E1255" t="str">
            <v>0020030001SJZY0009</v>
          </cell>
          <cell r="H1255" t="str">
            <v>滨州市住房和城乡建设局卫生所</v>
          </cell>
          <cell r="J1255" t="str">
            <v>1853</v>
          </cell>
          <cell r="K1255" t="str">
            <v>201602151421097</v>
          </cell>
          <cell r="M1255" t="str">
            <v>葡萄糖酸锌口服溶液10ml*12支</v>
          </cell>
        </row>
        <row r="1256">
          <cell r="E1256" t="str">
            <v>0020070000ZYLC0003</v>
          </cell>
          <cell r="H1256" t="str">
            <v>滨州市住房和城乡建设局卫生所</v>
          </cell>
          <cell r="J1256" t="str">
            <v>1853</v>
          </cell>
          <cell r="K1256" t="str">
            <v>201602151421097</v>
          </cell>
          <cell r="M1256" t="str">
            <v>新盖中盖牌儿童钙片36片</v>
          </cell>
        </row>
        <row r="1257">
          <cell r="E1257" t="str">
            <v>0020020021ZYLC0005</v>
          </cell>
          <cell r="H1257" t="str">
            <v>滨城区市西街道办事处徐家第二卫生室</v>
          </cell>
          <cell r="J1257" t="str">
            <v>1853</v>
          </cell>
          <cell r="K1257" t="str">
            <v>201602151421097</v>
          </cell>
          <cell r="M1257" t="str">
            <v>罗红霉素分散片50mg*12片</v>
          </cell>
        </row>
        <row r="1258">
          <cell r="E1258" t="str">
            <v>0020030001SJZY0006</v>
          </cell>
          <cell r="H1258" t="str">
            <v>滨北办事处梧桐社区卫生服务站</v>
          </cell>
          <cell r="J1258" t="str">
            <v>1853</v>
          </cell>
          <cell r="K1258" t="str">
            <v>201602151421097</v>
          </cell>
          <cell r="M1258" t="str">
            <v>葡萄糖酸钙口服溶液10ml*12支</v>
          </cell>
        </row>
        <row r="1259">
          <cell r="E1259" t="str">
            <v>0020030001SJZY0009</v>
          </cell>
          <cell r="H1259" t="str">
            <v>滨北办事处梧桐社区卫生服务站</v>
          </cell>
          <cell r="J1259" t="str">
            <v>1853</v>
          </cell>
          <cell r="K1259" t="str">
            <v>201602151421097</v>
          </cell>
          <cell r="M1259" t="str">
            <v>葡萄糖酸锌口服溶液10ml*12支</v>
          </cell>
        </row>
        <row r="1260">
          <cell r="E1260" t="str">
            <v>0020030001SJZY0009</v>
          </cell>
          <cell r="H1260" t="str">
            <v>滨北办事处梧桐社区卫生服务站</v>
          </cell>
          <cell r="J1260" t="str">
            <v>1853</v>
          </cell>
          <cell r="K1260" t="str">
            <v>201602151421097</v>
          </cell>
          <cell r="M1260" t="str">
            <v>葡萄糖酸锌口服溶液10ml*12支</v>
          </cell>
        </row>
        <row r="1261">
          <cell r="E1261" t="str">
            <v>0020020030ZYZC0508</v>
          </cell>
          <cell r="H1261" t="str">
            <v>麻店镇麻店街卫生所</v>
          </cell>
          <cell r="J1261" t="str">
            <v>1854</v>
          </cell>
          <cell r="K1261" t="str">
            <v>201602151421097</v>
          </cell>
          <cell r="M1261" t="str">
            <v>阿莫西林胶囊0.25g*20粒</v>
          </cell>
        </row>
        <row r="1262">
          <cell r="E1262" t="str">
            <v>0020040030SHYT0002</v>
          </cell>
          <cell r="H1262" t="str">
            <v>惠民县康复大药堂</v>
          </cell>
          <cell r="J1262" t="str">
            <v>1854</v>
          </cell>
          <cell r="K1262" t="str">
            <v>201602151421097</v>
          </cell>
          <cell r="M1262" t="str">
            <v>牛黄消炎片24片</v>
          </cell>
        </row>
        <row r="1263">
          <cell r="E1263" t="str">
            <v>0020030001SJZY0006</v>
          </cell>
          <cell r="H1263" t="str">
            <v>惠民县泓景大药房有限公司</v>
          </cell>
          <cell r="J1263" t="str">
            <v>1854</v>
          </cell>
          <cell r="K1263" t="str">
            <v>201602151421097</v>
          </cell>
          <cell r="M1263" t="str">
            <v>葡萄糖酸钙口服溶液10ml*12支</v>
          </cell>
        </row>
        <row r="1264">
          <cell r="E1264" t="str">
            <v>0020030001SJZY0006</v>
          </cell>
          <cell r="H1264" t="str">
            <v>滨州市益生园大药房连锁有限公司</v>
          </cell>
          <cell r="J1264" t="str">
            <v>1858</v>
          </cell>
          <cell r="K1264" t="str">
            <v>201602151421097</v>
          </cell>
          <cell r="M1264" t="str">
            <v>葡萄糖酸钙口服溶液10ml*12支</v>
          </cell>
        </row>
        <row r="1265">
          <cell r="E1265" t="str">
            <v>0020030001SJZY0009</v>
          </cell>
          <cell r="H1265" t="str">
            <v>滨州市益生园大药房连锁有限公司</v>
          </cell>
          <cell r="J1265" t="str">
            <v>1858</v>
          </cell>
          <cell r="K1265" t="str">
            <v>201602151421097</v>
          </cell>
          <cell r="M1265" t="str">
            <v>葡萄糖酸锌口服溶液10ml*12支</v>
          </cell>
        </row>
        <row r="1266">
          <cell r="E1266" t="str">
            <v>0020020020ZYLC0003</v>
          </cell>
          <cell r="H1266" t="str">
            <v>滨州市益生园大药房连锁有限公司</v>
          </cell>
          <cell r="J1266" t="str">
            <v>1858</v>
          </cell>
          <cell r="K1266" t="str">
            <v>201602151421097</v>
          </cell>
          <cell r="M1266" t="str">
            <v>颠茄磺苄啶片12片</v>
          </cell>
        </row>
        <row r="1267">
          <cell r="E1267" t="str">
            <v>0020030020ZYLC0010</v>
          </cell>
          <cell r="H1267" t="str">
            <v>滨州市益生园大药房连锁有限公司</v>
          </cell>
          <cell r="J1267" t="str">
            <v>1858</v>
          </cell>
          <cell r="K1267" t="str">
            <v>201602151421097</v>
          </cell>
          <cell r="M1267" t="str">
            <v>乳酸菌素片0.4g*36片/小包</v>
          </cell>
        </row>
        <row r="1268">
          <cell r="E1268" t="str">
            <v>0020030020ZYLC0013</v>
          </cell>
          <cell r="H1268" t="str">
            <v>滨州市益生园大药房连锁有限公司</v>
          </cell>
          <cell r="J1268" t="str">
            <v>1858</v>
          </cell>
          <cell r="K1268" t="str">
            <v>201602151421097</v>
          </cell>
          <cell r="M1268" t="str">
            <v>乳酸菌素片0.4g*12片*3板</v>
          </cell>
        </row>
        <row r="1269">
          <cell r="E1269" t="str">
            <v>0020030040ZYLC0001</v>
          </cell>
          <cell r="H1269" t="str">
            <v>滨州市益生园大药房连锁有限公司</v>
          </cell>
          <cell r="J1269" t="str">
            <v>1858</v>
          </cell>
          <cell r="K1269" t="str">
            <v>201602151421097</v>
          </cell>
          <cell r="M1269" t="str">
            <v>小儿氨酚黄那敏颗粒12袋</v>
          </cell>
        </row>
        <row r="1270">
          <cell r="E1270" t="str">
            <v>0020020030ZYZC0264</v>
          </cell>
          <cell r="H1270" t="str">
            <v>滨州市益生园大药房连锁有限公司</v>
          </cell>
          <cell r="J1270" t="str">
            <v>1858</v>
          </cell>
          <cell r="K1270" t="str">
            <v>201602151421097</v>
          </cell>
          <cell r="M1270" t="str">
            <v>阿莫西林胶囊0.5g*20粒</v>
          </cell>
        </row>
        <row r="1271">
          <cell r="E1271" t="str">
            <v>0020020020ZYZC0359</v>
          </cell>
          <cell r="H1271" t="str">
            <v>滨州市益生园大药房连锁有限公司</v>
          </cell>
          <cell r="J1271" t="str">
            <v>1858</v>
          </cell>
          <cell r="K1271" t="str">
            <v>201602151421097</v>
          </cell>
          <cell r="M1271" t="str">
            <v>青霉素V钾片0.236g*24片</v>
          </cell>
        </row>
        <row r="1272">
          <cell r="E1272" t="str">
            <v>0020020030ZYZC0511</v>
          </cell>
          <cell r="H1272" t="str">
            <v>滨州市益生园大药房连锁有限公司</v>
          </cell>
          <cell r="J1272" t="str">
            <v>1858</v>
          </cell>
          <cell r="K1272" t="str">
            <v>201602151421097</v>
          </cell>
          <cell r="M1272" t="str">
            <v>头孢氨苄胶囊0.125g*20粒</v>
          </cell>
        </row>
        <row r="1273">
          <cell r="E1273" t="str">
            <v>0020020030ZYZC0283</v>
          </cell>
          <cell r="H1273" t="str">
            <v>滨州市益生园大药房连锁有限公司</v>
          </cell>
          <cell r="J1273" t="str">
            <v>1858</v>
          </cell>
          <cell r="K1273" t="str">
            <v>201602151421097</v>
          </cell>
          <cell r="M1273" t="str">
            <v>头孢拉定胶囊0.25g*24粒</v>
          </cell>
        </row>
        <row r="1274">
          <cell r="E1274" t="str">
            <v>0020030001SJZY0006</v>
          </cell>
          <cell r="H1274" t="str">
            <v>惠民县舒敏大药房</v>
          </cell>
          <cell r="J1274" t="str">
            <v>1854</v>
          </cell>
          <cell r="K1274" t="str">
            <v>201602151421097</v>
          </cell>
          <cell r="M1274" t="str">
            <v>葡萄糖酸钙口服溶液10ml*12支</v>
          </cell>
        </row>
        <row r="1275">
          <cell r="E1275" t="str">
            <v>0020030001SJZY0009</v>
          </cell>
          <cell r="H1275" t="str">
            <v>惠民县舒敏大药房</v>
          </cell>
          <cell r="J1275" t="str">
            <v>1854</v>
          </cell>
          <cell r="K1275" t="str">
            <v>201602151421097</v>
          </cell>
          <cell r="M1275" t="str">
            <v>葡萄糖酸锌口服溶液10ml*12支</v>
          </cell>
        </row>
        <row r="1276">
          <cell r="E1276" t="str">
            <v>0020020020ZYLC0010</v>
          </cell>
          <cell r="H1276" t="str">
            <v>惠民县舒敏大药房</v>
          </cell>
          <cell r="J1276" t="str">
            <v>1854</v>
          </cell>
          <cell r="K1276" t="str">
            <v>201602151421097</v>
          </cell>
          <cell r="M1276" t="str">
            <v>颠茄磺苄啶片10片/瓶</v>
          </cell>
        </row>
        <row r="1277">
          <cell r="E1277" t="str">
            <v>0020030001SJZY0006</v>
          </cell>
          <cell r="H1277" t="str">
            <v>滨州晟滨医药有限公司</v>
          </cell>
          <cell r="J1277" t="str">
            <v>1853</v>
          </cell>
          <cell r="K1277" t="str">
            <v>201602151421097</v>
          </cell>
          <cell r="M1277" t="str">
            <v>葡萄糖酸钙口服溶液10ml*12支</v>
          </cell>
        </row>
        <row r="1278">
          <cell r="E1278" t="str">
            <v>0020030001SJZY0009</v>
          </cell>
          <cell r="H1278" t="str">
            <v>滨州晟滨医药有限公司</v>
          </cell>
          <cell r="J1278" t="str">
            <v>1853</v>
          </cell>
          <cell r="K1278" t="str">
            <v>201602151421097</v>
          </cell>
          <cell r="M1278" t="str">
            <v>葡萄糖酸锌口服溶液10ml*12支</v>
          </cell>
        </row>
        <row r="1279">
          <cell r="E1279" t="str">
            <v>0020030040ZYLC0001</v>
          </cell>
          <cell r="H1279" t="str">
            <v>滨州晟滨医药有限公司</v>
          </cell>
          <cell r="J1279" t="str">
            <v>1853</v>
          </cell>
          <cell r="K1279" t="str">
            <v>201602151421097</v>
          </cell>
          <cell r="M1279" t="str">
            <v>小儿氨酚黄那敏颗粒12袋</v>
          </cell>
        </row>
        <row r="1280">
          <cell r="E1280" t="str">
            <v>0020050020SHYT0016</v>
          </cell>
          <cell r="H1280" t="str">
            <v>滨城谢凤树诊所</v>
          </cell>
          <cell r="J1280" t="str">
            <v>1853</v>
          </cell>
          <cell r="K1280" t="str">
            <v>201602151421097</v>
          </cell>
          <cell r="M1280" t="str">
            <v>复方金银花颗粒10g*10袋</v>
          </cell>
        </row>
        <row r="1281">
          <cell r="E1281" t="str">
            <v>0020030020SJSC0025</v>
          </cell>
          <cell r="H1281" t="str">
            <v>滨城谢凤树诊所</v>
          </cell>
          <cell r="J1281" t="str">
            <v>1853</v>
          </cell>
          <cell r="K1281" t="str">
            <v>201602151421097</v>
          </cell>
          <cell r="M1281" t="str">
            <v>复方氨酚烷胺片12片</v>
          </cell>
        </row>
        <row r="1282">
          <cell r="E1282" t="str">
            <v>0020040220SHYT0004</v>
          </cell>
          <cell r="H1282" t="str">
            <v>邹平县方正医药有限公司</v>
          </cell>
          <cell r="J1282" t="str">
            <v>1859</v>
          </cell>
          <cell r="K1282" t="str">
            <v>201602151421097</v>
          </cell>
          <cell r="M1282" t="str">
            <v>妇宁栓1.6g*8粒</v>
          </cell>
        </row>
        <row r="1283">
          <cell r="E1283" t="str">
            <v>0020030001SJZY0006</v>
          </cell>
          <cell r="H1283" t="str">
            <v>滨城区市东街道办事处北郝第二卫生室</v>
          </cell>
          <cell r="J1283" t="str">
            <v>1853</v>
          </cell>
          <cell r="K1283" t="str">
            <v>201602151421097</v>
          </cell>
          <cell r="M1283" t="str">
            <v>葡萄糖酸钙口服溶液10ml*12支</v>
          </cell>
        </row>
        <row r="1284">
          <cell r="E1284" t="str">
            <v>0020030001SJZY0009</v>
          </cell>
          <cell r="H1284" t="str">
            <v>滨城区市东街道办事处北郝第二卫生室</v>
          </cell>
          <cell r="J1284" t="str">
            <v>1853</v>
          </cell>
          <cell r="K1284" t="str">
            <v>201602151421097</v>
          </cell>
          <cell r="M1284" t="str">
            <v>葡萄糖酸锌口服溶液10ml*12支</v>
          </cell>
        </row>
        <row r="1285">
          <cell r="E1285" t="str">
            <v>0020030001SJZY0006</v>
          </cell>
          <cell r="H1285" t="str">
            <v>北海新区泰和祥药店</v>
          </cell>
          <cell r="J1285" t="str">
            <v>1856</v>
          </cell>
          <cell r="K1285" t="str">
            <v>201602151421097</v>
          </cell>
          <cell r="M1285" t="str">
            <v>葡萄糖酸钙口服溶液10ml*12支</v>
          </cell>
        </row>
        <row r="1286">
          <cell r="E1286" t="str">
            <v>0020020020SJMS0008</v>
          </cell>
          <cell r="H1286" t="str">
            <v>利津县天德堂大药房有限公司</v>
          </cell>
          <cell r="J1286" t="str">
            <v>1757</v>
          </cell>
          <cell r="M1286" t="str">
            <v>拉西地平片4mg*15片</v>
          </cell>
        </row>
        <row r="1287">
          <cell r="E1287" t="str">
            <v>0020030001SJZY0006</v>
          </cell>
          <cell r="H1287" t="str">
            <v>博兴县陈户镇福百仁大药房</v>
          </cell>
          <cell r="J1287" t="str">
            <v>1858</v>
          </cell>
          <cell r="K1287" t="str">
            <v>201602151421097</v>
          </cell>
          <cell r="M1287" t="str">
            <v>葡萄糖酸钙口服溶液10ml*12支</v>
          </cell>
        </row>
        <row r="1288">
          <cell r="E1288" t="str">
            <v>0020030001SJZY0009</v>
          </cell>
          <cell r="H1288" t="str">
            <v>博兴县陈户镇福百仁大药房</v>
          </cell>
          <cell r="J1288" t="str">
            <v>1858</v>
          </cell>
          <cell r="K1288" t="str">
            <v>201602151421097</v>
          </cell>
          <cell r="M1288" t="str">
            <v>葡萄糖酸锌口服溶液10ml*12支</v>
          </cell>
        </row>
        <row r="1289">
          <cell r="E1289" t="str">
            <v>0020070000ZYLC0001</v>
          </cell>
          <cell r="H1289" t="str">
            <v>博兴县陈户镇福百仁大药房</v>
          </cell>
          <cell r="J1289" t="str">
            <v>1858</v>
          </cell>
          <cell r="K1289" t="str">
            <v>201602151421097</v>
          </cell>
          <cell r="M1289" t="str">
            <v>新盖中盖牌高钙片2.5g*36片</v>
          </cell>
        </row>
        <row r="1290">
          <cell r="E1290" t="str">
            <v>0020020030SJMS0025</v>
          </cell>
          <cell r="H1290" t="str">
            <v>滨城魏玲玲诊所</v>
          </cell>
          <cell r="J1290" t="str">
            <v>1853</v>
          </cell>
          <cell r="K1290" t="str">
            <v>201602151421097</v>
          </cell>
          <cell r="M1290" t="str">
            <v>人工牛黄甲硝唑胶囊30粒</v>
          </cell>
        </row>
        <row r="1291">
          <cell r="E1291" t="str">
            <v>0020100000ZYLC0012</v>
          </cell>
          <cell r="H1291" t="str">
            <v>滨城翟玲诊所</v>
          </cell>
          <cell r="J1291" t="str">
            <v>1853</v>
          </cell>
          <cell r="K1291" t="str">
            <v>201602151421097</v>
          </cell>
          <cell r="M1291" t="str">
            <v>医用退热贴2贴</v>
          </cell>
        </row>
        <row r="1292">
          <cell r="E1292" t="str">
            <v>0020030001SJZY0006</v>
          </cell>
          <cell r="H1292" t="str">
            <v>滨城魏玲玲诊所</v>
          </cell>
          <cell r="J1292" t="str">
            <v>1853</v>
          </cell>
          <cell r="K1292" t="str">
            <v>201602151421097</v>
          </cell>
          <cell r="M1292" t="str">
            <v>葡萄糖酸钙口服溶液10ml*12支</v>
          </cell>
        </row>
        <row r="1293">
          <cell r="E1293" t="str">
            <v>0020030040ZYLC0001</v>
          </cell>
          <cell r="H1293" t="str">
            <v>高新区小营办事处愉悦城中心卫生室</v>
          </cell>
          <cell r="J1293" t="str">
            <v>1853</v>
          </cell>
          <cell r="K1293" t="str">
            <v>201602151421097</v>
          </cell>
          <cell r="M1293" t="str">
            <v>小儿氨酚黄那敏颗粒12袋</v>
          </cell>
        </row>
        <row r="1294">
          <cell r="E1294" t="str">
            <v>0020030020ZYLC0013</v>
          </cell>
          <cell r="H1294" t="str">
            <v>邹平县方正医药有限公司</v>
          </cell>
          <cell r="J1294" t="str">
            <v>1859</v>
          </cell>
          <cell r="K1294" t="str">
            <v>201602151421097</v>
          </cell>
          <cell r="M1294" t="str">
            <v>乳酸菌素片0.4g*12片*3板</v>
          </cell>
        </row>
        <row r="1295">
          <cell r="E1295" t="str">
            <v>0020030040SHYT0010</v>
          </cell>
          <cell r="H1295" t="str">
            <v>西门街卫生室</v>
          </cell>
          <cell r="J1295" t="str">
            <v>1854</v>
          </cell>
          <cell r="K1295" t="str">
            <v>201602151421097</v>
          </cell>
          <cell r="M1295" t="str">
            <v>布洛芬颗粒0.2g*12袋</v>
          </cell>
        </row>
        <row r="1296">
          <cell r="E1296" t="str">
            <v>0020020020ZYLC0010</v>
          </cell>
          <cell r="H1296" t="str">
            <v>高新办魏纺路路北卫生室</v>
          </cell>
          <cell r="J1296" t="str">
            <v>1859</v>
          </cell>
          <cell r="K1296" t="str">
            <v>201602151421097</v>
          </cell>
          <cell r="M1296" t="str">
            <v>颠茄磺苄啶片10片/瓶</v>
          </cell>
        </row>
        <row r="1297">
          <cell r="E1297" t="str">
            <v>0020020020ZYLC0003</v>
          </cell>
          <cell r="H1297" t="str">
            <v>高新办魏纺路路北卫生室</v>
          </cell>
          <cell r="J1297" t="str">
            <v>1859</v>
          </cell>
          <cell r="K1297" t="str">
            <v>201602151421097</v>
          </cell>
          <cell r="M1297" t="str">
            <v>颠茄磺苄啶片12片</v>
          </cell>
        </row>
        <row r="1298">
          <cell r="E1298" t="str">
            <v>0020030001SJZY0009</v>
          </cell>
          <cell r="H1298" t="str">
            <v>惠民县旺康医药有限公司</v>
          </cell>
          <cell r="J1298" t="str">
            <v>1854</v>
          </cell>
          <cell r="K1298" t="str">
            <v>201602151421097</v>
          </cell>
          <cell r="M1298" t="str">
            <v>葡萄糖酸锌口服溶液10ml*12支</v>
          </cell>
        </row>
        <row r="1299">
          <cell r="E1299" t="str">
            <v>0020040030SHYT0002</v>
          </cell>
          <cell r="H1299" t="str">
            <v>高青县天德堂药店</v>
          </cell>
          <cell r="J1299" t="str">
            <v>1744</v>
          </cell>
          <cell r="M1299" t="str">
            <v>牛黄消炎片24片</v>
          </cell>
        </row>
        <row r="1300">
          <cell r="E1300" t="str">
            <v>0020070000ZYLC0055</v>
          </cell>
          <cell r="H1300" t="str">
            <v>滨城区滨北街道办事处利民社区卫生服务站</v>
          </cell>
          <cell r="J1300" t="str">
            <v>1853</v>
          </cell>
          <cell r="K1300" t="str">
            <v>201602151421097</v>
          </cell>
          <cell r="M1300" t="str">
            <v>朴雪乳酸亚铁口服液10ml*12支</v>
          </cell>
        </row>
        <row r="1301">
          <cell r="E1301" t="str">
            <v>0020070000ZYLC0001</v>
          </cell>
          <cell r="H1301" t="str">
            <v>滨州市回春堂大药店有限公司</v>
          </cell>
          <cell r="J1301" t="str">
            <v>1853</v>
          </cell>
          <cell r="K1301" t="str">
            <v>201602151421097</v>
          </cell>
          <cell r="M1301" t="str">
            <v>新盖中盖牌高钙片2.5g*36片</v>
          </cell>
        </row>
        <row r="1302">
          <cell r="E1302" t="str">
            <v>0020020020ZYLC0010</v>
          </cell>
          <cell r="H1302" t="str">
            <v>沾化区冯家镇王尔庄中心卫生室</v>
          </cell>
          <cell r="J1302" t="str">
            <v>1857</v>
          </cell>
          <cell r="K1302" t="str">
            <v>201602151421097</v>
          </cell>
          <cell r="M1302" t="str">
            <v>颠茄磺苄啶片10片/瓶</v>
          </cell>
        </row>
        <row r="1303">
          <cell r="E1303" t="str">
            <v>0020040001SHYT0018</v>
          </cell>
          <cell r="H1303" t="str">
            <v>惠民县东涛大药房</v>
          </cell>
          <cell r="J1303" t="str">
            <v>1854</v>
          </cell>
          <cell r="K1303" t="str">
            <v>201602151421097</v>
          </cell>
          <cell r="M1303" t="str">
            <v>血府逐瘀丸9g*10丸</v>
          </cell>
        </row>
        <row r="1304">
          <cell r="E1304" t="str">
            <v>0020030001SJZY0006</v>
          </cell>
          <cell r="H1304" t="str">
            <v>山东弘旭医药连锁经营有限公司</v>
          </cell>
          <cell r="J1304" t="str">
            <v>1853</v>
          </cell>
          <cell r="K1304" t="str">
            <v>201602151421097</v>
          </cell>
          <cell r="M1304" t="str">
            <v>葡萄糖酸钙口服溶液10ml*12支</v>
          </cell>
        </row>
        <row r="1305">
          <cell r="E1305" t="str">
            <v>0020030001SJZY0009</v>
          </cell>
          <cell r="H1305" t="str">
            <v>山东弘旭医药连锁经营有限公司</v>
          </cell>
          <cell r="J1305" t="str">
            <v>1853</v>
          </cell>
          <cell r="K1305" t="str">
            <v>201602151421097</v>
          </cell>
          <cell r="M1305" t="str">
            <v>葡萄糖酸锌口服溶液10ml*12支</v>
          </cell>
        </row>
        <row r="1306">
          <cell r="E1306" t="str">
            <v>0020070000ZYLC0001</v>
          </cell>
          <cell r="H1306" t="str">
            <v>滨城翟玲诊所</v>
          </cell>
          <cell r="J1306" t="str">
            <v>1853</v>
          </cell>
          <cell r="K1306" t="str">
            <v>201602151421097</v>
          </cell>
          <cell r="M1306" t="str">
            <v>新盖中盖牌高钙片2.5g*36片</v>
          </cell>
        </row>
        <row r="1307">
          <cell r="E1307" t="str">
            <v>0020020020ZYLC0010</v>
          </cell>
          <cell r="H1307" t="str">
            <v>滨城魏玲玲诊所</v>
          </cell>
          <cell r="J1307" t="str">
            <v>1853</v>
          </cell>
          <cell r="K1307" t="str">
            <v>201602151421097</v>
          </cell>
          <cell r="M1307" t="str">
            <v>颠茄磺苄啶片10片/瓶</v>
          </cell>
        </row>
        <row r="1308">
          <cell r="E1308" t="str">
            <v>0020020021ZYZC0341</v>
          </cell>
          <cell r="H1308" t="str">
            <v>滨城区市东街道办事处郑家第一卫生室</v>
          </cell>
          <cell r="J1308" t="str">
            <v>1853</v>
          </cell>
          <cell r="K1308" t="str">
            <v>201602151421097</v>
          </cell>
          <cell r="M1308" t="str">
            <v>阿莫西林克拉维酸钾分散片0.2285g*12片</v>
          </cell>
        </row>
        <row r="1309">
          <cell r="E1309" t="str">
            <v>0020030001SJZY0006</v>
          </cell>
          <cell r="H1309" t="str">
            <v>邹平县金正医药连锁有限公司</v>
          </cell>
          <cell r="J1309" t="str">
            <v>1859</v>
          </cell>
          <cell r="K1309" t="str">
            <v>201602151421097</v>
          </cell>
          <cell r="M1309" t="str">
            <v>葡萄糖酸钙口服溶液10ml*12支</v>
          </cell>
        </row>
        <row r="1310">
          <cell r="E1310" t="str">
            <v>0020030001SJZY0009</v>
          </cell>
          <cell r="H1310" t="str">
            <v>邹平县金正医药连锁有限公司</v>
          </cell>
          <cell r="J1310" t="str">
            <v>1859</v>
          </cell>
          <cell r="K1310" t="str">
            <v>201602151421097</v>
          </cell>
          <cell r="M1310" t="str">
            <v>葡萄糖酸锌口服溶液10ml*12支</v>
          </cell>
        </row>
        <row r="1311">
          <cell r="E1311" t="str">
            <v>0020020021ZYZC0341</v>
          </cell>
          <cell r="H1311" t="str">
            <v>滨城区杨柳雪镇大唐村卫生室</v>
          </cell>
          <cell r="J1311" t="str">
            <v>1853</v>
          </cell>
          <cell r="K1311" t="str">
            <v>201602151421097</v>
          </cell>
          <cell r="M1311" t="str">
            <v>阿莫西林克拉维酸钾分散片0.2285g*12片</v>
          </cell>
        </row>
        <row r="1312">
          <cell r="E1312" t="str">
            <v>0020030001SJZY0009</v>
          </cell>
          <cell r="H1312" t="str">
            <v>滨城刘虎中医诊所</v>
          </cell>
          <cell r="J1312" t="str">
            <v>1853</v>
          </cell>
          <cell r="K1312" t="str">
            <v>201602151421097</v>
          </cell>
          <cell r="M1312" t="str">
            <v>葡萄糖酸锌口服溶液10ml*12支</v>
          </cell>
        </row>
        <row r="1313">
          <cell r="E1313" t="str">
            <v>0020070000ZYLC0001</v>
          </cell>
          <cell r="H1313" t="str">
            <v>惠民县广军康宁大药房有限公司</v>
          </cell>
          <cell r="J1313" t="str">
            <v>1854</v>
          </cell>
          <cell r="K1313" t="str">
            <v>201602151421097</v>
          </cell>
          <cell r="M1313" t="str">
            <v>新盖中盖牌高钙片2.5g*36片</v>
          </cell>
        </row>
        <row r="1314">
          <cell r="E1314" t="str">
            <v>0020070000ZYLC0055</v>
          </cell>
          <cell r="H1314" t="str">
            <v>滨城区市东街道办事处宣家第一卫生室</v>
          </cell>
          <cell r="J1314" t="str">
            <v>1853</v>
          </cell>
          <cell r="K1314" t="str">
            <v>201602151421097</v>
          </cell>
          <cell r="M1314" t="str">
            <v>朴雪乳酸亚铁口服液10ml*12支</v>
          </cell>
        </row>
        <row r="1315">
          <cell r="E1315" t="str">
            <v>0020020030SJMS0025</v>
          </cell>
          <cell r="H1315" t="str">
            <v>博兴县瑞康药房</v>
          </cell>
          <cell r="J1315" t="str">
            <v>1858</v>
          </cell>
          <cell r="K1315" t="str">
            <v>201602151421097</v>
          </cell>
          <cell r="M1315" t="str">
            <v>人工牛黄甲硝唑胶囊30粒</v>
          </cell>
        </row>
        <row r="1316">
          <cell r="E1316" t="str">
            <v>0020020020ZYLC0003</v>
          </cell>
          <cell r="H1316" t="str">
            <v>博兴县瑞康药房</v>
          </cell>
          <cell r="J1316" t="str">
            <v>1858</v>
          </cell>
          <cell r="K1316" t="str">
            <v>201602151421097</v>
          </cell>
          <cell r="M1316" t="str">
            <v>颠茄磺苄啶片12片</v>
          </cell>
        </row>
        <row r="1317">
          <cell r="E1317" t="str">
            <v>0020030001SJZY0006</v>
          </cell>
          <cell r="H1317" t="str">
            <v>无棣棣城医院</v>
          </cell>
          <cell r="J1317" t="str">
            <v>1856</v>
          </cell>
          <cell r="K1317" t="str">
            <v>201602151421097</v>
          </cell>
          <cell r="M1317" t="str">
            <v>葡萄糖酸钙口服溶液10ml*12支</v>
          </cell>
        </row>
        <row r="1318">
          <cell r="E1318" t="str">
            <v>0020030020ZYLC0013</v>
          </cell>
          <cell r="H1318" t="str">
            <v>滨州市滨城区康慧药店</v>
          </cell>
          <cell r="J1318" t="str">
            <v>1853</v>
          </cell>
          <cell r="K1318" t="str">
            <v>201602151421097</v>
          </cell>
          <cell r="M1318" t="str">
            <v>乳酸菌素片0.4g*12片*3板</v>
          </cell>
        </row>
        <row r="1319">
          <cell r="E1319" t="str">
            <v>0020030020SJSC0004</v>
          </cell>
          <cell r="H1319" t="str">
            <v>无棣县佘家镇顺昌百姓大药房</v>
          </cell>
          <cell r="J1319" t="str">
            <v>1856</v>
          </cell>
          <cell r="K1319" t="str">
            <v>201602151421097</v>
          </cell>
          <cell r="M1319" t="str">
            <v>复方铝酸铋片50片</v>
          </cell>
        </row>
        <row r="1320">
          <cell r="E1320" t="str">
            <v>0020040030SHYT0002</v>
          </cell>
          <cell r="H1320" t="str">
            <v>博兴县康惠大药房</v>
          </cell>
          <cell r="J1320" t="str">
            <v>1858</v>
          </cell>
          <cell r="K1320" t="str">
            <v>201602151421097</v>
          </cell>
          <cell r="M1320" t="str">
            <v>牛黄消炎片24片</v>
          </cell>
        </row>
        <row r="1321">
          <cell r="E1321" t="str">
            <v>0020030020SJSC0004</v>
          </cell>
          <cell r="H1321" t="str">
            <v>滨城李延花诊所</v>
          </cell>
          <cell r="J1321" t="str">
            <v>1853</v>
          </cell>
          <cell r="K1321" t="str">
            <v>201602151421097</v>
          </cell>
          <cell r="M1321" t="str">
            <v>复方铝酸铋片50片</v>
          </cell>
        </row>
        <row r="1322">
          <cell r="E1322" t="str">
            <v>0020070000ZYLC0055</v>
          </cell>
          <cell r="H1322" t="str">
            <v>麻店镇麻店街卫生所</v>
          </cell>
          <cell r="J1322" t="str">
            <v>1854</v>
          </cell>
          <cell r="K1322" t="str">
            <v>201602151421097</v>
          </cell>
          <cell r="M1322" t="str">
            <v>朴雪乳酸亚铁口服液10ml*12支</v>
          </cell>
        </row>
        <row r="1323">
          <cell r="E1323" t="str">
            <v>0020030020ZYLC0013</v>
          </cell>
          <cell r="H1323" t="str">
            <v>滨城区彭李街道办事处张课第一卫生室</v>
          </cell>
          <cell r="J1323" t="str">
            <v>1853</v>
          </cell>
          <cell r="K1323" t="str">
            <v>201602151421097</v>
          </cell>
          <cell r="M1323" t="str">
            <v>乳酸菌素片0.4g*12片*3板</v>
          </cell>
        </row>
        <row r="1324">
          <cell r="E1324" t="str">
            <v>0020020021ZYLC0004</v>
          </cell>
          <cell r="H1324" t="str">
            <v>杜店王会宾诊所</v>
          </cell>
          <cell r="J1324" t="str">
            <v>1853</v>
          </cell>
          <cell r="K1324" t="str">
            <v>201602151421097</v>
          </cell>
          <cell r="M1324" t="str">
            <v>罗红霉素分散片75mg*12片</v>
          </cell>
        </row>
        <row r="1325">
          <cell r="E1325" t="str">
            <v>0020030001SJZY0009</v>
          </cell>
          <cell r="H1325" t="str">
            <v>滨城魏玲玲诊所</v>
          </cell>
          <cell r="J1325" t="str">
            <v>1853</v>
          </cell>
          <cell r="K1325" t="str">
            <v>201602151421097</v>
          </cell>
          <cell r="M1325" t="str">
            <v>葡萄糖酸锌口服溶液10ml*12支</v>
          </cell>
        </row>
        <row r="1326">
          <cell r="E1326" t="str">
            <v>0020020021ZYZC0341</v>
          </cell>
          <cell r="H1326" t="str">
            <v>邹平县方正医药有限公司</v>
          </cell>
          <cell r="J1326" t="str">
            <v>1859</v>
          </cell>
          <cell r="K1326" t="str">
            <v>201602151421097</v>
          </cell>
          <cell r="M1326" t="str">
            <v>阿莫西林克拉维酸钾分散片0.2285g*12片</v>
          </cell>
        </row>
        <row r="1327">
          <cell r="E1327" t="str">
            <v>0020070000ZYLC0052</v>
          </cell>
          <cell r="H1327" t="str">
            <v>惠民县广军康宁大药房有限公司</v>
          </cell>
          <cell r="J1327" t="str">
            <v>1854</v>
          </cell>
          <cell r="K1327" t="str">
            <v>201602151421097</v>
          </cell>
          <cell r="M1327" t="str">
            <v>哈药六牌钙加锌口服液10ml*12支</v>
          </cell>
        </row>
        <row r="1328">
          <cell r="E1328" t="str">
            <v>0020050090SJZY0001</v>
          </cell>
          <cell r="H1328" t="str">
            <v>惠民县舒敏大药房</v>
          </cell>
          <cell r="J1328" t="str">
            <v>1854</v>
          </cell>
          <cell r="K1328" t="str">
            <v>201602151421097</v>
          </cell>
          <cell r="M1328" t="str">
            <v>双黄连口服液10ml*10支</v>
          </cell>
        </row>
        <row r="1329">
          <cell r="E1329" t="str">
            <v>0020020021ZYLC0004</v>
          </cell>
          <cell r="H1329" t="str">
            <v>惠民县舒敏大药房</v>
          </cell>
          <cell r="J1329" t="str">
            <v>1854</v>
          </cell>
          <cell r="K1329" t="str">
            <v>201602151421097</v>
          </cell>
          <cell r="M1329" t="str">
            <v>罗红霉素分散片75mg*12片</v>
          </cell>
        </row>
        <row r="1330">
          <cell r="E1330" t="str">
            <v>0020020021ZYLC0005</v>
          </cell>
          <cell r="H1330" t="str">
            <v>惠民县舒敏大药房</v>
          </cell>
          <cell r="J1330" t="str">
            <v>1854</v>
          </cell>
          <cell r="K1330" t="str">
            <v>201602151421097</v>
          </cell>
          <cell r="M1330" t="str">
            <v>罗红霉素分散片50mg*12片</v>
          </cell>
        </row>
        <row r="1331">
          <cell r="E1331" t="str">
            <v>0020030170ZYEC0003</v>
          </cell>
          <cell r="H1331" t="str">
            <v>惠民县舒敏大药房</v>
          </cell>
          <cell r="J1331" t="str">
            <v>1854</v>
          </cell>
          <cell r="K1331" t="str">
            <v>201602151421097</v>
          </cell>
          <cell r="M1331" t="str">
            <v>蒙脱石散3g*12袋</v>
          </cell>
        </row>
        <row r="1332">
          <cell r="E1332" t="str">
            <v>0020030001SJZY0009</v>
          </cell>
          <cell r="H1332" t="str">
            <v>西门街卫生室</v>
          </cell>
          <cell r="J1332" t="str">
            <v>1854</v>
          </cell>
          <cell r="K1332" t="str">
            <v>201602151421097</v>
          </cell>
          <cell r="M1332" t="str">
            <v>葡萄糖酸锌口服溶液10ml*12支</v>
          </cell>
        </row>
        <row r="1333">
          <cell r="E1333" t="str">
            <v>0020030001SJZY0006</v>
          </cell>
          <cell r="H1333" t="str">
            <v>惠民县广军康宁大药房有限公司</v>
          </cell>
          <cell r="J1333" t="str">
            <v>1854</v>
          </cell>
          <cell r="K1333" t="str">
            <v>201602151421097</v>
          </cell>
          <cell r="M1333" t="str">
            <v>葡萄糖酸钙口服溶液10ml*12支</v>
          </cell>
        </row>
        <row r="1334">
          <cell r="E1334" t="str">
            <v>0020030001SJZY0009</v>
          </cell>
          <cell r="H1334" t="str">
            <v>惠民县广军康宁大药房有限公司</v>
          </cell>
          <cell r="J1334" t="str">
            <v>1854</v>
          </cell>
          <cell r="K1334" t="str">
            <v>201602151421097</v>
          </cell>
          <cell r="M1334" t="str">
            <v>葡萄糖酸锌口服溶液10ml*12支</v>
          </cell>
        </row>
        <row r="1335">
          <cell r="E1335" t="str">
            <v>0020020020ZYLC0003</v>
          </cell>
          <cell r="H1335" t="str">
            <v>惠民县广军康宁大药房有限公司</v>
          </cell>
          <cell r="J1335" t="str">
            <v>1854</v>
          </cell>
          <cell r="K1335" t="str">
            <v>201602151421097</v>
          </cell>
          <cell r="M1335" t="str">
            <v>颠茄磺苄啶片12片</v>
          </cell>
        </row>
        <row r="1336">
          <cell r="E1336" t="str">
            <v>0020020021ZYLC0004</v>
          </cell>
          <cell r="H1336" t="str">
            <v>惠民县广军康宁大药房有限公司</v>
          </cell>
          <cell r="J1336" t="str">
            <v>1854</v>
          </cell>
          <cell r="K1336" t="str">
            <v>201602151421097</v>
          </cell>
          <cell r="M1336" t="str">
            <v>罗红霉素分散片75mg*12片</v>
          </cell>
        </row>
        <row r="1337">
          <cell r="E1337" t="str">
            <v>0020030040ZYLC0001</v>
          </cell>
          <cell r="H1337" t="str">
            <v>惠民县广军康宁大药房有限公司</v>
          </cell>
          <cell r="J1337" t="str">
            <v>1854</v>
          </cell>
          <cell r="K1337" t="str">
            <v>201602151421097</v>
          </cell>
          <cell r="M1337" t="str">
            <v>小儿氨酚黄那敏颗粒12袋</v>
          </cell>
        </row>
        <row r="1338">
          <cell r="E1338" t="str">
            <v>0020020030ZYZC0508</v>
          </cell>
          <cell r="H1338" t="str">
            <v>惠民县广军康宁大药房有限公司</v>
          </cell>
          <cell r="J1338" t="str">
            <v>1854</v>
          </cell>
          <cell r="K1338" t="str">
            <v>201602151421097</v>
          </cell>
          <cell r="M1338" t="str">
            <v>阿莫西林胶囊0.25g*20粒</v>
          </cell>
        </row>
        <row r="1339">
          <cell r="E1339" t="str">
            <v>0020020021ZYZC0341</v>
          </cell>
          <cell r="H1339" t="str">
            <v>惠民县广军康宁大药房有限公司</v>
          </cell>
          <cell r="J1339" t="str">
            <v>1854</v>
          </cell>
          <cell r="K1339" t="str">
            <v>201602151421097</v>
          </cell>
          <cell r="M1339" t="str">
            <v>阿莫西林克拉维酸钾分散片0.2285g*12片</v>
          </cell>
        </row>
        <row r="1340">
          <cell r="E1340" t="str">
            <v>0020070000ZYLC0052</v>
          </cell>
          <cell r="H1340" t="str">
            <v>博兴县庞家镇民生大药店旗舰店</v>
          </cell>
          <cell r="J1340" t="str">
            <v>1858</v>
          </cell>
          <cell r="K1340" t="str">
            <v>201602151421097</v>
          </cell>
          <cell r="M1340" t="str">
            <v>哈药六牌钙加锌口服液10ml*12支</v>
          </cell>
        </row>
        <row r="1341">
          <cell r="E1341" t="str">
            <v>0020070001ZYZC0383</v>
          </cell>
          <cell r="H1341" t="str">
            <v>博兴县庞家镇民生大药店旗舰店</v>
          </cell>
          <cell r="J1341" t="str">
            <v>1858</v>
          </cell>
          <cell r="K1341" t="str">
            <v>201602151421097</v>
          </cell>
          <cell r="M1341" t="str">
            <v>哈药牌钙铁锌口服液10ml*10支</v>
          </cell>
        </row>
        <row r="1342">
          <cell r="E1342" t="str">
            <v>0020030001SJZY0009</v>
          </cell>
          <cell r="H1342" t="str">
            <v>博兴县庞家镇民生大药店旗舰店</v>
          </cell>
          <cell r="J1342" t="str">
            <v>1858</v>
          </cell>
          <cell r="K1342" t="str">
            <v>201602151421097</v>
          </cell>
          <cell r="M1342" t="str">
            <v>葡萄糖酸锌口服溶液10ml*12支</v>
          </cell>
        </row>
        <row r="1343">
          <cell r="E1343" t="str">
            <v>0020030001SJZY0009</v>
          </cell>
          <cell r="H1343" t="str">
            <v>博兴县庞家镇民生大药店旗舰店</v>
          </cell>
          <cell r="J1343" t="str">
            <v>1858</v>
          </cell>
          <cell r="K1343" t="str">
            <v>201602151421097</v>
          </cell>
          <cell r="M1343" t="str">
            <v>葡萄糖酸锌口服溶液10ml*12支</v>
          </cell>
        </row>
        <row r="1344">
          <cell r="E1344" t="str">
            <v>0020030040SHYT0010</v>
          </cell>
          <cell r="H1344" t="str">
            <v>博兴县庞家镇民生大药店旗舰店</v>
          </cell>
          <cell r="J1344" t="str">
            <v>1858</v>
          </cell>
          <cell r="K1344" t="str">
            <v>201602151421097</v>
          </cell>
          <cell r="M1344" t="str">
            <v>布洛芬颗粒0.2g*12袋</v>
          </cell>
        </row>
        <row r="1345">
          <cell r="E1345" t="str">
            <v>0020030001SJZY0009</v>
          </cell>
          <cell r="H1345" t="str">
            <v>滨城王欣铸诊所</v>
          </cell>
          <cell r="J1345" t="str">
            <v>1853</v>
          </cell>
          <cell r="K1345" t="str">
            <v>201602151421097</v>
          </cell>
          <cell r="M1345" t="str">
            <v>葡萄糖酸锌口服溶液10ml*12支</v>
          </cell>
        </row>
        <row r="1346">
          <cell r="E1346" t="str">
            <v>0020030040SHYT0010</v>
          </cell>
          <cell r="H1346" t="str">
            <v>山东京博控股股份有限公司京博和谐家园卫生室</v>
          </cell>
          <cell r="J1346" t="str">
            <v>1858</v>
          </cell>
          <cell r="K1346" t="str">
            <v>201602151421097</v>
          </cell>
          <cell r="M1346" t="str">
            <v>布洛芬颗粒0.2g*12袋</v>
          </cell>
        </row>
        <row r="1347">
          <cell r="E1347" t="str">
            <v>0020020021ZYLC0012</v>
          </cell>
          <cell r="H1347" t="str">
            <v>山东京博控股股份有限公司京博和谐家园卫生室</v>
          </cell>
          <cell r="J1347" t="str">
            <v>1858</v>
          </cell>
          <cell r="K1347" t="str">
            <v>201602151421097</v>
          </cell>
          <cell r="M1347" t="str">
            <v>阿奇霉素分散片0.25g*6片</v>
          </cell>
        </row>
        <row r="1348">
          <cell r="E1348" t="str">
            <v>0020030020SJSC0004</v>
          </cell>
          <cell r="H1348" t="str">
            <v>彭李街道办事处为民社区卫生服务站</v>
          </cell>
          <cell r="J1348" t="str">
            <v>1853</v>
          </cell>
          <cell r="K1348" t="str">
            <v>201602151421097</v>
          </cell>
          <cell r="M1348" t="str">
            <v>复方铝酸铋片50片</v>
          </cell>
        </row>
        <row r="1349">
          <cell r="E1349" t="str">
            <v>0020030020ZYLC0010</v>
          </cell>
          <cell r="H1349" t="str">
            <v>山东弘旭医药连锁经营有限公司</v>
          </cell>
          <cell r="J1349" t="str">
            <v>1853</v>
          </cell>
          <cell r="K1349" t="str">
            <v>201602151421097</v>
          </cell>
          <cell r="M1349" t="str">
            <v>乳酸菌素片0.4g*36片/小包</v>
          </cell>
        </row>
        <row r="1350">
          <cell r="E1350" t="str">
            <v>0020030020ZYLC0013</v>
          </cell>
          <cell r="H1350" t="str">
            <v>阳信县商店镇小桑卫生院</v>
          </cell>
          <cell r="J1350" t="str">
            <v>1855</v>
          </cell>
          <cell r="K1350" t="str">
            <v>201602151421097</v>
          </cell>
          <cell r="M1350" t="str">
            <v>乳酸菌素片0.4g*12片*3板</v>
          </cell>
        </row>
        <row r="1351">
          <cell r="E1351" t="str">
            <v>0020020021ZYLC0005</v>
          </cell>
          <cell r="H1351" t="str">
            <v>博兴县城东街道办事处国康大药房</v>
          </cell>
          <cell r="J1351" t="str">
            <v>1858</v>
          </cell>
          <cell r="K1351" t="str">
            <v>201602151421097</v>
          </cell>
          <cell r="M1351" t="str">
            <v>罗红霉素分散片50mg*12片</v>
          </cell>
        </row>
        <row r="1352">
          <cell r="E1352" t="str">
            <v>0020020021ZYLC0004</v>
          </cell>
          <cell r="H1352" t="str">
            <v>滨城翟玲诊所</v>
          </cell>
          <cell r="J1352" t="str">
            <v>1853</v>
          </cell>
          <cell r="K1352" t="str">
            <v>201602151421097</v>
          </cell>
          <cell r="M1352" t="str">
            <v>罗红霉素分散片75mg*12片</v>
          </cell>
        </row>
        <row r="1353">
          <cell r="E1353" t="str">
            <v>0020020020ZYZC0473</v>
          </cell>
          <cell r="H1353" t="str">
            <v>彭李办事处田园牧歌社区卫生服务站</v>
          </cell>
          <cell r="J1353" t="str">
            <v>1853</v>
          </cell>
          <cell r="K1353" t="str">
            <v>201602151421097</v>
          </cell>
          <cell r="M1353" t="str">
            <v>盐酸环丙沙星片0.25g*12片</v>
          </cell>
        </row>
        <row r="1354">
          <cell r="E1354" t="str">
            <v>0020030001SJZY0009</v>
          </cell>
          <cell r="H1354" t="str">
            <v>杜店吕钰诊所</v>
          </cell>
          <cell r="J1354" t="str">
            <v>1853</v>
          </cell>
          <cell r="K1354" t="str">
            <v>201602151421097</v>
          </cell>
          <cell r="M1354" t="str">
            <v>葡萄糖酸锌口服溶液10ml*12支</v>
          </cell>
        </row>
        <row r="1355">
          <cell r="E1355" t="str">
            <v>0020030001SJZY0006</v>
          </cell>
          <cell r="H1355" t="str">
            <v>高青县天德堂药店</v>
          </cell>
          <cell r="J1355" t="str">
            <v>1744</v>
          </cell>
          <cell r="M1355" t="str">
            <v>葡萄糖酸钙口服溶液10ml*12支</v>
          </cell>
        </row>
        <row r="1356">
          <cell r="E1356" t="str">
            <v>0020020020ZYLC0010</v>
          </cell>
          <cell r="H1356" t="str">
            <v>麻店镇麻店街卫生所</v>
          </cell>
          <cell r="J1356" t="str">
            <v>1854</v>
          </cell>
          <cell r="K1356" t="str">
            <v>201602151421097</v>
          </cell>
          <cell r="M1356" t="str">
            <v>颠茄磺苄啶片10片/瓶</v>
          </cell>
        </row>
        <row r="1357">
          <cell r="E1357" t="str">
            <v>0020030001SJZY0006</v>
          </cell>
          <cell r="H1357" t="str">
            <v>滨州市滨城区彭李街道办事处黄河社区卫生服务站</v>
          </cell>
          <cell r="J1357" t="str">
            <v>1853</v>
          </cell>
          <cell r="K1357" t="str">
            <v>201602151421097</v>
          </cell>
          <cell r="M1357" t="str">
            <v>葡萄糖酸钙口服溶液10ml*12支</v>
          </cell>
        </row>
        <row r="1358">
          <cell r="E1358" t="str">
            <v>0020030001SJZY0009</v>
          </cell>
          <cell r="H1358" t="str">
            <v>滨州市滨城区彭李街道办事处黄河社区卫生服务站</v>
          </cell>
          <cell r="J1358" t="str">
            <v>1853</v>
          </cell>
          <cell r="K1358" t="str">
            <v>201602151421097</v>
          </cell>
          <cell r="M1358" t="str">
            <v>葡萄糖酸锌口服溶液10ml*12支</v>
          </cell>
        </row>
        <row r="1359">
          <cell r="E1359" t="str">
            <v>0020100000ZYLC0012</v>
          </cell>
          <cell r="H1359" t="str">
            <v>滨州市滨城区彭李街道办事处黄河社区卫生服务站</v>
          </cell>
          <cell r="J1359" t="str">
            <v>1853</v>
          </cell>
          <cell r="K1359" t="str">
            <v>201602151421097</v>
          </cell>
          <cell r="M1359" t="str">
            <v>医用退热贴2贴</v>
          </cell>
        </row>
        <row r="1360">
          <cell r="E1360" t="str">
            <v>0020030001SJZY0006</v>
          </cell>
          <cell r="H1360" t="str">
            <v>滨州市滨城区市中街道办事处便民社区卫生服务站</v>
          </cell>
          <cell r="J1360" t="str">
            <v>1853</v>
          </cell>
          <cell r="K1360" t="str">
            <v>201602151421097</v>
          </cell>
          <cell r="M1360" t="str">
            <v>葡萄糖酸钙口服溶液10ml*12支</v>
          </cell>
        </row>
        <row r="1361">
          <cell r="E1361" t="str">
            <v>0020070000ZYLC0052</v>
          </cell>
          <cell r="H1361" t="str">
            <v>利津县北宋镇祥和药店</v>
          </cell>
          <cell r="J1361" t="str">
            <v>1757</v>
          </cell>
          <cell r="M1361" t="str">
            <v>哈药六牌钙加锌口服液10ml*12支</v>
          </cell>
        </row>
        <row r="1362">
          <cell r="E1362" t="str">
            <v>0020020020SJMS0008</v>
          </cell>
          <cell r="H1362" t="str">
            <v>惠民县众可万寿堂大药房连锁有限公司</v>
          </cell>
          <cell r="J1362" t="str">
            <v>1854</v>
          </cell>
          <cell r="K1362" t="str">
            <v>201602151421097</v>
          </cell>
          <cell r="M1362" t="str">
            <v>拉西地平片4mg*15片</v>
          </cell>
        </row>
        <row r="1363">
          <cell r="E1363" t="str">
            <v>0020030020SJSC0004</v>
          </cell>
          <cell r="H1363" t="str">
            <v>惠民县众可万寿堂大药房连锁有限公司</v>
          </cell>
          <cell r="J1363" t="str">
            <v>1854</v>
          </cell>
          <cell r="K1363" t="str">
            <v>201602151421097</v>
          </cell>
          <cell r="M1363" t="str">
            <v>复方铝酸铋片50片</v>
          </cell>
        </row>
        <row r="1364">
          <cell r="E1364" t="str">
            <v>0020020020ZYLC0003</v>
          </cell>
          <cell r="H1364" t="str">
            <v>惠民县众可万寿堂大药房连锁有限公司</v>
          </cell>
          <cell r="J1364" t="str">
            <v>1854</v>
          </cell>
          <cell r="K1364" t="str">
            <v>201602151421097</v>
          </cell>
          <cell r="M1364" t="str">
            <v>颠茄磺苄啶片12片</v>
          </cell>
        </row>
        <row r="1365">
          <cell r="E1365" t="str">
            <v>0020020020ZYLC0003</v>
          </cell>
          <cell r="H1365" t="str">
            <v>惠民康民诊所</v>
          </cell>
          <cell r="J1365" t="str">
            <v>1854</v>
          </cell>
          <cell r="K1365" t="str">
            <v>201602151421097</v>
          </cell>
          <cell r="M1365" t="str">
            <v>颠茄磺苄啶片12片</v>
          </cell>
        </row>
        <row r="1366">
          <cell r="E1366" t="str">
            <v>0020030040ZYLC0001</v>
          </cell>
          <cell r="H1366" t="str">
            <v>博兴县店子镇同济堂大药店</v>
          </cell>
          <cell r="J1366" t="str">
            <v>1858</v>
          </cell>
          <cell r="K1366" t="str">
            <v>201602151421097</v>
          </cell>
          <cell r="M1366" t="str">
            <v>小儿氨酚黄那敏颗粒12袋</v>
          </cell>
        </row>
        <row r="1367">
          <cell r="E1367" t="str">
            <v>0020030040ZYLC0001</v>
          </cell>
          <cell r="H1367" t="str">
            <v>博兴县济生堂大药店</v>
          </cell>
          <cell r="J1367" t="str">
            <v>1858</v>
          </cell>
          <cell r="K1367" t="str">
            <v>201602151421097</v>
          </cell>
          <cell r="M1367" t="str">
            <v>小儿氨酚黄那敏颗粒12袋</v>
          </cell>
        </row>
        <row r="1368">
          <cell r="E1368" t="str">
            <v>0020070000ZYLC0052</v>
          </cell>
          <cell r="H1368" t="str">
            <v>惠民县敬文大药房</v>
          </cell>
          <cell r="J1368" t="str">
            <v>1854</v>
          </cell>
          <cell r="K1368" t="str">
            <v>201602151421097</v>
          </cell>
          <cell r="M1368" t="str">
            <v>哈药六牌钙加锌口服液10ml*12支</v>
          </cell>
        </row>
        <row r="1369">
          <cell r="E1369" t="str">
            <v>0020070000ZYLC0001</v>
          </cell>
          <cell r="H1369" t="str">
            <v>山东无棣医药公司</v>
          </cell>
          <cell r="J1369" t="str">
            <v>1856</v>
          </cell>
          <cell r="K1369" t="str">
            <v>201602151421097</v>
          </cell>
          <cell r="M1369" t="str">
            <v>新盖中盖牌高钙片2.5g*36片</v>
          </cell>
        </row>
        <row r="1370">
          <cell r="E1370" t="str">
            <v>0020020021ZYLC0004</v>
          </cell>
          <cell r="H1370" t="str">
            <v>山东无棣医药公司</v>
          </cell>
          <cell r="J1370" t="str">
            <v>1856</v>
          </cell>
          <cell r="K1370" t="str">
            <v>201602151421097</v>
          </cell>
          <cell r="M1370" t="str">
            <v>罗红霉素分散片75mg*12片</v>
          </cell>
        </row>
        <row r="1371">
          <cell r="E1371" t="str">
            <v>0020030040ZYLC0001</v>
          </cell>
          <cell r="H1371" t="str">
            <v>山东无棣医药公司</v>
          </cell>
          <cell r="J1371" t="str">
            <v>1856</v>
          </cell>
          <cell r="K1371" t="str">
            <v>201602151421097</v>
          </cell>
          <cell r="M1371" t="str">
            <v>小儿氨酚黄那敏颗粒12袋</v>
          </cell>
        </row>
        <row r="1372">
          <cell r="E1372" t="str">
            <v>0020020021ZYLC0005</v>
          </cell>
          <cell r="H1372" t="str">
            <v>无棣锦绣城诊所</v>
          </cell>
          <cell r="J1372" t="str">
            <v>1856</v>
          </cell>
          <cell r="K1372" t="str">
            <v>201602151421097</v>
          </cell>
          <cell r="M1372" t="str">
            <v>罗红霉素分散片50mg*12片</v>
          </cell>
        </row>
        <row r="1373">
          <cell r="E1373" t="str">
            <v>0020070000ZYLC0003</v>
          </cell>
          <cell r="H1373" t="str">
            <v>沾化济生堂大药房连锁有限公司</v>
          </cell>
          <cell r="J1373" t="str">
            <v>1857</v>
          </cell>
          <cell r="K1373" t="str">
            <v>201602151421097</v>
          </cell>
          <cell r="M1373" t="str">
            <v>新盖中盖牌儿童钙片36片</v>
          </cell>
        </row>
        <row r="1374">
          <cell r="E1374" t="str">
            <v>0020070000ZYLC0055</v>
          </cell>
          <cell r="H1374" t="str">
            <v>山东省惠民县民康大药店有限公司</v>
          </cell>
          <cell r="J1374" t="str">
            <v>1854</v>
          </cell>
          <cell r="K1374" t="str">
            <v>201602151421097</v>
          </cell>
          <cell r="M1374" t="str">
            <v>朴雪乳酸亚铁口服液10ml*12支</v>
          </cell>
        </row>
        <row r="1375">
          <cell r="E1375" t="str">
            <v>0020070000ZYLC0001</v>
          </cell>
          <cell r="H1375" t="str">
            <v>山东省惠民县民康大药店有限公司</v>
          </cell>
          <cell r="J1375" t="str">
            <v>1854</v>
          </cell>
          <cell r="K1375" t="str">
            <v>201602151421097</v>
          </cell>
          <cell r="M1375" t="str">
            <v>新盖中盖牌高钙片2.5g*36片</v>
          </cell>
        </row>
        <row r="1376">
          <cell r="E1376" t="str">
            <v>0020070001ZYZC0383</v>
          </cell>
          <cell r="H1376" t="str">
            <v>山东省惠民县民康大药店有限公司</v>
          </cell>
          <cell r="J1376" t="str">
            <v>1854</v>
          </cell>
          <cell r="K1376" t="str">
            <v>201602151421097</v>
          </cell>
          <cell r="M1376" t="str">
            <v>哈药牌钙铁锌口服液10ml*10支</v>
          </cell>
        </row>
        <row r="1377">
          <cell r="E1377" t="str">
            <v>0020050090SJZY0001</v>
          </cell>
          <cell r="H1377" t="str">
            <v>滨州市滨城区彭李街道办事处黄河社区卫生服务站</v>
          </cell>
          <cell r="J1377" t="str">
            <v>1853</v>
          </cell>
          <cell r="K1377" t="str">
            <v>201602151421097</v>
          </cell>
          <cell r="M1377" t="str">
            <v>双黄连口服液10ml*10支</v>
          </cell>
        </row>
        <row r="1378">
          <cell r="E1378" t="str">
            <v>0020070000ZYLC0052</v>
          </cell>
          <cell r="H1378" t="str">
            <v>滨城王欣铸诊所</v>
          </cell>
          <cell r="J1378" t="str">
            <v>1853</v>
          </cell>
          <cell r="K1378" t="str">
            <v>201602151421097</v>
          </cell>
          <cell r="M1378" t="str">
            <v>哈药六牌钙加锌口服液10ml*12支</v>
          </cell>
        </row>
        <row r="1379">
          <cell r="E1379" t="str">
            <v>0020070001ZYZC0383</v>
          </cell>
          <cell r="H1379" t="str">
            <v>惠民县宝芝林医药连锁有限公司</v>
          </cell>
          <cell r="J1379" t="str">
            <v>1854</v>
          </cell>
          <cell r="K1379" t="str">
            <v>201602151421097</v>
          </cell>
          <cell r="M1379" t="str">
            <v>哈药牌钙铁锌口服液10ml*10支</v>
          </cell>
        </row>
        <row r="1380">
          <cell r="E1380" t="str">
            <v>0020070000ZYLC0001</v>
          </cell>
          <cell r="H1380" t="str">
            <v>博兴县永康药店</v>
          </cell>
          <cell r="J1380" t="str">
            <v>1858</v>
          </cell>
          <cell r="K1380" t="str">
            <v>201602151421097</v>
          </cell>
          <cell r="M1380" t="str">
            <v>新盖中盖牌高钙片2.5g*36片</v>
          </cell>
        </row>
        <row r="1381">
          <cell r="E1381" t="str">
            <v>0020070000ZYLC0001</v>
          </cell>
          <cell r="H1381" t="str">
            <v>阳信县天天平价医药连锁有限公司</v>
          </cell>
          <cell r="J1381" t="str">
            <v>1855</v>
          </cell>
          <cell r="K1381" t="str">
            <v>201602151421097</v>
          </cell>
          <cell r="M1381" t="str">
            <v>新盖中盖牌高钙片2.5g*36片</v>
          </cell>
        </row>
        <row r="1382">
          <cell r="E1382" t="str">
            <v>0020030020SJSC0004</v>
          </cell>
          <cell r="H1382" t="str">
            <v>滨州市沾化区鲁康医药连锁有限公司</v>
          </cell>
          <cell r="J1382" t="str">
            <v>1857</v>
          </cell>
          <cell r="K1382" t="str">
            <v>201602151421097</v>
          </cell>
          <cell r="M1382" t="str">
            <v>复方铝酸铋片50片</v>
          </cell>
        </row>
        <row r="1383">
          <cell r="E1383" t="str">
            <v>0020030020SJSC0004</v>
          </cell>
          <cell r="H1383" t="str">
            <v>惠民县宝芝林医药连锁有限公司</v>
          </cell>
          <cell r="J1383" t="str">
            <v>1854</v>
          </cell>
          <cell r="K1383" t="str">
            <v>201602151421097</v>
          </cell>
          <cell r="M1383" t="str">
            <v>复方铝酸铋片50片</v>
          </cell>
        </row>
        <row r="1384">
          <cell r="E1384" t="str">
            <v>0020030001SJZY0006</v>
          </cell>
          <cell r="H1384" t="str">
            <v>惠民县宝芝林医药连锁有限公司</v>
          </cell>
          <cell r="J1384" t="str">
            <v>1854</v>
          </cell>
          <cell r="K1384" t="str">
            <v>201602151421097</v>
          </cell>
          <cell r="M1384" t="str">
            <v>葡萄糖酸钙口服溶液10ml*12支</v>
          </cell>
        </row>
        <row r="1385">
          <cell r="E1385" t="str">
            <v>0020030001SJZY0009</v>
          </cell>
          <cell r="H1385" t="str">
            <v>惠民县宝芝林医药连锁有限公司</v>
          </cell>
          <cell r="J1385" t="str">
            <v>1854</v>
          </cell>
          <cell r="K1385" t="str">
            <v>201602151421097</v>
          </cell>
          <cell r="M1385" t="str">
            <v>葡萄糖酸锌口服溶液10ml*12支</v>
          </cell>
        </row>
        <row r="1386">
          <cell r="E1386" t="str">
            <v>0020020020ZYLC0003</v>
          </cell>
          <cell r="H1386" t="str">
            <v>惠民县宝芝林医药连锁有限公司</v>
          </cell>
          <cell r="J1386" t="str">
            <v>1854</v>
          </cell>
          <cell r="K1386" t="str">
            <v>201602151421097</v>
          </cell>
          <cell r="M1386" t="str">
            <v>颠茄磺苄啶片12片</v>
          </cell>
        </row>
        <row r="1387">
          <cell r="E1387" t="str">
            <v>0020030040ZYLC0001</v>
          </cell>
          <cell r="H1387" t="str">
            <v>惠民县宝芝林医药连锁有限公司</v>
          </cell>
          <cell r="J1387" t="str">
            <v>1854</v>
          </cell>
          <cell r="K1387" t="str">
            <v>201602151421097</v>
          </cell>
          <cell r="M1387" t="str">
            <v>小儿氨酚黄那敏颗粒12袋</v>
          </cell>
        </row>
        <row r="1388">
          <cell r="E1388" t="str">
            <v>0020030040SJET0003</v>
          </cell>
          <cell r="H1388" t="str">
            <v>连锁27店</v>
          </cell>
          <cell r="J1388" t="str">
            <v>1859</v>
          </cell>
          <cell r="K1388" t="str">
            <v>201602151421097</v>
          </cell>
          <cell r="M1388" t="str">
            <v>氨金黄敏颗粒6g*10袋/盒</v>
          </cell>
        </row>
        <row r="1389">
          <cell r="E1389" t="str">
            <v>0020030001SJZY0006</v>
          </cell>
          <cell r="H1389" t="str">
            <v>连锁19店</v>
          </cell>
          <cell r="J1389" t="str">
            <v>1859</v>
          </cell>
          <cell r="K1389" t="str">
            <v>201602151421097</v>
          </cell>
          <cell r="M1389" t="str">
            <v>葡萄糖酸钙口服液12支/盒</v>
          </cell>
        </row>
        <row r="1390">
          <cell r="E1390" t="str">
            <v>0020020030ZYZC0289</v>
          </cell>
          <cell r="H1390" t="str">
            <v>连锁19店</v>
          </cell>
          <cell r="J1390" t="str">
            <v>1859</v>
          </cell>
          <cell r="K1390" t="str">
            <v>201602151421097</v>
          </cell>
          <cell r="M1390" t="str">
            <v>阿莫西林胶囊0.5g*36粒</v>
          </cell>
        </row>
        <row r="1391">
          <cell r="E1391" t="str">
            <v>0020020030SJMS0024</v>
          </cell>
          <cell r="H1391" t="str">
            <v>连锁13店</v>
          </cell>
          <cell r="J1391" t="str">
            <v>1859</v>
          </cell>
          <cell r="K1391" t="str">
            <v>201602151421097</v>
          </cell>
          <cell r="M1391" t="str">
            <v>人工牛黄甲硝唑胶囊20粒</v>
          </cell>
        </row>
        <row r="1392">
          <cell r="E1392" t="str">
            <v>0020020030SJMS0024</v>
          </cell>
          <cell r="H1392" t="str">
            <v>连锁5店</v>
          </cell>
          <cell r="J1392" t="str">
            <v>1859</v>
          </cell>
          <cell r="K1392" t="str">
            <v>201602151421097</v>
          </cell>
          <cell r="M1392" t="str">
            <v>人工牛黄甲硝唑胶囊20粒</v>
          </cell>
        </row>
        <row r="1393">
          <cell r="E1393" t="str">
            <v>0020020030SJMS0024</v>
          </cell>
          <cell r="H1393" t="str">
            <v>连锁11店</v>
          </cell>
          <cell r="J1393" t="str">
            <v>1859</v>
          </cell>
          <cell r="K1393" t="str">
            <v>201602151421097</v>
          </cell>
          <cell r="M1393" t="str">
            <v>人工牛黄甲硝唑胶囊20粒</v>
          </cell>
        </row>
        <row r="1394">
          <cell r="E1394" t="str">
            <v>0020030001SJZY0006</v>
          </cell>
          <cell r="H1394" t="str">
            <v>连锁11店</v>
          </cell>
          <cell r="J1394" t="str">
            <v>1859</v>
          </cell>
          <cell r="K1394" t="str">
            <v>201602151421097</v>
          </cell>
          <cell r="M1394" t="str">
            <v>葡萄糖酸钙口服液12支/盒</v>
          </cell>
        </row>
        <row r="1395">
          <cell r="E1395" t="str">
            <v>0020070001ZYZC0369</v>
          </cell>
          <cell r="H1395" t="str">
            <v>连锁29店</v>
          </cell>
          <cell r="J1395" t="str">
            <v>1859</v>
          </cell>
          <cell r="K1395" t="str">
            <v>201602151421097</v>
          </cell>
          <cell r="M1395" t="str">
            <v>哈药*钙铁锌口服液10ml*12支</v>
          </cell>
        </row>
        <row r="1396">
          <cell r="E1396" t="str">
            <v>0020020030SJMS0024</v>
          </cell>
          <cell r="H1396" t="str">
            <v>连锁39店</v>
          </cell>
          <cell r="J1396" t="str">
            <v>1859</v>
          </cell>
          <cell r="K1396" t="str">
            <v>201602151421097</v>
          </cell>
          <cell r="M1396" t="str">
            <v>人工牛黄甲硝唑胶囊20粒</v>
          </cell>
        </row>
        <row r="1397">
          <cell r="E1397" t="str">
            <v>0020070001ZYZC0369</v>
          </cell>
          <cell r="H1397" t="str">
            <v>连锁39店</v>
          </cell>
          <cell r="J1397" t="str">
            <v>1859</v>
          </cell>
          <cell r="K1397" t="str">
            <v>201602151421097</v>
          </cell>
          <cell r="M1397" t="str">
            <v>哈药*钙铁锌口服液10ml*12支</v>
          </cell>
        </row>
        <row r="1398">
          <cell r="E1398" t="str">
            <v>0020020030SJMS0024</v>
          </cell>
          <cell r="H1398" t="str">
            <v>连锁34店</v>
          </cell>
          <cell r="J1398" t="str">
            <v>1859</v>
          </cell>
          <cell r="K1398" t="str">
            <v>201602151421097</v>
          </cell>
          <cell r="M1398" t="str">
            <v>人工牛黄甲硝唑胶囊20粒</v>
          </cell>
        </row>
        <row r="1399">
          <cell r="E1399" t="str">
            <v>0020030001SJZY0009</v>
          </cell>
          <cell r="H1399" t="str">
            <v>连锁34店</v>
          </cell>
          <cell r="J1399" t="str">
            <v>1859</v>
          </cell>
          <cell r="K1399" t="str">
            <v>201602151421097</v>
          </cell>
          <cell r="M1399" t="str">
            <v>葡萄糖酸锌口服液12支/盒</v>
          </cell>
        </row>
        <row r="1400">
          <cell r="E1400" t="str">
            <v>0020020030SJMS0024</v>
          </cell>
          <cell r="H1400" t="str">
            <v>中心店</v>
          </cell>
          <cell r="J1400" t="str">
            <v>1859</v>
          </cell>
          <cell r="K1400" t="str">
            <v>201602151421097</v>
          </cell>
          <cell r="M1400" t="str">
            <v>人工牛黄甲硝唑胶囊20粒</v>
          </cell>
        </row>
        <row r="1401">
          <cell r="E1401" t="str">
            <v>0020020030SJMS0024</v>
          </cell>
          <cell r="H1401" t="str">
            <v>连锁36店</v>
          </cell>
          <cell r="J1401" t="str">
            <v>1859</v>
          </cell>
          <cell r="K1401" t="str">
            <v>201602151421097</v>
          </cell>
          <cell r="M1401" t="str">
            <v>人工牛黄甲硝唑胶囊20粒</v>
          </cell>
        </row>
        <row r="1402">
          <cell r="E1402" t="str">
            <v>0020070000ZYLC0052</v>
          </cell>
          <cell r="H1402" t="str">
            <v>连锁36店</v>
          </cell>
          <cell r="J1402" t="str">
            <v>1859</v>
          </cell>
          <cell r="K1402" t="str">
            <v>201602151421097</v>
          </cell>
          <cell r="M1402" t="str">
            <v>钙加锌口服液10ml*12支</v>
          </cell>
        </row>
        <row r="1403">
          <cell r="E1403" t="str">
            <v>0020040220SHYT0004</v>
          </cell>
          <cell r="H1403" t="str">
            <v>连锁36店</v>
          </cell>
          <cell r="J1403" t="str">
            <v>1859</v>
          </cell>
          <cell r="K1403" t="str">
            <v>201602151421097</v>
          </cell>
          <cell r="M1403" t="str">
            <v>妇宁栓1.6g*8粒</v>
          </cell>
        </row>
        <row r="1404">
          <cell r="E1404" t="str">
            <v>0020030001SJZY0006</v>
          </cell>
          <cell r="H1404" t="str">
            <v>连锁36店</v>
          </cell>
          <cell r="J1404" t="str">
            <v>1859</v>
          </cell>
          <cell r="K1404" t="str">
            <v>201602151421097</v>
          </cell>
          <cell r="M1404" t="str">
            <v>葡萄糖酸钙口服液12支/盒</v>
          </cell>
        </row>
        <row r="1405">
          <cell r="E1405" t="str">
            <v>0020020030SJMS0024</v>
          </cell>
          <cell r="H1405" t="str">
            <v>连锁27店</v>
          </cell>
          <cell r="J1405" t="str">
            <v>1859</v>
          </cell>
          <cell r="K1405" t="str">
            <v>201602151421097</v>
          </cell>
          <cell r="M1405" t="str">
            <v>人工牛黄甲硝唑胶囊20粒</v>
          </cell>
        </row>
        <row r="1406">
          <cell r="E1406" t="str">
            <v>0020020030SJMS0024</v>
          </cell>
          <cell r="H1406" t="str">
            <v>连锁15店</v>
          </cell>
          <cell r="J1406" t="str">
            <v>1859</v>
          </cell>
          <cell r="K1406" t="str">
            <v>201602151421097</v>
          </cell>
          <cell r="M1406" t="str">
            <v>人工牛黄甲硝唑胶囊20粒</v>
          </cell>
        </row>
        <row r="1407">
          <cell r="E1407" t="str">
            <v>0020020030ZYZC0289</v>
          </cell>
          <cell r="H1407" t="str">
            <v>连锁16店</v>
          </cell>
          <cell r="J1407" t="str">
            <v>1859</v>
          </cell>
          <cell r="K1407" t="str">
            <v>201602151421097</v>
          </cell>
          <cell r="M1407" t="str">
            <v>阿莫西林胶囊0.5g*36粒</v>
          </cell>
        </row>
        <row r="1408">
          <cell r="E1408" t="str">
            <v>0020070001ZYZC0369</v>
          </cell>
          <cell r="H1408" t="str">
            <v>连锁16店</v>
          </cell>
          <cell r="J1408" t="str">
            <v>1859</v>
          </cell>
          <cell r="K1408" t="str">
            <v>201602151421097</v>
          </cell>
          <cell r="M1408" t="str">
            <v>哈药*钙铁锌口服液10ml*12支</v>
          </cell>
        </row>
        <row r="1409">
          <cell r="E1409" t="str">
            <v>0020020030SJMS0024</v>
          </cell>
          <cell r="H1409" t="str">
            <v>连锁16店</v>
          </cell>
          <cell r="J1409" t="str">
            <v>1859</v>
          </cell>
          <cell r="K1409" t="str">
            <v>201602151421097</v>
          </cell>
          <cell r="M1409" t="str">
            <v>人工牛黄甲硝唑胶囊20粒</v>
          </cell>
        </row>
        <row r="1410">
          <cell r="E1410" t="str">
            <v>0020020030SJMS0024</v>
          </cell>
          <cell r="H1410" t="str">
            <v>连锁12店</v>
          </cell>
          <cell r="J1410" t="str">
            <v>1859</v>
          </cell>
          <cell r="K1410" t="str">
            <v>201602151421097</v>
          </cell>
          <cell r="M1410" t="str">
            <v>人工牛黄甲硝唑胶囊20粒</v>
          </cell>
        </row>
        <row r="1411">
          <cell r="E1411" t="str">
            <v>0020070001ZYZC0369</v>
          </cell>
          <cell r="H1411" t="str">
            <v>连锁12店</v>
          </cell>
          <cell r="J1411" t="str">
            <v>1859</v>
          </cell>
          <cell r="K1411" t="str">
            <v>201602151421097</v>
          </cell>
          <cell r="M1411" t="str">
            <v>哈药*钙铁锌口服液10ml*12支</v>
          </cell>
        </row>
        <row r="1412">
          <cell r="E1412" t="str">
            <v>0020020030SJMS0024</v>
          </cell>
          <cell r="H1412" t="str">
            <v>连锁32店</v>
          </cell>
          <cell r="J1412" t="str">
            <v>1859</v>
          </cell>
          <cell r="K1412" t="str">
            <v>201602151421097</v>
          </cell>
          <cell r="M1412" t="str">
            <v>人工牛黄甲硝唑胶囊20粒</v>
          </cell>
        </row>
        <row r="1413">
          <cell r="E1413" t="str">
            <v>0020020030SJMS0024</v>
          </cell>
          <cell r="H1413" t="str">
            <v>连锁37店</v>
          </cell>
          <cell r="J1413" t="str">
            <v>1859</v>
          </cell>
          <cell r="K1413" t="str">
            <v>201602151421097</v>
          </cell>
          <cell r="M1413" t="str">
            <v>人工牛黄甲硝唑胶囊20粒</v>
          </cell>
        </row>
        <row r="1414">
          <cell r="E1414" t="str">
            <v>0020020030SJMS0024</v>
          </cell>
          <cell r="H1414" t="str">
            <v>连锁3店</v>
          </cell>
          <cell r="J1414" t="str">
            <v>1859</v>
          </cell>
          <cell r="K1414" t="str">
            <v>201602151421097</v>
          </cell>
          <cell r="M1414" t="str">
            <v>人工牛黄甲硝唑胶囊20粒</v>
          </cell>
        </row>
        <row r="1415">
          <cell r="E1415" t="str">
            <v>0020020020ZYLC0003</v>
          </cell>
          <cell r="H1415" t="str">
            <v>连锁3店</v>
          </cell>
          <cell r="J1415" t="str">
            <v>1859</v>
          </cell>
          <cell r="K1415" t="str">
            <v>201602151421097</v>
          </cell>
          <cell r="M1415" t="str">
            <v>泻利停*颠茄磺苄啶片12片</v>
          </cell>
        </row>
        <row r="1416">
          <cell r="E1416" t="str">
            <v>0020070000ZYLC0052</v>
          </cell>
          <cell r="H1416" t="str">
            <v>连锁10店</v>
          </cell>
          <cell r="J1416" t="str">
            <v>1859</v>
          </cell>
          <cell r="K1416" t="str">
            <v>201602151421097</v>
          </cell>
          <cell r="M1416" t="str">
            <v>钙加锌口服液10ml*12支</v>
          </cell>
        </row>
        <row r="1417">
          <cell r="E1417" t="str">
            <v>0020070001ZYZC0369</v>
          </cell>
          <cell r="H1417" t="str">
            <v>连锁10店</v>
          </cell>
          <cell r="J1417" t="str">
            <v>1859</v>
          </cell>
          <cell r="K1417" t="str">
            <v>201602151421097</v>
          </cell>
          <cell r="M1417" t="str">
            <v>哈药*钙铁锌口服液10ml*12支</v>
          </cell>
        </row>
        <row r="1418">
          <cell r="E1418" t="str">
            <v>0020030001SJZY0006</v>
          </cell>
          <cell r="H1418" t="str">
            <v>连锁1店</v>
          </cell>
          <cell r="J1418" t="str">
            <v>1859</v>
          </cell>
          <cell r="K1418" t="str">
            <v>201602151421097</v>
          </cell>
          <cell r="M1418" t="str">
            <v>葡萄糖酸钙口服液12支/盒</v>
          </cell>
        </row>
        <row r="1419">
          <cell r="E1419" t="str">
            <v>0020020030SJMS0024</v>
          </cell>
          <cell r="H1419" t="str">
            <v>连锁45店</v>
          </cell>
          <cell r="J1419" t="str">
            <v>1859</v>
          </cell>
          <cell r="K1419" t="str">
            <v>201602151421097</v>
          </cell>
          <cell r="M1419" t="str">
            <v>人工牛黄甲硝唑胶囊20粒</v>
          </cell>
        </row>
        <row r="1420">
          <cell r="E1420" t="str">
            <v>0020070001ZYZC0369</v>
          </cell>
          <cell r="H1420" t="str">
            <v>连锁47店</v>
          </cell>
          <cell r="J1420" t="str">
            <v>1859</v>
          </cell>
          <cell r="K1420" t="str">
            <v>201602151421097</v>
          </cell>
          <cell r="M1420" t="str">
            <v>哈药*钙铁锌口服液10ml*12支</v>
          </cell>
        </row>
        <row r="1421">
          <cell r="E1421" t="str">
            <v>0020020030SJMS0024</v>
          </cell>
          <cell r="H1421" t="str">
            <v>连锁7店</v>
          </cell>
          <cell r="J1421" t="str">
            <v>1859</v>
          </cell>
          <cell r="K1421" t="str">
            <v>201602151421097</v>
          </cell>
          <cell r="M1421" t="str">
            <v>人工牛黄甲硝唑胶囊20粒</v>
          </cell>
        </row>
        <row r="1422">
          <cell r="E1422" t="str">
            <v>0020070000ZYLC0052</v>
          </cell>
          <cell r="H1422" t="str">
            <v>连锁7店</v>
          </cell>
          <cell r="J1422" t="str">
            <v>1859</v>
          </cell>
          <cell r="K1422" t="str">
            <v>201602151421097</v>
          </cell>
          <cell r="M1422" t="str">
            <v>钙加锌口服液10ml*12支</v>
          </cell>
        </row>
        <row r="1423">
          <cell r="E1423" t="str">
            <v>0020020021ZYZC0341</v>
          </cell>
          <cell r="H1423" t="str">
            <v>连锁35店</v>
          </cell>
          <cell r="J1423" t="str">
            <v>1859</v>
          </cell>
          <cell r="K1423" t="str">
            <v>201602151421097</v>
          </cell>
          <cell r="M1423" t="str">
            <v>胜艾*阿莫西林克拉维酸钾分散片0.2285g*12pian</v>
          </cell>
        </row>
        <row r="1424">
          <cell r="E1424" t="str">
            <v>0020020030SJMS0024</v>
          </cell>
          <cell r="H1424" t="str">
            <v>连锁35店</v>
          </cell>
          <cell r="J1424" t="str">
            <v>1859</v>
          </cell>
          <cell r="K1424" t="str">
            <v>201602151421097</v>
          </cell>
          <cell r="M1424" t="str">
            <v>人工牛黄甲硝唑胶囊20粒</v>
          </cell>
        </row>
        <row r="1425">
          <cell r="E1425" t="str">
            <v>0020020030SJMS0024</v>
          </cell>
          <cell r="H1425" t="str">
            <v>连锁42店</v>
          </cell>
          <cell r="J1425" t="str">
            <v>1859</v>
          </cell>
          <cell r="K1425" t="str">
            <v>201602151421097</v>
          </cell>
          <cell r="M1425" t="str">
            <v>人工牛黄甲硝唑胶囊20粒</v>
          </cell>
        </row>
        <row r="1426">
          <cell r="E1426" t="str">
            <v>0020030001SJZY0009</v>
          </cell>
          <cell r="H1426" t="str">
            <v>连锁42店</v>
          </cell>
          <cell r="J1426" t="str">
            <v>1859</v>
          </cell>
          <cell r="K1426" t="str">
            <v>201602151421097</v>
          </cell>
          <cell r="M1426" t="str">
            <v>葡萄糖酸锌口服液12支/盒</v>
          </cell>
        </row>
        <row r="1427">
          <cell r="E1427" t="str">
            <v>0020020021ZYLC0004</v>
          </cell>
          <cell r="H1427" t="str">
            <v>连锁42店</v>
          </cell>
          <cell r="J1427" t="str">
            <v>1859</v>
          </cell>
          <cell r="K1427" t="str">
            <v>201602151421097</v>
          </cell>
          <cell r="M1427" t="str">
            <v>严迪*罗红霉素分散片75mg*12</v>
          </cell>
        </row>
        <row r="1428">
          <cell r="E1428" t="str">
            <v>0020020021ZYZC0341</v>
          </cell>
          <cell r="H1428" t="str">
            <v>连锁17店</v>
          </cell>
          <cell r="J1428" t="str">
            <v>1859</v>
          </cell>
          <cell r="K1428" t="str">
            <v>201602151421097</v>
          </cell>
          <cell r="M1428" t="str">
            <v>胜艾*阿莫西林克拉维酸钾分散片0.2285g*12pian</v>
          </cell>
        </row>
        <row r="1429">
          <cell r="E1429" t="str">
            <v>0020040070ZYEC0005</v>
          </cell>
          <cell r="H1429" t="str">
            <v>连锁14店</v>
          </cell>
          <cell r="J1429" t="str">
            <v>1859</v>
          </cell>
          <cell r="K1429" t="str">
            <v>201602151421097</v>
          </cell>
          <cell r="M1429" t="str">
            <v>小儿百部止咳糖浆100ml</v>
          </cell>
        </row>
        <row r="1430">
          <cell r="E1430" t="str">
            <v>0020020030ZYZC0289</v>
          </cell>
          <cell r="H1430" t="str">
            <v>连锁14店</v>
          </cell>
          <cell r="J1430" t="str">
            <v>1859</v>
          </cell>
          <cell r="K1430" t="str">
            <v>201602151421097</v>
          </cell>
          <cell r="M1430" t="str">
            <v>阿莫西林胶囊0.5g*36粒</v>
          </cell>
        </row>
        <row r="1431">
          <cell r="E1431" t="str">
            <v>0020030020SJSC0004</v>
          </cell>
          <cell r="H1431" t="str">
            <v>连锁33店</v>
          </cell>
          <cell r="J1431" t="str">
            <v>1859</v>
          </cell>
          <cell r="K1431" t="str">
            <v>201602151421097</v>
          </cell>
          <cell r="M1431" t="str">
            <v>胃必治*复方铝酸铋片50片</v>
          </cell>
        </row>
        <row r="1432">
          <cell r="E1432" t="str">
            <v>0020030020SJSC0004</v>
          </cell>
          <cell r="H1432" t="str">
            <v>连锁43店</v>
          </cell>
          <cell r="J1432" t="str">
            <v>1859</v>
          </cell>
          <cell r="K1432" t="str">
            <v>201602151421097</v>
          </cell>
          <cell r="M1432" t="str">
            <v>胃必治*复方铝酸铋片50片</v>
          </cell>
        </row>
        <row r="1433">
          <cell r="E1433" t="str">
            <v>0020020030SJMS0024</v>
          </cell>
          <cell r="H1433" t="str">
            <v>连锁43店</v>
          </cell>
          <cell r="J1433" t="str">
            <v>1859</v>
          </cell>
          <cell r="K1433" t="str">
            <v>201602151421097</v>
          </cell>
          <cell r="M1433" t="str">
            <v>人工牛黄甲硝唑胶囊20粒</v>
          </cell>
        </row>
        <row r="1434">
          <cell r="E1434" t="str">
            <v>0020040220SHYT0004</v>
          </cell>
          <cell r="H1434" t="str">
            <v>连锁31店</v>
          </cell>
          <cell r="J1434" t="str">
            <v>1859</v>
          </cell>
          <cell r="K1434" t="str">
            <v>201602151421097</v>
          </cell>
          <cell r="M1434" t="str">
            <v>妇宁栓1.6g*8粒</v>
          </cell>
        </row>
        <row r="1435">
          <cell r="E1435" t="str">
            <v>0020020030SJMS0024</v>
          </cell>
          <cell r="H1435" t="str">
            <v>连锁31店</v>
          </cell>
          <cell r="J1435" t="str">
            <v>1859</v>
          </cell>
          <cell r="K1435" t="str">
            <v>201602151421097</v>
          </cell>
          <cell r="M1435" t="str">
            <v>人工牛黄甲硝唑胶囊20粒</v>
          </cell>
        </row>
        <row r="1436">
          <cell r="E1436" t="str">
            <v>0020030040SJET0003</v>
          </cell>
          <cell r="H1436" t="str">
            <v>连锁18店</v>
          </cell>
          <cell r="J1436" t="str">
            <v>1859</v>
          </cell>
          <cell r="K1436" t="str">
            <v>201602151421097</v>
          </cell>
          <cell r="M1436" t="str">
            <v>氨金黄敏颗粒6g*10袋/盒</v>
          </cell>
        </row>
        <row r="1437">
          <cell r="E1437" t="str">
            <v>0020030020SJSC0025</v>
          </cell>
          <cell r="H1437" t="str">
            <v>连锁11店</v>
          </cell>
          <cell r="J1437" t="str">
            <v>1859</v>
          </cell>
          <cell r="K1437" t="str">
            <v>201602151421097</v>
          </cell>
          <cell r="M1437" t="str">
            <v>复方氨酚烷胺片12片</v>
          </cell>
        </row>
        <row r="1438">
          <cell r="E1438" t="str">
            <v>0020040220SHYT0004</v>
          </cell>
          <cell r="H1438" t="str">
            <v>连锁6店</v>
          </cell>
          <cell r="J1438" t="str">
            <v>1859</v>
          </cell>
          <cell r="K1438" t="str">
            <v>201602151421097</v>
          </cell>
          <cell r="M1438" t="str">
            <v>妇宁栓1.6g*8粒</v>
          </cell>
        </row>
        <row r="1439">
          <cell r="E1439" t="str">
            <v>0020040070ZYEC0005</v>
          </cell>
          <cell r="H1439" t="str">
            <v>连锁29店</v>
          </cell>
          <cell r="J1439" t="str">
            <v>1859</v>
          </cell>
          <cell r="K1439" t="str">
            <v>201602151421097</v>
          </cell>
          <cell r="M1439" t="str">
            <v>小儿百部止咳糖浆100ml</v>
          </cell>
        </row>
        <row r="1440">
          <cell r="E1440" t="str">
            <v>0020040001SHYT0018</v>
          </cell>
          <cell r="H1440" t="str">
            <v>连锁26店</v>
          </cell>
          <cell r="J1440" t="str">
            <v>1859</v>
          </cell>
          <cell r="K1440" t="str">
            <v>201602151421097</v>
          </cell>
          <cell r="M1440" t="str">
            <v>血府逐瘀丸9g*10丸</v>
          </cell>
        </row>
        <row r="1441">
          <cell r="E1441" t="str">
            <v>0020020030ZYZC0289</v>
          </cell>
          <cell r="H1441" t="str">
            <v>连锁39店</v>
          </cell>
          <cell r="J1441" t="str">
            <v>1859</v>
          </cell>
          <cell r="K1441" t="str">
            <v>201602151421097</v>
          </cell>
          <cell r="M1441" t="str">
            <v>阿莫西林胶囊0.5g*36粒</v>
          </cell>
        </row>
        <row r="1442">
          <cell r="E1442" t="str">
            <v>0020070001ZYZC0369</v>
          </cell>
          <cell r="H1442" t="str">
            <v>连锁34店</v>
          </cell>
          <cell r="J1442" t="str">
            <v>1859</v>
          </cell>
          <cell r="K1442" t="str">
            <v>201602151421097</v>
          </cell>
          <cell r="M1442" t="str">
            <v>哈药*钙铁锌口服液10ml*12支</v>
          </cell>
        </row>
        <row r="1443">
          <cell r="E1443" t="str">
            <v>0020020030ZYZC0289</v>
          </cell>
          <cell r="H1443" t="str">
            <v>连锁51店</v>
          </cell>
          <cell r="J1443" t="str">
            <v>1859</v>
          </cell>
          <cell r="K1443" t="str">
            <v>201602151421097</v>
          </cell>
          <cell r="M1443" t="str">
            <v>阿莫西林胶囊0.5g*36粒</v>
          </cell>
        </row>
        <row r="1444">
          <cell r="E1444" t="str">
            <v>0020030020SJSC0025</v>
          </cell>
          <cell r="H1444" t="str">
            <v>连锁20店</v>
          </cell>
          <cell r="J1444" t="str">
            <v>1859</v>
          </cell>
          <cell r="K1444" t="str">
            <v>201602151421097</v>
          </cell>
          <cell r="M1444" t="str">
            <v>复方氨酚烷胺片12片</v>
          </cell>
        </row>
        <row r="1445">
          <cell r="E1445" t="str">
            <v>0020030020SJSC0004</v>
          </cell>
          <cell r="H1445" t="str">
            <v>连锁20店</v>
          </cell>
          <cell r="J1445" t="str">
            <v>1859</v>
          </cell>
          <cell r="K1445" t="str">
            <v>201602151421097</v>
          </cell>
          <cell r="M1445" t="str">
            <v>胃必治*复方铝酸铋片50片</v>
          </cell>
        </row>
        <row r="1446">
          <cell r="E1446" t="str">
            <v>0020030001SJZY0006</v>
          </cell>
          <cell r="H1446" t="str">
            <v>连锁27店</v>
          </cell>
          <cell r="J1446" t="str">
            <v>1859</v>
          </cell>
          <cell r="K1446" t="str">
            <v>201602151421097</v>
          </cell>
          <cell r="M1446" t="str">
            <v>葡萄糖酸钙口服液12支/盒</v>
          </cell>
        </row>
        <row r="1447">
          <cell r="E1447" t="str">
            <v>0020030001SJZY0009</v>
          </cell>
          <cell r="H1447" t="str">
            <v>连锁27店</v>
          </cell>
          <cell r="J1447" t="str">
            <v>1859</v>
          </cell>
          <cell r="K1447" t="str">
            <v>201602151421097</v>
          </cell>
          <cell r="M1447" t="str">
            <v>葡萄糖酸锌口服液12支/盒</v>
          </cell>
        </row>
        <row r="1448">
          <cell r="E1448" t="str">
            <v>0020070001ZYZC0369</v>
          </cell>
          <cell r="H1448" t="str">
            <v>连锁27店</v>
          </cell>
          <cell r="J1448" t="str">
            <v>1859</v>
          </cell>
          <cell r="K1448" t="str">
            <v>201602151421097</v>
          </cell>
          <cell r="M1448" t="str">
            <v>哈药*钙铁锌口服液10ml*12支</v>
          </cell>
        </row>
        <row r="1449">
          <cell r="E1449" t="str">
            <v>0020020021ZYZC0341</v>
          </cell>
          <cell r="H1449" t="str">
            <v>连锁27店</v>
          </cell>
          <cell r="J1449" t="str">
            <v>1859</v>
          </cell>
          <cell r="K1449" t="str">
            <v>201602151421097</v>
          </cell>
          <cell r="M1449" t="str">
            <v>胜艾*阿莫西林克拉维酸钾分散片0.2285g*12pian</v>
          </cell>
        </row>
        <row r="1450">
          <cell r="E1450" t="str">
            <v>0020020021ZYZC0341</v>
          </cell>
          <cell r="H1450" t="str">
            <v>连锁27店</v>
          </cell>
          <cell r="J1450" t="str">
            <v>1859</v>
          </cell>
          <cell r="K1450" t="str">
            <v>201602151421097</v>
          </cell>
          <cell r="M1450" t="str">
            <v>胜艾*阿莫西林克拉维酸钾分散片0.2285g*12pian</v>
          </cell>
        </row>
        <row r="1451">
          <cell r="E1451" t="str">
            <v>0020070000ZYLC0001</v>
          </cell>
          <cell r="H1451" t="str">
            <v>滨16店</v>
          </cell>
          <cell r="J1451" t="str">
            <v>1853</v>
          </cell>
          <cell r="K1451" t="str">
            <v>201602151421097</v>
          </cell>
          <cell r="M1451" t="str">
            <v>高钙片36片</v>
          </cell>
        </row>
        <row r="1452">
          <cell r="E1452" t="str">
            <v>0020020030SJMS0024</v>
          </cell>
          <cell r="H1452" t="str">
            <v>滨16店</v>
          </cell>
          <cell r="J1452" t="str">
            <v>1853</v>
          </cell>
          <cell r="K1452" t="str">
            <v>201602151421097</v>
          </cell>
          <cell r="M1452" t="str">
            <v>人工牛黄甲硝唑胶囊20粒</v>
          </cell>
        </row>
        <row r="1453">
          <cell r="E1453" t="str">
            <v>0020040070ZYEC0005</v>
          </cell>
          <cell r="H1453" t="str">
            <v>滨17店</v>
          </cell>
          <cell r="J1453" t="str">
            <v>1853</v>
          </cell>
          <cell r="K1453" t="str">
            <v>201602151421097</v>
          </cell>
          <cell r="M1453" t="str">
            <v>小儿百部止咳糖浆100ml</v>
          </cell>
        </row>
        <row r="1454">
          <cell r="E1454" t="str">
            <v>0020020030SJMS0024</v>
          </cell>
          <cell r="H1454" t="str">
            <v>滨6店</v>
          </cell>
          <cell r="J1454" t="str">
            <v>1853</v>
          </cell>
          <cell r="K1454" t="str">
            <v>201602151421097</v>
          </cell>
          <cell r="M1454" t="str">
            <v>人工牛黄甲硝唑胶囊20粒</v>
          </cell>
        </row>
        <row r="1455">
          <cell r="E1455" t="str">
            <v>0020030032ZYZC0300</v>
          </cell>
          <cell r="H1455" t="str">
            <v>滨旗舰店</v>
          </cell>
          <cell r="J1455" t="str">
            <v>1853</v>
          </cell>
          <cell r="K1455" t="str">
            <v>201602151421097</v>
          </cell>
          <cell r="M1455" t="str">
            <v>维生素E软胶囊100mg*30粒</v>
          </cell>
        </row>
        <row r="1456">
          <cell r="E1456" t="str">
            <v>0020070000ZYLC0001</v>
          </cell>
          <cell r="H1456" t="str">
            <v>滨旗舰店</v>
          </cell>
          <cell r="J1456" t="str">
            <v>1853</v>
          </cell>
          <cell r="K1456" t="str">
            <v>201602151421097</v>
          </cell>
          <cell r="M1456" t="str">
            <v>高钙片36片</v>
          </cell>
        </row>
        <row r="1457">
          <cell r="E1457" t="str">
            <v>0020040220SHYT0004</v>
          </cell>
          <cell r="H1457" t="str">
            <v>滨旗舰店</v>
          </cell>
          <cell r="J1457" t="str">
            <v>1853</v>
          </cell>
          <cell r="K1457" t="str">
            <v>201602151421097</v>
          </cell>
          <cell r="M1457" t="str">
            <v>妇宁栓1.6g*8粒</v>
          </cell>
        </row>
        <row r="1458">
          <cell r="E1458" t="str">
            <v>0020030020SJSC0004</v>
          </cell>
          <cell r="H1458" t="str">
            <v>连锁40店</v>
          </cell>
          <cell r="J1458" t="str">
            <v>1859</v>
          </cell>
          <cell r="K1458" t="str">
            <v>201602151421097</v>
          </cell>
          <cell r="M1458" t="str">
            <v>胃必治*复方铝酸铋片50片</v>
          </cell>
        </row>
        <row r="1459">
          <cell r="E1459" t="str">
            <v>0020030001SJZY0009</v>
          </cell>
          <cell r="H1459" t="str">
            <v>连锁15店</v>
          </cell>
          <cell r="J1459" t="str">
            <v>1859</v>
          </cell>
          <cell r="K1459" t="str">
            <v>201602151421097</v>
          </cell>
          <cell r="M1459" t="str">
            <v>葡萄糖酸锌口服液12支/盒</v>
          </cell>
        </row>
        <row r="1460">
          <cell r="E1460" t="str">
            <v>0020030020SJSC0025</v>
          </cell>
          <cell r="H1460" t="str">
            <v>连锁12店</v>
          </cell>
          <cell r="J1460" t="str">
            <v>1859</v>
          </cell>
          <cell r="K1460" t="str">
            <v>201602151421097</v>
          </cell>
          <cell r="M1460" t="str">
            <v>复方氨酚烷胺片12片</v>
          </cell>
        </row>
        <row r="1461">
          <cell r="E1461" t="str">
            <v>0020030001SJZY0009</v>
          </cell>
          <cell r="H1461" t="str">
            <v>连锁12店</v>
          </cell>
          <cell r="J1461" t="str">
            <v>1859</v>
          </cell>
          <cell r="K1461" t="str">
            <v>201602151421097</v>
          </cell>
          <cell r="M1461" t="str">
            <v>葡萄糖酸锌口服液12支/盒</v>
          </cell>
        </row>
        <row r="1462">
          <cell r="E1462" t="str">
            <v>0020020030ZYZC0289</v>
          </cell>
          <cell r="H1462" t="str">
            <v>连锁3店</v>
          </cell>
          <cell r="J1462" t="str">
            <v>1859</v>
          </cell>
          <cell r="K1462" t="str">
            <v>201602151421097</v>
          </cell>
          <cell r="M1462" t="str">
            <v>阿莫西林胶囊0.5g*36粒</v>
          </cell>
        </row>
        <row r="1463">
          <cell r="E1463" t="str">
            <v>0020050090SJZY0001</v>
          </cell>
          <cell r="H1463" t="str">
            <v>连锁9店</v>
          </cell>
          <cell r="J1463" t="str">
            <v>1859</v>
          </cell>
          <cell r="K1463" t="str">
            <v>201602151421097</v>
          </cell>
          <cell r="M1463" t="str">
            <v>双黄连口服液10ml*10</v>
          </cell>
        </row>
        <row r="1464">
          <cell r="E1464" t="str">
            <v>0020030170ZYEC0003</v>
          </cell>
          <cell r="H1464" t="str">
            <v>连锁1店</v>
          </cell>
          <cell r="J1464" t="str">
            <v>1859</v>
          </cell>
          <cell r="K1464" t="str">
            <v>201602151421097</v>
          </cell>
          <cell r="M1464" t="str">
            <v>蒙脱石散*泻利停3克*12袋</v>
          </cell>
        </row>
        <row r="1465">
          <cell r="E1465" t="str">
            <v>0020070001ZYZC0369</v>
          </cell>
          <cell r="H1465" t="str">
            <v>连锁1店</v>
          </cell>
          <cell r="J1465" t="str">
            <v>1859</v>
          </cell>
          <cell r="K1465" t="str">
            <v>201602151421097</v>
          </cell>
          <cell r="M1465" t="str">
            <v>哈药*钙铁锌口服液10ml*12支</v>
          </cell>
        </row>
        <row r="1466">
          <cell r="E1466" t="str">
            <v>0020020030SJMS0024</v>
          </cell>
          <cell r="H1466" t="str">
            <v>连锁1店</v>
          </cell>
          <cell r="J1466" t="str">
            <v>1859</v>
          </cell>
          <cell r="K1466" t="str">
            <v>201602151421097</v>
          </cell>
          <cell r="M1466" t="str">
            <v>人工牛黄甲硝唑胶囊20粒</v>
          </cell>
        </row>
        <row r="1467">
          <cell r="E1467" t="str">
            <v>0020020030SJMS0024</v>
          </cell>
          <cell r="H1467" t="str">
            <v>连锁10店</v>
          </cell>
          <cell r="J1467" t="str">
            <v>1859</v>
          </cell>
          <cell r="K1467" t="str">
            <v>201602151421097</v>
          </cell>
          <cell r="M1467" t="str">
            <v>人工牛黄甲硝唑胶囊20粒</v>
          </cell>
        </row>
        <row r="1468">
          <cell r="E1468" t="str">
            <v>0020070000ZYLC0001</v>
          </cell>
          <cell r="H1468" t="str">
            <v>连锁47店</v>
          </cell>
          <cell r="J1468" t="str">
            <v>1859</v>
          </cell>
          <cell r="K1468" t="str">
            <v>201602151421097</v>
          </cell>
          <cell r="M1468" t="str">
            <v>高钙片36片</v>
          </cell>
        </row>
        <row r="1469">
          <cell r="E1469" t="str">
            <v>0020020030SJMS0024</v>
          </cell>
          <cell r="H1469" t="str">
            <v>连锁23店</v>
          </cell>
          <cell r="J1469" t="str">
            <v>1859</v>
          </cell>
          <cell r="K1469" t="str">
            <v>201602151421097</v>
          </cell>
          <cell r="M1469" t="str">
            <v>人工牛黄甲硝唑胶囊20粒</v>
          </cell>
        </row>
        <row r="1470">
          <cell r="E1470" t="str">
            <v>0020040001SHYT0018</v>
          </cell>
          <cell r="H1470" t="str">
            <v>连锁17店</v>
          </cell>
          <cell r="J1470" t="str">
            <v>1859</v>
          </cell>
          <cell r="K1470" t="str">
            <v>201602151421097</v>
          </cell>
          <cell r="M1470" t="str">
            <v>血府逐瘀丸9g*10丸</v>
          </cell>
        </row>
        <row r="1471">
          <cell r="E1471" t="str">
            <v>0020020021ZYZC0341</v>
          </cell>
          <cell r="H1471" t="str">
            <v>连锁21店</v>
          </cell>
          <cell r="J1471" t="str">
            <v>1859</v>
          </cell>
          <cell r="K1471" t="str">
            <v>201602151421097</v>
          </cell>
          <cell r="M1471" t="str">
            <v>胜艾*阿莫西林克拉维酸钾分散片0.2285g*12pian</v>
          </cell>
        </row>
        <row r="1472">
          <cell r="E1472" t="str">
            <v>0020040220SHYT0004</v>
          </cell>
          <cell r="H1472" t="str">
            <v>连锁21店</v>
          </cell>
          <cell r="J1472" t="str">
            <v>1859</v>
          </cell>
          <cell r="K1472" t="str">
            <v>201602151421097</v>
          </cell>
          <cell r="M1472" t="str">
            <v>妇宁栓1.6g*8粒</v>
          </cell>
        </row>
        <row r="1473">
          <cell r="E1473" t="str">
            <v>0020020021ZYLC0005</v>
          </cell>
          <cell r="H1473" t="str">
            <v>连锁21店</v>
          </cell>
          <cell r="J1473" t="str">
            <v>1859</v>
          </cell>
          <cell r="K1473" t="str">
            <v>201602151421097</v>
          </cell>
          <cell r="M1473" t="str">
            <v>罗红霉素分散片-小严迪12片/盒</v>
          </cell>
        </row>
        <row r="1474">
          <cell r="E1474" t="str">
            <v>0020030001SJZY0006</v>
          </cell>
          <cell r="H1474" t="str">
            <v>连锁21店</v>
          </cell>
          <cell r="J1474" t="str">
            <v>1859</v>
          </cell>
          <cell r="K1474" t="str">
            <v>201602151421097</v>
          </cell>
          <cell r="M1474" t="str">
            <v>葡萄糖酸钙口服液12支/盒</v>
          </cell>
        </row>
        <row r="1475">
          <cell r="E1475" t="str">
            <v>0020030001SJZY0009</v>
          </cell>
          <cell r="H1475" t="str">
            <v>连锁21店</v>
          </cell>
          <cell r="J1475" t="str">
            <v>1859</v>
          </cell>
          <cell r="K1475" t="str">
            <v>201602151421097</v>
          </cell>
          <cell r="M1475" t="str">
            <v>葡萄糖酸锌口服液12支/盒</v>
          </cell>
        </row>
        <row r="1476">
          <cell r="E1476" t="str">
            <v>0020020030ZYZC0289</v>
          </cell>
          <cell r="H1476" t="str">
            <v>连锁21店</v>
          </cell>
          <cell r="J1476" t="str">
            <v>1859</v>
          </cell>
          <cell r="K1476" t="str">
            <v>201602151421097</v>
          </cell>
          <cell r="M1476" t="str">
            <v>阿莫西林胶囊0.5g*36粒</v>
          </cell>
        </row>
        <row r="1477">
          <cell r="E1477" t="str">
            <v>0020020030SJMS0024</v>
          </cell>
          <cell r="H1477" t="str">
            <v>连锁21店</v>
          </cell>
          <cell r="J1477" t="str">
            <v>1859</v>
          </cell>
          <cell r="K1477" t="str">
            <v>201602151421097</v>
          </cell>
          <cell r="M1477" t="str">
            <v>人工牛黄甲硝唑胶囊20粒</v>
          </cell>
        </row>
        <row r="1478">
          <cell r="E1478" t="str">
            <v>0020070001ZYZC0369</v>
          </cell>
          <cell r="H1478" t="str">
            <v>连锁24店</v>
          </cell>
          <cell r="J1478" t="str">
            <v>1859</v>
          </cell>
          <cell r="K1478" t="str">
            <v>201602151421097</v>
          </cell>
          <cell r="M1478" t="str">
            <v>哈药*钙铁锌口服液10ml*12支</v>
          </cell>
        </row>
        <row r="1479">
          <cell r="E1479" t="str">
            <v>0020020021ZYZC0341</v>
          </cell>
          <cell r="H1479" t="str">
            <v>连锁14店</v>
          </cell>
          <cell r="J1479" t="str">
            <v>1859</v>
          </cell>
          <cell r="K1479" t="str">
            <v>201602151421097</v>
          </cell>
          <cell r="M1479" t="str">
            <v>胜艾*阿莫西林克拉维酸钾分散片0.2285g*12pian</v>
          </cell>
        </row>
        <row r="1480">
          <cell r="E1480" t="str">
            <v>0020040220SHYT0004</v>
          </cell>
          <cell r="H1480" t="str">
            <v>连锁33店</v>
          </cell>
          <cell r="J1480" t="str">
            <v>1859</v>
          </cell>
          <cell r="K1480" t="str">
            <v>201602151421097</v>
          </cell>
          <cell r="M1480" t="str">
            <v>妇宁栓1.6g*8粒</v>
          </cell>
        </row>
        <row r="1481">
          <cell r="E1481" t="str">
            <v>0020030001SJZY0006</v>
          </cell>
          <cell r="H1481" t="str">
            <v>连锁33店</v>
          </cell>
          <cell r="J1481" t="str">
            <v>1859</v>
          </cell>
          <cell r="K1481" t="str">
            <v>201602151421097</v>
          </cell>
          <cell r="M1481" t="str">
            <v>葡萄糖酸钙口服液12支/盒</v>
          </cell>
        </row>
        <row r="1482">
          <cell r="E1482" t="str">
            <v>0020030001SJZY0009</v>
          </cell>
          <cell r="H1482" t="str">
            <v>连锁33店</v>
          </cell>
          <cell r="J1482" t="str">
            <v>1859</v>
          </cell>
          <cell r="K1482" t="str">
            <v>201602151421097</v>
          </cell>
          <cell r="M1482" t="str">
            <v>葡萄糖酸锌口服液12支/盒</v>
          </cell>
        </row>
        <row r="1483">
          <cell r="E1483" t="str">
            <v>0020040001SHYT0018</v>
          </cell>
          <cell r="H1483" t="str">
            <v>连锁41店</v>
          </cell>
          <cell r="J1483" t="str">
            <v>1859</v>
          </cell>
          <cell r="K1483" t="str">
            <v>201602151421097</v>
          </cell>
          <cell r="M1483" t="str">
            <v>血府逐瘀丸9g*10丸</v>
          </cell>
        </row>
        <row r="1484">
          <cell r="E1484" t="str">
            <v>0020020030ZYZC0289</v>
          </cell>
          <cell r="H1484" t="str">
            <v>连锁18店</v>
          </cell>
          <cell r="J1484" t="str">
            <v>1859</v>
          </cell>
          <cell r="K1484" t="str">
            <v>201602151421097</v>
          </cell>
          <cell r="M1484" t="str">
            <v>阿莫西林胶囊0.5g*36粒</v>
          </cell>
        </row>
        <row r="1485">
          <cell r="E1485" t="str">
            <v>0020040070ZYEC0005</v>
          </cell>
          <cell r="H1485" t="str">
            <v>连锁6店</v>
          </cell>
          <cell r="J1485" t="str">
            <v>1859</v>
          </cell>
          <cell r="K1485" t="str">
            <v>201602151421097</v>
          </cell>
          <cell r="M1485" t="str">
            <v>小儿百部止咳糖浆100ml</v>
          </cell>
        </row>
        <row r="1486">
          <cell r="E1486" t="str">
            <v>0020020021ZYZC0341</v>
          </cell>
          <cell r="H1486" t="str">
            <v>连锁26店</v>
          </cell>
          <cell r="J1486" t="str">
            <v>1859</v>
          </cell>
          <cell r="K1486" t="str">
            <v>201602151421097</v>
          </cell>
          <cell r="M1486" t="str">
            <v>胜艾*阿莫西林克拉维酸钾分散片0.2285g*12pian</v>
          </cell>
        </row>
        <row r="1487">
          <cell r="E1487" t="str">
            <v>0020030020SJSC0004</v>
          </cell>
          <cell r="H1487" t="str">
            <v>连锁50店</v>
          </cell>
          <cell r="J1487" t="str">
            <v>1859</v>
          </cell>
          <cell r="K1487" t="str">
            <v>201602151421097</v>
          </cell>
          <cell r="M1487" t="str">
            <v>胃必治*复方铝酸铋片50片</v>
          </cell>
        </row>
        <row r="1488">
          <cell r="E1488" t="str">
            <v>0020020030ZYZC0289</v>
          </cell>
          <cell r="H1488" t="str">
            <v>连锁36店</v>
          </cell>
          <cell r="J1488" t="str">
            <v>1859</v>
          </cell>
          <cell r="K1488" t="str">
            <v>201602151421097</v>
          </cell>
          <cell r="M1488" t="str">
            <v>阿莫西林胶囊0.5g*36粒</v>
          </cell>
        </row>
        <row r="1489">
          <cell r="E1489" t="str">
            <v>0020070001ZYZC0369</v>
          </cell>
          <cell r="H1489" t="str">
            <v>连锁20店</v>
          </cell>
          <cell r="J1489" t="str">
            <v>1859</v>
          </cell>
          <cell r="K1489" t="str">
            <v>201602151421097</v>
          </cell>
          <cell r="M1489" t="str">
            <v>哈药*钙铁锌口服液10ml*12支</v>
          </cell>
        </row>
        <row r="1490">
          <cell r="E1490" t="str">
            <v>0020050090SJZY0001</v>
          </cell>
          <cell r="H1490" t="str">
            <v>连锁52店</v>
          </cell>
          <cell r="J1490" t="str">
            <v>1859</v>
          </cell>
          <cell r="K1490" t="str">
            <v>201602151421097</v>
          </cell>
          <cell r="M1490" t="str">
            <v>双黄连口服液10ml*10</v>
          </cell>
        </row>
        <row r="1491">
          <cell r="E1491" t="str">
            <v>0020070000ZYLC0001</v>
          </cell>
          <cell r="H1491" t="str">
            <v>连锁40店</v>
          </cell>
          <cell r="J1491" t="str">
            <v>1859</v>
          </cell>
          <cell r="K1491" t="str">
            <v>201602151421097</v>
          </cell>
          <cell r="M1491" t="str">
            <v>高钙片36片</v>
          </cell>
        </row>
        <row r="1492">
          <cell r="E1492" t="str">
            <v>0020020020ZYZC0358</v>
          </cell>
          <cell r="H1492" t="str">
            <v>连锁39店</v>
          </cell>
          <cell r="J1492" t="str">
            <v>1859</v>
          </cell>
          <cell r="K1492" t="str">
            <v>201602151421097</v>
          </cell>
          <cell r="M1492" t="str">
            <v>青霉素V钾片0.236g*12片</v>
          </cell>
        </row>
        <row r="1493">
          <cell r="E1493" t="str">
            <v>0020070001ZYZC0369</v>
          </cell>
          <cell r="H1493" t="str">
            <v>连锁15店</v>
          </cell>
          <cell r="J1493" t="str">
            <v>1859</v>
          </cell>
          <cell r="K1493" t="str">
            <v>201602151421097</v>
          </cell>
          <cell r="M1493" t="str">
            <v>哈药*钙铁锌口服液10ml*12支</v>
          </cell>
        </row>
        <row r="1494">
          <cell r="E1494" t="str">
            <v>0020020030ZYZC0289</v>
          </cell>
          <cell r="H1494" t="str">
            <v>连锁12店</v>
          </cell>
          <cell r="J1494" t="str">
            <v>1859</v>
          </cell>
          <cell r="K1494" t="str">
            <v>201602151421097</v>
          </cell>
          <cell r="M1494" t="str">
            <v>阿莫西林胶囊0.5g*36粒</v>
          </cell>
        </row>
        <row r="1495">
          <cell r="E1495" t="str">
            <v>0020070001ZYZC0369</v>
          </cell>
          <cell r="H1495" t="str">
            <v>连锁23店</v>
          </cell>
          <cell r="J1495" t="str">
            <v>1859</v>
          </cell>
          <cell r="K1495" t="str">
            <v>201602151421097</v>
          </cell>
          <cell r="M1495" t="str">
            <v>哈药*钙铁锌口服液10ml*12支</v>
          </cell>
        </row>
        <row r="1496">
          <cell r="E1496" t="str">
            <v>0020070000ZYLC0001</v>
          </cell>
          <cell r="H1496" t="str">
            <v>连锁37店</v>
          </cell>
          <cell r="J1496" t="str">
            <v>1859</v>
          </cell>
          <cell r="K1496" t="str">
            <v>201602151421097</v>
          </cell>
          <cell r="M1496" t="str">
            <v>高钙片36片</v>
          </cell>
        </row>
        <row r="1497">
          <cell r="E1497" t="str">
            <v>0020020020ZYLC0003</v>
          </cell>
          <cell r="H1497" t="str">
            <v>连锁37店</v>
          </cell>
          <cell r="J1497" t="str">
            <v>1859</v>
          </cell>
          <cell r="K1497" t="str">
            <v>201602151421097</v>
          </cell>
          <cell r="M1497" t="str">
            <v>泻利停*颠茄磺苄啶片12片</v>
          </cell>
        </row>
        <row r="1498">
          <cell r="E1498" t="str">
            <v>0020030001SJZY0009</v>
          </cell>
          <cell r="H1498" t="str">
            <v>连锁9店</v>
          </cell>
          <cell r="J1498" t="str">
            <v>1859</v>
          </cell>
          <cell r="K1498" t="str">
            <v>201602151421097</v>
          </cell>
          <cell r="M1498" t="str">
            <v>葡萄糖酸锌口服液12支/盒</v>
          </cell>
        </row>
        <row r="1499">
          <cell r="E1499" t="str">
            <v>0020030001SJZY0009</v>
          </cell>
          <cell r="H1499" t="str">
            <v>连锁7店</v>
          </cell>
          <cell r="J1499" t="str">
            <v>1859</v>
          </cell>
          <cell r="K1499" t="str">
            <v>201602151421097</v>
          </cell>
          <cell r="M1499" t="str">
            <v>葡萄糖酸锌口服液12支/盒</v>
          </cell>
        </row>
        <row r="1500">
          <cell r="E1500" t="str">
            <v>0020020030ZYZC0289</v>
          </cell>
          <cell r="H1500" t="str">
            <v>连锁32店</v>
          </cell>
          <cell r="J1500" t="str">
            <v>1859</v>
          </cell>
          <cell r="K1500" t="str">
            <v>201602151421097</v>
          </cell>
          <cell r="M1500" t="str">
            <v>阿莫西林胶囊0.5g*36粒</v>
          </cell>
        </row>
        <row r="1501">
          <cell r="E1501" t="str">
            <v>0020040220SHYT0004</v>
          </cell>
          <cell r="H1501" t="str">
            <v>连锁35店</v>
          </cell>
          <cell r="J1501" t="str">
            <v>1859</v>
          </cell>
          <cell r="K1501" t="str">
            <v>201602151421097</v>
          </cell>
          <cell r="M1501" t="str">
            <v>妇宁栓1.6g*8粒</v>
          </cell>
        </row>
        <row r="1502">
          <cell r="E1502" t="str">
            <v>0020070001ZYZC0369</v>
          </cell>
          <cell r="H1502" t="str">
            <v>连锁35店</v>
          </cell>
          <cell r="J1502" t="str">
            <v>1859</v>
          </cell>
          <cell r="K1502" t="str">
            <v>201602151421097</v>
          </cell>
          <cell r="M1502" t="str">
            <v>哈药*钙铁锌口服液10ml*12支</v>
          </cell>
        </row>
        <row r="1503">
          <cell r="E1503" t="str">
            <v>0020020021ZYZC0341</v>
          </cell>
          <cell r="H1503" t="str">
            <v>连锁17店</v>
          </cell>
          <cell r="J1503" t="str">
            <v>1859</v>
          </cell>
          <cell r="K1503" t="str">
            <v>201602151421097</v>
          </cell>
          <cell r="M1503" t="str">
            <v>胜艾*阿莫西林克拉维酸钾分散片0.2285g*12pian</v>
          </cell>
        </row>
        <row r="1504">
          <cell r="E1504" t="str">
            <v>0020020021ZYLC0004</v>
          </cell>
          <cell r="H1504" t="str">
            <v>连锁14店</v>
          </cell>
          <cell r="J1504" t="str">
            <v>1859</v>
          </cell>
          <cell r="K1504" t="str">
            <v>201602151421097</v>
          </cell>
          <cell r="M1504" t="str">
            <v>严迪*罗红霉素分散片75mg*12</v>
          </cell>
        </row>
        <row r="1505">
          <cell r="E1505" t="str">
            <v>0020030001SJZY0006</v>
          </cell>
          <cell r="H1505" t="str">
            <v>滨3店</v>
          </cell>
          <cell r="J1505" t="str">
            <v>1853</v>
          </cell>
          <cell r="K1505" t="str">
            <v>201602151421097</v>
          </cell>
          <cell r="M1505" t="str">
            <v>葡萄糖酸钙口服液12支/盒</v>
          </cell>
        </row>
        <row r="1506">
          <cell r="E1506" t="str">
            <v>0020030020SJSC0004</v>
          </cell>
          <cell r="H1506" t="str">
            <v>滨3店</v>
          </cell>
          <cell r="J1506" t="str">
            <v>1853</v>
          </cell>
          <cell r="K1506" t="str">
            <v>201602151421097</v>
          </cell>
          <cell r="M1506" t="str">
            <v>胃必治*复方铝酸铋片50片</v>
          </cell>
        </row>
        <row r="1507">
          <cell r="E1507" t="str">
            <v>0020030001SJZY0006</v>
          </cell>
          <cell r="H1507" t="str">
            <v>连锁6店</v>
          </cell>
          <cell r="J1507" t="str">
            <v>1859</v>
          </cell>
          <cell r="K1507" t="str">
            <v>201602151421097</v>
          </cell>
          <cell r="M1507" t="str">
            <v>葡萄糖酸钙口服液12支/盒</v>
          </cell>
        </row>
        <row r="1508">
          <cell r="E1508" t="str">
            <v>0020030020SJSC0004</v>
          </cell>
          <cell r="H1508" t="str">
            <v>连锁6店</v>
          </cell>
          <cell r="J1508" t="str">
            <v>1859</v>
          </cell>
          <cell r="K1508" t="str">
            <v>201602151421097</v>
          </cell>
          <cell r="M1508" t="str">
            <v>胃必治*复方铝酸铋片50片</v>
          </cell>
        </row>
        <row r="1509">
          <cell r="E1509" t="str">
            <v>0020030020ZYZC0360</v>
          </cell>
          <cell r="H1509" t="str">
            <v>连锁6店</v>
          </cell>
          <cell r="J1509" t="str">
            <v>1859</v>
          </cell>
          <cell r="K1509" t="str">
            <v>201602151421097</v>
          </cell>
          <cell r="M1509" t="str">
            <v>维生素c咀嚼片0.1g*30片</v>
          </cell>
        </row>
        <row r="1510">
          <cell r="E1510" t="str">
            <v>0020070001ZYZC0369</v>
          </cell>
          <cell r="H1510" t="str">
            <v>连锁6店</v>
          </cell>
          <cell r="J1510" t="str">
            <v>1859</v>
          </cell>
          <cell r="K1510" t="str">
            <v>201602151421097</v>
          </cell>
          <cell r="M1510" t="str">
            <v>哈药*钙铁锌口服液10ml*12支</v>
          </cell>
        </row>
        <row r="1511">
          <cell r="E1511" t="str">
            <v>0020030001SJZY0006</v>
          </cell>
          <cell r="H1511" t="str">
            <v>连锁26店</v>
          </cell>
          <cell r="J1511" t="str">
            <v>1859</v>
          </cell>
          <cell r="K1511" t="str">
            <v>201602151421097</v>
          </cell>
          <cell r="M1511" t="str">
            <v>葡萄糖酸钙口服液12支/盒</v>
          </cell>
        </row>
        <row r="1512">
          <cell r="E1512" t="str">
            <v>0020030001SJZY0009</v>
          </cell>
          <cell r="H1512" t="str">
            <v>连锁26店</v>
          </cell>
          <cell r="J1512" t="str">
            <v>1859</v>
          </cell>
          <cell r="K1512" t="str">
            <v>201602151421097</v>
          </cell>
          <cell r="M1512" t="str">
            <v>葡萄糖酸锌口服液12支/盒</v>
          </cell>
        </row>
        <row r="1513">
          <cell r="E1513" t="str">
            <v>0020020021ZYLC0004</v>
          </cell>
          <cell r="H1513" t="str">
            <v>连锁26店</v>
          </cell>
          <cell r="J1513" t="str">
            <v>1859</v>
          </cell>
          <cell r="K1513" t="str">
            <v>201602151421097</v>
          </cell>
          <cell r="M1513" t="str">
            <v>严迪*罗红霉素分散片75mg*12</v>
          </cell>
        </row>
        <row r="1514">
          <cell r="E1514" t="str">
            <v>0020020030ZYZC0289</v>
          </cell>
          <cell r="H1514" t="str">
            <v>连锁26店</v>
          </cell>
          <cell r="J1514" t="str">
            <v>1859</v>
          </cell>
          <cell r="K1514" t="str">
            <v>201602151421097</v>
          </cell>
          <cell r="M1514" t="str">
            <v>阿莫西林胶囊0.5g*36粒</v>
          </cell>
        </row>
        <row r="1515">
          <cell r="E1515" t="str">
            <v>0020070001ZYZC0369</v>
          </cell>
          <cell r="H1515" t="str">
            <v>连锁26店</v>
          </cell>
          <cell r="J1515" t="str">
            <v>1859</v>
          </cell>
          <cell r="K1515" t="str">
            <v>201602151421097</v>
          </cell>
          <cell r="M1515" t="str">
            <v>哈药*钙铁锌口服液10ml*12支</v>
          </cell>
        </row>
        <row r="1516">
          <cell r="E1516" t="str">
            <v>0020020030ZYZC0289</v>
          </cell>
          <cell r="H1516" t="str">
            <v>滨旗舰店</v>
          </cell>
          <cell r="J1516" t="str">
            <v>1853</v>
          </cell>
          <cell r="K1516" t="str">
            <v>201602151421097</v>
          </cell>
          <cell r="M1516" t="str">
            <v>阿莫西林胶囊0.5g*36粒</v>
          </cell>
        </row>
        <row r="1517">
          <cell r="E1517" t="str">
            <v>0020030020ZYZC0360</v>
          </cell>
          <cell r="H1517" t="str">
            <v>滨旗舰店</v>
          </cell>
          <cell r="J1517" t="str">
            <v>1853</v>
          </cell>
          <cell r="K1517" t="str">
            <v>201602151421097</v>
          </cell>
          <cell r="M1517" t="str">
            <v>维生素c咀嚼片0.1g*30片</v>
          </cell>
        </row>
        <row r="1518">
          <cell r="E1518" t="str">
            <v>0020040001SHYT0018</v>
          </cell>
          <cell r="H1518" t="str">
            <v>滨旗舰店</v>
          </cell>
          <cell r="J1518" t="str">
            <v>1853</v>
          </cell>
          <cell r="K1518" t="str">
            <v>201602151421097</v>
          </cell>
          <cell r="M1518" t="str">
            <v>血府逐瘀丸9g*10丸</v>
          </cell>
        </row>
        <row r="1519">
          <cell r="E1519" t="str">
            <v>0020070001ZYZC0369</v>
          </cell>
          <cell r="H1519" t="str">
            <v>连锁38店</v>
          </cell>
          <cell r="J1519" t="str">
            <v>1859</v>
          </cell>
          <cell r="K1519" t="str">
            <v>201602151421097</v>
          </cell>
          <cell r="M1519" t="str">
            <v>哈药*钙铁锌口服液10ml*12支</v>
          </cell>
        </row>
        <row r="1520">
          <cell r="E1520" t="str">
            <v>0020040220SHYT0004</v>
          </cell>
          <cell r="H1520" t="str">
            <v>连锁19店</v>
          </cell>
          <cell r="J1520" t="str">
            <v>1859</v>
          </cell>
          <cell r="K1520" t="str">
            <v>201602151421097</v>
          </cell>
          <cell r="M1520" t="str">
            <v>妇宁栓1.6g*8粒</v>
          </cell>
        </row>
        <row r="1521">
          <cell r="E1521" t="str">
            <v>0020030020SJSC0025</v>
          </cell>
          <cell r="H1521" t="str">
            <v>连锁13店</v>
          </cell>
          <cell r="J1521" t="str">
            <v>1859</v>
          </cell>
          <cell r="K1521" t="str">
            <v>201602151421097</v>
          </cell>
          <cell r="M1521" t="str">
            <v>复方氨酚烷胺片12片</v>
          </cell>
        </row>
        <row r="1522">
          <cell r="E1522" t="str">
            <v>0020070001ZYZC0369</v>
          </cell>
          <cell r="H1522" t="str">
            <v>连锁25店</v>
          </cell>
          <cell r="J1522" t="str">
            <v>1859</v>
          </cell>
          <cell r="K1522" t="str">
            <v>201602151421097</v>
          </cell>
          <cell r="M1522" t="str">
            <v>哈药*钙铁锌口服液10ml*12支</v>
          </cell>
        </row>
        <row r="1523">
          <cell r="E1523" t="str">
            <v>0020020030ZYZC0289</v>
          </cell>
          <cell r="H1523" t="str">
            <v>连锁29店</v>
          </cell>
          <cell r="J1523" t="str">
            <v>1859</v>
          </cell>
          <cell r="K1523" t="str">
            <v>201602151421097</v>
          </cell>
          <cell r="M1523" t="str">
            <v>阿莫西林胶囊0.5g*36粒</v>
          </cell>
        </row>
        <row r="1524">
          <cell r="E1524" t="str">
            <v>0020020021ZYZC0341</v>
          </cell>
          <cell r="H1524" t="str">
            <v>连锁19店</v>
          </cell>
          <cell r="J1524" t="str">
            <v>1859</v>
          </cell>
          <cell r="K1524" t="str">
            <v>201602151421097</v>
          </cell>
          <cell r="M1524" t="str">
            <v>胜艾*阿莫西林克拉维酸钾分散片0.2285g*12pian</v>
          </cell>
        </row>
        <row r="1525">
          <cell r="E1525" t="str">
            <v>0020030001SJZY0009</v>
          </cell>
          <cell r="H1525" t="str">
            <v>连锁19店</v>
          </cell>
          <cell r="J1525" t="str">
            <v>1859</v>
          </cell>
          <cell r="K1525" t="str">
            <v>201602151421097</v>
          </cell>
          <cell r="M1525" t="str">
            <v>葡萄糖酸锌口服液12支/盒</v>
          </cell>
        </row>
        <row r="1526">
          <cell r="E1526" t="str">
            <v>0020030020SJSC0004</v>
          </cell>
          <cell r="H1526" t="str">
            <v>中心店</v>
          </cell>
          <cell r="J1526" t="str">
            <v>1859</v>
          </cell>
          <cell r="K1526" t="str">
            <v>201602151421097</v>
          </cell>
          <cell r="M1526" t="str">
            <v>胃必治*复方铝酸铋片50片</v>
          </cell>
        </row>
        <row r="1527">
          <cell r="E1527" t="str">
            <v>0020040001SHYT0018</v>
          </cell>
          <cell r="H1527" t="str">
            <v>连锁28店</v>
          </cell>
          <cell r="J1527" t="str">
            <v>1859</v>
          </cell>
          <cell r="K1527" t="str">
            <v>201602151421097</v>
          </cell>
          <cell r="M1527" t="str">
            <v>血府逐瘀丸9g*10丸</v>
          </cell>
        </row>
        <row r="1528">
          <cell r="E1528" t="str">
            <v>0020020020ZYLC0010</v>
          </cell>
          <cell r="H1528" t="str">
            <v>连锁28店</v>
          </cell>
          <cell r="J1528" t="str">
            <v>1859</v>
          </cell>
          <cell r="K1528" t="str">
            <v>201602151421097</v>
          </cell>
          <cell r="M1528" t="str">
            <v>泻利停*颠茄磺苄啶片10片</v>
          </cell>
        </row>
        <row r="1529">
          <cell r="E1529" t="str">
            <v>0020070001ZYZC0369</v>
          </cell>
          <cell r="H1529" t="str">
            <v>连锁4店</v>
          </cell>
          <cell r="J1529" t="str">
            <v>1859</v>
          </cell>
          <cell r="K1529" t="str">
            <v>201602151421097</v>
          </cell>
          <cell r="M1529" t="str">
            <v>哈药*钙铁锌口服液10ml*12支</v>
          </cell>
        </row>
        <row r="1530">
          <cell r="E1530" t="str">
            <v>0020030020SJSC0025</v>
          </cell>
          <cell r="H1530" t="str">
            <v>连锁27店</v>
          </cell>
          <cell r="J1530" t="str">
            <v>1859</v>
          </cell>
          <cell r="K1530" t="str">
            <v>201602151421097</v>
          </cell>
          <cell r="M1530" t="str">
            <v>复方氨酚烷胺片12片</v>
          </cell>
        </row>
        <row r="1531">
          <cell r="E1531" t="str">
            <v>0020020020ZYLC0003</v>
          </cell>
          <cell r="H1531" t="str">
            <v>连锁27店</v>
          </cell>
          <cell r="J1531" t="str">
            <v>1859</v>
          </cell>
          <cell r="K1531" t="str">
            <v>201602151421097</v>
          </cell>
          <cell r="M1531" t="str">
            <v>泻利停*颠茄磺苄啶片12片</v>
          </cell>
        </row>
        <row r="1532">
          <cell r="E1532" t="str">
            <v>0020040070ZYEC0005</v>
          </cell>
          <cell r="H1532" t="str">
            <v>连锁16店</v>
          </cell>
          <cell r="J1532" t="str">
            <v>1859</v>
          </cell>
          <cell r="K1532" t="str">
            <v>201602151421097</v>
          </cell>
          <cell r="M1532" t="str">
            <v>小儿百部止咳糖浆100ml</v>
          </cell>
        </row>
        <row r="1533">
          <cell r="E1533" t="str">
            <v>0020020021ZYLC0004</v>
          </cell>
          <cell r="H1533" t="str">
            <v>连锁12店</v>
          </cell>
          <cell r="J1533" t="str">
            <v>1859</v>
          </cell>
          <cell r="K1533" t="str">
            <v>201602151421097</v>
          </cell>
          <cell r="M1533" t="str">
            <v>严迪*罗红霉素分散片75mg*12</v>
          </cell>
        </row>
        <row r="1534">
          <cell r="E1534" t="str">
            <v>0020020030ZYZC0289</v>
          </cell>
          <cell r="H1534" t="str">
            <v>连锁37店</v>
          </cell>
          <cell r="J1534" t="str">
            <v>1859</v>
          </cell>
          <cell r="K1534" t="str">
            <v>201602151421097</v>
          </cell>
          <cell r="M1534" t="str">
            <v>阿莫西林胶囊0.5g*36粒</v>
          </cell>
        </row>
        <row r="1535">
          <cell r="E1535" t="str">
            <v>0020040001SHYT0018</v>
          </cell>
          <cell r="H1535" t="str">
            <v>连锁3店</v>
          </cell>
          <cell r="J1535" t="str">
            <v>1859</v>
          </cell>
          <cell r="K1535" t="str">
            <v>201602151421097</v>
          </cell>
          <cell r="M1535" t="str">
            <v>血府逐瘀丸9g*10丸</v>
          </cell>
        </row>
        <row r="1536">
          <cell r="E1536" t="str">
            <v>0020040001SHYT0018</v>
          </cell>
          <cell r="H1536" t="str">
            <v>连锁1店</v>
          </cell>
          <cell r="J1536" t="str">
            <v>1859</v>
          </cell>
          <cell r="K1536" t="str">
            <v>201602151421097</v>
          </cell>
          <cell r="M1536" t="str">
            <v>血府逐瘀丸9g*10丸</v>
          </cell>
        </row>
        <row r="1537">
          <cell r="E1537" t="str">
            <v>0020020030ZYZC0289</v>
          </cell>
          <cell r="H1537" t="str">
            <v>连锁1店</v>
          </cell>
          <cell r="J1537" t="str">
            <v>1859</v>
          </cell>
          <cell r="K1537" t="str">
            <v>201602151421097</v>
          </cell>
          <cell r="M1537" t="str">
            <v>阿莫西林胶囊0.5g*36粒</v>
          </cell>
        </row>
        <row r="1538">
          <cell r="E1538" t="str">
            <v>0020030040ZYLC0001</v>
          </cell>
          <cell r="H1538" t="str">
            <v>连锁47店</v>
          </cell>
          <cell r="J1538" t="str">
            <v>1859</v>
          </cell>
          <cell r="K1538" t="str">
            <v>201602151421097</v>
          </cell>
          <cell r="M1538" t="str">
            <v>护彤*小儿氨酚黄那敏颗粒12袋</v>
          </cell>
        </row>
        <row r="1539">
          <cell r="E1539" t="str">
            <v>0020050090SJZY0001</v>
          </cell>
          <cell r="H1539" t="str">
            <v>连锁47店</v>
          </cell>
          <cell r="J1539" t="str">
            <v>1859</v>
          </cell>
          <cell r="K1539" t="str">
            <v>201602151421097</v>
          </cell>
          <cell r="M1539" t="str">
            <v>双黄连口服液10ml*10</v>
          </cell>
        </row>
        <row r="1540">
          <cell r="E1540" t="str">
            <v>0020020030ZYZC0289</v>
          </cell>
          <cell r="H1540" t="str">
            <v>连锁47店</v>
          </cell>
          <cell r="J1540" t="str">
            <v>1859</v>
          </cell>
          <cell r="K1540" t="str">
            <v>201602151421097</v>
          </cell>
          <cell r="M1540" t="str">
            <v>阿莫西林胶囊0.5g*36粒</v>
          </cell>
        </row>
        <row r="1541">
          <cell r="E1541" t="str">
            <v>0020030020SJSC0004</v>
          </cell>
          <cell r="H1541" t="str">
            <v>连锁23店</v>
          </cell>
          <cell r="J1541" t="str">
            <v>1859</v>
          </cell>
          <cell r="K1541" t="str">
            <v>201602151421097</v>
          </cell>
          <cell r="M1541" t="str">
            <v>胃必治*复方铝酸铋片50片</v>
          </cell>
        </row>
        <row r="1542">
          <cell r="E1542" t="str">
            <v>0020040070ZYEC0005</v>
          </cell>
          <cell r="H1542" t="str">
            <v>连锁7店</v>
          </cell>
          <cell r="J1542" t="str">
            <v>1859</v>
          </cell>
          <cell r="K1542" t="str">
            <v>201602151421097</v>
          </cell>
          <cell r="M1542" t="str">
            <v>小儿百部止咳糖浆100ml</v>
          </cell>
        </row>
        <row r="1543">
          <cell r="E1543" t="str">
            <v>0020020021ZYZC0341</v>
          </cell>
          <cell r="H1543" t="str">
            <v>连锁7店</v>
          </cell>
          <cell r="J1543" t="str">
            <v>1859</v>
          </cell>
          <cell r="K1543" t="str">
            <v>201602151421097</v>
          </cell>
          <cell r="M1543" t="str">
            <v>胜艾*阿莫西林克拉维酸钾分散片0.2285g*12pian</v>
          </cell>
        </row>
        <row r="1544">
          <cell r="E1544" t="str">
            <v>0020040070ZYEC0005</v>
          </cell>
          <cell r="H1544" t="str">
            <v>连锁21店</v>
          </cell>
          <cell r="J1544" t="str">
            <v>1859</v>
          </cell>
          <cell r="K1544" t="str">
            <v>201602151421097</v>
          </cell>
          <cell r="M1544" t="str">
            <v>小儿百部止咳糖浆100ml</v>
          </cell>
        </row>
        <row r="1545">
          <cell r="E1545" t="str">
            <v>0020030001SJZY0006</v>
          </cell>
          <cell r="H1545" t="str">
            <v>连锁40店</v>
          </cell>
          <cell r="J1545" t="str">
            <v>1859</v>
          </cell>
          <cell r="K1545" t="str">
            <v>201602151421097</v>
          </cell>
          <cell r="M1545" t="str">
            <v>葡萄糖酸钙口服液12支/盒</v>
          </cell>
        </row>
        <row r="1546">
          <cell r="E1546" t="str">
            <v>0020030001SJZY0009</v>
          </cell>
          <cell r="H1546" t="str">
            <v>连锁40店</v>
          </cell>
          <cell r="J1546" t="str">
            <v>1859</v>
          </cell>
          <cell r="K1546" t="str">
            <v>201602151421097</v>
          </cell>
          <cell r="M1546" t="str">
            <v>葡萄糖酸锌口服液12支/盒</v>
          </cell>
        </row>
        <row r="1547">
          <cell r="E1547" t="str">
            <v>0020020030ZYZC0289</v>
          </cell>
          <cell r="H1547" t="str">
            <v>连锁40店</v>
          </cell>
          <cell r="J1547" t="str">
            <v>1859</v>
          </cell>
          <cell r="K1547" t="str">
            <v>201602151421097</v>
          </cell>
          <cell r="M1547" t="str">
            <v>阿莫西林胶囊0.5g*36粒</v>
          </cell>
        </row>
        <row r="1548">
          <cell r="E1548" t="str">
            <v>0020070001ZYZC0369</v>
          </cell>
          <cell r="H1548" t="str">
            <v>连锁14店</v>
          </cell>
          <cell r="J1548" t="str">
            <v>1859</v>
          </cell>
          <cell r="K1548" t="str">
            <v>201602151421097</v>
          </cell>
          <cell r="M1548" t="str">
            <v>哈药*钙铁锌口服液10ml*12支</v>
          </cell>
        </row>
        <row r="1549">
          <cell r="E1549" t="str">
            <v>0020030020SJSC0025</v>
          </cell>
          <cell r="H1549" t="str">
            <v>连锁19店</v>
          </cell>
          <cell r="J1549" t="str">
            <v>1859</v>
          </cell>
          <cell r="K1549" t="str">
            <v>201602151421097</v>
          </cell>
          <cell r="M1549" t="str">
            <v>复方氨酚烷胺片12片</v>
          </cell>
        </row>
        <row r="1550">
          <cell r="E1550" t="str">
            <v>0020070000ZYLC0052</v>
          </cell>
          <cell r="H1550" t="str">
            <v>连锁19店</v>
          </cell>
          <cell r="J1550" t="str">
            <v>1859</v>
          </cell>
          <cell r="K1550" t="str">
            <v>201602151421097</v>
          </cell>
          <cell r="M1550" t="str">
            <v>钙加锌口服液10ml*12支</v>
          </cell>
        </row>
        <row r="1551">
          <cell r="E1551" t="str">
            <v>0020030040ZYLC0001</v>
          </cell>
          <cell r="H1551" t="str">
            <v>连锁19店</v>
          </cell>
          <cell r="J1551" t="str">
            <v>1859</v>
          </cell>
          <cell r="K1551" t="str">
            <v>201602151421097</v>
          </cell>
          <cell r="M1551" t="str">
            <v>护彤*小儿氨酚黄那敏颗粒12袋</v>
          </cell>
        </row>
        <row r="1552">
          <cell r="E1552" t="str">
            <v>0020020021ZYLC0005</v>
          </cell>
          <cell r="H1552" t="str">
            <v>连锁19店</v>
          </cell>
          <cell r="J1552" t="str">
            <v>1859</v>
          </cell>
          <cell r="K1552" t="str">
            <v>201602151421097</v>
          </cell>
          <cell r="M1552" t="str">
            <v>罗红霉素分散片-小严迪12片/盒</v>
          </cell>
        </row>
        <row r="1553">
          <cell r="E1553" t="str">
            <v>0020030020ZYZC0360</v>
          </cell>
          <cell r="H1553" t="str">
            <v>连锁19店</v>
          </cell>
          <cell r="J1553" t="str">
            <v>1859</v>
          </cell>
          <cell r="K1553" t="str">
            <v>201602151421097</v>
          </cell>
          <cell r="M1553" t="str">
            <v>维生素c咀嚼片0.1g*30片</v>
          </cell>
        </row>
        <row r="1554">
          <cell r="E1554" t="str">
            <v>0020030032ZYZC0300</v>
          </cell>
          <cell r="H1554" t="str">
            <v>连锁19店</v>
          </cell>
          <cell r="J1554" t="str">
            <v>1859</v>
          </cell>
          <cell r="K1554" t="str">
            <v>201602151421097</v>
          </cell>
          <cell r="M1554" t="str">
            <v>维生素E软胶囊100mg*30粒</v>
          </cell>
        </row>
        <row r="1555">
          <cell r="E1555" t="str">
            <v>0020040070ZYEC0005</v>
          </cell>
          <cell r="H1555" t="str">
            <v>连锁19店</v>
          </cell>
          <cell r="J1555" t="str">
            <v>1859</v>
          </cell>
          <cell r="K1555" t="str">
            <v>201602151421097</v>
          </cell>
          <cell r="M1555" t="str">
            <v>小儿百部止咳糖浆100ml</v>
          </cell>
        </row>
        <row r="1556">
          <cell r="E1556" t="str">
            <v>0020040001SHYT0018</v>
          </cell>
          <cell r="H1556" t="str">
            <v>连锁19店</v>
          </cell>
          <cell r="J1556" t="str">
            <v>1859</v>
          </cell>
          <cell r="K1556" t="str">
            <v>201602151421097</v>
          </cell>
          <cell r="M1556" t="str">
            <v>血府逐瘀丸9g*10丸</v>
          </cell>
        </row>
        <row r="1557">
          <cell r="E1557" t="str">
            <v>0020020020ZYLC0010</v>
          </cell>
          <cell r="H1557" t="str">
            <v>连锁19店</v>
          </cell>
          <cell r="J1557" t="str">
            <v>1859</v>
          </cell>
          <cell r="K1557" t="str">
            <v>201602151421097</v>
          </cell>
          <cell r="M1557" t="str">
            <v>泻利停*颠茄磺苄啶片10片</v>
          </cell>
        </row>
        <row r="1558">
          <cell r="E1558" t="str">
            <v>0020020020ZYLC0003</v>
          </cell>
          <cell r="H1558" t="str">
            <v>连锁19店</v>
          </cell>
          <cell r="J1558" t="str">
            <v>1859</v>
          </cell>
          <cell r="K1558" t="str">
            <v>201602151421097</v>
          </cell>
          <cell r="M1558" t="str">
            <v>泻利停*颠茄磺苄啶片12片</v>
          </cell>
        </row>
        <row r="1559">
          <cell r="E1559" t="str">
            <v>0020050020SHYT0016</v>
          </cell>
          <cell r="H1559" t="str">
            <v>连锁19店</v>
          </cell>
          <cell r="J1559" t="str">
            <v>1859</v>
          </cell>
          <cell r="K1559" t="str">
            <v>201602151421097</v>
          </cell>
          <cell r="M1559" t="str">
            <v>复方金银花颗粒10g*10袋</v>
          </cell>
        </row>
        <row r="1560">
          <cell r="E1560" t="str">
            <v>0020070001ZYZC0369</v>
          </cell>
          <cell r="H1560" t="str">
            <v>连锁13店</v>
          </cell>
          <cell r="J1560" t="str">
            <v>1859</v>
          </cell>
          <cell r="K1560" t="str">
            <v>201602151421097</v>
          </cell>
          <cell r="M1560" t="str">
            <v>哈药*钙铁锌口服液10ml*12支</v>
          </cell>
        </row>
        <row r="1561">
          <cell r="E1561" t="str">
            <v>0020050090SJZY0001</v>
          </cell>
          <cell r="H1561" t="str">
            <v>连锁22店</v>
          </cell>
          <cell r="J1561" t="str">
            <v>1859</v>
          </cell>
          <cell r="K1561" t="str">
            <v>201602151421097</v>
          </cell>
          <cell r="M1561" t="str">
            <v>双黄连口服液10ml*10</v>
          </cell>
        </row>
        <row r="1562">
          <cell r="E1562" t="str">
            <v>0020070000ZYLC0052</v>
          </cell>
          <cell r="H1562" t="str">
            <v>连锁11店</v>
          </cell>
          <cell r="J1562" t="str">
            <v>1859</v>
          </cell>
          <cell r="K1562" t="str">
            <v>201602151421097</v>
          </cell>
          <cell r="M1562" t="str">
            <v>钙加锌口服液10ml*12支</v>
          </cell>
        </row>
        <row r="1563">
          <cell r="E1563" t="str">
            <v>0020030020SJSC0025</v>
          </cell>
          <cell r="H1563" t="str">
            <v>连锁6店</v>
          </cell>
          <cell r="J1563" t="str">
            <v>1859</v>
          </cell>
          <cell r="K1563" t="str">
            <v>201602151421097</v>
          </cell>
          <cell r="M1563" t="str">
            <v>复方氨酚烷胺片12片</v>
          </cell>
        </row>
        <row r="1564">
          <cell r="E1564" t="str">
            <v>0020050020SHYT0016</v>
          </cell>
          <cell r="H1564" t="str">
            <v>连锁6店</v>
          </cell>
          <cell r="J1564" t="str">
            <v>1859</v>
          </cell>
          <cell r="K1564" t="str">
            <v>201602151421097</v>
          </cell>
          <cell r="M1564" t="str">
            <v>复方金银花颗粒10g*10袋</v>
          </cell>
        </row>
        <row r="1565">
          <cell r="E1565" t="str">
            <v>0020040030SJSC0009</v>
          </cell>
          <cell r="H1565" t="str">
            <v>连锁29店</v>
          </cell>
          <cell r="J1565" t="str">
            <v>1859</v>
          </cell>
          <cell r="K1565" t="str">
            <v>201602151421097</v>
          </cell>
          <cell r="M1565" t="str">
            <v>护肝片0.36g*100片</v>
          </cell>
        </row>
        <row r="1566">
          <cell r="E1566" t="str">
            <v>0020030001SJZY0006</v>
          </cell>
          <cell r="H1566" t="str">
            <v>连锁39店</v>
          </cell>
          <cell r="J1566" t="str">
            <v>1859</v>
          </cell>
          <cell r="K1566" t="str">
            <v>201602151421097</v>
          </cell>
          <cell r="M1566" t="str">
            <v>葡萄糖酸钙口服液12支/盒</v>
          </cell>
        </row>
        <row r="1567">
          <cell r="E1567" t="str">
            <v>0020070001ZYZC0369</v>
          </cell>
          <cell r="H1567" t="str">
            <v>连锁49店</v>
          </cell>
          <cell r="J1567" t="str">
            <v>1859</v>
          </cell>
          <cell r="K1567" t="str">
            <v>201602151421097</v>
          </cell>
          <cell r="M1567" t="str">
            <v>哈药*钙铁锌口服液10ml*12支</v>
          </cell>
        </row>
        <row r="1568">
          <cell r="E1568" t="str">
            <v>0020030020SJSC0004</v>
          </cell>
          <cell r="H1568" t="str">
            <v>连锁38店</v>
          </cell>
          <cell r="J1568" t="str">
            <v>1859</v>
          </cell>
          <cell r="K1568" t="str">
            <v>201602151421097</v>
          </cell>
          <cell r="M1568" t="str">
            <v>胃必治*复方铝酸铋片50片</v>
          </cell>
        </row>
        <row r="1569">
          <cell r="E1569" t="str">
            <v>0020040220SHYT0004</v>
          </cell>
          <cell r="H1569" t="str">
            <v>连锁28店</v>
          </cell>
          <cell r="J1569" t="str">
            <v>1859</v>
          </cell>
          <cell r="K1569" t="str">
            <v>201602151421097</v>
          </cell>
          <cell r="M1569" t="str">
            <v>妇宁栓1.6g*8粒</v>
          </cell>
        </row>
        <row r="1570">
          <cell r="E1570" t="str">
            <v>0020070000ZYLC0001</v>
          </cell>
          <cell r="H1570" t="str">
            <v>连锁28店</v>
          </cell>
          <cell r="J1570" t="str">
            <v>1859</v>
          </cell>
          <cell r="K1570" t="str">
            <v>201602151421097</v>
          </cell>
          <cell r="M1570" t="str">
            <v>高钙片36片</v>
          </cell>
        </row>
        <row r="1571">
          <cell r="E1571" t="str">
            <v>0020020021ZYLC0004</v>
          </cell>
          <cell r="H1571" t="str">
            <v>连锁51店</v>
          </cell>
          <cell r="J1571" t="str">
            <v>1859</v>
          </cell>
          <cell r="K1571" t="str">
            <v>201602151421097</v>
          </cell>
          <cell r="M1571" t="str">
            <v>严迪*罗红霉素分散片75mg*12</v>
          </cell>
        </row>
        <row r="1572">
          <cell r="E1572" t="str">
            <v>0020030170ZYEC0003</v>
          </cell>
          <cell r="H1572" t="str">
            <v>连锁31店</v>
          </cell>
          <cell r="J1572" t="str">
            <v>1859</v>
          </cell>
          <cell r="K1572" t="str">
            <v>201602151421097</v>
          </cell>
          <cell r="M1572" t="str">
            <v>蒙脱石散*泻利停3克*12袋</v>
          </cell>
        </row>
        <row r="1573">
          <cell r="E1573" t="str">
            <v>0020070001ZYZC0369</v>
          </cell>
          <cell r="H1573" t="str">
            <v>滨11店</v>
          </cell>
          <cell r="J1573" t="str">
            <v>1853</v>
          </cell>
          <cell r="K1573" t="str">
            <v>201602151421097</v>
          </cell>
          <cell r="M1573" t="str">
            <v>哈药*钙铁锌口服液10ml*12支</v>
          </cell>
        </row>
        <row r="1574">
          <cell r="E1574" t="str">
            <v>0020070000ZYLC0052</v>
          </cell>
          <cell r="H1574" t="str">
            <v>滨17店</v>
          </cell>
          <cell r="J1574" t="str">
            <v>1853</v>
          </cell>
          <cell r="K1574" t="str">
            <v>201602151421097</v>
          </cell>
          <cell r="M1574" t="str">
            <v>钙加锌口服液10ml*12支</v>
          </cell>
        </row>
        <row r="1575">
          <cell r="E1575" t="str">
            <v>0020070001ZYZC0369</v>
          </cell>
          <cell r="H1575" t="str">
            <v>滨17店</v>
          </cell>
          <cell r="J1575" t="str">
            <v>1853</v>
          </cell>
          <cell r="K1575" t="str">
            <v>201602151421097</v>
          </cell>
          <cell r="M1575" t="str">
            <v>哈药*钙铁锌口服液10ml*12支</v>
          </cell>
        </row>
        <row r="1576">
          <cell r="E1576" t="str">
            <v>0020020021ZYZC0341</v>
          </cell>
          <cell r="H1576" t="str">
            <v>滨旗舰店</v>
          </cell>
          <cell r="J1576" t="str">
            <v>1853</v>
          </cell>
          <cell r="K1576" t="str">
            <v>201602151421097</v>
          </cell>
          <cell r="M1576" t="str">
            <v>胜艾*阿莫西林克拉维酸钾分散片0.2285g*12pian</v>
          </cell>
        </row>
        <row r="1577">
          <cell r="E1577" t="str">
            <v>0020030001SJZY0006</v>
          </cell>
          <cell r="H1577" t="str">
            <v>连锁37店</v>
          </cell>
          <cell r="J1577" t="str">
            <v>1859</v>
          </cell>
          <cell r="K1577" t="str">
            <v>201602151421097</v>
          </cell>
          <cell r="M1577" t="str">
            <v>葡萄糖酸钙口服液12支/盒</v>
          </cell>
        </row>
        <row r="1578">
          <cell r="E1578" t="str">
            <v>0020040220SHYT0004</v>
          </cell>
          <cell r="H1578" t="str">
            <v>连锁10店</v>
          </cell>
          <cell r="J1578" t="str">
            <v>1859</v>
          </cell>
          <cell r="K1578" t="str">
            <v>201602151421097</v>
          </cell>
          <cell r="M1578" t="str">
            <v>妇宁栓1.6g*8粒</v>
          </cell>
        </row>
        <row r="1579">
          <cell r="E1579" t="str">
            <v>0020040030SJSC0009</v>
          </cell>
          <cell r="H1579" t="str">
            <v>连锁23店</v>
          </cell>
          <cell r="J1579" t="str">
            <v>1859</v>
          </cell>
          <cell r="K1579" t="str">
            <v>201602151421097</v>
          </cell>
          <cell r="M1579" t="str">
            <v>护肝片0.36g*100片</v>
          </cell>
        </row>
        <row r="1580">
          <cell r="E1580" t="str">
            <v>0020020020ZYLC0003</v>
          </cell>
          <cell r="H1580" t="str">
            <v>连锁23店</v>
          </cell>
          <cell r="J1580" t="str">
            <v>1859</v>
          </cell>
          <cell r="K1580" t="str">
            <v>201602151421097</v>
          </cell>
          <cell r="M1580" t="str">
            <v>泻利停*颠茄磺苄啶片12片</v>
          </cell>
        </row>
        <row r="1581">
          <cell r="E1581" t="str">
            <v>0020020030ZYZC0289</v>
          </cell>
          <cell r="H1581" t="str">
            <v>连锁35店</v>
          </cell>
          <cell r="J1581" t="str">
            <v>1859</v>
          </cell>
          <cell r="K1581" t="str">
            <v>201602151421097</v>
          </cell>
          <cell r="M1581" t="str">
            <v>阿莫西林胶囊0.5g*36粒</v>
          </cell>
        </row>
        <row r="1582">
          <cell r="E1582" t="str">
            <v>0020020020ZYLC0003</v>
          </cell>
          <cell r="H1582" t="str">
            <v>连锁35店</v>
          </cell>
          <cell r="J1582" t="str">
            <v>1859</v>
          </cell>
          <cell r="K1582" t="str">
            <v>201602151421097</v>
          </cell>
          <cell r="M1582" t="str">
            <v>泻利停*颠茄磺苄啶片12片</v>
          </cell>
        </row>
        <row r="1583">
          <cell r="E1583" t="str">
            <v>0020070000ZYLC0052</v>
          </cell>
          <cell r="H1583" t="str">
            <v>连锁42店</v>
          </cell>
          <cell r="J1583" t="str">
            <v>1859</v>
          </cell>
          <cell r="K1583" t="str">
            <v>201602151421097</v>
          </cell>
          <cell r="M1583" t="str">
            <v>钙加锌口服液10ml*12支</v>
          </cell>
        </row>
        <row r="1584">
          <cell r="E1584" t="str">
            <v>0020030001SJZY0006</v>
          </cell>
          <cell r="H1584" t="str">
            <v>连锁17店</v>
          </cell>
          <cell r="J1584" t="str">
            <v>1859</v>
          </cell>
          <cell r="K1584" t="str">
            <v>201602151421097</v>
          </cell>
          <cell r="M1584" t="str">
            <v>葡萄糖酸钙口服液12支/盒</v>
          </cell>
        </row>
        <row r="1585">
          <cell r="E1585" t="str">
            <v>0020070000ZYLC0001</v>
          </cell>
          <cell r="H1585" t="str">
            <v>连锁14店</v>
          </cell>
          <cell r="J1585" t="str">
            <v>1859</v>
          </cell>
          <cell r="K1585" t="str">
            <v>201602151421097</v>
          </cell>
          <cell r="M1585" t="str">
            <v>高钙片36片</v>
          </cell>
        </row>
        <row r="1586">
          <cell r="E1586" t="str">
            <v>0020030020SJSC0004</v>
          </cell>
          <cell r="H1586" t="str">
            <v>连锁19店</v>
          </cell>
          <cell r="J1586" t="str">
            <v>1859</v>
          </cell>
          <cell r="K1586" t="str">
            <v>201602151421097</v>
          </cell>
          <cell r="M1586" t="str">
            <v>胃必治*复方铝酸铋片50片</v>
          </cell>
        </row>
        <row r="1587">
          <cell r="E1587" t="str">
            <v>0020040030SJSC0009</v>
          </cell>
          <cell r="H1587" t="str">
            <v>连锁19店</v>
          </cell>
          <cell r="J1587" t="str">
            <v>1859</v>
          </cell>
          <cell r="K1587" t="str">
            <v>201602151421097</v>
          </cell>
          <cell r="M1587" t="str">
            <v>护肝片0.36g*100片</v>
          </cell>
        </row>
        <row r="1588">
          <cell r="E1588" t="str">
            <v>0020020021ZYLC0004</v>
          </cell>
          <cell r="H1588" t="str">
            <v>连锁19店</v>
          </cell>
          <cell r="J1588" t="str">
            <v>1859</v>
          </cell>
          <cell r="K1588" t="str">
            <v>201602151421097</v>
          </cell>
          <cell r="M1588" t="str">
            <v>严迪*罗红霉素分散片75mg*12</v>
          </cell>
        </row>
        <row r="1589">
          <cell r="E1589" t="str">
            <v>0020030001SJZY0006</v>
          </cell>
          <cell r="H1589" t="str">
            <v>连锁2店</v>
          </cell>
          <cell r="J1589" t="str">
            <v>1859</v>
          </cell>
          <cell r="K1589" t="str">
            <v>201602151421097</v>
          </cell>
          <cell r="M1589" t="str">
            <v>葡萄糖酸钙口服液12支/盒</v>
          </cell>
        </row>
        <row r="1590">
          <cell r="E1590" t="str">
            <v>0020070001ZYZC0369</v>
          </cell>
          <cell r="H1590" t="str">
            <v>连锁2店</v>
          </cell>
          <cell r="J1590" t="str">
            <v>1859</v>
          </cell>
          <cell r="K1590" t="str">
            <v>201602151421097</v>
          </cell>
          <cell r="M1590" t="str">
            <v>哈药*钙铁锌口服液10ml*12支</v>
          </cell>
        </row>
        <row r="1591">
          <cell r="E1591" t="str">
            <v>0020040220SHYT0004</v>
          </cell>
          <cell r="H1591" t="str">
            <v>连锁5店</v>
          </cell>
          <cell r="J1591" t="str">
            <v>1859</v>
          </cell>
          <cell r="K1591" t="str">
            <v>201602151421097</v>
          </cell>
          <cell r="M1591" t="str">
            <v>妇宁栓1.6g*8粒</v>
          </cell>
        </row>
        <row r="1592">
          <cell r="E1592" t="str">
            <v>0020040030SJSC0009</v>
          </cell>
          <cell r="H1592" t="str">
            <v>连锁5店</v>
          </cell>
          <cell r="J1592" t="str">
            <v>1859</v>
          </cell>
          <cell r="K1592" t="str">
            <v>201602151421097</v>
          </cell>
          <cell r="M1592" t="str">
            <v>护肝片0.36g*100片</v>
          </cell>
        </row>
        <row r="1593">
          <cell r="E1593" t="str">
            <v>0020020021ZYZC0341</v>
          </cell>
          <cell r="H1593" t="str">
            <v>连锁6店</v>
          </cell>
          <cell r="J1593" t="str">
            <v>1859</v>
          </cell>
          <cell r="K1593" t="str">
            <v>201602151421097</v>
          </cell>
          <cell r="M1593" t="str">
            <v>胜艾*阿莫西林克拉维酸钾分散片0.2285g*12pian</v>
          </cell>
        </row>
        <row r="1594">
          <cell r="E1594" t="str">
            <v>0020040030SJSC0009</v>
          </cell>
          <cell r="H1594" t="str">
            <v>连锁6店</v>
          </cell>
          <cell r="J1594" t="str">
            <v>1859</v>
          </cell>
          <cell r="K1594" t="str">
            <v>201602151421097</v>
          </cell>
          <cell r="M1594" t="str">
            <v>护肝片0.36g*100片</v>
          </cell>
        </row>
        <row r="1595">
          <cell r="E1595" t="str">
            <v>0020030001SJZY0009</v>
          </cell>
          <cell r="H1595" t="str">
            <v>连锁39店</v>
          </cell>
          <cell r="J1595" t="str">
            <v>1859</v>
          </cell>
          <cell r="K1595" t="str">
            <v>201602151421097</v>
          </cell>
          <cell r="M1595" t="str">
            <v>葡萄糖酸锌口服液12支/盒</v>
          </cell>
        </row>
        <row r="1596">
          <cell r="E1596" t="str">
            <v>0020050090SJZY0001</v>
          </cell>
          <cell r="H1596" t="str">
            <v>连锁34店</v>
          </cell>
          <cell r="J1596" t="str">
            <v>1859</v>
          </cell>
          <cell r="K1596" t="str">
            <v>201602151421097</v>
          </cell>
          <cell r="M1596" t="str">
            <v>双黄连口服液10ml*10</v>
          </cell>
        </row>
        <row r="1597">
          <cell r="E1597" t="str">
            <v>0020050020SHYT0016</v>
          </cell>
          <cell r="H1597" t="str">
            <v>连锁38店</v>
          </cell>
          <cell r="J1597" t="str">
            <v>1859</v>
          </cell>
          <cell r="K1597" t="str">
            <v>201602151421097</v>
          </cell>
          <cell r="M1597" t="str">
            <v>复方金银花颗粒10g*10袋</v>
          </cell>
        </row>
        <row r="1598">
          <cell r="E1598" t="str">
            <v>0020050020SHYT0016</v>
          </cell>
          <cell r="H1598" t="str">
            <v>连锁51店</v>
          </cell>
          <cell r="J1598" t="str">
            <v>1859</v>
          </cell>
          <cell r="K1598" t="str">
            <v>201602151421097</v>
          </cell>
          <cell r="M1598" t="str">
            <v>复方金银花颗粒10g*10袋</v>
          </cell>
        </row>
        <row r="1599">
          <cell r="E1599" t="str">
            <v>0020030020SJSC0004</v>
          </cell>
          <cell r="H1599" t="str">
            <v>连锁52店</v>
          </cell>
          <cell r="J1599" t="str">
            <v>1859</v>
          </cell>
          <cell r="K1599" t="str">
            <v>201602151421097</v>
          </cell>
          <cell r="M1599" t="str">
            <v>胃必治*复方铝酸铋片50片</v>
          </cell>
        </row>
        <row r="1600">
          <cell r="E1600" t="str">
            <v>0020030020SJSC0004</v>
          </cell>
          <cell r="H1600" t="str">
            <v>连锁41店</v>
          </cell>
          <cell r="J1600" t="str">
            <v>1859</v>
          </cell>
          <cell r="K1600" t="str">
            <v>201602151421097</v>
          </cell>
          <cell r="M1600" t="str">
            <v>胃必治*复方铝酸铋片50片</v>
          </cell>
        </row>
        <row r="1601">
          <cell r="E1601" t="str">
            <v>0020050020SHYT0016</v>
          </cell>
          <cell r="H1601" t="str">
            <v>连锁40店</v>
          </cell>
          <cell r="J1601" t="str">
            <v>1859</v>
          </cell>
          <cell r="K1601" t="str">
            <v>201602151421097</v>
          </cell>
          <cell r="M1601" t="str">
            <v>复方金银花颗粒10g*10袋</v>
          </cell>
        </row>
        <row r="1602">
          <cell r="E1602" t="str">
            <v>0020070000ZYLC0052</v>
          </cell>
          <cell r="H1602" t="str">
            <v>连锁12店</v>
          </cell>
          <cell r="J1602" t="str">
            <v>1859</v>
          </cell>
          <cell r="K1602" t="str">
            <v>201602151421097</v>
          </cell>
          <cell r="M1602" t="str">
            <v>钙加锌口服液10ml*12支</v>
          </cell>
        </row>
        <row r="1603">
          <cell r="E1603" t="str">
            <v>0020030040ZYLC0001</v>
          </cell>
          <cell r="H1603" t="str">
            <v>连锁1店</v>
          </cell>
          <cell r="J1603" t="str">
            <v>1859</v>
          </cell>
          <cell r="K1603" t="str">
            <v>201602151421097</v>
          </cell>
          <cell r="M1603" t="str">
            <v>护彤*小儿氨酚黄那敏颗粒12袋</v>
          </cell>
        </row>
        <row r="1604">
          <cell r="E1604" t="str">
            <v>0020030001SJZY0006</v>
          </cell>
          <cell r="H1604" t="str">
            <v>连锁14店</v>
          </cell>
          <cell r="J1604" t="str">
            <v>1859</v>
          </cell>
          <cell r="K1604" t="str">
            <v>201602151421097</v>
          </cell>
          <cell r="M1604" t="str">
            <v>葡萄糖酸钙口服液12支/盒</v>
          </cell>
        </row>
        <row r="1605">
          <cell r="E1605" t="str">
            <v>0020070000ZYLC0001</v>
          </cell>
          <cell r="H1605" t="str">
            <v>连锁45店</v>
          </cell>
          <cell r="J1605" t="str">
            <v>1859</v>
          </cell>
          <cell r="K1605" t="str">
            <v>201602151421097</v>
          </cell>
          <cell r="M1605" t="str">
            <v>高钙片36片</v>
          </cell>
        </row>
        <row r="1606">
          <cell r="E1606" t="str">
            <v>0020030040ZYLC0001</v>
          </cell>
          <cell r="H1606" t="str">
            <v>连锁45店</v>
          </cell>
          <cell r="J1606" t="str">
            <v>1859</v>
          </cell>
          <cell r="K1606" t="str">
            <v>201602151421097</v>
          </cell>
          <cell r="M1606" t="str">
            <v>护彤*小儿氨酚黄那敏颗粒12袋</v>
          </cell>
        </row>
        <row r="1607">
          <cell r="E1607" t="str">
            <v>0020070001ZYZC0369</v>
          </cell>
          <cell r="H1607" t="str">
            <v>连锁43店</v>
          </cell>
          <cell r="J1607" t="str">
            <v>1859</v>
          </cell>
          <cell r="K1607" t="str">
            <v>201602151421097</v>
          </cell>
          <cell r="M1607" t="str">
            <v>哈药*钙铁锌口服液10ml*12支</v>
          </cell>
        </row>
        <row r="1608">
          <cell r="E1608" t="str">
            <v>0020040030SJSC0009</v>
          </cell>
          <cell r="H1608" t="str">
            <v>连锁30店</v>
          </cell>
          <cell r="J1608" t="str">
            <v>1859</v>
          </cell>
          <cell r="K1608" t="str">
            <v>201602151421097</v>
          </cell>
          <cell r="M1608" t="str">
            <v>护肝片0.36g*100片</v>
          </cell>
        </row>
        <row r="1609">
          <cell r="E1609" t="str">
            <v>0020020030SJMS0024</v>
          </cell>
          <cell r="H1609" t="str">
            <v>连锁26店</v>
          </cell>
          <cell r="J1609" t="str">
            <v>1859</v>
          </cell>
          <cell r="K1609" t="str">
            <v>201602151421097</v>
          </cell>
          <cell r="M1609" t="str">
            <v>人工牛黄甲硝唑胶囊20粒</v>
          </cell>
        </row>
        <row r="1610">
          <cell r="E1610" t="str">
            <v>0020030170ZYEC0003</v>
          </cell>
          <cell r="H1610" t="str">
            <v>连锁19店</v>
          </cell>
          <cell r="J1610" t="str">
            <v>1859</v>
          </cell>
          <cell r="K1610" t="str">
            <v>201602151421097</v>
          </cell>
          <cell r="M1610" t="str">
            <v>蒙脱石散*泻利停3克*12袋</v>
          </cell>
        </row>
        <row r="1611">
          <cell r="E1611" t="str">
            <v>0020030032ZYZC0300</v>
          </cell>
          <cell r="H1611" t="str">
            <v>连锁26店</v>
          </cell>
          <cell r="J1611" t="str">
            <v>1859</v>
          </cell>
          <cell r="K1611" t="str">
            <v>201602151421097</v>
          </cell>
          <cell r="M1611" t="str">
            <v>维生素E软胶囊100mg*30粒</v>
          </cell>
        </row>
        <row r="1612">
          <cell r="E1612" t="str">
            <v>0020040070ZYEC0005</v>
          </cell>
          <cell r="H1612" t="str">
            <v>连锁20店</v>
          </cell>
          <cell r="J1612" t="str">
            <v>1859</v>
          </cell>
          <cell r="K1612" t="str">
            <v>201602151421097</v>
          </cell>
          <cell r="M1612" t="str">
            <v>小儿百部止咳糖浆100ml</v>
          </cell>
        </row>
        <row r="1613">
          <cell r="E1613" t="str">
            <v>0020070000ZYLC0001</v>
          </cell>
          <cell r="H1613" t="str">
            <v>连锁52店</v>
          </cell>
          <cell r="J1613" t="str">
            <v>1859</v>
          </cell>
          <cell r="K1613" t="str">
            <v>201602151421097</v>
          </cell>
          <cell r="M1613" t="str">
            <v>高钙片36片</v>
          </cell>
        </row>
        <row r="1614">
          <cell r="E1614" t="str">
            <v>0020030001SJZY0009</v>
          </cell>
          <cell r="H1614" t="str">
            <v>连锁52店</v>
          </cell>
          <cell r="J1614" t="str">
            <v>1859</v>
          </cell>
          <cell r="K1614" t="str">
            <v>201602151421097</v>
          </cell>
          <cell r="M1614" t="str">
            <v>葡萄糖酸锌口服液12支/盒</v>
          </cell>
        </row>
        <row r="1615">
          <cell r="E1615" t="str">
            <v>0020040070ZYEC0005</v>
          </cell>
          <cell r="H1615" t="str">
            <v>连锁52店</v>
          </cell>
          <cell r="J1615" t="str">
            <v>1859</v>
          </cell>
          <cell r="K1615" t="str">
            <v>201602151421097</v>
          </cell>
          <cell r="M1615" t="str">
            <v>小儿百部止咳糖浆100ml</v>
          </cell>
        </row>
        <row r="1616">
          <cell r="E1616" t="str">
            <v>0020040220SHYT0004</v>
          </cell>
          <cell r="H1616" t="str">
            <v>连锁52店</v>
          </cell>
          <cell r="J1616" t="str">
            <v>1859</v>
          </cell>
          <cell r="K1616" t="str">
            <v>201602151421097</v>
          </cell>
          <cell r="M1616" t="str">
            <v>妇宁栓1.6g*8粒</v>
          </cell>
        </row>
        <row r="1617">
          <cell r="E1617" t="str">
            <v>0020030001SJZY0006</v>
          </cell>
          <cell r="H1617" t="str">
            <v>滨17店</v>
          </cell>
          <cell r="J1617" t="str">
            <v>1853</v>
          </cell>
          <cell r="K1617" t="str">
            <v>201602151421097</v>
          </cell>
          <cell r="M1617" t="str">
            <v>葡萄糖酸钙口服液12支/盒</v>
          </cell>
        </row>
        <row r="1618">
          <cell r="E1618" t="str">
            <v>0020030020SJSC0025</v>
          </cell>
          <cell r="H1618" t="str">
            <v>滨15店</v>
          </cell>
          <cell r="J1618" t="str">
            <v>1853</v>
          </cell>
          <cell r="K1618" t="str">
            <v>201602151421097</v>
          </cell>
          <cell r="M1618" t="str">
            <v>复方氨酚烷胺片12片</v>
          </cell>
        </row>
        <row r="1619">
          <cell r="E1619" t="str">
            <v>0020040030SJSC0009</v>
          </cell>
          <cell r="H1619" t="str">
            <v>滨旗舰店</v>
          </cell>
          <cell r="J1619" t="str">
            <v>1853</v>
          </cell>
          <cell r="K1619" t="str">
            <v>201602151421097</v>
          </cell>
          <cell r="M1619" t="str">
            <v>护肝片0.36g*100片</v>
          </cell>
        </row>
        <row r="1620">
          <cell r="E1620" t="str">
            <v>0020070001ZYZC0369</v>
          </cell>
          <cell r="H1620" t="str">
            <v>滨6店</v>
          </cell>
          <cell r="J1620" t="str">
            <v>1853</v>
          </cell>
          <cell r="K1620" t="str">
            <v>201602151421097</v>
          </cell>
          <cell r="M1620" t="str">
            <v>哈药*钙铁锌口服液10ml*12支</v>
          </cell>
        </row>
        <row r="1621">
          <cell r="E1621" t="str">
            <v>0020020020ZYLC0003</v>
          </cell>
          <cell r="H1621" t="str">
            <v>滨6店</v>
          </cell>
          <cell r="J1621" t="str">
            <v>1853</v>
          </cell>
          <cell r="K1621" t="str">
            <v>201602151421097</v>
          </cell>
          <cell r="M1621" t="str">
            <v>泻利停*颠茄磺苄啶片12片</v>
          </cell>
        </row>
        <row r="1622">
          <cell r="E1622" t="str">
            <v>0020030020SJSC0004</v>
          </cell>
          <cell r="H1622" t="str">
            <v>滨11店</v>
          </cell>
          <cell r="J1622" t="str">
            <v>1853</v>
          </cell>
          <cell r="K1622" t="str">
            <v>201602151421097</v>
          </cell>
          <cell r="M1622" t="str">
            <v>胃必治*复方铝酸铋片50片</v>
          </cell>
        </row>
        <row r="1623">
          <cell r="E1623" t="str">
            <v>0020040030SJSC0009</v>
          </cell>
          <cell r="H1623" t="str">
            <v>连锁13店</v>
          </cell>
          <cell r="J1623" t="str">
            <v>1859</v>
          </cell>
          <cell r="K1623" t="str">
            <v>201602151421097</v>
          </cell>
          <cell r="M1623" t="str">
            <v>护肝片0.36g*100片</v>
          </cell>
        </row>
        <row r="1624">
          <cell r="E1624" t="str">
            <v>0020070001ZYZC0369</v>
          </cell>
          <cell r="H1624" t="str">
            <v>连锁5店</v>
          </cell>
          <cell r="J1624" t="str">
            <v>1859</v>
          </cell>
          <cell r="K1624" t="str">
            <v>201602151421097</v>
          </cell>
          <cell r="M1624" t="str">
            <v>哈药*钙铁锌口服液10ml*12支</v>
          </cell>
        </row>
        <row r="1625">
          <cell r="E1625" t="str">
            <v>0020030001SJZY0009</v>
          </cell>
          <cell r="H1625" t="str">
            <v>连锁11店</v>
          </cell>
          <cell r="J1625" t="str">
            <v>1859</v>
          </cell>
          <cell r="K1625" t="str">
            <v>201602151421097</v>
          </cell>
          <cell r="M1625" t="str">
            <v>葡萄糖酸锌口服液12支/盒</v>
          </cell>
        </row>
        <row r="1626">
          <cell r="E1626" t="str">
            <v>0020050090SJZY0001</v>
          </cell>
          <cell r="H1626" t="str">
            <v>连锁11店</v>
          </cell>
          <cell r="J1626" t="str">
            <v>1859</v>
          </cell>
          <cell r="K1626" t="str">
            <v>201602151421097</v>
          </cell>
          <cell r="M1626" t="str">
            <v>双黄连口服液10ml*10</v>
          </cell>
        </row>
        <row r="1627">
          <cell r="E1627" t="str">
            <v>0020030170ZYEC0003</v>
          </cell>
          <cell r="H1627" t="str">
            <v>连锁11店</v>
          </cell>
          <cell r="J1627" t="str">
            <v>1859</v>
          </cell>
          <cell r="K1627" t="str">
            <v>201602151421097</v>
          </cell>
          <cell r="M1627" t="str">
            <v>蒙脱石散*泻利停3克*12袋</v>
          </cell>
        </row>
        <row r="1628">
          <cell r="E1628" t="str">
            <v>0020050020SHYT0016</v>
          </cell>
          <cell r="H1628" t="str">
            <v>连锁11店</v>
          </cell>
          <cell r="J1628" t="str">
            <v>1859</v>
          </cell>
          <cell r="K1628" t="str">
            <v>201602151421097</v>
          </cell>
          <cell r="M1628" t="str">
            <v>复方金银花颗粒10g*10袋</v>
          </cell>
        </row>
        <row r="1629">
          <cell r="E1629" t="str">
            <v>0020040220SHYT0004</v>
          </cell>
          <cell r="H1629" t="str">
            <v>连锁34店</v>
          </cell>
          <cell r="J1629" t="str">
            <v>1859</v>
          </cell>
          <cell r="K1629" t="str">
            <v>201602151421097</v>
          </cell>
          <cell r="M1629" t="str">
            <v>妇宁栓1.6g*8粒</v>
          </cell>
        </row>
        <row r="1630">
          <cell r="E1630" t="str">
            <v>0020040001SHYT0018</v>
          </cell>
          <cell r="H1630" t="str">
            <v>中心店</v>
          </cell>
          <cell r="J1630" t="str">
            <v>1859</v>
          </cell>
          <cell r="K1630" t="str">
            <v>201602151421097</v>
          </cell>
          <cell r="M1630" t="str">
            <v>血府逐瘀丸9g*10丸</v>
          </cell>
        </row>
        <row r="1631">
          <cell r="E1631" t="str">
            <v>0020070001ZYZC0369</v>
          </cell>
          <cell r="H1631" t="str">
            <v>连锁40店</v>
          </cell>
          <cell r="J1631" t="str">
            <v>1859</v>
          </cell>
          <cell r="K1631" t="str">
            <v>201602151421097</v>
          </cell>
          <cell r="M1631" t="str">
            <v>哈药*钙铁锌口服液10ml*12支</v>
          </cell>
        </row>
        <row r="1632">
          <cell r="E1632" t="str">
            <v>0020030001SJZY0006</v>
          </cell>
          <cell r="H1632" t="str">
            <v>连锁32店</v>
          </cell>
          <cell r="J1632" t="str">
            <v>1859</v>
          </cell>
          <cell r="K1632" t="str">
            <v>201602151421097</v>
          </cell>
          <cell r="M1632" t="str">
            <v>葡萄糖酸钙口服液12支/盒</v>
          </cell>
        </row>
        <row r="1633">
          <cell r="E1633" t="str">
            <v>0020030001SJZY0009</v>
          </cell>
          <cell r="H1633" t="str">
            <v>连锁32店</v>
          </cell>
          <cell r="J1633" t="str">
            <v>1859</v>
          </cell>
          <cell r="K1633" t="str">
            <v>201602151421097</v>
          </cell>
          <cell r="M1633" t="str">
            <v>葡萄糖酸锌口服液12支/盒</v>
          </cell>
        </row>
        <row r="1634">
          <cell r="E1634" t="str">
            <v>0020030020ZYZC0360</v>
          </cell>
          <cell r="H1634" t="str">
            <v>连锁15店</v>
          </cell>
          <cell r="J1634" t="str">
            <v>1859</v>
          </cell>
          <cell r="K1634" t="str">
            <v>201602151421097</v>
          </cell>
          <cell r="M1634" t="str">
            <v>维生素c咀嚼片0.1g*30片</v>
          </cell>
        </row>
        <row r="1635">
          <cell r="E1635" t="str">
            <v>0020040001SHYT0018</v>
          </cell>
          <cell r="H1635" t="str">
            <v>连锁12店</v>
          </cell>
          <cell r="J1635" t="str">
            <v>1859</v>
          </cell>
          <cell r="K1635" t="str">
            <v>201602151421097</v>
          </cell>
          <cell r="M1635" t="str">
            <v>血府逐瘀丸9g*10丸</v>
          </cell>
        </row>
        <row r="1636">
          <cell r="E1636" t="str">
            <v>0020030001SJZY0006</v>
          </cell>
          <cell r="H1636" t="str">
            <v>连锁23店</v>
          </cell>
          <cell r="J1636" t="str">
            <v>1859</v>
          </cell>
          <cell r="K1636" t="str">
            <v>201602151421097</v>
          </cell>
          <cell r="M1636" t="str">
            <v>葡萄糖酸钙口服液12支/盒</v>
          </cell>
        </row>
        <row r="1637">
          <cell r="E1637" t="str">
            <v>0020070000ZYLC0001</v>
          </cell>
          <cell r="H1637" t="str">
            <v>连锁10店</v>
          </cell>
          <cell r="J1637" t="str">
            <v>1859</v>
          </cell>
          <cell r="K1637" t="str">
            <v>201602151421097</v>
          </cell>
          <cell r="M1637" t="str">
            <v>高钙片36片</v>
          </cell>
        </row>
        <row r="1638">
          <cell r="E1638" t="str">
            <v>0020020020ZYLC0010</v>
          </cell>
          <cell r="H1638" t="str">
            <v>连锁10店</v>
          </cell>
          <cell r="J1638" t="str">
            <v>1859</v>
          </cell>
          <cell r="K1638" t="str">
            <v>201602151421097</v>
          </cell>
          <cell r="M1638" t="str">
            <v>泻利停*颠茄磺苄啶片10片</v>
          </cell>
        </row>
        <row r="1639">
          <cell r="E1639" t="str">
            <v>0020070000ZYLC0052</v>
          </cell>
          <cell r="H1639" t="str">
            <v>连锁37店</v>
          </cell>
          <cell r="J1639" t="str">
            <v>1859</v>
          </cell>
          <cell r="K1639" t="str">
            <v>201602151421097</v>
          </cell>
          <cell r="M1639" t="str">
            <v>钙加锌口服液10ml*12支</v>
          </cell>
        </row>
        <row r="1640">
          <cell r="E1640" t="str">
            <v>0020020020ZYLC0010</v>
          </cell>
          <cell r="H1640" t="str">
            <v>连锁37店</v>
          </cell>
          <cell r="J1640" t="str">
            <v>1859</v>
          </cell>
          <cell r="K1640" t="str">
            <v>201602151421097</v>
          </cell>
          <cell r="M1640" t="str">
            <v>泻利停*颠茄磺苄啶片10片</v>
          </cell>
        </row>
        <row r="1641">
          <cell r="E1641" t="str">
            <v>0020020021ZYLC0004</v>
          </cell>
          <cell r="H1641" t="str">
            <v>连锁37店</v>
          </cell>
          <cell r="J1641" t="str">
            <v>1859</v>
          </cell>
          <cell r="K1641" t="str">
            <v>201602151421097</v>
          </cell>
          <cell r="M1641" t="str">
            <v>严迪*罗红霉素分散片75mg*12</v>
          </cell>
        </row>
        <row r="1642">
          <cell r="E1642" t="str">
            <v>0020050020SHYT0016</v>
          </cell>
          <cell r="H1642" t="str">
            <v>连锁37店</v>
          </cell>
          <cell r="J1642" t="str">
            <v>1859</v>
          </cell>
          <cell r="K1642" t="str">
            <v>201602151421097</v>
          </cell>
          <cell r="M1642" t="str">
            <v>复方金银花颗粒10g*10袋</v>
          </cell>
        </row>
        <row r="1643">
          <cell r="E1643" t="str">
            <v>0020030001SJZY0006</v>
          </cell>
          <cell r="H1643" t="str">
            <v>连锁3店</v>
          </cell>
          <cell r="J1643" t="str">
            <v>1859</v>
          </cell>
          <cell r="K1643" t="str">
            <v>201602151421097</v>
          </cell>
          <cell r="M1643" t="str">
            <v>葡萄糖酸钙口服液12支/盒</v>
          </cell>
        </row>
        <row r="1644">
          <cell r="E1644" t="str">
            <v>0020030001SJZY0006</v>
          </cell>
          <cell r="H1644" t="str">
            <v>连锁7店</v>
          </cell>
          <cell r="J1644" t="str">
            <v>1859</v>
          </cell>
          <cell r="K1644" t="str">
            <v>201602151421097</v>
          </cell>
          <cell r="M1644" t="str">
            <v>葡萄糖酸钙口服液12支/盒</v>
          </cell>
        </row>
        <row r="1645">
          <cell r="E1645" t="str">
            <v>0020050020SHYT0016</v>
          </cell>
          <cell r="H1645" t="str">
            <v>连锁35店</v>
          </cell>
          <cell r="J1645" t="str">
            <v>1859</v>
          </cell>
          <cell r="K1645" t="str">
            <v>201602151421097</v>
          </cell>
          <cell r="M1645" t="str">
            <v>复方金银花颗粒10g*10袋</v>
          </cell>
        </row>
        <row r="1646">
          <cell r="E1646" t="str">
            <v>0020040030SJSC0009</v>
          </cell>
          <cell r="H1646" t="str">
            <v>连锁14店</v>
          </cell>
          <cell r="J1646" t="str">
            <v>1859</v>
          </cell>
          <cell r="K1646" t="str">
            <v>201602151421097</v>
          </cell>
          <cell r="M1646" t="str">
            <v>护肝片0.36g*100片</v>
          </cell>
        </row>
        <row r="1647">
          <cell r="E1647" t="str">
            <v>0020050020SHYT0016</v>
          </cell>
          <cell r="H1647" t="str">
            <v>连锁14店</v>
          </cell>
          <cell r="J1647" t="str">
            <v>1859</v>
          </cell>
          <cell r="K1647" t="str">
            <v>201602151421097</v>
          </cell>
          <cell r="M1647" t="str">
            <v>复方金银花颗粒10g*10袋</v>
          </cell>
        </row>
        <row r="1648">
          <cell r="E1648" t="str">
            <v>0020040220SHYT0004</v>
          </cell>
          <cell r="H1648" t="str">
            <v>连锁17店</v>
          </cell>
          <cell r="J1648" t="str">
            <v>1859</v>
          </cell>
          <cell r="K1648" t="str">
            <v>201602151421097</v>
          </cell>
          <cell r="M1648" t="str">
            <v>妇宁栓1.6g*8粒</v>
          </cell>
        </row>
        <row r="1649">
          <cell r="E1649" t="str">
            <v>0020030001SJZY0006</v>
          </cell>
          <cell r="H1649" t="str">
            <v>连锁24店</v>
          </cell>
          <cell r="J1649" t="str">
            <v>1859</v>
          </cell>
          <cell r="K1649" t="str">
            <v>201602151421097</v>
          </cell>
          <cell r="M1649" t="str">
            <v>葡萄糖酸钙口服液12支/盒</v>
          </cell>
        </row>
        <row r="1650">
          <cell r="E1650" t="str">
            <v>0020030040SJET0003</v>
          </cell>
          <cell r="H1650" t="str">
            <v>连锁29店</v>
          </cell>
          <cell r="J1650" t="str">
            <v>1859</v>
          </cell>
          <cell r="K1650" t="str">
            <v>201602151421097</v>
          </cell>
          <cell r="M1650" t="str">
            <v>氨金黄敏颗粒6g*10袋/盒</v>
          </cell>
        </row>
        <row r="1651">
          <cell r="E1651" t="str">
            <v>0020070000ZYLC0052</v>
          </cell>
          <cell r="H1651" t="str">
            <v>连锁2店</v>
          </cell>
          <cell r="J1651" t="str">
            <v>1859</v>
          </cell>
          <cell r="K1651" t="str">
            <v>201602151421097</v>
          </cell>
          <cell r="M1651" t="str">
            <v>钙加锌口服液10ml*12支</v>
          </cell>
        </row>
        <row r="1652">
          <cell r="E1652" t="str">
            <v>0020020021ZYLC0010</v>
          </cell>
          <cell r="H1652" t="str">
            <v>连锁2店</v>
          </cell>
          <cell r="J1652" t="str">
            <v>1859</v>
          </cell>
          <cell r="K1652" t="str">
            <v>201602151421097</v>
          </cell>
          <cell r="M1652" t="str">
            <v>长迪*克拉霉素分散片12片</v>
          </cell>
        </row>
        <row r="1653">
          <cell r="E1653" t="str">
            <v>0020050020SHYT0016</v>
          </cell>
          <cell r="H1653" t="str">
            <v>连锁2店</v>
          </cell>
          <cell r="J1653" t="str">
            <v>1859</v>
          </cell>
          <cell r="K1653" t="str">
            <v>201602151421097</v>
          </cell>
          <cell r="M1653" t="str">
            <v>复方金银花颗粒10g*10袋</v>
          </cell>
        </row>
        <row r="1654">
          <cell r="E1654" t="str">
            <v>0020030020SJSC0025</v>
          </cell>
          <cell r="H1654" t="str">
            <v>连锁31店</v>
          </cell>
          <cell r="J1654" t="str">
            <v>1859</v>
          </cell>
          <cell r="K1654" t="str">
            <v>201602151421097</v>
          </cell>
          <cell r="M1654" t="str">
            <v>复方氨酚烷胺片12片</v>
          </cell>
        </row>
        <row r="1655">
          <cell r="E1655" t="str">
            <v>0020050020SHYT0016</v>
          </cell>
          <cell r="H1655" t="str">
            <v>连锁31店</v>
          </cell>
          <cell r="J1655" t="str">
            <v>1859</v>
          </cell>
          <cell r="K1655" t="str">
            <v>201602151421097</v>
          </cell>
          <cell r="M1655" t="str">
            <v>复方金银花颗粒10g*10袋</v>
          </cell>
        </row>
        <row r="1656">
          <cell r="E1656" t="str">
            <v>0020020021ZYZC0341</v>
          </cell>
          <cell r="H1656" t="str">
            <v>连锁5店</v>
          </cell>
          <cell r="J1656" t="str">
            <v>1859</v>
          </cell>
          <cell r="K1656" t="str">
            <v>201602151421097</v>
          </cell>
          <cell r="M1656" t="str">
            <v>胜艾*阿莫西林克拉维酸钾分散片0.2285g*12pian</v>
          </cell>
        </row>
        <row r="1657">
          <cell r="E1657" t="str">
            <v>0020030020SJSC0025</v>
          </cell>
          <cell r="H1657" t="str">
            <v>连锁5店</v>
          </cell>
          <cell r="J1657" t="str">
            <v>1859</v>
          </cell>
          <cell r="K1657" t="str">
            <v>201602151421097</v>
          </cell>
          <cell r="M1657" t="str">
            <v>复方氨酚烷胺片12片</v>
          </cell>
        </row>
        <row r="1658">
          <cell r="E1658" t="str">
            <v>0020040220SHYT0004</v>
          </cell>
          <cell r="H1658" t="str">
            <v>滨17店</v>
          </cell>
          <cell r="J1658" t="str">
            <v>1853</v>
          </cell>
          <cell r="K1658" t="str">
            <v>201602151421097</v>
          </cell>
          <cell r="M1658" t="str">
            <v>妇宁栓1.6g*8粒</v>
          </cell>
        </row>
        <row r="1659">
          <cell r="E1659" t="str">
            <v>0020020021ZYLC0010</v>
          </cell>
          <cell r="H1659" t="str">
            <v>连锁6店</v>
          </cell>
          <cell r="J1659" t="str">
            <v>1859</v>
          </cell>
          <cell r="K1659" t="str">
            <v>201602151421097</v>
          </cell>
          <cell r="M1659" t="str">
            <v>长迪*克拉霉素分散片12片</v>
          </cell>
        </row>
        <row r="1660">
          <cell r="E1660" t="str">
            <v>0020030020SJSC0025</v>
          </cell>
          <cell r="H1660" t="str">
            <v>连锁39店</v>
          </cell>
          <cell r="J1660" t="str">
            <v>1859</v>
          </cell>
          <cell r="K1660" t="str">
            <v>201602151421097</v>
          </cell>
          <cell r="M1660" t="str">
            <v>复方氨酚烷胺片12片</v>
          </cell>
        </row>
        <row r="1661">
          <cell r="E1661" t="str">
            <v>0020020021ZYZC0341</v>
          </cell>
          <cell r="H1661" t="str">
            <v>连锁39店</v>
          </cell>
          <cell r="J1661" t="str">
            <v>1859</v>
          </cell>
          <cell r="K1661" t="str">
            <v>201602151421097</v>
          </cell>
          <cell r="M1661" t="str">
            <v>胜艾*阿莫西林克拉维酸钾分散片0.2285g*12pian</v>
          </cell>
        </row>
        <row r="1662">
          <cell r="E1662" t="str">
            <v>0020050020SHYT0016</v>
          </cell>
          <cell r="H1662" t="str">
            <v>连锁39店</v>
          </cell>
          <cell r="J1662" t="str">
            <v>1859</v>
          </cell>
          <cell r="K1662" t="str">
            <v>201602151421097</v>
          </cell>
          <cell r="M1662" t="str">
            <v>复方金银花颗粒10g*10袋</v>
          </cell>
        </row>
        <row r="1663">
          <cell r="E1663" t="str">
            <v>0020040220SHYT0004</v>
          </cell>
          <cell r="H1663" t="str">
            <v>滨15店</v>
          </cell>
          <cell r="J1663" t="str">
            <v>1853</v>
          </cell>
          <cell r="K1663" t="str">
            <v>201602151421097</v>
          </cell>
          <cell r="M1663" t="str">
            <v>妇宁栓1.6g*8粒</v>
          </cell>
        </row>
        <row r="1664">
          <cell r="E1664" t="str">
            <v>0020040070ZYEC0005</v>
          </cell>
          <cell r="H1664" t="str">
            <v>滨1店</v>
          </cell>
          <cell r="J1664" t="str">
            <v>1853</v>
          </cell>
          <cell r="K1664" t="str">
            <v>201602151421097</v>
          </cell>
          <cell r="M1664" t="str">
            <v>小儿百部止咳糖浆100ml</v>
          </cell>
        </row>
        <row r="1665">
          <cell r="E1665" t="str">
            <v>0020040030SJSC0009</v>
          </cell>
          <cell r="H1665" t="str">
            <v>连锁49店</v>
          </cell>
          <cell r="J1665" t="str">
            <v>1859</v>
          </cell>
          <cell r="K1665" t="str">
            <v>201602151421097</v>
          </cell>
          <cell r="M1665" t="str">
            <v>护肝片0.36g*100片</v>
          </cell>
        </row>
        <row r="1666">
          <cell r="E1666" t="str">
            <v>0020050020SHYT0016</v>
          </cell>
          <cell r="H1666" t="str">
            <v>连锁49店</v>
          </cell>
          <cell r="J1666" t="str">
            <v>1859</v>
          </cell>
          <cell r="K1666" t="str">
            <v>201602151421097</v>
          </cell>
          <cell r="M1666" t="str">
            <v>复方金银花颗粒10g*10袋</v>
          </cell>
        </row>
        <row r="1667">
          <cell r="E1667" t="str">
            <v>0020020021ZYZC0341</v>
          </cell>
          <cell r="H1667" t="str">
            <v>中心店</v>
          </cell>
          <cell r="J1667" t="str">
            <v>1859</v>
          </cell>
          <cell r="K1667" t="str">
            <v>201602151421097</v>
          </cell>
          <cell r="M1667" t="str">
            <v>胜艾*阿莫西林克拉维酸钾分散片0.2285g*12pian</v>
          </cell>
        </row>
        <row r="1668">
          <cell r="E1668" t="str">
            <v>0020020021ZYLC0010</v>
          </cell>
          <cell r="H1668" t="str">
            <v>中心店</v>
          </cell>
          <cell r="J1668" t="str">
            <v>1859</v>
          </cell>
          <cell r="K1668" t="str">
            <v>201602151421097</v>
          </cell>
          <cell r="M1668" t="str">
            <v>长迪*克拉霉素分散片12片</v>
          </cell>
        </row>
        <row r="1669">
          <cell r="E1669" t="str">
            <v>0020070001ZYZC0369</v>
          </cell>
          <cell r="H1669" t="str">
            <v>中心店</v>
          </cell>
          <cell r="J1669" t="str">
            <v>1859</v>
          </cell>
          <cell r="K1669" t="str">
            <v>201602151421097</v>
          </cell>
          <cell r="M1669" t="str">
            <v>哈药*钙铁锌口服液10ml*12支</v>
          </cell>
        </row>
        <row r="1670">
          <cell r="E1670" t="str">
            <v>0020050020SHYT0016</v>
          </cell>
          <cell r="H1670" t="str">
            <v>中心店</v>
          </cell>
          <cell r="J1670" t="str">
            <v>1859</v>
          </cell>
          <cell r="K1670" t="str">
            <v>201602151421097</v>
          </cell>
          <cell r="M1670" t="str">
            <v>复方金银花颗粒10g*10袋</v>
          </cell>
        </row>
        <row r="1671">
          <cell r="E1671" t="str">
            <v>0020020021ZYLC0010</v>
          </cell>
          <cell r="H1671" t="str">
            <v>连锁38店</v>
          </cell>
          <cell r="J1671" t="str">
            <v>1859</v>
          </cell>
          <cell r="K1671" t="str">
            <v>201602151421097</v>
          </cell>
          <cell r="M1671" t="str">
            <v>长迪*克拉霉素分散片12片</v>
          </cell>
        </row>
        <row r="1672">
          <cell r="E1672" t="str">
            <v>0020040220SHYT0004</v>
          </cell>
          <cell r="H1672" t="str">
            <v>连锁38店</v>
          </cell>
          <cell r="J1672" t="str">
            <v>1859</v>
          </cell>
          <cell r="K1672" t="str">
            <v>201602151421097</v>
          </cell>
          <cell r="M1672" t="str">
            <v>妇宁栓1.6g*8粒</v>
          </cell>
        </row>
        <row r="1673">
          <cell r="E1673" t="str">
            <v>0020070000ZYLC0055</v>
          </cell>
          <cell r="H1673" t="str">
            <v>连锁38店</v>
          </cell>
          <cell r="J1673" t="str">
            <v>1859</v>
          </cell>
          <cell r="K1673" t="str">
            <v>201602151421097</v>
          </cell>
          <cell r="M1673" t="str">
            <v>朴雪乳酸亚铁口服液10ml*12支</v>
          </cell>
        </row>
        <row r="1674">
          <cell r="E1674" t="str">
            <v>0020040030SJSC0009</v>
          </cell>
          <cell r="H1674" t="str">
            <v>连锁38店</v>
          </cell>
          <cell r="J1674" t="str">
            <v>1859</v>
          </cell>
          <cell r="K1674" t="str">
            <v>201602151421097</v>
          </cell>
          <cell r="M1674" t="str">
            <v>护肝片0.36g*100片</v>
          </cell>
        </row>
        <row r="1675">
          <cell r="E1675" t="str">
            <v>0020050020SHYT0016</v>
          </cell>
          <cell r="H1675" t="str">
            <v>连锁28店</v>
          </cell>
          <cell r="J1675" t="str">
            <v>1859</v>
          </cell>
          <cell r="K1675" t="str">
            <v>201602151421097</v>
          </cell>
          <cell r="M1675" t="str">
            <v>复方金银花颗粒10g*10袋</v>
          </cell>
        </row>
        <row r="1676">
          <cell r="E1676" t="str">
            <v>0020040220SHYT0004</v>
          </cell>
          <cell r="H1676" t="str">
            <v>连锁4店</v>
          </cell>
          <cell r="J1676" t="str">
            <v>1859</v>
          </cell>
          <cell r="K1676" t="str">
            <v>201602151421097</v>
          </cell>
          <cell r="M1676" t="str">
            <v>妇宁栓1.6g*8粒</v>
          </cell>
        </row>
        <row r="1677">
          <cell r="E1677" t="str">
            <v>0020070000ZYLC0052</v>
          </cell>
          <cell r="H1677" t="str">
            <v>连锁4店</v>
          </cell>
          <cell r="J1677" t="str">
            <v>1859</v>
          </cell>
          <cell r="K1677" t="str">
            <v>201602151421097</v>
          </cell>
          <cell r="M1677" t="str">
            <v>钙加锌口服液10ml*12支</v>
          </cell>
        </row>
        <row r="1678">
          <cell r="E1678" t="str">
            <v>0020040070ZYEC0005</v>
          </cell>
          <cell r="H1678" t="str">
            <v>连锁4店</v>
          </cell>
          <cell r="J1678" t="str">
            <v>1859</v>
          </cell>
          <cell r="K1678" t="str">
            <v>201602151421097</v>
          </cell>
          <cell r="M1678" t="str">
            <v>小儿百部止咳糖浆100ml</v>
          </cell>
        </row>
        <row r="1679">
          <cell r="E1679" t="str">
            <v>0020040001SHYT0018</v>
          </cell>
          <cell r="H1679" t="str">
            <v>连锁4店</v>
          </cell>
          <cell r="J1679" t="str">
            <v>1859</v>
          </cell>
          <cell r="K1679" t="str">
            <v>201602151421097</v>
          </cell>
          <cell r="M1679" t="str">
            <v>血府逐瘀丸9g*10丸</v>
          </cell>
        </row>
        <row r="1680">
          <cell r="E1680" t="str">
            <v>0020030020SJSC0025</v>
          </cell>
          <cell r="H1680" t="str">
            <v>连锁52店</v>
          </cell>
          <cell r="J1680" t="str">
            <v>1859</v>
          </cell>
          <cell r="K1680" t="str">
            <v>201602151421097</v>
          </cell>
          <cell r="M1680" t="str">
            <v>复方氨酚烷胺片12片</v>
          </cell>
        </row>
        <row r="1681">
          <cell r="E1681" t="str">
            <v>0020020021ZYLC0010</v>
          </cell>
          <cell r="H1681" t="str">
            <v>滨1店</v>
          </cell>
          <cell r="J1681" t="str">
            <v>1853</v>
          </cell>
          <cell r="K1681" t="str">
            <v>201602151421097</v>
          </cell>
          <cell r="M1681" t="str">
            <v>长迪*克拉霉素分散片12片</v>
          </cell>
        </row>
        <row r="1682">
          <cell r="E1682" t="str">
            <v>0020030020SJSC0004</v>
          </cell>
          <cell r="H1682" t="str">
            <v>连锁9店</v>
          </cell>
          <cell r="J1682" t="str">
            <v>1859</v>
          </cell>
          <cell r="K1682" t="str">
            <v>201602151421097</v>
          </cell>
          <cell r="M1682" t="str">
            <v>胃必治*复方铝酸铋片50片</v>
          </cell>
        </row>
        <row r="1683">
          <cell r="E1683" t="str">
            <v>0020040070ZYEC0005</v>
          </cell>
          <cell r="H1683" t="str">
            <v>连锁9店</v>
          </cell>
          <cell r="J1683" t="str">
            <v>1859</v>
          </cell>
          <cell r="K1683" t="str">
            <v>201602151421097</v>
          </cell>
          <cell r="M1683" t="str">
            <v>小儿百部止咳糖浆100ml</v>
          </cell>
        </row>
        <row r="1684">
          <cell r="E1684" t="str">
            <v>0020040220SHYT0004</v>
          </cell>
          <cell r="H1684" t="str">
            <v>连锁37店</v>
          </cell>
          <cell r="J1684" t="str">
            <v>1859</v>
          </cell>
          <cell r="K1684" t="str">
            <v>201602151421097</v>
          </cell>
          <cell r="M1684" t="str">
            <v>妇宁栓1.6g*8粒</v>
          </cell>
        </row>
        <row r="1685">
          <cell r="E1685" t="str">
            <v>0020020021ZYLC0010</v>
          </cell>
          <cell r="H1685" t="str">
            <v>连锁10店</v>
          </cell>
          <cell r="J1685" t="str">
            <v>1859</v>
          </cell>
          <cell r="K1685" t="str">
            <v>201602151421097</v>
          </cell>
          <cell r="M1685" t="str">
            <v>长迪*克拉霉素分散片12片</v>
          </cell>
        </row>
        <row r="1686">
          <cell r="E1686" t="str">
            <v>0020040030SJSC0009</v>
          </cell>
          <cell r="H1686" t="str">
            <v>连锁10店</v>
          </cell>
          <cell r="J1686" t="str">
            <v>1859</v>
          </cell>
          <cell r="K1686" t="str">
            <v>201602151421097</v>
          </cell>
          <cell r="M1686" t="str">
            <v>护肝片0.36g*100片</v>
          </cell>
        </row>
        <row r="1687">
          <cell r="E1687" t="str">
            <v>0020030040ZYLC0001</v>
          </cell>
          <cell r="H1687" t="str">
            <v>连锁3店</v>
          </cell>
          <cell r="J1687" t="str">
            <v>1859</v>
          </cell>
          <cell r="K1687" t="str">
            <v>201602151421097</v>
          </cell>
          <cell r="M1687" t="str">
            <v>护彤*小儿氨酚黄那敏颗粒12袋</v>
          </cell>
        </row>
        <row r="1688">
          <cell r="E1688" t="str">
            <v>0020030170ZYEC0003</v>
          </cell>
          <cell r="H1688" t="str">
            <v>连锁3店</v>
          </cell>
          <cell r="J1688" t="str">
            <v>1859</v>
          </cell>
          <cell r="K1688" t="str">
            <v>201602151421097</v>
          </cell>
          <cell r="M1688" t="str">
            <v>蒙脱石散*泻利停3克*12袋</v>
          </cell>
        </row>
        <row r="1689">
          <cell r="E1689" t="str">
            <v>0020040070ZYEC0005</v>
          </cell>
          <cell r="H1689" t="str">
            <v>连锁45店</v>
          </cell>
          <cell r="J1689" t="str">
            <v>1859</v>
          </cell>
          <cell r="K1689" t="str">
            <v>201602151421097</v>
          </cell>
          <cell r="M1689" t="str">
            <v>小儿百部止咳糖浆100ml</v>
          </cell>
        </row>
        <row r="1690">
          <cell r="E1690" t="str">
            <v>0020030001SJZY0006</v>
          </cell>
          <cell r="H1690" t="str">
            <v>连锁47店</v>
          </cell>
          <cell r="J1690" t="str">
            <v>1859</v>
          </cell>
          <cell r="K1690" t="str">
            <v>201602151421097</v>
          </cell>
          <cell r="M1690" t="str">
            <v>葡萄糖酸钙口服液12支/盒</v>
          </cell>
        </row>
        <row r="1691">
          <cell r="E1691" t="str">
            <v>0020030001SJZY0009</v>
          </cell>
          <cell r="H1691" t="str">
            <v>连锁47店</v>
          </cell>
          <cell r="J1691" t="str">
            <v>1859</v>
          </cell>
          <cell r="K1691" t="str">
            <v>201602151421097</v>
          </cell>
          <cell r="M1691" t="str">
            <v>葡萄糖酸锌口服液12支/盒</v>
          </cell>
        </row>
        <row r="1692">
          <cell r="E1692" t="str">
            <v>0020030001SJZY0009</v>
          </cell>
          <cell r="H1692" t="str">
            <v>连锁35店</v>
          </cell>
          <cell r="J1692" t="str">
            <v>1859</v>
          </cell>
          <cell r="K1692" t="str">
            <v>201602151421097</v>
          </cell>
          <cell r="M1692" t="str">
            <v>葡萄糖酸锌口服液12支/盒</v>
          </cell>
        </row>
        <row r="1693">
          <cell r="E1693" t="str">
            <v>0020040030SJSC0009</v>
          </cell>
          <cell r="H1693" t="str">
            <v>连锁17店</v>
          </cell>
          <cell r="J1693" t="str">
            <v>1859</v>
          </cell>
          <cell r="K1693" t="str">
            <v>201602151421097</v>
          </cell>
          <cell r="M1693" t="str">
            <v>护肝片0.36g*100片</v>
          </cell>
        </row>
        <row r="1694">
          <cell r="E1694" t="str">
            <v>0020050020SHYT0016</v>
          </cell>
          <cell r="H1694" t="str">
            <v>连锁17店</v>
          </cell>
          <cell r="J1694" t="str">
            <v>1859</v>
          </cell>
          <cell r="K1694" t="str">
            <v>201602151421097</v>
          </cell>
          <cell r="M1694" t="str">
            <v>复方金银花颗粒10g*10袋</v>
          </cell>
        </row>
        <row r="1695">
          <cell r="E1695" t="str">
            <v>0020020021ZYZC0341</v>
          </cell>
          <cell r="H1695" t="str">
            <v>连锁24店</v>
          </cell>
          <cell r="J1695" t="str">
            <v>1859</v>
          </cell>
          <cell r="K1695" t="str">
            <v>201602151421097</v>
          </cell>
          <cell r="M1695" t="str">
            <v>胜艾*阿莫西林克拉维酸钾分散片0.2285g*12pian</v>
          </cell>
        </row>
        <row r="1696">
          <cell r="E1696" t="str">
            <v>0020030001SJZY0006</v>
          </cell>
          <cell r="H1696" t="str">
            <v>连锁5店</v>
          </cell>
          <cell r="J1696" t="str">
            <v>1859</v>
          </cell>
          <cell r="K1696" t="str">
            <v>201602151421097</v>
          </cell>
          <cell r="M1696" t="str">
            <v>葡萄糖酸钙口服液12支/盒</v>
          </cell>
        </row>
        <row r="1697">
          <cell r="E1697" t="str">
            <v>0020030001SJZY0006</v>
          </cell>
          <cell r="H1697" t="str">
            <v>连锁18店</v>
          </cell>
          <cell r="J1697" t="str">
            <v>1859</v>
          </cell>
          <cell r="K1697" t="str">
            <v>201602151421097</v>
          </cell>
          <cell r="M1697" t="str">
            <v>葡萄糖酸钙口服液12支/盒</v>
          </cell>
        </row>
        <row r="1698">
          <cell r="E1698" t="str">
            <v>0020030170ZYEC0003</v>
          </cell>
          <cell r="H1698" t="str">
            <v>连锁39店</v>
          </cell>
          <cell r="J1698" t="str">
            <v>1859</v>
          </cell>
          <cell r="K1698" t="str">
            <v>201602151421097</v>
          </cell>
          <cell r="M1698" t="str">
            <v>蒙脱石散*泻利停3克*12袋</v>
          </cell>
        </row>
        <row r="1699">
          <cell r="E1699" t="str">
            <v>0020020020ZYLC0010</v>
          </cell>
          <cell r="H1699" t="str">
            <v>连锁39店</v>
          </cell>
          <cell r="J1699" t="str">
            <v>1859</v>
          </cell>
          <cell r="K1699" t="str">
            <v>201602151421097</v>
          </cell>
          <cell r="M1699" t="str">
            <v>泻利停*颠茄磺苄啶片10片</v>
          </cell>
        </row>
        <row r="1700">
          <cell r="E1700" t="str">
            <v>0020020020ZYLC0003</v>
          </cell>
          <cell r="H1700" t="str">
            <v>连锁39店</v>
          </cell>
          <cell r="J1700" t="str">
            <v>1859</v>
          </cell>
          <cell r="K1700" t="str">
            <v>201602151421097</v>
          </cell>
          <cell r="M1700" t="str">
            <v>泻利停*颠茄磺苄啶片12片</v>
          </cell>
        </row>
        <row r="1701">
          <cell r="E1701" t="str">
            <v>0020070000ZYLC0055</v>
          </cell>
          <cell r="H1701" t="str">
            <v>连锁39店</v>
          </cell>
          <cell r="J1701" t="str">
            <v>1859</v>
          </cell>
          <cell r="K1701" t="str">
            <v>201602151421097</v>
          </cell>
          <cell r="M1701" t="str">
            <v>朴雪乳酸亚铁口服液10ml*12支</v>
          </cell>
        </row>
        <row r="1702">
          <cell r="E1702" t="str">
            <v>0020040070ZYEC0005</v>
          </cell>
          <cell r="H1702" t="str">
            <v>连锁26店</v>
          </cell>
          <cell r="J1702" t="str">
            <v>1859</v>
          </cell>
          <cell r="K1702" t="str">
            <v>201602151421097</v>
          </cell>
          <cell r="M1702" t="str">
            <v>小儿百部止咳糖浆100ml</v>
          </cell>
        </row>
        <row r="1703">
          <cell r="E1703" t="str">
            <v>0020030032ZYZC0300</v>
          </cell>
          <cell r="H1703" t="str">
            <v>连锁28店</v>
          </cell>
          <cell r="J1703" t="str">
            <v>1859</v>
          </cell>
          <cell r="K1703" t="str">
            <v>201602151421097</v>
          </cell>
          <cell r="M1703" t="str">
            <v>维生素E软胶囊100mg*30粒</v>
          </cell>
        </row>
        <row r="1704">
          <cell r="E1704" t="str">
            <v>0020030170ZYEC0003</v>
          </cell>
          <cell r="H1704" t="str">
            <v>连锁51店</v>
          </cell>
          <cell r="J1704" t="str">
            <v>1859</v>
          </cell>
          <cell r="K1704" t="str">
            <v>201602151421097</v>
          </cell>
          <cell r="M1704" t="str">
            <v>蒙脱石散*泻利停3克*12袋</v>
          </cell>
        </row>
        <row r="1705">
          <cell r="E1705" t="str">
            <v>0020070000ZYLC0001</v>
          </cell>
          <cell r="H1705" t="str">
            <v>连锁51店</v>
          </cell>
          <cell r="J1705" t="str">
            <v>1859</v>
          </cell>
          <cell r="K1705" t="str">
            <v>201602151421097</v>
          </cell>
          <cell r="M1705" t="str">
            <v>高钙片36片</v>
          </cell>
        </row>
        <row r="1706">
          <cell r="E1706" t="str">
            <v>0020030001SJZY0006</v>
          </cell>
          <cell r="H1706" t="str">
            <v>连锁51店</v>
          </cell>
          <cell r="J1706" t="str">
            <v>1859</v>
          </cell>
          <cell r="K1706" t="str">
            <v>201602151421097</v>
          </cell>
          <cell r="M1706" t="str">
            <v>葡萄糖酸钙口服液12支/盒</v>
          </cell>
        </row>
        <row r="1707">
          <cell r="E1707" t="str">
            <v>0020070000ZYLC0001</v>
          </cell>
          <cell r="H1707" t="str">
            <v>连锁20店</v>
          </cell>
          <cell r="J1707" t="str">
            <v>1859</v>
          </cell>
          <cell r="K1707" t="str">
            <v>201602151421097</v>
          </cell>
          <cell r="M1707" t="str">
            <v>高钙片36片</v>
          </cell>
        </row>
        <row r="1708">
          <cell r="E1708" t="str">
            <v>0020040220SHYT0004</v>
          </cell>
          <cell r="H1708" t="str">
            <v>连锁16店</v>
          </cell>
          <cell r="J1708" t="str">
            <v>1859</v>
          </cell>
          <cell r="K1708" t="str">
            <v>201602151421097</v>
          </cell>
          <cell r="M1708" t="str">
            <v>妇宁栓1.6g*8粒</v>
          </cell>
        </row>
        <row r="1709">
          <cell r="E1709" t="str">
            <v>0020050090SJZY0001</v>
          </cell>
          <cell r="H1709" t="str">
            <v>连锁16店</v>
          </cell>
          <cell r="J1709" t="str">
            <v>1859</v>
          </cell>
          <cell r="K1709" t="str">
            <v>201602151421097</v>
          </cell>
          <cell r="M1709" t="str">
            <v>双黄连口服液10ml*10</v>
          </cell>
        </row>
        <row r="1710">
          <cell r="E1710" t="str">
            <v>0020070000ZYLC0001</v>
          </cell>
          <cell r="H1710" t="str">
            <v>连锁15店</v>
          </cell>
          <cell r="J1710" t="str">
            <v>1859</v>
          </cell>
          <cell r="K1710" t="str">
            <v>201602151421097</v>
          </cell>
          <cell r="M1710" t="str">
            <v>高钙片36片</v>
          </cell>
        </row>
        <row r="1711">
          <cell r="E1711" t="str">
            <v>0020040001SHYT0018</v>
          </cell>
          <cell r="H1711" t="str">
            <v>连锁15店</v>
          </cell>
          <cell r="J1711" t="str">
            <v>1859</v>
          </cell>
          <cell r="K1711" t="str">
            <v>201602151421097</v>
          </cell>
          <cell r="M1711" t="str">
            <v>血府逐瘀丸9g*10丸</v>
          </cell>
        </row>
        <row r="1712">
          <cell r="E1712" t="str">
            <v>0020070000ZYLC0001</v>
          </cell>
          <cell r="H1712" t="str">
            <v>连锁12店</v>
          </cell>
          <cell r="J1712" t="str">
            <v>1859</v>
          </cell>
          <cell r="K1712" t="str">
            <v>201602151421097</v>
          </cell>
          <cell r="M1712" t="str">
            <v>高钙片36片</v>
          </cell>
        </row>
        <row r="1713">
          <cell r="E1713" t="str">
            <v>0020020021ZYLC0010</v>
          </cell>
          <cell r="H1713" t="str">
            <v>连锁37店</v>
          </cell>
          <cell r="J1713" t="str">
            <v>1859</v>
          </cell>
          <cell r="K1713" t="str">
            <v>201602151421097</v>
          </cell>
          <cell r="M1713" t="str">
            <v>长迪*克拉霉素分散片12片</v>
          </cell>
        </row>
        <row r="1714">
          <cell r="E1714" t="str">
            <v>0020070001ZYZC0369</v>
          </cell>
          <cell r="H1714" t="str">
            <v>连锁45店</v>
          </cell>
          <cell r="J1714" t="str">
            <v>1859</v>
          </cell>
          <cell r="K1714" t="str">
            <v>201602151421097</v>
          </cell>
          <cell r="M1714" t="str">
            <v>哈药*钙铁锌口服液10ml*12支</v>
          </cell>
        </row>
        <row r="1715">
          <cell r="E1715" t="str">
            <v>0020020021ZYLC0010</v>
          </cell>
          <cell r="H1715" t="str">
            <v>连锁1店</v>
          </cell>
          <cell r="J1715" t="str">
            <v>1859</v>
          </cell>
          <cell r="K1715" t="str">
            <v>201602151421097</v>
          </cell>
          <cell r="M1715" t="str">
            <v>长迪*克拉霉素分散片12片</v>
          </cell>
        </row>
        <row r="1716">
          <cell r="E1716" t="str">
            <v>0020020021ZYZC0341</v>
          </cell>
          <cell r="H1716" t="str">
            <v>连锁35店</v>
          </cell>
          <cell r="J1716" t="str">
            <v>1859</v>
          </cell>
          <cell r="K1716" t="str">
            <v>201602151421097</v>
          </cell>
          <cell r="M1716" t="str">
            <v>胜艾*阿莫西林克拉维酸钾分散片0.2285g*12pian</v>
          </cell>
        </row>
        <row r="1717">
          <cell r="E1717" t="str">
            <v>0020020021ZYZC0341</v>
          </cell>
          <cell r="H1717" t="str">
            <v>连锁42店</v>
          </cell>
          <cell r="J1717" t="str">
            <v>1859</v>
          </cell>
          <cell r="K1717" t="str">
            <v>201602151421097</v>
          </cell>
          <cell r="M1717" t="str">
            <v>胜艾*阿莫西林克拉维酸钾分散片0.2285g*12pian</v>
          </cell>
        </row>
        <row r="1718">
          <cell r="E1718" t="str">
            <v>0020020021ZYLC0010</v>
          </cell>
          <cell r="H1718" t="str">
            <v>连锁42店</v>
          </cell>
          <cell r="J1718" t="str">
            <v>1859</v>
          </cell>
          <cell r="K1718" t="str">
            <v>201602151421097</v>
          </cell>
          <cell r="M1718" t="str">
            <v>长迪*克拉霉素分散片12片</v>
          </cell>
        </row>
        <row r="1719">
          <cell r="E1719" t="str">
            <v>0020070001ZYZC0369</v>
          </cell>
          <cell r="H1719" t="str">
            <v>连锁42店</v>
          </cell>
          <cell r="J1719" t="str">
            <v>1859</v>
          </cell>
          <cell r="K1719" t="str">
            <v>201602151421097</v>
          </cell>
          <cell r="M1719" t="str">
            <v>哈药*钙铁锌口服液10ml*12支</v>
          </cell>
        </row>
        <row r="1720">
          <cell r="E1720" t="str">
            <v>0020030001SJZY0006</v>
          </cell>
          <cell r="H1720" t="str">
            <v>连锁8店</v>
          </cell>
          <cell r="J1720" t="str">
            <v>1859</v>
          </cell>
          <cell r="K1720" t="str">
            <v>201602151421097</v>
          </cell>
          <cell r="M1720" t="str">
            <v>葡萄糖酸钙口服液12支/盒</v>
          </cell>
        </row>
        <row r="1721">
          <cell r="E1721" t="str">
            <v>0020050090SJZY0001</v>
          </cell>
          <cell r="H1721" t="str">
            <v>连锁2店</v>
          </cell>
          <cell r="J1721" t="str">
            <v>1859</v>
          </cell>
          <cell r="K1721" t="str">
            <v>201602151421097</v>
          </cell>
          <cell r="M1721" t="str">
            <v>双黄连口服液10ml*10</v>
          </cell>
        </row>
        <row r="1722">
          <cell r="E1722" t="str">
            <v>0020040001SHYT0018</v>
          </cell>
          <cell r="H1722" t="str">
            <v>滨15店</v>
          </cell>
          <cell r="J1722" t="str">
            <v>1853</v>
          </cell>
          <cell r="K1722" t="str">
            <v>201602151421097</v>
          </cell>
          <cell r="M1722" t="str">
            <v>血府逐瘀丸9g*10丸</v>
          </cell>
        </row>
        <row r="1723">
          <cell r="E1723" t="str">
            <v>0020030040ZYLC0001</v>
          </cell>
          <cell r="H1723" t="str">
            <v>滨16店</v>
          </cell>
          <cell r="J1723" t="str">
            <v>1853</v>
          </cell>
          <cell r="K1723" t="str">
            <v>201602151421097</v>
          </cell>
          <cell r="M1723" t="str">
            <v>护彤*小儿氨酚黄那敏颗粒12袋</v>
          </cell>
        </row>
        <row r="1724">
          <cell r="E1724" t="str">
            <v>0020050090SJZY0001</v>
          </cell>
          <cell r="H1724" t="str">
            <v>滨16店</v>
          </cell>
          <cell r="J1724" t="str">
            <v>1853</v>
          </cell>
          <cell r="K1724" t="str">
            <v>201602151421097</v>
          </cell>
          <cell r="M1724" t="str">
            <v>双黄连口服液10ml*10</v>
          </cell>
        </row>
        <row r="1725">
          <cell r="E1725" t="str">
            <v>0020040030SJSC0009</v>
          </cell>
          <cell r="H1725" t="str">
            <v>滨16店</v>
          </cell>
          <cell r="J1725" t="str">
            <v>1853</v>
          </cell>
          <cell r="K1725" t="str">
            <v>201602151421097</v>
          </cell>
          <cell r="M1725" t="str">
            <v>护肝片0.36g*100片</v>
          </cell>
        </row>
        <row r="1726">
          <cell r="E1726" t="str">
            <v>0020050020SHYT0016</v>
          </cell>
          <cell r="H1726" t="str">
            <v>滨6店</v>
          </cell>
          <cell r="J1726" t="str">
            <v>1853</v>
          </cell>
          <cell r="K1726" t="str">
            <v>201602151421097</v>
          </cell>
          <cell r="M1726" t="str">
            <v>复方金银花颗粒10g*10袋</v>
          </cell>
        </row>
        <row r="1727">
          <cell r="E1727" t="str">
            <v>0020070000ZYLC0001</v>
          </cell>
          <cell r="H1727" t="str">
            <v>连锁19店</v>
          </cell>
          <cell r="J1727" t="str">
            <v>1859</v>
          </cell>
          <cell r="K1727" t="str">
            <v>201602151421097</v>
          </cell>
          <cell r="M1727" t="str">
            <v>高钙片36片</v>
          </cell>
        </row>
        <row r="1728">
          <cell r="E1728" t="str">
            <v>0020030040ZYLC0001</v>
          </cell>
          <cell r="H1728" t="str">
            <v>连锁19店</v>
          </cell>
          <cell r="J1728" t="str">
            <v>1859</v>
          </cell>
          <cell r="K1728" t="str">
            <v>201602151421097</v>
          </cell>
          <cell r="M1728" t="str">
            <v>护彤*小儿氨酚黄那敏颗粒12袋</v>
          </cell>
        </row>
        <row r="1729">
          <cell r="E1729" t="str">
            <v>0020030001SJZY0009</v>
          </cell>
          <cell r="H1729" t="str">
            <v>连锁5店</v>
          </cell>
          <cell r="J1729" t="str">
            <v>1859</v>
          </cell>
          <cell r="K1729" t="str">
            <v>201602151421097</v>
          </cell>
          <cell r="M1729" t="str">
            <v>葡萄糖酸锌口服液12支/盒</v>
          </cell>
        </row>
        <row r="1730">
          <cell r="E1730" t="str">
            <v>0020020021ZYLC0005</v>
          </cell>
          <cell r="H1730" t="str">
            <v>连锁11店</v>
          </cell>
          <cell r="J1730" t="str">
            <v>1859</v>
          </cell>
          <cell r="K1730" t="str">
            <v>201602151421097</v>
          </cell>
          <cell r="M1730" t="str">
            <v>罗红霉素分散片-小严迪12片/盒</v>
          </cell>
        </row>
        <row r="1731">
          <cell r="E1731" t="str">
            <v>0020040030SJSC0009</v>
          </cell>
          <cell r="H1731" t="str">
            <v>连锁11店</v>
          </cell>
          <cell r="J1731" t="str">
            <v>1859</v>
          </cell>
          <cell r="K1731" t="str">
            <v>201602151421097</v>
          </cell>
          <cell r="M1731" t="str">
            <v>护肝片0.36g*100片</v>
          </cell>
        </row>
        <row r="1732">
          <cell r="E1732" t="str">
            <v>0020070001ZYZC0369</v>
          </cell>
          <cell r="H1732" t="str">
            <v>连锁19店</v>
          </cell>
          <cell r="J1732" t="str">
            <v>1859</v>
          </cell>
          <cell r="K1732" t="str">
            <v>201602151421097</v>
          </cell>
          <cell r="M1732" t="str">
            <v>哈药*钙铁锌口服液10ml*12支</v>
          </cell>
        </row>
        <row r="1733">
          <cell r="E1733" t="str">
            <v>0020040220SHYT0004</v>
          </cell>
          <cell r="H1733" t="str">
            <v>中心店</v>
          </cell>
          <cell r="J1733" t="str">
            <v>1859</v>
          </cell>
          <cell r="K1733" t="str">
            <v>201602151421097</v>
          </cell>
          <cell r="M1733" t="str">
            <v>妇宁栓1.6g*8粒</v>
          </cell>
        </row>
        <row r="1734">
          <cell r="E1734" t="str">
            <v>0020070000ZYLC0001</v>
          </cell>
          <cell r="H1734" t="str">
            <v>中心店</v>
          </cell>
          <cell r="J1734" t="str">
            <v>1859</v>
          </cell>
          <cell r="K1734" t="str">
            <v>201602151421097</v>
          </cell>
          <cell r="M1734" t="str">
            <v>高钙片36片</v>
          </cell>
        </row>
        <row r="1735">
          <cell r="E1735" t="str">
            <v>0020030020SJSC0004</v>
          </cell>
          <cell r="H1735" t="str">
            <v>连锁28店</v>
          </cell>
          <cell r="J1735" t="str">
            <v>1859</v>
          </cell>
          <cell r="K1735" t="str">
            <v>201602151421097</v>
          </cell>
          <cell r="M1735" t="str">
            <v>胃必治*复方铝酸铋片50片</v>
          </cell>
        </row>
        <row r="1736">
          <cell r="E1736" t="str">
            <v>0020070000ZYLC0001</v>
          </cell>
          <cell r="H1736" t="str">
            <v>连锁27店</v>
          </cell>
          <cell r="J1736" t="str">
            <v>1859</v>
          </cell>
          <cell r="K1736" t="str">
            <v>201602151421097</v>
          </cell>
          <cell r="M1736" t="str">
            <v>高钙片36片</v>
          </cell>
        </row>
        <row r="1737">
          <cell r="E1737" t="str">
            <v>0020020030SJMS0024</v>
          </cell>
          <cell r="H1737" t="str">
            <v>连锁2店</v>
          </cell>
          <cell r="J1737" t="str">
            <v>1859</v>
          </cell>
          <cell r="K1737" t="str">
            <v>201602151421097</v>
          </cell>
          <cell r="M1737" t="str">
            <v>人工牛黄甲硝唑胶囊20粒</v>
          </cell>
        </row>
        <row r="1738">
          <cell r="E1738" t="str">
            <v>0020030020SJSC0004</v>
          </cell>
          <cell r="H1738" t="str">
            <v>连锁32店</v>
          </cell>
          <cell r="J1738" t="str">
            <v>1859</v>
          </cell>
          <cell r="K1738" t="str">
            <v>201602151421097</v>
          </cell>
          <cell r="M1738" t="str">
            <v>胃必治*复方铝酸铋片50片</v>
          </cell>
        </row>
        <row r="1739">
          <cell r="E1739" t="str">
            <v>0020040220SHYT0004</v>
          </cell>
          <cell r="H1739" t="str">
            <v>连锁1店</v>
          </cell>
          <cell r="J1739" t="str">
            <v>1859</v>
          </cell>
          <cell r="K1739" t="str">
            <v>201602151421097</v>
          </cell>
          <cell r="M1739" t="str">
            <v>妇宁栓1.6g*8粒</v>
          </cell>
        </row>
        <row r="1740">
          <cell r="E1740" t="str">
            <v>0020020021ZYZC0341</v>
          </cell>
          <cell r="H1740" t="str">
            <v>连锁23店</v>
          </cell>
          <cell r="J1740" t="str">
            <v>1859</v>
          </cell>
          <cell r="K1740" t="str">
            <v>201602151421097</v>
          </cell>
          <cell r="M1740" t="str">
            <v>胜艾*阿莫西林克拉维酸钾分散片0.2285g*12pian</v>
          </cell>
        </row>
        <row r="1741">
          <cell r="E1741" t="str">
            <v>0020030020ZYLC0010</v>
          </cell>
          <cell r="H1741" t="str">
            <v>连锁35店</v>
          </cell>
          <cell r="J1741" t="str">
            <v>1859</v>
          </cell>
          <cell r="K1741" t="str">
            <v>201602151421097</v>
          </cell>
          <cell r="M1741" t="str">
            <v>乳酸菌素片/为消0.4g*36片</v>
          </cell>
        </row>
        <row r="1742">
          <cell r="E1742" t="str">
            <v>0020050020SHYT0016</v>
          </cell>
          <cell r="H1742" t="str">
            <v>连锁42店</v>
          </cell>
          <cell r="J1742" t="str">
            <v>1859</v>
          </cell>
          <cell r="K1742" t="str">
            <v>201602151421097</v>
          </cell>
          <cell r="M1742" t="str">
            <v>复方金银花颗粒10g*10袋</v>
          </cell>
        </row>
        <row r="1743">
          <cell r="E1743" t="str">
            <v>0020020021ZYLC0010</v>
          </cell>
          <cell r="H1743" t="str">
            <v>连锁21店</v>
          </cell>
          <cell r="J1743" t="str">
            <v>1859</v>
          </cell>
          <cell r="K1743" t="str">
            <v>201602151421097</v>
          </cell>
          <cell r="M1743" t="str">
            <v>长迪*克拉霉素分散片12片</v>
          </cell>
        </row>
        <row r="1744">
          <cell r="E1744" t="str">
            <v>0020030001SJZY0009</v>
          </cell>
          <cell r="H1744" t="str">
            <v>连锁17店</v>
          </cell>
          <cell r="J1744" t="str">
            <v>1859</v>
          </cell>
          <cell r="K1744" t="str">
            <v>201602151421097</v>
          </cell>
          <cell r="M1744" t="str">
            <v>葡萄糖酸锌口服液12支/盒</v>
          </cell>
        </row>
        <row r="1745">
          <cell r="E1745" t="str">
            <v>0020020020ZYLC0003</v>
          </cell>
          <cell r="H1745" t="str">
            <v>连锁43店</v>
          </cell>
          <cell r="J1745" t="str">
            <v>1859</v>
          </cell>
          <cell r="K1745" t="str">
            <v>201602151421097</v>
          </cell>
          <cell r="M1745" t="str">
            <v>泻利停*颠茄磺苄啶片12片</v>
          </cell>
        </row>
        <row r="1746">
          <cell r="E1746" t="str">
            <v>0020070000ZYLC0001</v>
          </cell>
          <cell r="H1746" t="str">
            <v>连锁49店</v>
          </cell>
          <cell r="J1746" t="str">
            <v>1859</v>
          </cell>
          <cell r="K1746" t="str">
            <v>201602151421097</v>
          </cell>
          <cell r="M1746" t="str">
            <v>高钙片36片</v>
          </cell>
        </row>
        <row r="1747">
          <cell r="E1747" t="str">
            <v>0020030020ZYLC0010</v>
          </cell>
          <cell r="H1747" t="str">
            <v>连锁2店</v>
          </cell>
          <cell r="J1747" t="str">
            <v>1859</v>
          </cell>
          <cell r="K1747" t="str">
            <v>201602151421097</v>
          </cell>
          <cell r="M1747" t="str">
            <v>乳酸菌素片/为消0.4g*36片</v>
          </cell>
        </row>
        <row r="1748">
          <cell r="E1748" t="str">
            <v>0020040030SJSC0009</v>
          </cell>
          <cell r="H1748" t="str">
            <v>连锁2店</v>
          </cell>
          <cell r="J1748" t="str">
            <v>1859</v>
          </cell>
          <cell r="K1748" t="str">
            <v>201602151421097</v>
          </cell>
          <cell r="M1748" t="str">
            <v>护肝片0.36g*100片</v>
          </cell>
        </row>
        <row r="1749">
          <cell r="E1749" t="str">
            <v>0020070000ZYLC0001</v>
          </cell>
          <cell r="H1749" t="str">
            <v>连锁22店</v>
          </cell>
          <cell r="J1749" t="str">
            <v>1859</v>
          </cell>
          <cell r="K1749" t="str">
            <v>201602151421097</v>
          </cell>
          <cell r="M1749" t="str">
            <v>高钙片36片</v>
          </cell>
        </row>
        <row r="1750">
          <cell r="E1750" t="str">
            <v>0020030001SJZY0009</v>
          </cell>
          <cell r="H1750" t="str">
            <v>滨17店</v>
          </cell>
          <cell r="J1750" t="str">
            <v>1853</v>
          </cell>
          <cell r="K1750" t="str">
            <v>201602151421097</v>
          </cell>
          <cell r="M1750" t="str">
            <v>葡萄糖酸锌口服液12支/盒</v>
          </cell>
        </row>
        <row r="1751">
          <cell r="E1751" t="str">
            <v>0020040220SHYT0004</v>
          </cell>
          <cell r="H1751" t="str">
            <v>滨16店</v>
          </cell>
          <cell r="J1751" t="str">
            <v>1853</v>
          </cell>
          <cell r="K1751" t="str">
            <v>201602151421097</v>
          </cell>
          <cell r="M1751" t="str">
            <v>妇宁栓1.6g*8粒</v>
          </cell>
        </row>
        <row r="1752">
          <cell r="E1752" t="str">
            <v>0020020021ZYLC0010</v>
          </cell>
          <cell r="H1752" t="str">
            <v>连锁39店</v>
          </cell>
          <cell r="J1752" t="str">
            <v>1859</v>
          </cell>
          <cell r="K1752" t="str">
            <v>201602151421097</v>
          </cell>
          <cell r="M1752" t="str">
            <v>长迪*克拉霉素分散片12片</v>
          </cell>
        </row>
        <row r="1753">
          <cell r="E1753" t="str">
            <v>0020040001SHYT0018</v>
          </cell>
          <cell r="H1753" t="str">
            <v>连锁34店</v>
          </cell>
          <cell r="J1753" t="str">
            <v>1859</v>
          </cell>
          <cell r="K1753" t="str">
            <v>201602151421097</v>
          </cell>
          <cell r="M1753" t="str">
            <v>血府逐瘀丸9g*10丸</v>
          </cell>
        </row>
        <row r="1754">
          <cell r="E1754" t="str">
            <v>0020030020ZYLC0010</v>
          </cell>
          <cell r="H1754" t="str">
            <v>连锁34店</v>
          </cell>
          <cell r="J1754" t="str">
            <v>1859</v>
          </cell>
          <cell r="K1754" t="str">
            <v>201602151421097</v>
          </cell>
          <cell r="M1754" t="str">
            <v>乳酸菌素片/为消0.4g*36片</v>
          </cell>
        </row>
        <row r="1755">
          <cell r="E1755" t="str">
            <v>0020050020SHYT0016</v>
          </cell>
          <cell r="H1755" t="str">
            <v>滨旗舰店</v>
          </cell>
          <cell r="J1755" t="str">
            <v>1853</v>
          </cell>
          <cell r="K1755" t="str">
            <v>201602151421097</v>
          </cell>
          <cell r="M1755" t="str">
            <v>复方金银花颗粒10g*10袋</v>
          </cell>
        </row>
        <row r="1756">
          <cell r="E1756" t="str">
            <v>0020040220SHYT0004</v>
          </cell>
          <cell r="H1756" t="str">
            <v>连锁50店</v>
          </cell>
          <cell r="J1756" t="str">
            <v>1859</v>
          </cell>
          <cell r="K1756" t="str">
            <v>201602151421097</v>
          </cell>
          <cell r="M1756" t="str">
            <v>妇宁栓1.6g*8粒</v>
          </cell>
        </row>
        <row r="1757">
          <cell r="E1757" t="str">
            <v>0020070001ZYZC0369</v>
          </cell>
          <cell r="H1757" t="str">
            <v>滨1店</v>
          </cell>
          <cell r="J1757" t="str">
            <v>1853</v>
          </cell>
          <cell r="K1757" t="str">
            <v>201602151421097</v>
          </cell>
          <cell r="M1757" t="str">
            <v>哈药*钙铁锌口服液10ml*12支</v>
          </cell>
        </row>
        <row r="1758">
          <cell r="E1758" t="str">
            <v>0020070000ZYLC0055</v>
          </cell>
          <cell r="H1758" t="str">
            <v>滨1店</v>
          </cell>
          <cell r="J1758" t="str">
            <v>1853</v>
          </cell>
          <cell r="K1758" t="str">
            <v>201602151421097</v>
          </cell>
          <cell r="M1758" t="str">
            <v>朴雪乳酸亚铁口服液10ml*12支</v>
          </cell>
        </row>
        <row r="1759">
          <cell r="E1759" t="str">
            <v>0020050090SJZY0001</v>
          </cell>
          <cell r="H1759" t="str">
            <v>连锁51店</v>
          </cell>
          <cell r="J1759" t="str">
            <v>1859</v>
          </cell>
          <cell r="K1759" t="str">
            <v>201602151421097</v>
          </cell>
          <cell r="M1759" t="str">
            <v>双黄连口服液10ml*10</v>
          </cell>
        </row>
        <row r="1760">
          <cell r="E1760" t="str">
            <v>0020040220SHYT0004</v>
          </cell>
          <cell r="H1760" t="str">
            <v>连锁20店</v>
          </cell>
          <cell r="J1760" t="str">
            <v>1859</v>
          </cell>
          <cell r="K1760" t="str">
            <v>201602151421097</v>
          </cell>
          <cell r="M1760" t="str">
            <v>妇宁栓1.6g*8粒</v>
          </cell>
        </row>
        <row r="1761">
          <cell r="E1761" t="str">
            <v>0020020021ZYLC0010</v>
          </cell>
          <cell r="H1761" t="str">
            <v>连锁27店</v>
          </cell>
          <cell r="J1761" t="str">
            <v>1859</v>
          </cell>
          <cell r="K1761" t="str">
            <v>201602151421097</v>
          </cell>
          <cell r="M1761" t="str">
            <v>长迪*克拉霉素分散片12片</v>
          </cell>
        </row>
        <row r="1762">
          <cell r="E1762" t="str">
            <v>0020030020ZYLC0010</v>
          </cell>
          <cell r="H1762" t="str">
            <v>连锁27店</v>
          </cell>
          <cell r="J1762" t="str">
            <v>1859</v>
          </cell>
          <cell r="K1762" t="str">
            <v>201602151421097</v>
          </cell>
          <cell r="M1762" t="str">
            <v>乳酸菌素片/为消0.4g*36片</v>
          </cell>
        </row>
        <row r="1763">
          <cell r="E1763" t="str">
            <v>0020040220SHYT0004</v>
          </cell>
          <cell r="H1763" t="str">
            <v>连锁15店</v>
          </cell>
          <cell r="J1763" t="str">
            <v>1859</v>
          </cell>
          <cell r="K1763" t="str">
            <v>201602151421097</v>
          </cell>
          <cell r="M1763" t="str">
            <v>妇宁栓1.6g*8粒</v>
          </cell>
        </row>
        <row r="1764">
          <cell r="E1764" t="str">
            <v>0020020020ZYLC0003</v>
          </cell>
          <cell r="H1764" t="str">
            <v>连锁32店</v>
          </cell>
          <cell r="J1764" t="str">
            <v>1859</v>
          </cell>
          <cell r="K1764" t="str">
            <v>201602151421097</v>
          </cell>
          <cell r="M1764" t="str">
            <v>泻利停*颠茄磺苄啶片12片</v>
          </cell>
        </row>
        <row r="1765">
          <cell r="E1765" t="str">
            <v>0020070000ZYLC0052</v>
          </cell>
          <cell r="H1765" t="str">
            <v>连锁9店</v>
          </cell>
          <cell r="J1765" t="str">
            <v>1859</v>
          </cell>
          <cell r="K1765" t="str">
            <v>201602151421097</v>
          </cell>
          <cell r="M1765" t="str">
            <v>钙加锌口服液10ml*12支</v>
          </cell>
        </row>
        <row r="1766">
          <cell r="E1766" t="str">
            <v>0020030020ZYLC0010</v>
          </cell>
          <cell r="H1766" t="str">
            <v>连锁37店</v>
          </cell>
          <cell r="J1766" t="str">
            <v>1859</v>
          </cell>
          <cell r="K1766" t="str">
            <v>201602151421097</v>
          </cell>
          <cell r="M1766" t="str">
            <v>乳酸菌素片/为消0.4g*36片</v>
          </cell>
        </row>
        <row r="1767">
          <cell r="E1767" t="str">
            <v>0020040030SJSC0009</v>
          </cell>
          <cell r="H1767" t="str">
            <v>连锁37店</v>
          </cell>
          <cell r="J1767" t="str">
            <v>1859</v>
          </cell>
          <cell r="K1767" t="str">
            <v>201602151421097</v>
          </cell>
          <cell r="M1767" t="str">
            <v>护肝片0.36g*100片</v>
          </cell>
        </row>
        <row r="1768">
          <cell r="E1768" t="str">
            <v>0020030020ZYLC0010</v>
          </cell>
          <cell r="H1768" t="str">
            <v>连锁1店</v>
          </cell>
          <cell r="J1768" t="str">
            <v>1859</v>
          </cell>
          <cell r="K1768" t="str">
            <v>201602151421097</v>
          </cell>
          <cell r="M1768" t="str">
            <v>乳酸菌素片/为消0.4g*36片</v>
          </cell>
        </row>
        <row r="1769">
          <cell r="E1769" t="str">
            <v>0020040030SJSC0009</v>
          </cell>
          <cell r="H1769" t="str">
            <v>连锁1店</v>
          </cell>
          <cell r="J1769" t="str">
            <v>1859</v>
          </cell>
          <cell r="K1769" t="str">
            <v>201602151421097</v>
          </cell>
          <cell r="M1769" t="str">
            <v>护肝片0.36g*100片</v>
          </cell>
        </row>
        <row r="1770">
          <cell r="E1770" t="str">
            <v>0020050020SHYT0016</v>
          </cell>
          <cell r="H1770" t="str">
            <v>连锁1店</v>
          </cell>
          <cell r="J1770" t="str">
            <v>1859</v>
          </cell>
          <cell r="K1770" t="str">
            <v>201602151421097</v>
          </cell>
          <cell r="M1770" t="str">
            <v>复方金银花颗粒10g*10袋</v>
          </cell>
        </row>
        <row r="1771">
          <cell r="E1771" t="str">
            <v>0020070000ZYLC0052</v>
          </cell>
          <cell r="H1771" t="str">
            <v>连锁1店</v>
          </cell>
          <cell r="J1771" t="str">
            <v>1859</v>
          </cell>
          <cell r="K1771" t="str">
            <v>201602151421097</v>
          </cell>
          <cell r="M1771" t="str">
            <v>钙加锌口服液10ml*12支</v>
          </cell>
        </row>
        <row r="1772">
          <cell r="E1772" t="str">
            <v>0020020020ZYLC0010</v>
          </cell>
          <cell r="H1772" t="str">
            <v>连锁7店</v>
          </cell>
          <cell r="J1772" t="str">
            <v>1859</v>
          </cell>
          <cell r="K1772" t="str">
            <v>201602151421097</v>
          </cell>
          <cell r="M1772" t="str">
            <v>泻利停*颠茄磺苄啶片10片</v>
          </cell>
        </row>
        <row r="1773">
          <cell r="E1773" t="str">
            <v>0020030001SJZY0009</v>
          </cell>
          <cell r="H1773" t="str">
            <v>连锁8店</v>
          </cell>
          <cell r="J1773" t="str">
            <v>1859</v>
          </cell>
          <cell r="K1773" t="str">
            <v>201602151421097</v>
          </cell>
          <cell r="M1773" t="str">
            <v>葡萄糖酸锌口服液12支/盒</v>
          </cell>
        </row>
        <row r="1774">
          <cell r="E1774" t="str">
            <v>0020020020ZYLC0003</v>
          </cell>
          <cell r="H1774" t="str">
            <v>连锁21店</v>
          </cell>
          <cell r="J1774" t="str">
            <v>1859</v>
          </cell>
          <cell r="K1774" t="str">
            <v>201602151421097</v>
          </cell>
          <cell r="M1774" t="str">
            <v>泻利停*颠茄磺苄啶片12片</v>
          </cell>
        </row>
        <row r="1775">
          <cell r="E1775" t="str">
            <v>0020030001SJZY0009</v>
          </cell>
          <cell r="H1775" t="str">
            <v>连锁24店</v>
          </cell>
          <cell r="J1775" t="str">
            <v>1859</v>
          </cell>
          <cell r="K1775" t="str">
            <v>201602151421097</v>
          </cell>
          <cell r="M1775" t="str">
            <v>葡萄糖酸锌口服液12支/盒</v>
          </cell>
        </row>
        <row r="1776">
          <cell r="E1776" t="str">
            <v>0020040220SHYT0004</v>
          </cell>
          <cell r="H1776" t="str">
            <v>连锁14店</v>
          </cell>
          <cell r="J1776" t="str">
            <v>1859</v>
          </cell>
          <cell r="K1776" t="str">
            <v>201602151421097</v>
          </cell>
          <cell r="M1776" t="str">
            <v>妇宁栓1.6g*8粒</v>
          </cell>
        </row>
        <row r="1777">
          <cell r="E1777" t="str">
            <v>0020030020ZYLC0010</v>
          </cell>
          <cell r="H1777" t="str">
            <v>连锁14店</v>
          </cell>
          <cell r="J1777" t="str">
            <v>1859</v>
          </cell>
          <cell r="K1777" t="str">
            <v>201602151421097</v>
          </cell>
          <cell r="M1777" t="str">
            <v>乳酸菌素片/为消0.4g*36片</v>
          </cell>
        </row>
        <row r="1778">
          <cell r="E1778" t="str">
            <v>0020030020ZYLC0010</v>
          </cell>
          <cell r="H1778" t="str">
            <v>连锁33店</v>
          </cell>
          <cell r="J1778" t="str">
            <v>1859</v>
          </cell>
          <cell r="K1778" t="str">
            <v>201602151421097</v>
          </cell>
          <cell r="M1778" t="str">
            <v>乳酸菌素片/为消0.4g*36片</v>
          </cell>
        </row>
        <row r="1779">
          <cell r="E1779" t="str">
            <v>0020050020SHYT0016</v>
          </cell>
          <cell r="H1779" t="str">
            <v>连锁33店</v>
          </cell>
          <cell r="J1779" t="str">
            <v>1859</v>
          </cell>
          <cell r="K1779" t="str">
            <v>201602151421097</v>
          </cell>
          <cell r="M1779" t="str">
            <v>复方金银花颗粒10g*10袋</v>
          </cell>
        </row>
        <row r="1780">
          <cell r="E1780" t="str">
            <v>0020030020ZYLC0010</v>
          </cell>
          <cell r="H1780" t="str">
            <v>连锁31店</v>
          </cell>
          <cell r="J1780" t="str">
            <v>1859</v>
          </cell>
          <cell r="K1780" t="str">
            <v>201602151421097</v>
          </cell>
          <cell r="M1780" t="str">
            <v>乳酸菌素片/为消0.4g*36片</v>
          </cell>
        </row>
        <row r="1781">
          <cell r="E1781" t="str">
            <v>0020040030SJSC0009</v>
          </cell>
          <cell r="H1781" t="str">
            <v>连锁31店</v>
          </cell>
          <cell r="J1781" t="str">
            <v>1859</v>
          </cell>
          <cell r="K1781" t="str">
            <v>201602151421097</v>
          </cell>
          <cell r="M1781" t="str">
            <v>护肝片0.36g*100片</v>
          </cell>
        </row>
        <row r="1782">
          <cell r="E1782" t="str">
            <v>0020030020ZYZC0360</v>
          </cell>
          <cell r="H1782" t="str">
            <v>连锁5店</v>
          </cell>
          <cell r="J1782" t="str">
            <v>1859</v>
          </cell>
          <cell r="K1782" t="str">
            <v>201602151421097</v>
          </cell>
          <cell r="M1782" t="str">
            <v>维生素c咀嚼片0.1g*30片</v>
          </cell>
        </row>
        <row r="1783">
          <cell r="E1783" t="str">
            <v>0020070000ZYLC0001</v>
          </cell>
          <cell r="H1783" t="str">
            <v>连锁18店</v>
          </cell>
          <cell r="J1783" t="str">
            <v>1859</v>
          </cell>
          <cell r="K1783" t="str">
            <v>201602151421097</v>
          </cell>
          <cell r="M1783" t="str">
            <v>高钙片36片</v>
          </cell>
        </row>
        <row r="1784">
          <cell r="E1784" t="str">
            <v>0020030020ZYLC0010</v>
          </cell>
          <cell r="H1784" t="str">
            <v>连锁18店</v>
          </cell>
          <cell r="J1784" t="str">
            <v>1859</v>
          </cell>
          <cell r="K1784" t="str">
            <v>201602151421097</v>
          </cell>
          <cell r="M1784" t="str">
            <v>乳酸菌素片/为消0.4g*36片</v>
          </cell>
        </row>
        <row r="1785">
          <cell r="E1785" t="str">
            <v>0020050020SHYT0016</v>
          </cell>
          <cell r="H1785" t="str">
            <v>连锁18店</v>
          </cell>
          <cell r="J1785" t="str">
            <v>1859</v>
          </cell>
          <cell r="K1785" t="str">
            <v>201602151421097</v>
          </cell>
          <cell r="M1785" t="str">
            <v>复方金银花颗粒10g*10袋</v>
          </cell>
        </row>
        <row r="1786">
          <cell r="E1786" t="str">
            <v>0020030001SJZY0006</v>
          </cell>
          <cell r="H1786" t="str">
            <v>连锁22店</v>
          </cell>
          <cell r="J1786" t="str">
            <v>1859</v>
          </cell>
          <cell r="K1786" t="str">
            <v>201602151421097</v>
          </cell>
          <cell r="M1786" t="str">
            <v>葡萄糖酸钙口服液12支/盒</v>
          </cell>
        </row>
        <row r="1787">
          <cell r="E1787" t="str">
            <v>0020070000ZYLC0052</v>
          </cell>
          <cell r="H1787" t="str">
            <v>连锁29店</v>
          </cell>
          <cell r="J1787" t="str">
            <v>1859</v>
          </cell>
          <cell r="K1787" t="str">
            <v>201602151421097</v>
          </cell>
          <cell r="M1787" t="str">
            <v>钙加锌口服液10ml*12支</v>
          </cell>
        </row>
        <row r="1788">
          <cell r="E1788" t="str">
            <v>0020030020ZYLC0010</v>
          </cell>
          <cell r="H1788" t="str">
            <v>连锁26店</v>
          </cell>
          <cell r="J1788" t="str">
            <v>1859</v>
          </cell>
          <cell r="K1788" t="str">
            <v>201602151421097</v>
          </cell>
          <cell r="M1788" t="str">
            <v>乳酸菌素片/为消0.4g*36片</v>
          </cell>
        </row>
        <row r="1789">
          <cell r="E1789" t="str">
            <v>0020050020SHYT0016</v>
          </cell>
          <cell r="H1789" t="str">
            <v>连锁26店</v>
          </cell>
          <cell r="J1789" t="str">
            <v>1859</v>
          </cell>
          <cell r="K1789" t="str">
            <v>201602151421097</v>
          </cell>
          <cell r="M1789" t="str">
            <v>复方金银花颗粒10g*10袋</v>
          </cell>
        </row>
        <row r="1790">
          <cell r="E1790" t="str">
            <v>0020050090SJZY0001</v>
          </cell>
          <cell r="H1790" t="str">
            <v>连锁50店</v>
          </cell>
          <cell r="J1790" t="str">
            <v>1859</v>
          </cell>
          <cell r="K1790" t="str">
            <v>201602151421097</v>
          </cell>
          <cell r="M1790" t="str">
            <v>双黄连口服液10ml*10</v>
          </cell>
        </row>
        <row r="1791">
          <cell r="E1791" t="str">
            <v>0020030020ZYLC0010</v>
          </cell>
          <cell r="H1791" t="str">
            <v>连锁49店</v>
          </cell>
          <cell r="J1791" t="str">
            <v>1859</v>
          </cell>
          <cell r="K1791" t="str">
            <v>201602151421097</v>
          </cell>
          <cell r="M1791" t="str">
            <v>乳酸菌素片/为消0.4g*36片</v>
          </cell>
        </row>
        <row r="1792">
          <cell r="E1792" t="str">
            <v>0020030020ZYLC0010</v>
          </cell>
          <cell r="H1792" t="str">
            <v>连锁38店</v>
          </cell>
          <cell r="J1792" t="str">
            <v>1859</v>
          </cell>
          <cell r="K1792" t="str">
            <v>201602151421097</v>
          </cell>
          <cell r="M1792" t="str">
            <v>乳酸菌素片/为消0.4g*36片</v>
          </cell>
        </row>
        <row r="1793">
          <cell r="E1793" t="str">
            <v>0020030020SJSC0004</v>
          </cell>
          <cell r="H1793" t="str">
            <v>连锁21店</v>
          </cell>
          <cell r="J1793" t="str">
            <v>1859</v>
          </cell>
          <cell r="K1793" t="str">
            <v>201602151421097</v>
          </cell>
          <cell r="M1793" t="str">
            <v>胃必治*复方铝酸铋片50片</v>
          </cell>
        </row>
        <row r="1794">
          <cell r="E1794" t="str">
            <v>0020040220SHYT0004</v>
          </cell>
          <cell r="H1794" t="str">
            <v>连锁41店</v>
          </cell>
          <cell r="J1794" t="str">
            <v>1859</v>
          </cell>
          <cell r="K1794" t="str">
            <v>201602151421097</v>
          </cell>
          <cell r="M1794" t="str">
            <v>妇宁栓1.6g*8粒</v>
          </cell>
        </row>
        <row r="1795">
          <cell r="E1795" t="str">
            <v>0020020030ZYZC0289</v>
          </cell>
          <cell r="H1795" t="str">
            <v>连锁10店</v>
          </cell>
          <cell r="J1795" t="str">
            <v>1859</v>
          </cell>
          <cell r="K1795" t="str">
            <v>201602151421097</v>
          </cell>
          <cell r="M1795" t="str">
            <v>阿莫西林胶囊0.5g*36粒</v>
          </cell>
        </row>
        <row r="1796">
          <cell r="E1796" t="str">
            <v>0020020021ZYLC0004</v>
          </cell>
          <cell r="H1796" t="str">
            <v>连锁52店</v>
          </cell>
          <cell r="J1796" t="str">
            <v>1859</v>
          </cell>
          <cell r="K1796" t="str">
            <v>201602151421097</v>
          </cell>
          <cell r="M1796" t="str">
            <v>严迪*罗红霉素分散片75mg*12</v>
          </cell>
        </row>
        <row r="1797">
          <cell r="E1797" t="str">
            <v>0020020021ZYLC0005</v>
          </cell>
          <cell r="H1797" t="str">
            <v>连锁52店</v>
          </cell>
          <cell r="J1797" t="str">
            <v>1859</v>
          </cell>
          <cell r="K1797" t="str">
            <v>201602151421097</v>
          </cell>
          <cell r="M1797" t="str">
            <v>罗红霉素分散片-小严迪12片/盒</v>
          </cell>
        </row>
        <row r="1798">
          <cell r="E1798" t="str">
            <v>0020040220SHYT0004</v>
          </cell>
          <cell r="H1798" t="str">
            <v>连锁47店</v>
          </cell>
          <cell r="J1798" t="str">
            <v>1859</v>
          </cell>
          <cell r="K1798" t="str">
            <v>201602151421097</v>
          </cell>
          <cell r="M1798" t="str">
            <v>妇宁栓1.6g*8粒</v>
          </cell>
        </row>
        <row r="1799">
          <cell r="E1799" t="str">
            <v>0020030020ZYLC0010</v>
          </cell>
          <cell r="H1799" t="str">
            <v>连锁47店</v>
          </cell>
          <cell r="J1799" t="str">
            <v>1859</v>
          </cell>
          <cell r="K1799" t="str">
            <v>201602151421097</v>
          </cell>
          <cell r="M1799" t="str">
            <v>乳酸菌素片/为消0.4g*36片</v>
          </cell>
        </row>
        <row r="1800">
          <cell r="E1800" t="str">
            <v>0020050020SHYT0016</v>
          </cell>
          <cell r="H1800" t="str">
            <v>连锁47店</v>
          </cell>
          <cell r="J1800" t="str">
            <v>1859</v>
          </cell>
          <cell r="K1800" t="str">
            <v>201602151421097</v>
          </cell>
          <cell r="M1800" t="str">
            <v>复方金银花颗粒10g*10袋</v>
          </cell>
        </row>
        <row r="1801">
          <cell r="E1801" t="str">
            <v>0020030032ZYZC0300</v>
          </cell>
          <cell r="H1801" t="str">
            <v>连锁52店</v>
          </cell>
          <cell r="J1801" t="str">
            <v>1859</v>
          </cell>
          <cell r="K1801" t="str">
            <v>201602151421097</v>
          </cell>
          <cell r="M1801" t="str">
            <v>维生素E软胶囊100mg*30粒</v>
          </cell>
        </row>
        <row r="1802">
          <cell r="E1802" t="str">
            <v>0020070000ZYLC0001</v>
          </cell>
          <cell r="H1802" t="str">
            <v>连锁23店</v>
          </cell>
          <cell r="J1802" t="str">
            <v>1859</v>
          </cell>
          <cell r="K1802" t="str">
            <v>201602151421097</v>
          </cell>
          <cell r="M1802" t="str">
            <v>高钙片36片</v>
          </cell>
        </row>
        <row r="1803">
          <cell r="E1803" t="str">
            <v>0020030020ZYLC0010</v>
          </cell>
          <cell r="H1803" t="str">
            <v>连锁7店</v>
          </cell>
          <cell r="J1803" t="str">
            <v>1859</v>
          </cell>
          <cell r="K1803" t="str">
            <v>201602151421097</v>
          </cell>
          <cell r="M1803" t="str">
            <v>乳酸菌素片/为消0.4g*36片</v>
          </cell>
        </row>
        <row r="1804">
          <cell r="E1804" t="str">
            <v>0020050020SHYT0016</v>
          </cell>
          <cell r="H1804" t="str">
            <v>连锁7店</v>
          </cell>
          <cell r="J1804" t="str">
            <v>1859</v>
          </cell>
          <cell r="K1804" t="str">
            <v>201602151421097</v>
          </cell>
          <cell r="M1804" t="str">
            <v>复方金银花颗粒10g*10袋</v>
          </cell>
        </row>
        <row r="1805">
          <cell r="E1805" t="str">
            <v>0020020020ZYLC0010</v>
          </cell>
          <cell r="H1805" t="str">
            <v>连锁30店</v>
          </cell>
          <cell r="J1805" t="str">
            <v>1859</v>
          </cell>
          <cell r="K1805" t="str">
            <v>201602151421097</v>
          </cell>
          <cell r="M1805" t="str">
            <v>泻利停*颠茄磺苄啶片10片</v>
          </cell>
        </row>
        <row r="1806">
          <cell r="E1806" t="str">
            <v>0020030040ZYLC0001</v>
          </cell>
          <cell r="H1806" t="str">
            <v>连锁21店</v>
          </cell>
          <cell r="J1806" t="str">
            <v>1859</v>
          </cell>
          <cell r="K1806" t="str">
            <v>201602151421097</v>
          </cell>
          <cell r="M1806" t="str">
            <v>护彤*小儿氨酚黄那敏颗粒12袋</v>
          </cell>
        </row>
        <row r="1807">
          <cell r="E1807" t="str">
            <v>0020030170ZYEC0003</v>
          </cell>
          <cell r="H1807" t="str">
            <v>连锁33店</v>
          </cell>
          <cell r="J1807" t="str">
            <v>1859</v>
          </cell>
          <cell r="K1807" t="str">
            <v>201602151421097</v>
          </cell>
          <cell r="M1807" t="str">
            <v>蒙脱石散*泻利停3克*12袋</v>
          </cell>
        </row>
        <row r="1808">
          <cell r="E1808" t="str">
            <v>0020030170ZYEC0003</v>
          </cell>
          <cell r="H1808" t="str">
            <v>滨17店</v>
          </cell>
          <cell r="J1808" t="str">
            <v>1853</v>
          </cell>
          <cell r="K1808" t="str">
            <v>201602151421097</v>
          </cell>
          <cell r="M1808" t="str">
            <v>蒙脱石散*泻利停3克*12袋</v>
          </cell>
        </row>
        <row r="1809">
          <cell r="E1809" t="str">
            <v>0020070000ZYLC0055</v>
          </cell>
          <cell r="H1809" t="str">
            <v>连锁6店</v>
          </cell>
          <cell r="J1809" t="str">
            <v>1859</v>
          </cell>
          <cell r="K1809" t="str">
            <v>201602151421097</v>
          </cell>
          <cell r="M1809" t="str">
            <v>朴雪乳酸亚铁口服液10ml*12支</v>
          </cell>
        </row>
        <row r="1810">
          <cell r="E1810" t="str">
            <v>0020020021ZYLC0005</v>
          </cell>
          <cell r="H1810" t="str">
            <v>滨1店</v>
          </cell>
          <cell r="J1810" t="str">
            <v>1853</v>
          </cell>
          <cell r="K1810" t="str">
            <v>201602151421097</v>
          </cell>
          <cell r="M1810" t="str">
            <v>罗红霉素分散片-小严迪12片/盒</v>
          </cell>
        </row>
        <row r="1811">
          <cell r="E1811" t="str">
            <v>0020040220SHYT0004</v>
          </cell>
          <cell r="H1811" t="str">
            <v>连锁26店</v>
          </cell>
          <cell r="J1811" t="str">
            <v>1859</v>
          </cell>
          <cell r="K1811" t="str">
            <v>201602151421097</v>
          </cell>
          <cell r="M1811" t="str">
            <v>妇宁栓1.6g*8粒</v>
          </cell>
        </row>
        <row r="1812">
          <cell r="E1812" t="str">
            <v>0020030040ZYLC0001</v>
          </cell>
          <cell r="H1812" t="str">
            <v>连锁26店</v>
          </cell>
          <cell r="J1812" t="str">
            <v>1859</v>
          </cell>
          <cell r="K1812" t="str">
            <v>201602151421097</v>
          </cell>
          <cell r="M1812" t="str">
            <v>护彤*小儿氨酚黄那敏颗粒12袋</v>
          </cell>
        </row>
        <row r="1813">
          <cell r="E1813" t="str">
            <v>0020030001SJZY0009</v>
          </cell>
          <cell r="H1813" t="str">
            <v>连锁49店</v>
          </cell>
          <cell r="J1813" t="str">
            <v>1859</v>
          </cell>
          <cell r="K1813" t="str">
            <v>201602151421097</v>
          </cell>
          <cell r="M1813" t="str">
            <v>葡萄糖酸锌口服液12支/盒</v>
          </cell>
        </row>
        <row r="1814">
          <cell r="E1814" t="str">
            <v>0020030001SJZY0006</v>
          </cell>
          <cell r="H1814" t="str">
            <v>连锁46店</v>
          </cell>
          <cell r="J1814" t="str">
            <v>1859</v>
          </cell>
          <cell r="K1814" t="str">
            <v>201602151421097</v>
          </cell>
          <cell r="M1814" t="str">
            <v>葡萄糖酸钙口服液12支/盒</v>
          </cell>
        </row>
        <row r="1815">
          <cell r="E1815" t="str">
            <v>0020020020ZYLC0010</v>
          </cell>
          <cell r="H1815" t="str">
            <v>连锁13店</v>
          </cell>
          <cell r="J1815" t="str">
            <v>1859</v>
          </cell>
          <cell r="K1815" t="str">
            <v>201602151421097</v>
          </cell>
          <cell r="M1815" t="str">
            <v>泻利停*颠茄磺苄啶片10片</v>
          </cell>
        </row>
        <row r="1816">
          <cell r="E1816" t="str">
            <v>0020030032ZYZC0300</v>
          </cell>
          <cell r="H1816" t="str">
            <v>连锁11店</v>
          </cell>
          <cell r="J1816" t="str">
            <v>1859</v>
          </cell>
          <cell r="K1816" t="str">
            <v>201602151421097</v>
          </cell>
          <cell r="M1816" t="str">
            <v>维生素E软胶囊100mg*30粒</v>
          </cell>
        </row>
        <row r="1817">
          <cell r="E1817" t="str">
            <v>0020030032ZYZC0300</v>
          </cell>
          <cell r="H1817" t="str">
            <v>连锁29店</v>
          </cell>
          <cell r="J1817" t="str">
            <v>1859</v>
          </cell>
          <cell r="K1817" t="str">
            <v>201602151421097</v>
          </cell>
          <cell r="M1817" t="str">
            <v>维生素E软胶囊100mg*30粒</v>
          </cell>
        </row>
        <row r="1818">
          <cell r="E1818" t="str">
            <v>0020030170ZYEC0003</v>
          </cell>
          <cell r="H1818" t="str">
            <v>连锁29店</v>
          </cell>
          <cell r="J1818" t="str">
            <v>1859</v>
          </cell>
          <cell r="K1818" t="str">
            <v>201602151421097</v>
          </cell>
          <cell r="M1818" t="str">
            <v>蒙脱石散*泻利停3克*12袋</v>
          </cell>
        </row>
        <row r="1819">
          <cell r="E1819" t="str">
            <v>0020040001SHYT0018</v>
          </cell>
          <cell r="H1819" t="str">
            <v>连锁28店</v>
          </cell>
          <cell r="J1819" t="str">
            <v>1859</v>
          </cell>
          <cell r="K1819" t="str">
            <v>201602151421097</v>
          </cell>
          <cell r="M1819" t="str">
            <v>血府逐瘀丸9g*10丸</v>
          </cell>
        </row>
        <row r="1820">
          <cell r="E1820" t="str">
            <v>0020020030ZYZC0289</v>
          </cell>
          <cell r="H1820" t="str">
            <v>连锁2店</v>
          </cell>
          <cell r="J1820" t="str">
            <v>1859</v>
          </cell>
          <cell r="K1820" t="str">
            <v>201602151421097</v>
          </cell>
          <cell r="M1820" t="str">
            <v>阿莫西林胶囊0.5g*36粒</v>
          </cell>
        </row>
        <row r="1821">
          <cell r="E1821" t="str">
            <v>0020030020ZYLC0010</v>
          </cell>
          <cell r="H1821" t="str">
            <v>连锁40店</v>
          </cell>
          <cell r="J1821" t="str">
            <v>1859</v>
          </cell>
          <cell r="K1821" t="str">
            <v>201602151421097</v>
          </cell>
          <cell r="M1821" t="str">
            <v>乳酸菌素片/为消0.4g*36片</v>
          </cell>
        </row>
        <row r="1822">
          <cell r="E1822" t="str">
            <v>0020050020SHYT0016</v>
          </cell>
          <cell r="H1822" t="str">
            <v>连锁12店</v>
          </cell>
          <cell r="J1822" t="str">
            <v>1859</v>
          </cell>
          <cell r="K1822" t="str">
            <v>201602151421097</v>
          </cell>
          <cell r="M1822" t="str">
            <v>复方金银花颗粒10g*10袋</v>
          </cell>
        </row>
        <row r="1823">
          <cell r="E1823" t="str">
            <v>0020030001SJZY0009</v>
          </cell>
          <cell r="H1823" t="str">
            <v>连锁37店</v>
          </cell>
          <cell r="J1823" t="str">
            <v>1859</v>
          </cell>
          <cell r="K1823" t="str">
            <v>201602151421097</v>
          </cell>
          <cell r="M1823" t="str">
            <v>葡萄糖酸锌口服液12支/盒</v>
          </cell>
        </row>
        <row r="1824">
          <cell r="E1824" t="str">
            <v>0020070000ZYLC0052</v>
          </cell>
          <cell r="H1824" t="str">
            <v>连锁52店</v>
          </cell>
          <cell r="J1824" t="str">
            <v>1859</v>
          </cell>
          <cell r="K1824" t="str">
            <v>201602151421097</v>
          </cell>
          <cell r="M1824" t="str">
            <v>钙加锌口服液10ml*12支</v>
          </cell>
        </row>
        <row r="1825">
          <cell r="E1825" t="str">
            <v>0020040030SJSC0009</v>
          </cell>
          <cell r="H1825" t="str">
            <v>连锁24店</v>
          </cell>
          <cell r="J1825" t="str">
            <v>1859</v>
          </cell>
          <cell r="K1825" t="str">
            <v>201602151421097</v>
          </cell>
          <cell r="M1825" t="str">
            <v>护肝片0.36g*100片</v>
          </cell>
        </row>
        <row r="1826">
          <cell r="E1826" t="str">
            <v>0020050020SHYT0016</v>
          </cell>
          <cell r="H1826" t="str">
            <v>连锁25店</v>
          </cell>
          <cell r="J1826" t="str">
            <v>1859</v>
          </cell>
          <cell r="K1826" t="str">
            <v>201602151421097</v>
          </cell>
          <cell r="M1826" t="str">
            <v>复方金银花颗粒10g*10袋</v>
          </cell>
        </row>
        <row r="1827">
          <cell r="E1827" t="str">
            <v>0020020021ZYZC0341</v>
          </cell>
          <cell r="H1827" t="str">
            <v>连锁14店</v>
          </cell>
          <cell r="J1827" t="str">
            <v>1859</v>
          </cell>
          <cell r="K1827" t="str">
            <v>201602151421097</v>
          </cell>
          <cell r="M1827" t="str">
            <v>胜艾*阿莫西林克拉维酸钾分散片0.2285g*12pian</v>
          </cell>
        </row>
        <row r="1828">
          <cell r="E1828" t="str">
            <v>0020040030SJSC0009</v>
          </cell>
          <cell r="H1828" t="str">
            <v>连锁33店</v>
          </cell>
          <cell r="J1828" t="str">
            <v>1859</v>
          </cell>
          <cell r="K1828" t="str">
            <v>201602151421097</v>
          </cell>
          <cell r="M1828" t="str">
            <v>护肝片0.36g*100片</v>
          </cell>
        </row>
        <row r="1829">
          <cell r="E1829" t="str">
            <v>0020030020ZYLC0010</v>
          </cell>
          <cell r="H1829" t="str">
            <v>连锁43店</v>
          </cell>
          <cell r="J1829" t="str">
            <v>1859</v>
          </cell>
          <cell r="K1829" t="str">
            <v>201602151421097</v>
          </cell>
          <cell r="M1829" t="str">
            <v>乳酸菌素片/为消0.4g*36片</v>
          </cell>
        </row>
        <row r="1830">
          <cell r="E1830" t="str">
            <v>0020040030SJSC0009</v>
          </cell>
          <cell r="H1830" t="str">
            <v>连锁43店</v>
          </cell>
          <cell r="J1830" t="str">
            <v>1859</v>
          </cell>
          <cell r="K1830" t="str">
            <v>201602151421097</v>
          </cell>
          <cell r="M1830" t="str">
            <v>护肝片0.36g*100片</v>
          </cell>
        </row>
        <row r="1831">
          <cell r="E1831" t="str">
            <v>0020050020SHYT0016</v>
          </cell>
          <cell r="H1831" t="str">
            <v>连锁43店</v>
          </cell>
          <cell r="J1831" t="str">
            <v>1859</v>
          </cell>
          <cell r="K1831" t="str">
            <v>201602151421097</v>
          </cell>
          <cell r="M1831" t="str">
            <v>复方金银花颗粒10g*10袋</v>
          </cell>
        </row>
        <row r="1832">
          <cell r="E1832" t="str">
            <v>0020030040SJET0003</v>
          </cell>
          <cell r="H1832" t="str">
            <v>连锁16店</v>
          </cell>
          <cell r="J1832" t="str">
            <v>1859</v>
          </cell>
          <cell r="K1832" t="str">
            <v>201602151421097</v>
          </cell>
          <cell r="M1832" t="str">
            <v>氨金黄敏颗粒6g*10袋/盒</v>
          </cell>
        </row>
        <row r="1833">
          <cell r="E1833" t="str">
            <v>0020030032ZYZC0300</v>
          </cell>
          <cell r="H1833" t="str">
            <v>连锁13店</v>
          </cell>
          <cell r="J1833" t="str">
            <v>1859</v>
          </cell>
          <cell r="K1833" t="str">
            <v>201602151421097</v>
          </cell>
          <cell r="M1833" t="str">
            <v>维生素E软胶囊100mg*30粒</v>
          </cell>
        </row>
        <row r="1834">
          <cell r="E1834" t="str">
            <v>0020030020ZYZC0360</v>
          </cell>
          <cell r="H1834" t="str">
            <v>连锁31店</v>
          </cell>
          <cell r="J1834" t="str">
            <v>1859</v>
          </cell>
          <cell r="K1834" t="str">
            <v>201602151421097</v>
          </cell>
          <cell r="M1834" t="str">
            <v>维生素c咀嚼片0.1g*30片</v>
          </cell>
        </row>
        <row r="1835">
          <cell r="E1835" t="str">
            <v>0020020020ZYLC0003</v>
          </cell>
          <cell r="H1835" t="str">
            <v>连锁11店</v>
          </cell>
          <cell r="J1835" t="str">
            <v>1859</v>
          </cell>
          <cell r="K1835" t="str">
            <v>201602151421097</v>
          </cell>
          <cell r="M1835" t="str">
            <v>泻利停*颠茄磺苄啶片12片</v>
          </cell>
        </row>
        <row r="1836">
          <cell r="E1836" t="str">
            <v>0020030001SJZY0009</v>
          </cell>
          <cell r="H1836" t="str">
            <v>连锁29店</v>
          </cell>
          <cell r="J1836" t="str">
            <v>1859</v>
          </cell>
          <cell r="K1836" t="str">
            <v>201602151421097</v>
          </cell>
          <cell r="M1836" t="str">
            <v>葡萄糖酸锌口服液12支/盒</v>
          </cell>
        </row>
        <row r="1837">
          <cell r="E1837" t="str">
            <v>0020030020ZYLC0010</v>
          </cell>
          <cell r="H1837" t="str">
            <v>连锁29店</v>
          </cell>
          <cell r="J1837" t="str">
            <v>1859</v>
          </cell>
          <cell r="K1837" t="str">
            <v>201602151421097</v>
          </cell>
          <cell r="M1837" t="str">
            <v>乳酸菌素片/为消0.4g*36片</v>
          </cell>
        </row>
        <row r="1838">
          <cell r="E1838" t="str">
            <v>0020050090SJZY0001</v>
          </cell>
          <cell r="H1838" t="str">
            <v>连锁6店</v>
          </cell>
          <cell r="J1838" t="str">
            <v>1859</v>
          </cell>
          <cell r="K1838" t="str">
            <v>201602151421097</v>
          </cell>
          <cell r="M1838" t="str">
            <v>双黄连口服液10ml*10</v>
          </cell>
        </row>
        <row r="1839">
          <cell r="E1839" t="str">
            <v>0020030020ZYLC0010</v>
          </cell>
          <cell r="H1839" t="str">
            <v>连锁6店</v>
          </cell>
          <cell r="J1839" t="str">
            <v>1859</v>
          </cell>
          <cell r="K1839" t="str">
            <v>201602151421097</v>
          </cell>
          <cell r="M1839" t="str">
            <v>乳酸菌素片/为消0.4g*36片</v>
          </cell>
        </row>
        <row r="1840">
          <cell r="E1840" t="str">
            <v>0020030020ZYLC0010</v>
          </cell>
          <cell r="H1840" t="str">
            <v>连锁46店</v>
          </cell>
          <cell r="J1840" t="str">
            <v>1859</v>
          </cell>
          <cell r="K1840" t="str">
            <v>201602151421097</v>
          </cell>
          <cell r="M1840" t="str">
            <v>乳酸菌素片/为消0.4g*36片</v>
          </cell>
        </row>
        <row r="1841">
          <cell r="E1841" t="str">
            <v>0020040030SJSC0009</v>
          </cell>
          <cell r="H1841" t="str">
            <v>连锁46店</v>
          </cell>
          <cell r="J1841" t="str">
            <v>1859</v>
          </cell>
          <cell r="K1841" t="str">
            <v>201602151421097</v>
          </cell>
          <cell r="M1841" t="str">
            <v>护肝片0.36g*100片</v>
          </cell>
        </row>
        <row r="1842">
          <cell r="E1842" t="str">
            <v>0020050020SHYT0016</v>
          </cell>
          <cell r="H1842" t="str">
            <v>连锁46店</v>
          </cell>
          <cell r="J1842" t="str">
            <v>1859</v>
          </cell>
          <cell r="K1842" t="str">
            <v>201602151421097</v>
          </cell>
          <cell r="M1842" t="str">
            <v>复方金银花颗粒10g*10袋</v>
          </cell>
        </row>
        <row r="1843">
          <cell r="E1843" t="str">
            <v>0020030001SJZY0009</v>
          </cell>
          <cell r="H1843" t="str">
            <v>滨3店</v>
          </cell>
          <cell r="J1843" t="str">
            <v>1853</v>
          </cell>
          <cell r="K1843" t="str">
            <v>201602151421097</v>
          </cell>
          <cell r="M1843" t="str">
            <v>葡萄糖酸锌口服液12支/盒</v>
          </cell>
        </row>
        <row r="1844">
          <cell r="E1844" t="str">
            <v>0020020021ZYZC0341</v>
          </cell>
          <cell r="H1844" t="str">
            <v>滨旗舰店</v>
          </cell>
          <cell r="J1844" t="str">
            <v>1853</v>
          </cell>
          <cell r="K1844" t="str">
            <v>201602151421097</v>
          </cell>
          <cell r="M1844" t="str">
            <v>胜艾*阿莫西林克拉维酸钾分散片0.2285g*12pian</v>
          </cell>
        </row>
        <row r="1845">
          <cell r="E1845" t="str">
            <v>0020020012SWGC0007</v>
          </cell>
          <cell r="H1845" t="str">
            <v>陵城区滋镇中心卫生院</v>
          </cell>
          <cell r="J1845" t="str">
            <v>1833</v>
          </cell>
          <cell r="M1845" t="str">
            <v>注射用奥美拉唑钠40mg</v>
          </cell>
        </row>
        <row r="1846">
          <cell r="E1846" t="str">
            <v>0020020012SWGC0007</v>
          </cell>
          <cell r="H1846" t="str">
            <v>博山区机关卫生所</v>
          </cell>
          <cell r="J1846" t="str">
            <v>1740</v>
          </cell>
          <cell r="M1846" t="str">
            <v>注射用奥美拉唑钠40mg</v>
          </cell>
        </row>
        <row r="1847">
          <cell r="E1847" t="str">
            <v>0020020012SWGC0007</v>
          </cell>
          <cell r="H1847" t="str">
            <v>菏泽九州通医药有限公司</v>
          </cell>
          <cell r="J1847" t="str">
            <v>1861</v>
          </cell>
          <cell r="M1847" t="str">
            <v>注射用奥美拉唑钠40mg</v>
          </cell>
        </row>
        <row r="1848">
          <cell r="E1848" t="str">
            <v>0020020012SWGC0007</v>
          </cell>
          <cell r="H1848" t="str">
            <v>泰山区上高街道社区卫生服务中心</v>
          </cell>
          <cell r="J1848" t="str">
            <v>1799</v>
          </cell>
          <cell r="M1848" t="str">
            <v>注射用奥美拉唑钠40mg</v>
          </cell>
        </row>
        <row r="1849">
          <cell r="E1849" t="str">
            <v>0020020012SWGC0007</v>
          </cell>
          <cell r="H1849" t="str">
            <v>济阳县孙耿街道办事处社区卫生服务中心</v>
          </cell>
          <cell r="J1849" t="str">
            <v>1723</v>
          </cell>
          <cell r="M1849" t="str">
            <v>注射用奥美拉唑钠40mg</v>
          </cell>
        </row>
        <row r="1850">
          <cell r="E1850" t="str">
            <v>0020020012SWGC0007</v>
          </cell>
          <cell r="H1850" t="str">
            <v>济南市天桥区制锦市街道办事处社区卫生服务中心</v>
          </cell>
          <cell r="J1850" t="str">
            <v>1719</v>
          </cell>
          <cell r="M1850" t="str">
            <v>注射用奥美拉唑钠40mg</v>
          </cell>
        </row>
        <row r="1851">
          <cell r="E1851" t="str">
            <v>0020020012SWGC0007</v>
          </cell>
          <cell r="H1851" t="str">
            <v>济南市历下区智远办事处盛福社区卫生服务中心</v>
          </cell>
          <cell r="J1851" t="str">
            <v>1716</v>
          </cell>
          <cell r="M1851" t="str">
            <v>注射用奥美拉唑钠40mg</v>
          </cell>
        </row>
        <row r="1852">
          <cell r="E1852" t="str">
            <v>0020020012SWGC0007</v>
          </cell>
          <cell r="H1852" t="str">
            <v>济南市市中区舜耕街道办事处阳光舜城社区卫生服务站</v>
          </cell>
          <cell r="J1852" t="str">
            <v>1717</v>
          </cell>
          <cell r="M1852" t="str">
            <v>注射用奥美拉唑钠40mg</v>
          </cell>
        </row>
        <row r="1853">
          <cell r="E1853" t="str">
            <v>0020020012SWGC0007</v>
          </cell>
          <cell r="H1853" t="str">
            <v>济南市历城区华山街道办事处社区卫生服务中心</v>
          </cell>
          <cell r="J1853" t="str">
            <v>1720</v>
          </cell>
          <cell r="M1853" t="str">
            <v>注射用奥美拉唑钠40mg</v>
          </cell>
        </row>
        <row r="1854">
          <cell r="E1854" t="str">
            <v>0020020012SWGC0007</v>
          </cell>
          <cell r="H1854" t="str">
            <v>济南市天桥区大桥镇卫生院</v>
          </cell>
          <cell r="J1854" t="str">
            <v>1719</v>
          </cell>
          <cell r="M1854" t="str">
            <v>注射用奥美拉唑钠40mg</v>
          </cell>
        </row>
        <row r="1855">
          <cell r="E1855" t="str">
            <v>0020020012SWGC0007</v>
          </cell>
          <cell r="H1855" t="str">
            <v>平阴县孔村镇卫生院</v>
          </cell>
          <cell r="J1855" t="str">
            <v>1722</v>
          </cell>
          <cell r="M1855" t="str">
            <v>注射用奥美拉唑钠40mg</v>
          </cell>
        </row>
        <row r="1856">
          <cell r="E1856" t="str">
            <v>0020020012SWGC0007</v>
          </cell>
          <cell r="H1856" t="str">
            <v>潍坊市寒亭区朱里街道河滩卫生院</v>
          </cell>
          <cell r="J1856" t="str">
            <v>1774</v>
          </cell>
          <cell r="M1856" t="str">
            <v>注射用奥美拉唑钠40mg</v>
          </cell>
        </row>
        <row r="1857">
          <cell r="E1857" t="str">
            <v>0020020012SWGC0007</v>
          </cell>
          <cell r="H1857" t="str">
            <v>乐陵市朱集镇中心卫生院</v>
          </cell>
          <cell r="J1857" t="str">
            <v>1841</v>
          </cell>
          <cell r="M1857" t="str">
            <v>注射用奥美拉唑钠40mg</v>
          </cell>
        </row>
        <row r="1858">
          <cell r="E1858" t="str">
            <v>0020020012SWGC0007</v>
          </cell>
          <cell r="H1858" t="str">
            <v>临朐县冶源中心卫生院杨善分院</v>
          </cell>
          <cell r="J1858" t="str">
            <v>1777</v>
          </cell>
          <cell r="M1858" t="str">
            <v>注射用奥美拉唑钠40mg</v>
          </cell>
        </row>
        <row r="1859">
          <cell r="E1859" t="str">
            <v>0020020012SWGC0007</v>
          </cell>
          <cell r="H1859" t="str">
            <v>陵城区徽王庄镇官道孙卫生院</v>
          </cell>
          <cell r="J1859" t="str">
            <v>1833</v>
          </cell>
          <cell r="M1859" t="str">
            <v>注射用奥美拉唑钠40mg</v>
          </cell>
        </row>
        <row r="1860">
          <cell r="E1860" t="str">
            <v>0020020012SWGC0007</v>
          </cell>
          <cell r="H1860" t="str">
            <v>陵县糜镇张习桥卫生院</v>
          </cell>
          <cell r="J1860" t="str">
            <v>1833</v>
          </cell>
          <cell r="M1860" t="str">
            <v>注射用奥美拉唑钠40mg</v>
          </cell>
        </row>
        <row r="1861">
          <cell r="E1861" t="str">
            <v>0020020012SWGC0007</v>
          </cell>
          <cell r="H1861" t="str">
            <v>济南市历城区唐王镇卫生院</v>
          </cell>
          <cell r="J1861" t="str">
            <v>1720</v>
          </cell>
          <cell r="M1861" t="str">
            <v>注射用奥美拉唑钠40mg</v>
          </cell>
        </row>
        <row r="1862">
          <cell r="E1862" t="str">
            <v>0020020012SWGC0007</v>
          </cell>
          <cell r="H1862" t="str">
            <v>青州市何官卫生院分院</v>
          </cell>
          <cell r="J1862" t="str">
            <v>1779</v>
          </cell>
          <cell r="M1862" t="str">
            <v>注射用奥美拉唑钠40mg</v>
          </cell>
        </row>
        <row r="1863">
          <cell r="E1863" t="str">
            <v>0020020012SWGC0007</v>
          </cell>
          <cell r="H1863" t="str">
            <v>商河县贾庄镇卫生院</v>
          </cell>
          <cell r="J1863" t="str">
            <v>1724</v>
          </cell>
          <cell r="M1863" t="str">
            <v>注射用奥美拉唑钠40mg</v>
          </cell>
        </row>
        <row r="1864">
          <cell r="E1864" t="str">
            <v>0020020012SWGC0007</v>
          </cell>
          <cell r="H1864" t="str">
            <v>新泰市刘杜中心卫生院</v>
          </cell>
          <cell r="J1864" t="str">
            <v>1803</v>
          </cell>
          <cell r="M1864" t="str">
            <v>注射用奥美拉唑钠40mg</v>
          </cell>
        </row>
        <row r="1865">
          <cell r="E1865" t="str">
            <v>0020020012SWGC0007</v>
          </cell>
          <cell r="H1865" t="str">
            <v>乐陵市杨安镇中心卫生院</v>
          </cell>
          <cell r="J1865" t="str">
            <v>1841</v>
          </cell>
          <cell r="M1865" t="str">
            <v>注射用奥美拉唑钠40mg</v>
          </cell>
        </row>
        <row r="1866">
          <cell r="E1866" t="str">
            <v>0020020012SWGC0007</v>
          </cell>
          <cell r="H1866" t="str">
            <v>陵城区陵城镇刘泮卫生院</v>
          </cell>
          <cell r="J1866" t="str">
            <v>1833</v>
          </cell>
          <cell r="M1866" t="str">
            <v>注射用奥美拉唑钠40mg</v>
          </cell>
        </row>
        <row r="1867">
          <cell r="E1867" t="str">
            <v>0020020012SWGC0007</v>
          </cell>
          <cell r="H1867" t="str">
            <v>齐河县祝阿镇卫生院</v>
          </cell>
          <cell r="J1867" t="str">
            <v>1837</v>
          </cell>
          <cell r="M1867" t="str">
            <v>注射用奥美拉唑钠40mg</v>
          </cell>
        </row>
        <row r="1868">
          <cell r="E1868" t="str">
            <v>0020020012SWGC0007</v>
          </cell>
          <cell r="H1868" t="str">
            <v>德州经济技术开发区赵虎镇中心卫生院</v>
          </cell>
          <cell r="J1868" t="str">
            <v>1832</v>
          </cell>
          <cell r="M1868" t="str">
            <v>注射用奥美拉唑钠40mg</v>
          </cell>
        </row>
        <row r="1869">
          <cell r="E1869" t="str">
            <v>0020020012SWGC0007</v>
          </cell>
          <cell r="H1869" t="str">
            <v>新泰市汶南中心卫生院</v>
          </cell>
          <cell r="J1869" t="str">
            <v>1803</v>
          </cell>
          <cell r="M1869" t="str">
            <v>注射用奥美拉唑钠40mg</v>
          </cell>
        </row>
        <row r="1870">
          <cell r="E1870" t="str">
            <v>0020020012SWGC0007</v>
          </cell>
          <cell r="H1870" t="str">
            <v>新泰市龙廷中心卫生院</v>
          </cell>
          <cell r="J1870" t="str">
            <v>1803</v>
          </cell>
          <cell r="M1870" t="str">
            <v>注射用奥美拉唑钠40mg</v>
          </cell>
        </row>
        <row r="1871">
          <cell r="E1871" t="str">
            <v>0020020012SWGC0007</v>
          </cell>
          <cell r="H1871" t="str">
            <v>夏津县郑保屯镇卫生院</v>
          </cell>
          <cell r="J1871" t="str">
            <v>1839</v>
          </cell>
          <cell r="M1871" t="str">
            <v>注射用奥美拉唑钠40mg</v>
          </cell>
        </row>
        <row r="1872">
          <cell r="E1872" t="str">
            <v>0020030040ZYLC0001</v>
          </cell>
          <cell r="H1872" t="str">
            <v>济生堂中心店</v>
          </cell>
          <cell r="J1872" t="str">
            <v>1857</v>
          </cell>
          <cell r="K1872" t="str">
            <v>201602151421097</v>
          </cell>
          <cell r="M1872" t="str">
            <v>小儿氨酚黄那敏颗粒 护彤 2g*12袋</v>
          </cell>
        </row>
        <row r="1873">
          <cell r="E1873" t="str">
            <v>0020030040ZYLC0001</v>
          </cell>
          <cell r="H1873" t="str">
            <v>济生堂冯家店</v>
          </cell>
          <cell r="J1873" t="str">
            <v>1857</v>
          </cell>
          <cell r="K1873" t="str">
            <v>201602151421097</v>
          </cell>
          <cell r="M1873" t="str">
            <v>小儿氨酚黄那敏颗粒 护彤 2g*12袋</v>
          </cell>
        </row>
        <row r="1874">
          <cell r="E1874" t="str">
            <v>0020030040ZYLC0001</v>
          </cell>
          <cell r="H1874" t="str">
            <v>济生堂清华园店</v>
          </cell>
          <cell r="J1874" t="str">
            <v>1857</v>
          </cell>
          <cell r="K1874" t="str">
            <v>201602151421097</v>
          </cell>
          <cell r="M1874" t="str">
            <v>小儿氨酚黄那敏颗粒 护彤 2g*12袋</v>
          </cell>
        </row>
        <row r="1875">
          <cell r="E1875" t="str">
            <v>0020030040ZYLC0001</v>
          </cell>
          <cell r="H1875" t="str">
            <v>济生堂龙居店</v>
          </cell>
          <cell r="J1875" t="str">
            <v>1857</v>
          </cell>
          <cell r="K1875" t="str">
            <v>201602151421097</v>
          </cell>
          <cell r="M1875" t="str">
            <v>小儿氨酚黄那敏颗粒 护彤 2g*12袋</v>
          </cell>
        </row>
        <row r="1876">
          <cell r="E1876" t="str">
            <v>0020030040ZYLC0001</v>
          </cell>
          <cell r="H1876" t="str">
            <v>济生堂永丰店</v>
          </cell>
          <cell r="J1876" t="str">
            <v>1857</v>
          </cell>
          <cell r="K1876" t="str">
            <v>201602151421097</v>
          </cell>
          <cell r="M1876" t="str">
            <v>小儿氨酚黄那敏颗粒 护彤 2g*12袋</v>
          </cell>
        </row>
        <row r="1877">
          <cell r="E1877" t="str">
            <v>0020030040ZYLC0001</v>
          </cell>
          <cell r="H1877" t="str">
            <v>济生堂永丰店</v>
          </cell>
          <cell r="J1877" t="str">
            <v>1857</v>
          </cell>
          <cell r="K1877" t="str">
            <v>201602151421097</v>
          </cell>
          <cell r="M1877" t="str">
            <v>小儿氨酚黄那敏颗粒 护彤 2g*12袋</v>
          </cell>
        </row>
        <row r="1878">
          <cell r="E1878" t="str">
            <v>0020030040ZYLC0001</v>
          </cell>
          <cell r="H1878" t="str">
            <v>济生堂环宇店</v>
          </cell>
          <cell r="J1878" t="str">
            <v>1857</v>
          </cell>
          <cell r="K1878" t="str">
            <v>201602151421097</v>
          </cell>
          <cell r="M1878" t="str">
            <v>小儿氨酚黄那敏颗粒 护彤 2g*12袋</v>
          </cell>
        </row>
        <row r="1879">
          <cell r="E1879" t="str">
            <v>0020030040ZYLC0001</v>
          </cell>
          <cell r="H1879" t="str">
            <v>济生堂下洼店</v>
          </cell>
          <cell r="J1879" t="str">
            <v>1857</v>
          </cell>
          <cell r="K1879" t="str">
            <v>201602151421097</v>
          </cell>
          <cell r="M1879" t="str">
            <v>小儿氨酚黄那敏颗粒 护彤 2g*12袋</v>
          </cell>
        </row>
        <row r="1880">
          <cell r="E1880" t="str">
            <v>0020030040ZYLC0001</v>
          </cell>
          <cell r="H1880" t="str">
            <v>济生堂昌盛店</v>
          </cell>
          <cell r="J1880" t="str">
            <v>1857</v>
          </cell>
          <cell r="K1880" t="str">
            <v>201602151421097</v>
          </cell>
          <cell r="M1880" t="str">
            <v>小儿氨酚黄那敏颗粒 护彤 2g*12袋</v>
          </cell>
        </row>
        <row r="1881">
          <cell r="E1881" t="str">
            <v>0020030040ZYLC0001</v>
          </cell>
          <cell r="H1881" t="str">
            <v>济生堂广场店</v>
          </cell>
          <cell r="J1881" t="str">
            <v>1857</v>
          </cell>
          <cell r="K1881" t="str">
            <v>201602151421097</v>
          </cell>
          <cell r="M1881" t="str">
            <v>小儿氨酚黄那敏颗粒 护彤 2g*12袋</v>
          </cell>
        </row>
        <row r="1882">
          <cell r="E1882" t="str">
            <v>0020030040ZYLC0001</v>
          </cell>
          <cell r="H1882" t="str">
            <v>济生堂广场店</v>
          </cell>
          <cell r="J1882" t="str">
            <v>1857</v>
          </cell>
          <cell r="K1882" t="str">
            <v>201602151421097</v>
          </cell>
          <cell r="M1882" t="str">
            <v>小儿氨酚黄那敏颗粒 护彤 2g*12袋</v>
          </cell>
        </row>
        <row r="1883">
          <cell r="E1883" t="str">
            <v>0020030040ZYLC0001</v>
          </cell>
          <cell r="H1883" t="str">
            <v>济生堂冯家店</v>
          </cell>
          <cell r="J1883" t="str">
            <v>1857</v>
          </cell>
          <cell r="K1883" t="str">
            <v>201602151421097</v>
          </cell>
          <cell r="M1883" t="str">
            <v>小儿氨酚黄那敏颗粒 护彤 2g*12袋</v>
          </cell>
        </row>
        <row r="1884">
          <cell r="E1884" t="str">
            <v>0020030040ZYLC0001</v>
          </cell>
          <cell r="H1884" t="str">
            <v>济生堂体育场店</v>
          </cell>
          <cell r="J1884" t="str">
            <v>1857</v>
          </cell>
          <cell r="K1884" t="str">
            <v>201602151421097</v>
          </cell>
          <cell r="M1884" t="str">
            <v>小儿氨酚黄那敏颗粒 护彤 2g*12袋</v>
          </cell>
        </row>
        <row r="1885">
          <cell r="E1885" t="str">
            <v>0020030040ZYLC0001</v>
          </cell>
          <cell r="H1885" t="str">
            <v>济生堂济仁堂店</v>
          </cell>
          <cell r="J1885" t="str">
            <v>1857</v>
          </cell>
          <cell r="K1885" t="str">
            <v>201602151421097</v>
          </cell>
          <cell r="M1885" t="str">
            <v>小儿氨酚黄那敏颗粒 护彤 2g*12袋</v>
          </cell>
        </row>
        <row r="1886">
          <cell r="E1886" t="str">
            <v>0020030040ZYLC0001</v>
          </cell>
          <cell r="H1886" t="str">
            <v>济生堂富桥店</v>
          </cell>
          <cell r="J1886" t="str">
            <v>1857</v>
          </cell>
          <cell r="K1886" t="str">
            <v>201602151421097</v>
          </cell>
          <cell r="M1886" t="str">
            <v>小儿氨酚黄那敏颗粒 护彤 2g*12袋</v>
          </cell>
        </row>
        <row r="1887">
          <cell r="E1887" t="str">
            <v>0020050090SJZY0001</v>
          </cell>
          <cell r="H1887" t="str">
            <v>济生堂清华园店</v>
          </cell>
          <cell r="J1887" t="str">
            <v>1857</v>
          </cell>
          <cell r="K1887" t="str">
            <v>201602151421097</v>
          </cell>
          <cell r="M1887" t="str">
            <v>双黄连口服液10ml*10支</v>
          </cell>
        </row>
        <row r="1888">
          <cell r="E1888" t="str">
            <v>0020050090SJZY0001</v>
          </cell>
          <cell r="H1888" t="str">
            <v>济生堂永丰店</v>
          </cell>
          <cell r="J1888" t="str">
            <v>1857</v>
          </cell>
          <cell r="K1888" t="str">
            <v>201602151421097</v>
          </cell>
          <cell r="M1888" t="str">
            <v>双黄连口服液10ml*10支</v>
          </cell>
        </row>
        <row r="1889">
          <cell r="E1889" t="str">
            <v>0020050090SJZY0001</v>
          </cell>
          <cell r="H1889" t="str">
            <v>济生堂冯家店</v>
          </cell>
          <cell r="J1889" t="str">
            <v>1857</v>
          </cell>
          <cell r="K1889" t="str">
            <v>201602151421097</v>
          </cell>
          <cell r="M1889" t="str">
            <v>双黄连口服液10ml*10支</v>
          </cell>
        </row>
        <row r="1890">
          <cell r="E1890" t="str">
            <v>0020050090SJZY0001</v>
          </cell>
          <cell r="H1890" t="str">
            <v>济生堂环宇店</v>
          </cell>
          <cell r="J1890" t="str">
            <v>1857</v>
          </cell>
          <cell r="K1890" t="str">
            <v>201602151421097</v>
          </cell>
          <cell r="M1890" t="str">
            <v>双黄连口服液10ml*10支</v>
          </cell>
        </row>
        <row r="1891">
          <cell r="E1891" t="str">
            <v>0020050090SJZY0001</v>
          </cell>
          <cell r="H1891" t="str">
            <v>济生堂下洼店</v>
          </cell>
          <cell r="J1891" t="str">
            <v>1857</v>
          </cell>
          <cell r="K1891" t="str">
            <v>201602151421097</v>
          </cell>
          <cell r="M1891" t="str">
            <v>双黄连口服液10ml*10支</v>
          </cell>
        </row>
        <row r="1892">
          <cell r="E1892" t="str">
            <v>0020020020ZYLC0010</v>
          </cell>
          <cell r="H1892" t="str">
            <v>济生堂济仁堂店</v>
          </cell>
          <cell r="J1892" t="str">
            <v>1857</v>
          </cell>
          <cell r="K1892" t="str">
            <v>201602151421097</v>
          </cell>
          <cell r="M1892" t="str">
            <v>颠茄磺苄啶片   泻痢停10片/瓶</v>
          </cell>
        </row>
        <row r="1893">
          <cell r="E1893" t="str">
            <v>0020020020ZYLC0010</v>
          </cell>
          <cell r="H1893" t="str">
            <v>济生堂广场店</v>
          </cell>
          <cell r="J1893" t="str">
            <v>1857</v>
          </cell>
          <cell r="K1893" t="str">
            <v>201602151421097</v>
          </cell>
          <cell r="M1893" t="str">
            <v>颠茄磺苄啶片   泻痢停10片/瓶</v>
          </cell>
        </row>
        <row r="1894">
          <cell r="E1894" t="str">
            <v>0020070000ZYLC0052</v>
          </cell>
          <cell r="H1894" t="str">
            <v>济生堂影院店</v>
          </cell>
          <cell r="J1894" t="str">
            <v>1857</v>
          </cell>
          <cell r="K1894" t="str">
            <v>201602151421097</v>
          </cell>
          <cell r="M1894" t="str">
            <v>钙加锌口服液12支</v>
          </cell>
        </row>
        <row r="1895">
          <cell r="E1895" t="str">
            <v>0020070000ZYLC0052</v>
          </cell>
          <cell r="H1895" t="str">
            <v>济生堂永丰店</v>
          </cell>
          <cell r="J1895" t="str">
            <v>1857</v>
          </cell>
          <cell r="K1895" t="str">
            <v>201602151421097</v>
          </cell>
          <cell r="M1895" t="str">
            <v>钙加锌口服液12支</v>
          </cell>
        </row>
        <row r="1896">
          <cell r="E1896" t="str">
            <v>0020070000ZYLC0052</v>
          </cell>
          <cell r="H1896" t="str">
            <v>济生堂广场店</v>
          </cell>
          <cell r="J1896" t="str">
            <v>1857</v>
          </cell>
          <cell r="K1896" t="str">
            <v>201602151421097</v>
          </cell>
          <cell r="M1896" t="str">
            <v>钙加锌口服液12支</v>
          </cell>
        </row>
        <row r="1897">
          <cell r="E1897" t="str">
            <v>0020070000ZYLC0052</v>
          </cell>
          <cell r="H1897" t="str">
            <v>济生堂富国店</v>
          </cell>
          <cell r="J1897" t="str">
            <v>1857</v>
          </cell>
          <cell r="K1897" t="str">
            <v>201602151421097</v>
          </cell>
          <cell r="M1897" t="str">
            <v>钙加锌口服液12支</v>
          </cell>
        </row>
        <row r="1898">
          <cell r="E1898" t="str">
            <v>0020070000ZYLC0052</v>
          </cell>
          <cell r="H1898" t="str">
            <v>济生堂同济店</v>
          </cell>
          <cell r="J1898" t="str">
            <v>1857</v>
          </cell>
          <cell r="K1898" t="str">
            <v>201602151421097</v>
          </cell>
          <cell r="M1898" t="str">
            <v>钙加锌口服液12支</v>
          </cell>
        </row>
        <row r="1899">
          <cell r="E1899" t="str">
            <v>0020070000ZYLC0052</v>
          </cell>
          <cell r="H1899" t="str">
            <v>济生堂昌盛店</v>
          </cell>
          <cell r="J1899" t="str">
            <v>1857</v>
          </cell>
          <cell r="K1899" t="str">
            <v>201602151421097</v>
          </cell>
          <cell r="M1899" t="str">
            <v>钙加锌口服液12支</v>
          </cell>
        </row>
        <row r="1900">
          <cell r="E1900" t="str">
            <v>0020070000ZYLC0052</v>
          </cell>
          <cell r="H1900" t="str">
            <v>济生堂金康店</v>
          </cell>
          <cell r="J1900" t="str">
            <v>1857</v>
          </cell>
          <cell r="K1900" t="str">
            <v>201602151421097</v>
          </cell>
          <cell r="M1900" t="str">
            <v>钙加锌口服液12支</v>
          </cell>
        </row>
        <row r="1901">
          <cell r="E1901" t="str">
            <v>0020070000ZYLC0052</v>
          </cell>
          <cell r="H1901" t="str">
            <v>济生堂金海店</v>
          </cell>
          <cell r="J1901" t="str">
            <v>1857</v>
          </cell>
          <cell r="K1901" t="str">
            <v>201602151421097</v>
          </cell>
          <cell r="M1901" t="str">
            <v>钙加锌口服液12支</v>
          </cell>
        </row>
        <row r="1902">
          <cell r="E1902" t="str">
            <v>0020070000ZYLC0052</v>
          </cell>
          <cell r="H1902" t="str">
            <v>济生堂新华店</v>
          </cell>
          <cell r="J1902" t="str">
            <v>1857</v>
          </cell>
          <cell r="K1902" t="str">
            <v>201602151421097</v>
          </cell>
          <cell r="M1902" t="str">
            <v>钙加锌口服液12支</v>
          </cell>
        </row>
        <row r="1903">
          <cell r="E1903" t="str">
            <v>0020070000ZYLC0052</v>
          </cell>
          <cell r="H1903" t="str">
            <v>济生堂体育场店</v>
          </cell>
          <cell r="J1903" t="str">
            <v>1857</v>
          </cell>
          <cell r="K1903" t="str">
            <v>201602151421097</v>
          </cell>
          <cell r="M1903" t="str">
            <v>钙加锌口服液12支</v>
          </cell>
        </row>
        <row r="1904">
          <cell r="E1904" t="str">
            <v>0020030020SJSC0004</v>
          </cell>
          <cell r="H1904" t="str">
            <v>济生堂中心店</v>
          </cell>
          <cell r="J1904" t="str">
            <v>1857</v>
          </cell>
          <cell r="K1904" t="str">
            <v>201602151421097</v>
          </cell>
          <cell r="M1904" t="str">
            <v>复方铝酸铋片  123450片</v>
          </cell>
        </row>
        <row r="1905">
          <cell r="E1905" t="str">
            <v>0020030020SJSC0004</v>
          </cell>
          <cell r="H1905" t="str">
            <v>济生堂广场店</v>
          </cell>
          <cell r="J1905" t="str">
            <v>1857</v>
          </cell>
          <cell r="K1905" t="str">
            <v>201602151421097</v>
          </cell>
          <cell r="M1905" t="str">
            <v>复方铝酸铋片  123450片</v>
          </cell>
        </row>
        <row r="1906">
          <cell r="E1906" t="str">
            <v>0020030020SJSC0004</v>
          </cell>
          <cell r="H1906" t="str">
            <v>济生堂影院店</v>
          </cell>
          <cell r="J1906" t="str">
            <v>1857</v>
          </cell>
          <cell r="K1906" t="str">
            <v>201602151421097</v>
          </cell>
          <cell r="M1906" t="str">
            <v>复方铝酸铋片  123450片</v>
          </cell>
        </row>
        <row r="1907">
          <cell r="E1907" t="str">
            <v>0020030020SJSC0004</v>
          </cell>
          <cell r="H1907" t="str">
            <v>济生堂环宇店</v>
          </cell>
          <cell r="J1907" t="str">
            <v>1857</v>
          </cell>
          <cell r="K1907" t="str">
            <v>201602151421097</v>
          </cell>
          <cell r="M1907" t="str">
            <v>复方铝酸铋片  123450片</v>
          </cell>
        </row>
        <row r="1908">
          <cell r="E1908" t="str">
            <v>0020030020SJSC0004</v>
          </cell>
          <cell r="H1908" t="str">
            <v>济生堂冯家二店</v>
          </cell>
          <cell r="J1908" t="str">
            <v>1857</v>
          </cell>
          <cell r="K1908" t="str">
            <v>201602151421097</v>
          </cell>
          <cell r="M1908" t="str">
            <v>复方铝酸铋片  123450片</v>
          </cell>
        </row>
        <row r="1909">
          <cell r="E1909" t="str">
            <v>0020030020SJSC0004</v>
          </cell>
          <cell r="H1909" t="str">
            <v>济生堂新华店</v>
          </cell>
          <cell r="J1909" t="str">
            <v>1857</v>
          </cell>
          <cell r="K1909" t="str">
            <v>201602151421097</v>
          </cell>
          <cell r="M1909" t="str">
            <v>复方铝酸铋片  123450片</v>
          </cell>
        </row>
        <row r="1910">
          <cell r="E1910" t="str">
            <v>0020030020SJSC0004</v>
          </cell>
          <cell r="H1910" t="str">
            <v>济生堂新合作店</v>
          </cell>
          <cell r="J1910" t="str">
            <v>1857</v>
          </cell>
          <cell r="K1910" t="str">
            <v>201602151421097</v>
          </cell>
          <cell r="M1910" t="str">
            <v>复方铝酸铋片  123450片</v>
          </cell>
        </row>
        <row r="1911">
          <cell r="E1911" t="str">
            <v>0020030020SJSC0004</v>
          </cell>
          <cell r="H1911" t="str">
            <v>济生堂王见南店</v>
          </cell>
          <cell r="J1911" t="str">
            <v>1857</v>
          </cell>
          <cell r="K1911" t="str">
            <v>201602151421097</v>
          </cell>
          <cell r="M1911" t="str">
            <v>复方铝酸铋片  123450片</v>
          </cell>
        </row>
        <row r="1912">
          <cell r="E1912" t="str">
            <v>0020030020SJSC0004</v>
          </cell>
          <cell r="H1912" t="str">
            <v>济生堂下洼店</v>
          </cell>
          <cell r="J1912" t="str">
            <v>1857</v>
          </cell>
          <cell r="K1912" t="str">
            <v>201602151421097</v>
          </cell>
          <cell r="M1912" t="str">
            <v>复方铝酸铋片  123450片</v>
          </cell>
        </row>
        <row r="1913">
          <cell r="E1913" t="str">
            <v>0020030020SJSC0004</v>
          </cell>
          <cell r="H1913" t="str">
            <v>济生堂同济店</v>
          </cell>
          <cell r="J1913" t="str">
            <v>1857</v>
          </cell>
          <cell r="K1913" t="str">
            <v>201602151421097</v>
          </cell>
          <cell r="M1913" t="str">
            <v>复方铝酸铋片  123450片</v>
          </cell>
        </row>
        <row r="1914">
          <cell r="E1914" t="str">
            <v>0020030020SJSC0004</v>
          </cell>
          <cell r="H1914" t="str">
            <v>济生堂大高店</v>
          </cell>
          <cell r="J1914" t="str">
            <v>1857</v>
          </cell>
          <cell r="K1914" t="str">
            <v>201602151421097</v>
          </cell>
          <cell r="M1914" t="str">
            <v>复方铝酸铋片  123450片</v>
          </cell>
        </row>
        <row r="1915">
          <cell r="E1915" t="str">
            <v>0020030020SJSC0004</v>
          </cell>
          <cell r="H1915" t="str">
            <v>济生堂明珠店</v>
          </cell>
          <cell r="J1915" t="str">
            <v>1857</v>
          </cell>
          <cell r="K1915" t="str">
            <v>201602151421097</v>
          </cell>
          <cell r="M1915" t="str">
            <v>复方铝酸铋片  123450片</v>
          </cell>
        </row>
        <row r="1916">
          <cell r="E1916" t="str">
            <v>0020030020SJSC0004</v>
          </cell>
          <cell r="H1916" t="str">
            <v>济生堂永丰店</v>
          </cell>
          <cell r="J1916" t="str">
            <v>1857</v>
          </cell>
          <cell r="K1916" t="str">
            <v>201602151421097</v>
          </cell>
          <cell r="M1916" t="str">
            <v>复方铝酸铋片  123450片</v>
          </cell>
        </row>
        <row r="1917">
          <cell r="E1917" t="str">
            <v>0020030020SJSC0004</v>
          </cell>
          <cell r="H1917" t="str">
            <v>济生堂富国店</v>
          </cell>
          <cell r="J1917" t="str">
            <v>1857</v>
          </cell>
          <cell r="K1917" t="str">
            <v>201602151421097</v>
          </cell>
          <cell r="M1917" t="str">
            <v>复方铝酸铋片  123450片</v>
          </cell>
        </row>
        <row r="1918">
          <cell r="E1918" t="str">
            <v>0020030020SJSC0004</v>
          </cell>
          <cell r="H1918" t="str">
            <v>济生堂金康店</v>
          </cell>
          <cell r="J1918" t="str">
            <v>1857</v>
          </cell>
          <cell r="K1918" t="str">
            <v>201602151421097</v>
          </cell>
          <cell r="M1918" t="str">
            <v>复方铝酸铋片  123450片</v>
          </cell>
        </row>
        <row r="1919">
          <cell r="E1919" t="str">
            <v>0020030020SJSC0004</v>
          </cell>
          <cell r="H1919" t="str">
            <v>济生堂富桥店</v>
          </cell>
          <cell r="J1919" t="str">
            <v>1857</v>
          </cell>
          <cell r="K1919" t="str">
            <v>201602151421097</v>
          </cell>
          <cell r="M1919" t="str">
            <v>复方铝酸铋片  123450片</v>
          </cell>
        </row>
        <row r="1920">
          <cell r="E1920" t="str">
            <v>0020030020SJSC0004</v>
          </cell>
          <cell r="H1920" t="str">
            <v>济生堂富城店</v>
          </cell>
          <cell r="J1920" t="str">
            <v>1857</v>
          </cell>
          <cell r="K1920" t="str">
            <v>201602151421097</v>
          </cell>
          <cell r="M1920" t="str">
            <v>复方铝酸铋片  123450片</v>
          </cell>
        </row>
        <row r="1921">
          <cell r="E1921" t="str">
            <v>0020030020SJSC0004</v>
          </cell>
          <cell r="H1921" t="str">
            <v>济生堂济仁堂店</v>
          </cell>
          <cell r="J1921" t="str">
            <v>1857</v>
          </cell>
          <cell r="K1921" t="str">
            <v>201602151421097</v>
          </cell>
          <cell r="M1921" t="str">
            <v>复方铝酸铋片  123450片</v>
          </cell>
        </row>
        <row r="1922">
          <cell r="E1922" t="str">
            <v>0020030020SJSC0004</v>
          </cell>
          <cell r="H1922" t="str">
            <v>济生堂冯家店</v>
          </cell>
          <cell r="J1922" t="str">
            <v>1857</v>
          </cell>
          <cell r="K1922" t="str">
            <v>201602151421097</v>
          </cell>
          <cell r="M1922" t="str">
            <v>复方铝酸铋片  123450片</v>
          </cell>
        </row>
        <row r="1923">
          <cell r="E1923" t="str">
            <v>0020030020SJSC0004</v>
          </cell>
          <cell r="H1923" t="str">
            <v>济生堂体育场店</v>
          </cell>
          <cell r="J1923" t="str">
            <v>1857</v>
          </cell>
          <cell r="K1923" t="str">
            <v>201602151421097</v>
          </cell>
          <cell r="M1923" t="str">
            <v>复方铝酸铋片  123450片</v>
          </cell>
        </row>
        <row r="1924">
          <cell r="E1924" t="str">
            <v>0020020021ZYLC0004</v>
          </cell>
          <cell r="H1924" t="str">
            <v>济生堂龙居店</v>
          </cell>
          <cell r="J1924" t="str">
            <v>1857</v>
          </cell>
          <cell r="K1924" t="str">
            <v>201602151421097</v>
          </cell>
          <cell r="M1924" t="str">
            <v>罗红霉素分散片 严迪75mg*12片</v>
          </cell>
        </row>
        <row r="1925">
          <cell r="E1925" t="str">
            <v>0020020021ZYLC0004</v>
          </cell>
          <cell r="H1925" t="str">
            <v>济生堂明珠店</v>
          </cell>
          <cell r="J1925" t="str">
            <v>1857</v>
          </cell>
          <cell r="K1925" t="str">
            <v>201602151421097</v>
          </cell>
          <cell r="M1925" t="str">
            <v>罗红霉素分散片 严迪75mg*12片</v>
          </cell>
        </row>
        <row r="1926">
          <cell r="E1926" t="str">
            <v>0020020021ZYLC0004</v>
          </cell>
          <cell r="H1926" t="str">
            <v>济生堂影院店</v>
          </cell>
          <cell r="J1926" t="str">
            <v>1857</v>
          </cell>
          <cell r="K1926" t="str">
            <v>201602151421097</v>
          </cell>
          <cell r="M1926" t="str">
            <v>罗红霉素分散片 严迪75mg*12片</v>
          </cell>
        </row>
        <row r="1927">
          <cell r="E1927" t="str">
            <v>0020020021ZYLC0004</v>
          </cell>
          <cell r="H1927" t="str">
            <v>济生堂广场店</v>
          </cell>
          <cell r="J1927" t="str">
            <v>1857</v>
          </cell>
          <cell r="K1927" t="str">
            <v>201602151421097</v>
          </cell>
          <cell r="M1927" t="str">
            <v>罗红霉素分散片 严迪75mg*12片</v>
          </cell>
        </row>
        <row r="1928">
          <cell r="E1928" t="str">
            <v>0020020021ZYLC0004</v>
          </cell>
          <cell r="H1928" t="str">
            <v>济生堂清华园店</v>
          </cell>
          <cell r="J1928" t="str">
            <v>1857</v>
          </cell>
          <cell r="K1928" t="str">
            <v>201602151421097</v>
          </cell>
          <cell r="M1928" t="str">
            <v>罗红霉素分散片 严迪75mg*12片</v>
          </cell>
        </row>
        <row r="1929">
          <cell r="E1929" t="str">
            <v>0020020021ZYLC0004</v>
          </cell>
          <cell r="H1929" t="str">
            <v>济生堂新华店</v>
          </cell>
          <cell r="J1929" t="str">
            <v>1857</v>
          </cell>
          <cell r="K1929" t="str">
            <v>201602151421097</v>
          </cell>
          <cell r="M1929" t="str">
            <v>罗红霉素分散片 严迪75mg*12片</v>
          </cell>
        </row>
        <row r="1930">
          <cell r="E1930" t="str">
            <v>0020020021ZYLC0004</v>
          </cell>
          <cell r="H1930" t="str">
            <v>济生堂济仁堂店</v>
          </cell>
          <cell r="J1930" t="str">
            <v>1857</v>
          </cell>
          <cell r="K1930" t="str">
            <v>201602151421097</v>
          </cell>
          <cell r="M1930" t="str">
            <v>罗红霉素分散片 严迪75mg*12片</v>
          </cell>
        </row>
        <row r="1931">
          <cell r="E1931" t="str">
            <v>0020020021ZYLC0004</v>
          </cell>
          <cell r="H1931" t="str">
            <v>济生堂体育场店</v>
          </cell>
          <cell r="J1931" t="str">
            <v>1857</v>
          </cell>
          <cell r="K1931" t="str">
            <v>201602151421097</v>
          </cell>
          <cell r="M1931" t="str">
            <v>罗红霉素分散片 严迪75mg*12片</v>
          </cell>
        </row>
        <row r="1932">
          <cell r="E1932" t="str">
            <v>0020070000ZYLC0001</v>
          </cell>
          <cell r="H1932" t="str">
            <v>济生堂影院店</v>
          </cell>
          <cell r="J1932" t="str">
            <v>1857</v>
          </cell>
          <cell r="K1932" t="str">
            <v>201602151421097</v>
          </cell>
          <cell r="M1932" t="str">
            <v>新盖中盖高钙片36片</v>
          </cell>
        </row>
        <row r="1933">
          <cell r="E1933" t="str">
            <v>0020070000ZYLC0001</v>
          </cell>
          <cell r="H1933" t="str">
            <v>济生堂清华园店</v>
          </cell>
          <cell r="J1933" t="str">
            <v>1857</v>
          </cell>
          <cell r="K1933" t="str">
            <v>201602151421097</v>
          </cell>
          <cell r="M1933" t="str">
            <v>新盖中盖高钙片36片</v>
          </cell>
        </row>
        <row r="1934">
          <cell r="E1934" t="str">
            <v>0020070000ZYLC0001</v>
          </cell>
          <cell r="H1934" t="str">
            <v>济生堂同济店</v>
          </cell>
          <cell r="J1934" t="str">
            <v>1857</v>
          </cell>
          <cell r="K1934" t="str">
            <v>201602151421097</v>
          </cell>
          <cell r="M1934" t="str">
            <v>新盖中盖高钙片36片</v>
          </cell>
        </row>
        <row r="1935">
          <cell r="E1935" t="str">
            <v>0020070000ZYLC0001</v>
          </cell>
          <cell r="H1935" t="str">
            <v>济生堂富城店</v>
          </cell>
          <cell r="J1935" t="str">
            <v>1857</v>
          </cell>
          <cell r="K1935" t="str">
            <v>201602151421097</v>
          </cell>
          <cell r="M1935" t="str">
            <v>新盖中盖高钙片36片</v>
          </cell>
        </row>
        <row r="1936">
          <cell r="E1936" t="str">
            <v>0020070000ZYLC0001</v>
          </cell>
          <cell r="H1936" t="str">
            <v>济生堂济仁堂店</v>
          </cell>
          <cell r="J1936" t="str">
            <v>1857</v>
          </cell>
          <cell r="K1936" t="str">
            <v>201602151421097</v>
          </cell>
          <cell r="M1936" t="str">
            <v>新盖中盖高钙片36片</v>
          </cell>
        </row>
        <row r="1937">
          <cell r="E1937" t="str">
            <v>0020070000ZYLC0001</v>
          </cell>
          <cell r="H1937" t="str">
            <v>济生堂下洼店</v>
          </cell>
          <cell r="J1937" t="str">
            <v>1857</v>
          </cell>
          <cell r="K1937" t="str">
            <v>201602151421097</v>
          </cell>
          <cell r="M1937" t="str">
            <v>新盖中盖高钙片36片</v>
          </cell>
        </row>
        <row r="1938">
          <cell r="E1938" t="str">
            <v>0020070000ZYLC0001</v>
          </cell>
          <cell r="H1938" t="str">
            <v>济生堂龙居店</v>
          </cell>
          <cell r="J1938" t="str">
            <v>1857</v>
          </cell>
          <cell r="K1938" t="str">
            <v>201602151421097</v>
          </cell>
          <cell r="M1938" t="str">
            <v>新盖中盖高钙片36片</v>
          </cell>
        </row>
        <row r="1939">
          <cell r="E1939" t="str">
            <v>0020070000ZYLC0001</v>
          </cell>
          <cell r="H1939" t="str">
            <v>济生堂新华店</v>
          </cell>
          <cell r="J1939" t="str">
            <v>1857</v>
          </cell>
          <cell r="K1939" t="str">
            <v>201602151421097</v>
          </cell>
          <cell r="M1939" t="str">
            <v>新盖中盖高钙片36片</v>
          </cell>
        </row>
        <row r="1940">
          <cell r="E1940" t="str">
            <v>0020070000ZYLC0001</v>
          </cell>
          <cell r="H1940" t="str">
            <v>济生堂明珠店</v>
          </cell>
          <cell r="J1940" t="str">
            <v>1857</v>
          </cell>
          <cell r="K1940" t="str">
            <v>201602151421097</v>
          </cell>
          <cell r="M1940" t="str">
            <v>新盖中盖高钙片36片</v>
          </cell>
        </row>
        <row r="1941">
          <cell r="E1941" t="str">
            <v>0020070000ZYLC0001</v>
          </cell>
          <cell r="H1941" t="str">
            <v>济生堂广场店</v>
          </cell>
          <cell r="J1941" t="str">
            <v>1857</v>
          </cell>
          <cell r="K1941" t="str">
            <v>201602151421097</v>
          </cell>
          <cell r="M1941" t="str">
            <v>新盖中盖高钙片36片</v>
          </cell>
        </row>
        <row r="1942">
          <cell r="E1942" t="str">
            <v>0020070000ZYLC0001</v>
          </cell>
          <cell r="H1942" t="str">
            <v>济生堂中心店</v>
          </cell>
          <cell r="J1942" t="str">
            <v>1857</v>
          </cell>
          <cell r="K1942" t="str">
            <v>201602151421097</v>
          </cell>
          <cell r="M1942" t="str">
            <v>新盖中盖高钙片36片</v>
          </cell>
        </row>
        <row r="1943">
          <cell r="E1943" t="str">
            <v>0020070000ZYLC0001</v>
          </cell>
          <cell r="H1943" t="str">
            <v>济生堂富桥店</v>
          </cell>
          <cell r="J1943" t="str">
            <v>1857</v>
          </cell>
          <cell r="K1943" t="str">
            <v>201602151421097</v>
          </cell>
          <cell r="M1943" t="str">
            <v>新盖中盖高钙片36片</v>
          </cell>
        </row>
        <row r="1944">
          <cell r="E1944" t="str">
            <v>0020070000ZYLC0001</v>
          </cell>
          <cell r="H1944" t="str">
            <v>济生堂冯家店</v>
          </cell>
          <cell r="J1944" t="str">
            <v>1857</v>
          </cell>
          <cell r="K1944" t="str">
            <v>201602151421097</v>
          </cell>
          <cell r="M1944" t="str">
            <v>新盖中盖高钙片36片</v>
          </cell>
        </row>
        <row r="1945">
          <cell r="E1945" t="str">
            <v>0020070000ZYLC0001</v>
          </cell>
          <cell r="H1945" t="str">
            <v>济生堂冯家店</v>
          </cell>
          <cell r="J1945" t="str">
            <v>1857</v>
          </cell>
          <cell r="K1945" t="str">
            <v>201602151421097</v>
          </cell>
          <cell r="M1945" t="str">
            <v>新盖中盖高钙片36片</v>
          </cell>
        </row>
        <row r="1946">
          <cell r="E1946" t="str">
            <v>0020070000ZYLC0001</v>
          </cell>
          <cell r="H1946" t="str">
            <v>济生堂中心店</v>
          </cell>
          <cell r="J1946" t="str">
            <v>1857</v>
          </cell>
          <cell r="K1946" t="str">
            <v>201602151421097</v>
          </cell>
          <cell r="M1946" t="str">
            <v>新盖中盖高钙片36片</v>
          </cell>
        </row>
        <row r="1947">
          <cell r="E1947" t="str">
            <v>0020070000ZYLC0001</v>
          </cell>
          <cell r="H1947" t="str">
            <v>济生堂体育场店</v>
          </cell>
          <cell r="J1947" t="str">
            <v>1857</v>
          </cell>
          <cell r="K1947" t="str">
            <v>201602151421097</v>
          </cell>
          <cell r="M1947" t="str">
            <v>新盖中盖高钙片36片</v>
          </cell>
        </row>
        <row r="1948">
          <cell r="E1948" t="str">
            <v>0020030001SJZY0009</v>
          </cell>
          <cell r="H1948" t="str">
            <v>济生堂冯家店</v>
          </cell>
          <cell r="J1948" t="str">
            <v>1857</v>
          </cell>
          <cell r="K1948" t="str">
            <v>201602151421097</v>
          </cell>
          <cell r="M1948" t="str">
            <v>葡萄糖酸锌口服液 三精12支</v>
          </cell>
        </row>
        <row r="1949">
          <cell r="E1949" t="str">
            <v>0020030001SJZY0009</v>
          </cell>
          <cell r="H1949" t="str">
            <v>济生堂金海店</v>
          </cell>
          <cell r="J1949" t="str">
            <v>1857</v>
          </cell>
          <cell r="K1949" t="str">
            <v>201602151421097</v>
          </cell>
          <cell r="M1949" t="str">
            <v>葡萄糖酸锌口服液 三精12支</v>
          </cell>
        </row>
        <row r="1950">
          <cell r="E1950" t="str">
            <v>0020030001SJZY0009</v>
          </cell>
          <cell r="H1950" t="str">
            <v>济生堂中心店</v>
          </cell>
          <cell r="J1950" t="str">
            <v>1857</v>
          </cell>
          <cell r="K1950" t="str">
            <v>201602151421097</v>
          </cell>
          <cell r="M1950" t="str">
            <v>葡萄糖酸锌口服液 三精12支</v>
          </cell>
        </row>
        <row r="1951">
          <cell r="E1951" t="str">
            <v>0020030001SJZY0009</v>
          </cell>
          <cell r="H1951" t="str">
            <v>济生堂广场店</v>
          </cell>
          <cell r="J1951" t="str">
            <v>1857</v>
          </cell>
          <cell r="K1951" t="str">
            <v>201602151421097</v>
          </cell>
          <cell r="M1951" t="str">
            <v>葡萄糖酸锌口服液 三精12支</v>
          </cell>
        </row>
        <row r="1952">
          <cell r="E1952" t="str">
            <v>0020030001SJZY0009</v>
          </cell>
          <cell r="H1952" t="str">
            <v>济生堂昌盛店</v>
          </cell>
          <cell r="J1952" t="str">
            <v>1857</v>
          </cell>
          <cell r="K1952" t="str">
            <v>201602151421097</v>
          </cell>
          <cell r="M1952" t="str">
            <v>葡萄糖酸锌口服液 三精12支</v>
          </cell>
        </row>
        <row r="1953">
          <cell r="E1953" t="str">
            <v>0020030001SJZY0009</v>
          </cell>
          <cell r="H1953" t="str">
            <v>济生堂体育场店</v>
          </cell>
          <cell r="J1953" t="str">
            <v>1857</v>
          </cell>
          <cell r="K1953" t="str">
            <v>201602151421097</v>
          </cell>
          <cell r="M1953" t="str">
            <v>葡萄糖酸锌口服液 三精12支</v>
          </cell>
        </row>
        <row r="1954">
          <cell r="E1954" t="str">
            <v>0020030001SJZY0009</v>
          </cell>
          <cell r="H1954" t="str">
            <v>济生堂清华园店</v>
          </cell>
          <cell r="J1954" t="str">
            <v>1857</v>
          </cell>
          <cell r="K1954" t="str">
            <v>201602151421097</v>
          </cell>
          <cell r="M1954" t="str">
            <v>葡萄糖酸锌口服液 三精12支</v>
          </cell>
        </row>
        <row r="1955">
          <cell r="E1955" t="str">
            <v>0020030001SJZY0009</v>
          </cell>
          <cell r="H1955" t="str">
            <v>济生堂富桥店</v>
          </cell>
          <cell r="J1955" t="str">
            <v>1857</v>
          </cell>
          <cell r="K1955" t="str">
            <v>201602151421097</v>
          </cell>
          <cell r="M1955" t="str">
            <v>葡萄糖酸锌口服液 三精12支</v>
          </cell>
        </row>
        <row r="1956">
          <cell r="E1956" t="str">
            <v>0020030001SJZY0009</v>
          </cell>
          <cell r="H1956" t="str">
            <v>济生堂影院店</v>
          </cell>
          <cell r="J1956" t="str">
            <v>1857</v>
          </cell>
          <cell r="K1956" t="str">
            <v>201602151421097</v>
          </cell>
          <cell r="M1956" t="str">
            <v>葡萄糖酸锌口服液 三精12支</v>
          </cell>
        </row>
        <row r="1957">
          <cell r="E1957" t="str">
            <v>0020030001SJZY0009</v>
          </cell>
          <cell r="H1957" t="str">
            <v>济生堂环宇店</v>
          </cell>
          <cell r="J1957" t="str">
            <v>1857</v>
          </cell>
          <cell r="K1957" t="str">
            <v>201602151421097</v>
          </cell>
          <cell r="M1957" t="str">
            <v>葡萄糖酸锌口服液 三精12支</v>
          </cell>
        </row>
        <row r="1958">
          <cell r="E1958" t="str">
            <v>0020030001SJZY0009</v>
          </cell>
          <cell r="H1958" t="str">
            <v>济生堂永丰店</v>
          </cell>
          <cell r="J1958" t="str">
            <v>1857</v>
          </cell>
          <cell r="K1958" t="str">
            <v>201602151421097</v>
          </cell>
          <cell r="M1958" t="str">
            <v>葡萄糖酸锌口服液 三精12支</v>
          </cell>
        </row>
        <row r="1959">
          <cell r="E1959" t="str">
            <v>0020030001SJZY0009</v>
          </cell>
          <cell r="H1959" t="str">
            <v>济生堂新华店</v>
          </cell>
          <cell r="J1959" t="str">
            <v>1857</v>
          </cell>
          <cell r="K1959" t="str">
            <v>201602151421097</v>
          </cell>
          <cell r="M1959" t="str">
            <v>葡萄糖酸锌口服液 三精12支</v>
          </cell>
        </row>
        <row r="1960">
          <cell r="E1960" t="str">
            <v>0020030001SJZY0009</v>
          </cell>
          <cell r="H1960" t="str">
            <v>济生堂同济店</v>
          </cell>
          <cell r="J1960" t="str">
            <v>1857</v>
          </cell>
          <cell r="K1960" t="str">
            <v>201602151421097</v>
          </cell>
          <cell r="M1960" t="str">
            <v>葡萄糖酸锌口服液 三精12支</v>
          </cell>
        </row>
        <row r="1961">
          <cell r="E1961" t="str">
            <v>0020030001SJZY0009</v>
          </cell>
          <cell r="H1961" t="str">
            <v>济生堂富国店</v>
          </cell>
          <cell r="J1961" t="str">
            <v>1857</v>
          </cell>
          <cell r="K1961" t="str">
            <v>201602151421097</v>
          </cell>
          <cell r="M1961" t="str">
            <v>葡萄糖酸锌口服液 三精12支</v>
          </cell>
        </row>
        <row r="1962">
          <cell r="E1962" t="str">
            <v>0020030001SJZY0009</v>
          </cell>
          <cell r="H1962" t="str">
            <v>济生堂下洼店</v>
          </cell>
          <cell r="J1962" t="str">
            <v>1857</v>
          </cell>
          <cell r="K1962" t="str">
            <v>201602151421097</v>
          </cell>
          <cell r="M1962" t="str">
            <v>葡萄糖酸锌口服液 三精12支</v>
          </cell>
        </row>
        <row r="1963">
          <cell r="E1963" t="str">
            <v>0020030001SJZY0009</v>
          </cell>
          <cell r="H1963" t="str">
            <v>济生堂明珠店</v>
          </cell>
          <cell r="J1963" t="str">
            <v>1857</v>
          </cell>
          <cell r="K1963" t="str">
            <v>201602151421097</v>
          </cell>
          <cell r="M1963" t="str">
            <v>葡萄糖酸锌口服液 三精12支</v>
          </cell>
        </row>
        <row r="1964">
          <cell r="E1964" t="str">
            <v>0020030001SJZY0009</v>
          </cell>
          <cell r="H1964" t="str">
            <v>济生堂王见南店</v>
          </cell>
          <cell r="J1964" t="str">
            <v>1857</v>
          </cell>
          <cell r="K1964" t="str">
            <v>201602151421097</v>
          </cell>
          <cell r="M1964" t="str">
            <v>葡萄糖酸锌口服液 三精12支</v>
          </cell>
        </row>
        <row r="1965">
          <cell r="E1965" t="str">
            <v>0020030001SJZY0009</v>
          </cell>
          <cell r="H1965" t="str">
            <v>济生堂济仁堂店</v>
          </cell>
          <cell r="J1965" t="str">
            <v>1857</v>
          </cell>
          <cell r="K1965" t="str">
            <v>201602151421097</v>
          </cell>
          <cell r="M1965" t="str">
            <v>葡萄糖酸锌口服液 三精12支</v>
          </cell>
        </row>
        <row r="1966">
          <cell r="E1966" t="str">
            <v>0020030001SJZY0009</v>
          </cell>
          <cell r="H1966" t="str">
            <v>济生堂富城店</v>
          </cell>
          <cell r="J1966" t="str">
            <v>1857</v>
          </cell>
          <cell r="K1966" t="str">
            <v>201602151421097</v>
          </cell>
          <cell r="M1966" t="str">
            <v>葡萄糖酸锌口服液 三精12支</v>
          </cell>
        </row>
        <row r="1967">
          <cell r="E1967" t="str">
            <v>0020030001SJZY0009</v>
          </cell>
          <cell r="H1967" t="str">
            <v>济生堂大高店</v>
          </cell>
          <cell r="J1967" t="str">
            <v>1857</v>
          </cell>
          <cell r="K1967" t="str">
            <v>201602151421097</v>
          </cell>
          <cell r="M1967" t="str">
            <v>葡萄糖酸锌口服液 三精12支</v>
          </cell>
        </row>
        <row r="1968">
          <cell r="E1968" t="str">
            <v>0020030001SJZY0009</v>
          </cell>
          <cell r="H1968" t="str">
            <v>济生堂龙居店</v>
          </cell>
          <cell r="J1968" t="str">
            <v>1857</v>
          </cell>
          <cell r="K1968" t="str">
            <v>201602151421097</v>
          </cell>
          <cell r="M1968" t="str">
            <v>葡萄糖酸锌口服液 三精12支</v>
          </cell>
        </row>
        <row r="1969">
          <cell r="E1969" t="str">
            <v>0020030001SJZY0009</v>
          </cell>
          <cell r="H1969" t="str">
            <v>济生堂冯家二店</v>
          </cell>
          <cell r="J1969" t="str">
            <v>1857</v>
          </cell>
          <cell r="K1969" t="str">
            <v>201602151421097</v>
          </cell>
          <cell r="M1969" t="str">
            <v>葡萄糖酸锌口服液 三精12支</v>
          </cell>
        </row>
        <row r="1970">
          <cell r="E1970" t="str">
            <v>0020070000ZYLC0055</v>
          </cell>
          <cell r="H1970" t="str">
            <v>济生堂影院店</v>
          </cell>
          <cell r="J1970" t="str">
            <v>1857</v>
          </cell>
          <cell r="K1970" t="str">
            <v>201602151421097</v>
          </cell>
          <cell r="M1970" t="str">
            <v>乳酸亚铁口服液（朴雪）12支</v>
          </cell>
        </row>
        <row r="1971">
          <cell r="E1971" t="str">
            <v>0020070000ZYLC0055</v>
          </cell>
          <cell r="H1971" t="str">
            <v>济生堂广场店</v>
          </cell>
          <cell r="J1971" t="str">
            <v>1857</v>
          </cell>
          <cell r="K1971" t="str">
            <v>201602151421097</v>
          </cell>
          <cell r="M1971" t="str">
            <v>乳酸亚铁口服液（朴雪）12支</v>
          </cell>
        </row>
        <row r="1972">
          <cell r="E1972" t="str">
            <v>0020070000ZYLC0055</v>
          </cell>
          <cell r="H1972" t="str">
            <v>济生堂龙居店</v>
          </cell>
          <cell r="J1972" t="str">
            <v>1857</v>
          </cell>
          <cell r="K1972" t="str">
            <v>201602151421097</v>
          </cell>
          <cell r="M1972" t="str">
            <v>乳酸亚铁口服液（朴雪）12支</v>
          </cell>
        </row>
        <row r="1973">
          <cell r="E1973" t="str">
            <v>0020070000ZYLC0055</v>
          </cell>
          <cell r="H1973" t="str">
            <v>济生堂中心店</v>
          </cell>
          <cell r="J1973" t="str">
            <v>1857</v>
          </cell>
          <cell r="K1973" t="str">
            <v>201602151421097</v>
          </cell>
          <cell r="M1973" t="str">
            <v>乳酸亚铁口服液（朴雪）12支</v>
          </cell>
        </row>
        <row r="1974">
          <cell r="E1974" t="str">
            <v>0020070000ZYLC0055</v>
          </cell>
          <cell r="H1974" t="str">
            <v>济生堂济仁堂店</v>
          </cell>
          <cell r="J1974" t="str">
            <v>1857</v>
          </cell>
          <cell r="K1974" t="str">
            <v>201602151421097</v>
          </cell>
          <cell r="M1974" t="str">
            <v>乳酸亚铁口服液（朴雪）12支</v>
          </cell>
        </row>
        <row r="1975">
          <cell r="E1975" t="str">
            <v>0020040070ZYEC0005</v>
          </cell>
          <cell r="H1975" t="str">
            <v>济生堂济仁堂店</v>
          </cell>
          <cell r="J1975" t="str">
            <v>1857</v>
          </cell>
          <cell r="K1975" t="str">
            <v>201602151421097</v>
          </cell>
          <cell r="M1975" t="str">
            <v>小儿百部止咳糖浆100ml</v>
          </cell>
        </row>
        <row r="1976">
          <cell r="E1976" t="str">
            <v>0020040070ZYEC0005</v>
          </cell>
          <cell r="H1976" t="str">
            <v>济生堂新合作店</v>
          </cell>
          <cell r="J1976" t="str">
            <v>1857</v>
          </cell>
          <cell r="K1976" t="str">
            <v>201602151421097</v>
          </cell>
          <cell r="M1976" t="str">
            <v>小儿百部止咳糖浆100ml</v>
          </cell>
        </row>
        <row r="1977">
          <cell r="E1977" t="str">
            <v>0020040070ZYEC0005</v>
          </cell>
          <cell r="H1977" t="str">
            <v>济生堂清华园店</v>
          </cell>
          <cell r="J1977" t="str">
            <v>1857</v>
          </cell>
          <cell r="K1977" t="str">
            <v>201602151421097</v>
          </cell>
          <cell r="M1977" t="str">
            <v>小儿百部止咳糖浆100ml</v>
          </cell>
        </row>
        <row r="1978">
          <cell r="E1978" t="str">
            <v>0020040070ZYEC0005</v>
          </cell>
          <cell r="H1978" t="str">
            <v>济生堂富国店</v>
          </cell>
          <cell r="J1978" t="str">
            <v>1857</v>
          </cell>
          <cell r="K1978" t="str">
            <v>201602151421097</v>
          </cell>
          <cell r="M1978" t="str">
            <v>小儿百部止咳糖浆100ml</v>
          </cell>
        </row>
        <row r="1979">
          <cell r="E1979" t="str">
            <v>0020040070ZYEC0005</v>
          </cell>
          <cell r="H1979" t="str">
            <v>济生堂新华店</v>
          </cell>
          <cell r="J1979" t="str">
            <v>1857</v>
          </cell>
          <cell r="K1979" t="str">
            <v>201602151421097</v>
          </cell>
          <cell r="M1979" t="str">
            <v>小儿百部止咳糖浆100ml</v>
          </cell>
        </row>
        <row r="1980">
          <cell r="E1980" t="str">
            <v>0020040070ZYEC0005</v>
          </cell>
          <cell r="H1980" t="str">
            <v>济生堂影院店</v>
          </cell>
          <cell r="J1980" t="str">
            <v>1857</v>
          </cell>
          <cell r="K1980" t="str">
            <v>201602151421097</v>
          </cell>
          <cell r="M1980" t="str">
            <v>小儿百部止咳糖浆100ml</v>
          </cell>
        </row>
        <row r="1981">
          <cell r="E1981" t="str">
            <v>0020070001ZYZC0383</v>
          </cell>
          <cell r="H1981" t="str">
            <v>济生堂广场店</v>
          </cell>
          <cell r="J1981" t="str">
            <v>1857</v>
          </cell>
          <cell r="K1981" t="str">
            <v>201602151421097</v>
          </cell>
          <cell r="M1981" t="str">
            <v>哈药牌   钙铁锌口服液10ml*10支</v>
          </cell>
        </row>
        <row r="1982">
          <cell r="E1982" t="str">
            <v>0020070001ZYZC0383</v>
          </cell>
          <cell r="H1982" t="str">
            <v>济生堂影院店</v>
          </cell>
          <cell r="J1982" t="str">
            <v>1857</v>
          </cell>
          <cell r="K1982" t="str">
            <v>201602151421097</v>
          </cell>
          <cell r="M1982" t="str">
            <v>哈药牌   钙铁锌口服液10ml*10支</v>
          </cell>
        </row>
        <row r="1983">
          <cell r="E1983" t="str">
            <v>0020020020ZYLC0003</v>
          </cell>
          <cell r="H1983" t="str">
            <v>济生堂明珠店</v>
          </cell>
          <cell r="J1983" t="str">
            <v>1857</v>
          </cell>
          <cell r="K1983" t="str">
            <v>201602151421097</v>
          </cell>
          <cell r="M1983" t="str">
            <v>颠茄磺苄啶片 泻痢停12p</v>
          </cell>
        </row>
        <row r="1984">
          <cell r="E1984" t="str">
            <v>0020020020ZYLC0003</v>
          </cell>
          <cell r="H1984" t="str">
            <v>济生堂影院店</v>
          </cell>
          <cell r="J1984" t="str">
            <v>1857</v>
          </cell>
          <cell r="K1984" t="str">
            <v>201602151421097</v>
          </cell>
          <cell r="M1984" t="str">
            <v>颠茄磺苄啶片 泻痢停12p</v>
          </cell>
        </row>
        <row r="1985">
          <cell r="E1985" t="str">
            <v>0020020020ZYLC0003</v>
          </cell>
          <cell r="H1985" t="str">
            <v>济生堂广场店</v>
          </cell>
          <cell r="J1985" t="str">
            <v>1857</v>
          </cell>
          <cell r="K1985" t="str">
            <v>201602151421097</v>
          </cell>
          <cell r="M1985" t="str">
            <v>颠茄磺苄啶片 泻痢停12p</v>
          </cell>
        </row>
        <row r="1986">
          <cell r="E1986" t="str">
            <v>0020020020ZYLC0003</v>
          </cell>
          <cell r="H1986" t="str">
            <v>济生堂同济店</v>
          </cell>
          <cell r="J1986" t="str">
            <v>1857</v>
          </cell>
          <cell r="K1986" t="str">
            <v>201602151421097</v>
          </cell>
          <cell r="M1986" t="str">
            <v>颠茄磺苄啶片 泻痢停12p</v>
          </cell>
        </row>
        <row r="1987">
          <cell r="E1987" t="str">
            <v>0020030040SHYT0010</v>
          </cell>
          <cell r="H1987" t="str">
            <v>济生堂大高店</v>
          </cell>
          <cell r="J1987" t="str">
            <v>1857</v>
          </cell>
          <cell r="K1987" t="str">
            <v>201602151421097</v>
          </cell>
          <cell r="M1987" t="str">
            <v>布洛芬颗粒 小安瑞克0.2g*12袋</v>
          </cell>
        </row>
        <row r="1988">
          <cell r="E1988" t="str">
            <v>0020030040SHYT0010</v>
          </cell>
          <cell r="H1988" t="str">
            <v>济生堂同济店</v>
          </cell>
          <cell r="J1988" t="str">
            <v>1857</v>
          </cell>
          <cell r="K1988" t="str">
            <v>201602151421097</v>
          </cell>
          <cell r="M1988" t="str">
            <v>布洛芬颗粒 小安瑞克0.2g*12袋</v>
          </cell>
        </row>
        <row r="1989">
          <cell r="E1989" t="str">
            <v>0020030040SHYT0010</v>
          </cell>
          <cell r="H1989" t="str">
            <v>济生堂冯家店</v>
          </cell>
          <cell r="J1989" t="str">
            <v>1857</v>
          </cell>
          <cell r="K1989" t="str">
            <v>201602151421097</v>
          </cell>
          <cell r="M1989" t="str">
            <v>布洛芬颗粒 小安瑞克0.2g*12袋</v>
          </cell>
        </row>
        <row r="1990">
          <cell r="E1990" t="str">
            <v>0020030040SHYT0010</v>
          </cell>
          <cell r="H1990" t="str">
            <v>济生堂金海店</v>
          </cell>
          <cell r="J1990" t="str">
            <v>1857</v>
          </cell>
          <cell r="K1990" t="str">
            <v>201602151421097</v>
          </cell>
          <cell r="M1990" t="str">
            <v>布洛芬颗粒 小安瑞克0.2g*12袋</v>
          </cell>
        </row>
        <row r="1991">
          <cell r="E1991" t="str">
            <v>0020030040SHYT0010</v>
          </cell>
          <cell r="H1991" t="str">
            <v>济生堂体育场店</v>
          </cell>
          <cell r="J1991" t="str">
            <v>1857</v>
          </cell>
          <cell r="K1991" t="str">
            <v>201602151421097</v>
          </cell>
          <cell r="M1991" t="str">
            <v>布洛芬颗粒 小安瑞克0.2g*12袋</v>
          </cell>
        </row>
        <row r="1992">
          <cell r="E1992" t="str">
            <v>0020030040SHYT0010</v>
          </cell>
          <cell r="H1992" t="str">
            <v>济生堂广场店</v>
          </cell>
          <cell r="J1992" t="str">
            <v>1857</v>
          </cell>
          <cell r="K1992" t="str">
            <v>201602151421097</v>
          </cell>
          <cell r="M1992" t="str">
            <v>布洛芬颗粒 小安瑞克0.2g*12袋</v>
          </cell>
        </row>
        <row r="1993">
          <cell r="E1993" t="str">
            <v>0020030040SHYT0010</v>
          </cell>
          <cell r="H1993" t="str">
            <v>济生堂清华园店</v>
          </cell>
          <cell r="J1993" t="str">
            <v>1857</v>
          </cell>
          <cell r="K1993" t="str">
            <v>201602151421097</v>
          </cell>
          <cell r="M1993" t="str">
            <v>布洛芬颗粒 小安瑞克0.2g*12袋</v>
          </cell>
        </row>
        <row r="1994">
          <cell r="E1994" t="str">
            <v>0020030040SHYT0010</v>
          </cell>
          <cell r="H1994" t="str">
            <v>济生堂富桥店</v>
          </cell>
          <cell r="J1994" t="str">
            <v>1857</v>
          </cell>
          <cell r="K1994" t="str">
            <v>201602151421097</v>
          </cell>
          <cell r="M1994" t="str">
            <v>布洛芬颗粒 小安瑞克0.2g*12袋</v>
          </cell>
        </row>
        <row r="1995">
          <cell r="E1995" t="str">
            <v>0020030040SHYT0010</v>
          </cell>
          <cell r="H1995" t="str">
            <v>济生堂济仁堂店</v>
          </cell>
          <cell r="J1995" t="str">
            <v>1857</v>
          </cell>
          <cell r="K1995" t="str">
            <v>201602151421097</v>
          </cell>
          <cell r="M1995" t="str">
            <v>布洛芬颗粒 小安瑞克0.2g*12袋</v>
          </cell>
        </row>
        <row r="1996">
          <cell r="E1996" t="str">
            <v>0020030040SHYT0010</v>
          </cell>
          <cell r="H1996" t="str">
            <v>济生堂富城店</v>
          </cell>
          <cell r="J1996" t="str">
            <v>1857</v>
          </cell>
          <cell r="K1996" t="str">
            <v>201602151421097</v>
          </cell>
          <cell r="M1996" t="str">
            <v>布洛芬颗粒 小安瑞克0.2g*12袋</v>
          </cell>
        </row>
        <row r="1997">
          <cell r="E1997" t="str">
            <v>0020030040SHYT0010</v>
          </cell>
          <cell r="H1997" t="str">
            <v>济生堂永丰店</v>
          </cell>
          <cell r="J1997" t="str">
            <v>1857</v>
          </cell>
          <cell r="K1997" t="str">
            <v>201602151421097</v>
          </cell>
          <cell r="M1997" t="str">
            <v>布洛芬颗粒 小安瑞克0.2g*12袋</v>
          </cell>
        </row>
        <row r="1998">
          <cell r="E1998" t="str">
            <v>0020030040SHYT0010</v>
          </cell>
          <cell r="H1998" t="str">
            <v>济生堂明珠店</v>
          </cell>
          <cell r="J1998" t="str">
            <v>1857</v>
          </cell>
          <cell r="K1998" t="str">
            <v>201602151421097</v>
          </cell>
          <cell r="M1998" t="str">
            <v>布洛芬颗粒 小安瑞克0.2g*12袋</v>
          </cell>
        </row>
        <row r="1999">
          <cell r="E1999" t="str">
            <v>0020030040SHYT0010</v>
          </cell>
          <cell r="H1999" t="str">
            <v>济生堂中心店</v>
          </cell>
          <cell r="J1999" t="str">
            <v>1857</v>
          </cell>
          <cell r="K1999" t="str">
            <v>201602151421097</v>
          </cell>
          <cell r="M1999" t="str">
            <v>布洛芬颗粒 小安瑞克0.2g*12袋</v>
          </cell>
        </row>
        <row r="2000">
          <cell r="E2000" t="str">
            <v>0020030040SHYT0010</v>
          </cell>
          <cell r="H2000" t="str">
            <v>济生堂龙居店</v>
          </cell>
          <cell r="J2000" t="str">
            <v>1857</v>
          </cell>
          <cell r="K2000" t="str">
            <v>201602151421097</v>
          </cell>
          <cell r="M2000" t="str">
            <v>布洛芬颗粒 小安瑞克0.2g*12袋</v>
          </cell>
        </row>
        <row r="2001">
          <cell r="E2001" t="str">
            <v>0020030040SHYT0010</v>
          </cell>
          <cell r="H2001" t="str">
            <v>济生堂下洼店</v>
          </cell>
          <cell r="J2001" t="str">
            <v>1857</v>
          </cell>
          <cell r="K2001" t="str">
            <v>201602151421097</v>
          </cell>
          <cell r="M2001" t="str">
            <v>布洛芬颗粒 小安瑞克0.2g*12袋</v>
          </cell>
        </row>
        <row r="2002">
          <cell r="E2002" t="str">
            <v>0020030040SHYT0010</v>
          </cell>
          <cell r="H2002" t="str">
            <v>济生堂环宇店</v>
          </cell>
          <cell r="J2002" t="str">
            <v>1857</v>
          </cell>
          <cell r="K2002" t="str">
            <v>201602151421097</v>
          </cell>
          <cell r="M2002" t="str">
            <v>布洛芬颗粒 小安瑞克0.2g*12袋</v>
          </cell>
        </row>
        <row r="2003">
          <cell r="E2003" t="str">
            <v>0020030040SHYT0010</v>
          </cell>
          <cell r="H2003" t="str">
            <v>济生堂新华店</v>
          </cell>
          <cell r="J2003" t="str">
            <v>1857</v>
          </cell>
          <cell r="K2003" t="str">
            <v>201602151421097</v>
          </cell>
          <cell r="M2003" t="str">
            <v>布洛芬颗粒 小安瑞克0.2g*12袋</v>
          </cell>
        </row>
        <row r="2004">
          <cell r="E2004" t="str">
            <v>0020030040SHYT0010</v>
          </cell>
          <cell r="H2004" t="str">
            <v>济生堂金康店</v>
          </cell>
          <cell r="J2004" t="str">
            <v>1857</v>
          </cell>
          <cell r="K2004" t="str">
            <v>201602151421097</v>
          </cell>
          <cell r="M2004" t="str">
            <v>布洛芬颗粒 小安瑞克0.2g*12袋</v>
          </cell>
        </row>
        <row r="2005">
          <cell r="E2005" t="str">
            <v>0020070000ZYLC0003</v>
          </cell>
          <cell r="H2005" t="str">
            <v>济生堂富桥店</v>
          </cell>
          <cell r="J2005" t="str">
            <v>1857</v>
          </cell>
          <cell r="K2005" t="str">
            <v>201602151421097</v>
          </cell>
          <cell r="M2005" t="str">
            <v>新盖中盖牌（儿童钙片）1.75g*36片</v>
          </cell>
        </row>
        <row r="2006">
          <cell r="E2006" t="str">
            <v>0020070000ZYLC0003</v>
          </cell>
          <cell r="H2006" t="str">
            <v>济生堂广场店</v>
          </cell>
          <cell r="J2006" t="str">
            <v>1857</v>
          </cell>
          <cell r="K2006" t="str">
            <v>201602151421097</v>
          </cell>
          <cell r="M2006" t="str">
            <v>新盖中盖牌（儿童钙片）1.75g*36片</v>
          </cell>
        </row>
        <row r="2007">
          <cell r="E2007" t="str">
            <v>0020070000ZYLC0003</v>
          </cell>
          <cell r="H2007" t="str">
            <v>济生堂永丰店</v>
          </cell>
          <cell r="J2007" t="str">
            <v>1857</v>
          </cell>
          <cell r="K2007" t="str">
            <v>201602151421097</v>
          </cell>
          <cell r="M2007" t="str">
            <v>新盖中盖牌（儿童钙片）1.75g*36片</v>
          </cell>
        </row>
        <row r="2008">
          <cell r="E2008" t="str">
            <v>0020070000ZYLC0003</v>
          </cell>
          <cell r="H2008" t="str">
            <v>济生堂济仁堂店</v>
          </cell>
          <cell r="J2008" t="str">
            <v>1857</v>
          </cell>
          <cell r="K2008" t="str">
            <v>201602151421097</v>
          </cell>
          <cell r="M2008" t="str">
            <v>新盖中盖牌（儿童钙片）1.75g*36片</v>
          </cell>
        </row>
        <row r="2009">
          <cell r="E2009" t="str">
            <v>0020070000ZYLC0003</v>
          </cell>
          <cell r="H2009" t="str">
            <v>济生堂富国店</v>
          </cell>
          <cell r="J2009" t="str">
            <v>1857</v>
          </cell>
          <cell r="K2009" t="str">
            <v>201602151421097</v>
          </cell>
          <cell r="M2009" t="str">
            <v>新盖中盖牌（儿童钙片）1.75g*36片</v>
          </cell>
        </row>
        <row r="2010">
          <cell r="E2010" t="str">
            <v>0020050090ZYEC0005</v>
          </cell>
          <cell r="H2010" t="str">
            <v>济生堂冯家店</v>
          </cell>
          <cell r="J2010" t="str">
            <v>1857</v>
          </cell>
          <cell r="K2010" t="str">
            <v>201602151421097</v>
          </cell>
          <cell r="M2010" t="str">
            <v>清热解毒口服液10ml*10支</v>
          </cell>
        </row>
        <row r="2011">
          <cell r="E2011" t="str">
            <v>0020050090ZYEC0005</v>
          </cell>
          <cell r="H2011" t="str">
            <v>济生堂下洼店</v>
          </cell>
          <cell r="J2011" t="str">
            <v>1857</v>
          </cell>
          <cell r="K2011" t="str">
            <v>201602151421097</v>
          </cell>
          <cell r="M2011" t="str">
            <v>清热解毒口服液10ml*10支</v>
          </cell>
        </row>
        <row r="2012">
          <cell r="E2012" t="str">
            <v>0020050090ZYEC0005</v>
          </cell>
          <cell r="H2012" t="str">
            <v>济生堂广场店</v>
          </cell>
          <cell r="J2012" t="str">
            <v>1857</v>
          </cell>
          <cell r="K2012" t="str">
            <v>201602151421097</v>
          </cell>
          <cell r="M2012" t="str">
            <v>清热解毒口服液10ml*10支</v>
          </cell>
        </row>
        <row r="2013">
          <cell r="E2013" t="str">
            <v>0020050090ZYEC0005</v>
          </cell>
          <cell r="H2013" t="str">
            <v>济生堂新华店</v>
          </cell>
          <cell r="J2013" t="str">
            <v>1857</v>
          </cell>
          <cell r="K2013" t="str">
            <v>201602151421097</v>
          </cell>
          <cell r="M2013" t="str">
            <v>清热解毒口服液10ml*10支</v>
          </cell>
        </row>
        <row r="2014">
          <cell r="E2014" t="str">
            <v>0020020020ZYZC0359</v>
          </cell>
          <cell r="H2014" t="str">
            <v>济生堂广场店</v>
          </cell>
          <cell r="J2014" t="str">
            <v>1857</v>
          </cell>
          <cell r="K2014" t="str">
            <v>201602151421097</v>
          </cell>
          <cell r="M2014" t="str">
            <v>青霉素V钾片0.236g*24p</v>
          </cell>
        </row>
        <row r="2015">
          <cell r="E2015" t="str">
            <v>0020020021ZYZC0341</v>
          </cell>
          <cell r="H2015" t="str">
            <v>济生堂广场店</v>
          </cell>
          <cell r="J2015" t="str">
            <v>1857</v>
          </cell>
          <cell r="K2015" t="str">
            <v>201602151421097</v>
          </cell>
          <cell r="M2015" t="str">
            <v>阿莫西林克拉维酸钾分散片2285mg*12p</v>
          </cell>
        </row>
        <row r="2016">
          <cell r="E2016" t="str">
            <v>0020020021ZYZC0341</v>
          </cell>
          <cell r="H2016" t="str">
            <v>济生堂济仁堂店</v>
          </cell>
          <cell r="J2016" t="str">
            <v>1857</v>
          </cell>
          <cell r="K2016" t="str">
            <v>201602151421097</v>
          </cell>
          <cell r="M2016" t="str">
            <v>阿莫西林克拉维酸钾分散片2285mg*12p</v>
          </cell>
        </row>
        <row r="2017">
          <cell r="E2017" t="str">
            <v>0020020021ZYZC0341</v>
          </cell>
          <cell r="H2017" t="str">
            <v>济生堂龙居店</v>
          </cell>
          <cell r="J2017" t="str">
            <v>1857</v>
          </cell>
          <cell r="K2017" t="str">
            <v>201602151421097</v>
          </cell>
          <cell r="M2017" t="str">
            <v>阿莫西林克拉维酸钾分散片2285mg*12p</v>
          </cell>
        </row>
        <row r="2018">
          <cell r="E2018" t="str">
            <v>0020020021ZYZC0341</v>
          </cell>
          <cell r="H2018" t="str">
            <v>济生堂中心店</v>
          </cell>
          <cell r="J2018" t="str">
            <v>1857</v>
          </cell>
          <cell r="K2018" t="str">
            <v>201602151421097</v>
          </cell>
          <cell r="M2018" t="str">
            <v>阿莫西林克拉维酸钾分散片2285mg*12p</v>
          </cell>
        </row>
        <row r="2019">
          <cell r="E2019" t="str">
            <v>0020020030ZYZC0283</v>
          </cell>
          <cell r="H2019" t="str">
            <v>济生堂富城店</v>
          </cell>
          <cell r="J2019" t="str">
            <v>1857</v>
          </cell>
          <cell r="K2019" t="str">
            <v>201602151421097</v>
          </cell>
          <cell r="M2019" t="str">
            <v>头孢拉定胶囊0.25*24粒</v>
          </cell>
        </row>
        <row r="2020">
          <cell r="E2020" t="str">
            <v>0020040001SHYT0026</v>
          </cell>
          <cell r="H2020" t="str">
            <v>滨州市仁信医药有限公司</v>
          </cell>
          <cell r="J2020" t="str">
            <v>1855</v>
          </cell>
          <cell r="K2020" t="str">
            <v>201602151421097</v>
          </cell>
          <cell r="M2020" t="str">
            <v>小活络丸3g*10丸</v>
          </cell>
        </row>
        <row r="2021">
          <cell r="E2021" t="str">
            <v>0020030020SJSC0004</v>
          </cell>
          <cell r="H2021" t="str">
            <v>滨州市仁信医药有限公司</v>
          </cell>
          <cell r="J2021" t="str">
            <v>1855</v>
          </cell>
          <cell r="K2021" t="str">
            <v>201602151421097</v>
          </cell>
          <cell r="M2021" t="str">
            <v>复方铝酸铋片50片</v>
          </cell>
        </row>
        <row r="2022">
          <cell r="E2022" t="str">
            <v>0020020030ZYZC0510</v>
          </cell>
          <cell r="H2022" t="str">
            <v>滨州市仁信医药有限公司</v>
          </cell>
          <cell r="J2022" t="str">
            <v>1855</v>
          </cell>
          <cell r="K2022" t="str">
            <v>201602151421097</v>
          </cell>
          <cell r="M2022" t="str">
            <v>诺氟沙星胶囊0.1g*20粒</v>
          </cell>
        </row>
        <row r="2023">
          <cell r="E2023" t="str">
            <v>0020040110SHYT0002</v>
          </cell>
          <cell r="H2023" t="str">
            <v>滨州市仁信医药有限公司</v>
          </cell>
          <cell r="J2023" t="str">
            <v>1855</v>
          </cell>
          <cell r="K2023" t="str">
            <v>201602151421097</v>
          </cell>
          <cell r="M2023" t="str">
            <v>麝香接骨胶囊0.3g*40粒</v>
          </cell>
        </row>
        <row r="2024">
          <cell r="E2024" t="str">
            <v>0020020021ZYLC0015</v>
          </cell>
          <cell r="H2024" t="str">
            <v>滨州市仁信医药有限公司</v>
          </cell>
          <cell r="J2024" t="str">
            <v>1855</v>
          </cell>
          <cell r="K2024" t="str">
            <v>201602151421097</v>
          </cell>
          <cell r="M2024" t="str">
            <v>克拉霉素分散片0.125g*24片</v>
          </cell>
        </row>
        <row r="2025">
          <cell r="E2025" t="str">
            <v>0020050020SHYT0016</v>
          </cell>
          <cell r="H2025" t="str">
            <v>滨州市仁信医药有限公司</v>
          </cell>
          <cell r="J2025" t="str">
            <v>1855</v>
          </cell>
          <cell r="K2025" t="str">
            <v>201602151421097</v>
          </cell>
          <cell r="M2025" t="str">
            <v>复方金银花颗粒10g*10袋</v>
          </cell>
        </row>
        <row r="2026">
          <cell r="E2026" t="str">
            <v>0020020021ZYLC0004</v>
          </cell>
          <cell r="H2026" t="str">
            <v>滨州市仁信医药有限公司</v>
          </cell>
          <cell r="J2026" t="str">
            <v>1855</v>
          </cell>
          <cell r="K2026" t="str">
            <v>201602151421097</v>
          </cell>
          <cell r="M2026" t="str">
            <v>罗红霉素分散片75mg*12片</v>
          </cell>
        </row>
        <row r="2027">
          <cell r="E2027" t="str">
            <v>0020040001SHYT0003</v>
          </cell>
          <cell r="H2027" t="str">
            <v>滨州市仁信医药有限公司</v>
          </cell>
          <cell r="J2027" t="str">
            <v>1855</v>
          </cell>
          <cell r="K2027" t="str">
            <v>201602151421097</v>
          </cell>
          <cell r="M2027" t="str">
            <v>金匮肾气丸6g*10丸</v>
          </cell>
        </row>
        <row r="2028">
          <cell r="E2028" t="str">
            <v>0020020030ZYZC0286</v>
          </cell>
          <cell r="H2028" t="str">
            <v>滨州市仁信医药有限公司</v>
          </cell>
          <cell r="J2028" t="str">
            <v>1855</v>
          </cell>
          <cell r="K2028" t="str">
            <v>201602151421097</v>
          </cell>
          <cell r="M2028" t="str">
            <v>阿莫西林胶囊0.5g*20s</v>
          </cell>
        </row>
        <row r="2029">
          <cell r="E2029" t="str">
            <v>0020040001SHYT0005</v>
          </cell>
          <cell r="H2029" t="str">
            <v>滨州市仁信医药有限公司</v>
          </cell>
          <cell r="J2029" t="str">
            <v>1855</v>
          </cell>
          <cell r="K2029" t="str">
            <v>201602151421097</v>
          </cell>
          <cell r="M2029" t="str">
            <v>安宫牛黄丸 3g*2丸</v>
          </cell>
        </row>
        <row r="2030">
          <cell r="E2030" t="str">
            <v>0020050001SHYT0030</v>
          </cell>
          <cell r="H2030" t="str">
            <v>滨州市仁信医药有限公司</v>
          </cell>
          <cell r="J2030" t="str">
            <v>1855</v>
          </cell>
          <cell r="K2030" t="str">
            <v>201602151421097</v>
          </cell>
          <cell r="M2030" t="str">
            <v>知柏地黄丸9g*10丸</v>
          </cell>
        </row>
        <row r="2031">
          <cell r="E2031" t="str">
            <v>0020020020SJMS0006</v>
          </cell>
          <cell r="H2031" t="str">
            <v>滨州市仁信医药有限公司</v>
          </cell>
          <cell r="J2031" t="str">
            <v>1855</v>
          </cell>
          <cell r="K2031" t="str">
            <v>201602151421097</v>
          </cell>
          <cell r="M2031" t="str">
            <v>尼莫地平片20mg*50片</v>
          </cell>
        </row>
        <row r="2032">
          <cell r="E2032" t="str">
            <v>0020050001SHYT0017</v>
          </cell>
          <cell r="H2032" t="str">
            <v>滨州市仁信医药有限公司</v>
          </cell>
          <cell r="J2032" t="str">
            <v>1855</v>
          </cell>
          <cell r="K2032" t="str">
            <v>201602151421097</v>
          </cell>
          <cell r="M2032" t="str">
            <v>附子理中丸9g*10丸</v>
          </cell>
        </row>
        <row r="2033">
          <cell r="E2033" t="str">
            <v>0020020020ZYZC0473</v>
          </cell>
          <cell r="H2033" t="str">
            <v>滨州市仁信医药有限公司</v>
          </cell>
          <cell r="J2033" t="str">
            <v>1855</v>
          </cell>
          <cell r="K2033" t="str">
            <v>201602151421097</v>
          </cell>
          <cell r="M2033" t="str">
            <v>盐酸环丙沙星片0.25g*12片</v>
          </cell>
        </row>
        <row r="2034">
          <cell r="E2034" t="str">
            <v>0020020020ZYLC0011</v>
          </cell>
          <cell r="H2034" t="str">
            <v>滨州市仁信医药有限公司</v>
          </cell>
          <cell r="J2034" t="str">
            <v>1855</v>
          </cell>
          <cell r="K2034" t="str">
            <v>201602151421097</v>
          </cell>
          <cell r="M2034" t="str">
            <v>颠茄磺苄啶片0.122g*20片</v>
          </cell>
        </row>
        <row r="2035">
          <cell r="E2035" t="str">
            <v>0020050001SHYT0027</v>
          </cell>
          <cell r="H2035" t="str">
            <v>滨州市仁信医药有限公司</v>
          </cell>
          <cell r="J2035" t="str">
            <v>1855</v>
          </cell>
          <cell r="K2035" t="str">
            <v>201602151421097</v>
          </cell>
          <cell r="M2035" t="str">
            <v>健脾丸9g*10丸/盒</v>
          </cell>
        </row>
        <row r="2036">
          <cell r="E2036" t="str">
            <v>0020020030SJMS0025</v>
          </cell>
          <cell r="H2036" t="str">
            <v>滨州市仁信医药有限公司</v>
          </cell>
          <cell r="J2036" t="str">
            <v>1855</v>
          </cell>
          <cell r="K2036" t="str">
            <v>201602151421097</v>
          </cell>
          <cell r="M2036" t="str">
            <v>人工牛黄甲硝唑胶囊30粒</v>
          </cell>
        </row>
        <row r="2037">
          <cell r="E2037" t="str">
            <v>0020020020ZYLC0003</v>
          </cell>
          <cell r="H2037" t="str">
            <v>滨州市仁信医药有限公司</v>
          </cell>
          <cell r="J2037" t="str">
            <v>1855</v>
          </cell>
          <cell r="K2037" t="str">
            <v>201602151421097</v>
          </cell>
          <cell r="M2037" t="str">
            <v>颠茄磺苄啶片0.4g:80mg:8mg*12片</v>
          </cell>
        </row>
        <row r="2038">
          <cell r="E2038" t="str">
            <v>0020070000ZYLC0051</v>
          </cell>
          <cell r="H2038" t="str">
            <v>滨州市仁信医药有限公司</v>
          </cell>
          <cell r="J2038" t="str">
            <v>1855</v>
          </cell>
          <cell r="K2038" t="str">
            <v>201602151421097</v>
          </cell>
          <cell r="M2038" t="str">
            <v>朴雪乳酸亚铁口服液10ml*12支</v>
          </cell>
        </row>
        <row r="2039">
          <cell r="E2039" t="str">
            <v>0020040003SHYT0002</v>
          </cell>
          <cell r="H2039" t="str">
            <v>滨州市仁信医药有限公司</v>
          </cell>
          <cell r="J2039" t="str">
            <v>1855</v>
          </cell>
          <cell r="K2039" t="str">
            <v>201602151421097</v>
          </cell>
          <cell r="M2039" t="str">
            <v>金匮肾气丸72g/瓶</v>
          </cell>
        </row>
        <row r="2040">
          <cell r="E2040" t="str">
            <v>0020050090ZYEC0005</v>
          </cell>
          <cell r="H2040" t="str">
            <v>滨州市仁信医药有限公司</v>
          </cell>
          <cell r="J2040" t="str">
            <v>1855</v>
          </cell>
          <cell r="K2040" t="str">
            <v>201602151421097</v>
          </cell>
          <cell r="M2040" t="str">
            <v>清热解毒口服液10ml*10支</v>
          </cell>
        </row>
        <row r="2041">
          <cell r="E2041" t="str">
            <v>0020100000ZYLC0001</v>
          </cell>
          <cell r="H2041" t="str">
            <v>滨州市仁信医药有限公司</v>
          </cell>
          <cell r="J2041" t="str">
            <v>1855</v>
          </cell>
          <cell r="K2041" t="str">
            <v>201602151421097</v>
          </cell>
          <cell r="M2041" t="str">
            <v>退热贴40mmx110mmx2贴</v>
          </cell>
        </row>
        <row r="2042">
          <cell r="E2042" t="str">
            <v>0020050001SHYT0021</v>
          </cell>
          <cell r="H2042" t="str">
            <v>滨州市仁信医药有限公司</v>
          </cell>
          <cell r="J2042" t="str">
            <v>1855</v>
          </cell>
          <cell r="K2042" t="str">
            <v>201602151421097</v>
          </cell>
          <cell r="M2042" t="str">
            <v>六味地黄丸9g*10丸</v>
          </cell>
        </row>
        <row r="2043">
          <cell r="E2043" t="str">
            <v>0020050001SHYT0004</v>
          </cell>
          <cell r="H2043" t="str">
            <v>滨州市仁信医药有限公司</v>
          </cell>
          <cell r="J2043" t="str">
            <v>1855</v>
          </cell>
          <cell r="K2043" t="str">
            <v>201602151421097</v>
          </cell>
          <cell r="M2043" t="str">
            <v>龙胆泻肝丸6g*10丸</v>
          </cell>
        </row>
        <row r="2044">
          <cell r="E2044" t="str">
            <v>0020050030SHYT0002</v>
          </cell>
          <cell r="H2044" t="str">
            <v>滨州市仁信医药有限公司</v>
          </cell>
          <cell r="J2044" t="str">
            <v>1855</v>
          </cell>
          <cell r="K2044" t="str">
            <v>201602151421097</v>
          </cell>
          <cell r="M2044" t="str">
            <v>羚羊感冒片24片</v>
          </cell>
        </row>
        <row r="2045">
          <cell r="E2045" t="str">
            <v>0020040220SHYT0005</v>
          </cell>
          <cell r="H2045" t="str">
            <v>滨州市仁信医药有限公司</v>
          </cell>
          <cell r="J2045" t="str">
            <v>1855</v>
          </cell>
          <cell r="K2045" t="str">
            <v>201602151421097</v>
          </cell>
          <cell r="M2045" t="str">
            <v>妇宁栓1.6g*7粒</v>
          </cell>
        </row>
        <row r="2046">
          <cell r="E2046" t="str">
            <v>0020030020ZYLC0006</v>
          </cell>
          <cell r="H2046" t="str">
            <v>滨州市仁信医药有限公司</v>
          </cell>
          <cell r="J2046" t="str">
            <v>1855</v>
          </cell>
          <cell r="K2046" t="str">
            <v>201602151421097</v>
          </cell>
          <cell r="M2046" t="str">
            <v>复方氨酚烷胺片12片</v>
          </cell>
        </row>
        <row r="2047">
          <cell r="E2047" t="str">
            <v>0020050070ZYEC0010</v>
          </cell>
          <cell r="H2047" t="str">
            <v>滨州市仁信医药有限公司</v>
          </cell>
          <cell r="J2047" t="str">
            <v>1855</v>
          </cell>
          <cell r="K2047" t="str">
            <v>201602151421097</v>
          </cell>
          <cell r="M2047" t="str">
            <v>紫桔止咳糖浆100ml/瓶</v>
          </cell>
        </row>
        <row r="2048">
          <cell r="E2048" t="str">
            <v>0020020020ZYLC0010</v>
          </cell>
          <cell r="H2048" t="str">
            <v>滨州市仁信医药有限公司</v>
          </cell>
          <cell r="J2048" t="str">
            <v>1855</v>
          </cell>
          <cell r="K2048" t="str">
            <v>201602151421097</v>
          </cell>
          <cell r="M2048" t="str">
            <v>颠茄磺苄啶片10*</v>
          </cell>
        </row>
        <row r="2049">
          <cell r="E2049" t="str">
            <v>0020040001SHYT0027</v>
          </cell>
          <cell r="H2049" t="str">
            <v>滨州市仁信医药有限公司</v>
          </cell>
          <cell r="J2049" t="str">
            <v>1855</v>
          </cell>
          <cell r="K2049" t="str">
            <v>201602151421097</v>
          </cell>
          <cell r="M2049" t="str">
            <v>柏子养心丸9g*10丸/盒</v>
          </cell>
        </row>
        <row r="2050">
          <cell r="E2050" t="str">
            <v>0020020020ZYZC0495</v>
          </cell>
          <cell r="H2050" t="str">
            <v>滨州市仁信医药有限公司</v>
          </cell>
          <cell r="J2050" t="str">
            <v>1855</v>
          </cell>
          <cell r="K2050" t="str">
            <v>201602151421097</v>
          </cell>
          <cell r="M2050" t="str">
            <v>头孢氨苄片0.125g*30片</v>
          </cell>
        </row>
        <row r="2051">
          <cell r="E2051" t="str">
            <v>0020050001SHYT0001</v>
          </cell>
          <cell r="H2051" t="str">
            <v>滨州市仁信医药有限公司</v>
          </cell>
          <cell r="J2051" t="str">
            <v>1855</v>
          </cell>
          <cell r="K2051" t="str">
            <v>201602151421097</v>
          </cell>
          <cell r="M2051" t="str">
            <v>启脾丸3g*10</v>
          </cell>
        </row>
        <row r="2052">
          <cell r="E2052" t="str">
            <v>0020030001SJZY0006</v>
          </cell>
          <cell r="H2052" t="str">
            <v>滨州经济开发区杜店街道社区卫生服务中心</v>
          </cell>
          <cell r="J2052" t="str">
            <v>1853</v>
          </cell>
          <cell r="K2052" t="str">
            <v>201602151421097</v>
          </cell>
          <cell r="M2052" t="str">
            <v>葡萄糖酸钙口服溶液10ml*12(含糖型)</v>
          </cell>
        </row>
        <row r="2053">
          <cell r="E2053" t="str">
            <v>0020020020ZYZC0473</v>
          </cell>
          <cell r="H2053" t="str">
            <v>惠民县人民医院（北）</v>
          </cell>
          <cell r="J2053" t="str">
            <v>1854</v>
          </cell>
          <cell r="K2053" t="str">
            <v>201602151421097</v>
          </cell>
          <cell r="M2053" t="str">
            <v>盐酸环丙沙星片0.25g*12片</v>
          </cell>
        </row>
        <row r="2054">
          <cell r="E2054" t="str">
            <v>0020020030ZYZC0511</v>
          </cell>
          <cell r="H2054" t="str">
            <v>魏桥镇西码头中心卫生室</v>
          </cell>
          <cell r="J2054" t="str">
            <v>1859</v>
          </cell>
          <cell r="K2054" t="str">
            <v>201602151421097</v>
          </cell>
          <cell r="M2054" t="str">
            <v>头孢氨苄胶囊0.125g*20粒</v>
          </cell>
        </row>
        <row r="2055">
          <cell r="E2055" t="str">
            <v>0020020020ZYZC0359</v>
          </cell>
          <cell r="H2055" t="str">
            <v>滨州益康医药连锁有限公司邹平县第十一店</v>
          </cell>
          <cell r="J2055" t="str">
            <v>1859</v>
          </cell>
          <cell r="K2055" t="str">
            <v>201602151421097</v>
          </cell>
          <cell r="M2055" t="str">
            <v>青霉素V钾片0.236g*24片</v>
          </cell>
        </row>
        <row r="2056">
          <cell r="E2056" t="str">
            <v>0020070000ZYLC0051</v>
          </cell>
          <cell r="H2056" t="str">
            <v>滨州益康医药连锁有限公司邹平县黛溪一路店</v>
          </cell>
          <cell r="J2056" t="str">
            <v>1859</v>
          </cell>
          <cell r="K2056" t="str">
            <v>201602151421097</v>
          </cell>
          <cell r="M2056" t="str">
            <v>朴血乳酸亚铁口服液10ml*12支</v>
          </cell>
        </row>
        <row r="2057">
          <cell r="E2057" t="str">
            <v>0020030040SJET0003</v>
          </cell>
          <cell r="H2057" t="str">
            <v>滨州益康医药连锁有限公司邹平县黛溪一路店</v>
          </cell>
          <cell r="J2057" t="str">
            <v>1859</v>
          </cell>
          <cell r="K2057" t="str">
            <v>201602151421097</v>
          </cell>
          <cell r="M2057" t="str">
            <v>氨金黄敏颗粒6g*10袋</v>
          </cell>
        </row>
        <row r="2058">
          <cell r="E2058" t="str">
            <v>0020020020ZYZC0473</v>
          </cell>
          <cell r="H2058" t="str">
            <v>滨州益康医药连锁有限公司邹魏一区店</v>
          </cell>
          <cell r="J2058" t="str">
            <v>1859</v>
          </cell>
          <cell r="K2058" t="str">
            <v>201602151421097</v>
          </cell>
          <cell r="M2058" t="str">
            <v>盐酸环丙沙星片0.25g*12片</v>
          </cell>
        </row>
        <row r="2059">
          <cell r="E2059" t="str">
            <v>0020070000SJZY0001</v>
          </cell>
          <cell r="H2059" t="str">
            <v>滨州益康医药连锁有限公司邹平县魏桥惠民店</v>
          </cell>
          <cell r="J2059" t="str">
            <v>1859</v>
          </cell>
          <cell r="K2059" t="str">
            <v>201602151421097</v>
          </cell>
          <cell r="M2059" t="str">
            <v>葡萄糖酸锌口服液10ml*12支</v>
          </cell>
        </row>
        <row r="2060">
          <cell r="E2060" t="str">
            <v>0020030001SJZY0006</v>
          </cell>
          <cell r="H2060" t="str">
            <v>滨州益康医药连锁有限公司邹平县黛溪三路店</v>
          </cell>
          <cell r="J2060" t="str">
            <v>1859</v>
          </cell>
          <cell r="K2060" t="str">
            <v>201602151421097</v>
          </cell>
          <cell r="M2060" t="str">
            <v>葡萄糖酸钙口服溶液10ml*12支</v>
          </cell>
        </row>
        <row r="2061">
          <cell r="E2061" t="str">
            <v>0020020020SJMS0006</v>
          </cell>
          <cell r="H2061" t="str">
            <v>滨州益康医药连锁有限公司邹魏一区店</v>
          </cell>
          <cell r="J2061" t="str">
            <v>1859</v>
          </cell>
          <cell r="K2061" t="str">
            <v>201602151421097</v>
          </cell>
          <cell r="M2061" t="str">
            <v>尼莫地平片20mg*50片</v>
          </cell>
        </row>
        <row r="2062">
          <cell r="E2062" t="str">
            <v>0020030020SJSC0004</v>
          </cell>
          <cell r="H2062" t="str">
            <v>滨州益康医药连锁有限公司邹平县第十一店</v>
          </cell>
          <cell r="J2062" t="str">
            <v>1859</v>
          </cell>
          <cell r="K2062" t="str">
            <v>201602151421097</v>
          </cell>
          <cell r="M2062" t="str">
            <v>复方铝酸铋片/新胃必治50片</v>
          </cell>
        </row>
        <row r="2063">
          <cell r="E2063" t="str">
            <v>0020050020ZYEC0008</v>
          </cell>
          <cell r="H2063" t="str">
            <v>滨州益康医药连锁有限公司成五店</v>
          </cell>
          <cell r="J2063" t="str">
            <v>1859</v>
          </cell>
          <cell r="K2063" t="str">
            <v>201602151421097</v>
          </cell>
          <cell r="M2063" t="str">
            <v>感冒解毒灵颗粒5g*10袋</v>
          </cell>
        </row>
        <row r="2064">
          <cell r="E2064" t="str">
            <v>0020030040ZYLC0001</v>
          </cell>
          <cell r="H2064" t="str">
            <v>滨州益康医药连锁有限公司邹魏一区店</v>
          </cell>
          <cell r="J2064" t="str">
            <v>1859</v>
          </cell>
          <cell r="K2064" t="str">
            <v>201602151421097</v>
          </cell>
          <cell r="M2064" t="str">
            <v>小儿氨酚黄那敏颗粒/护彤2g*12袋</v>
          </cell>
        </row>
        <row r="2065">
          <cell r="E2065" t="str">
            <v>0020040070ZYEC0005</v>
          </cell>
          <cell r="H2065" t="str">
            <v>滨州益康医药连锁有限公司邹平县第十一店</v>
          </cell>
          <cell r="J2065" t="str">
            <v>1859</v>
          </cell>
          <cell r="K2065" t="str">
            <v>201602151421097</v>
          </cell>
          <cell r="M2065" t="str">
            <v>小儿百部止咳糖浆100ml</v>
          </cell>
        </row>
        <row r="2066">
          <cell r="E2066" t="str">
            <v>0020030040ZYLC0001</v>
          </cell>
          <cell r="H2066" t="str">
            <v>韩店镇旧口中心卫生室</v>
          </cell>
          <cell r="J2066" t="str">
            <v>1859</v>
          </cell>
          <cell r="K2066" t="str">
            <v>201602151421097</v>
          </cell>
          <cell r="M2066" t="str">
            <v>小儿氨酚黄那敏颗粒/护彤2g*12袋</v>
          </cell>
        </row>
        <row r="2067">
          <cell r="E2067" t="str">
            <v>0020050090ZYEC0005</v>
          </cell>
          <cell r="H2067" t="str">
            <v>滨州益康医药连锁有限公司成五店</v>
          </cell>
          <cell r="J2067" t="str">
            <v>1859</v>
          </cell>
          <cell r="K2067" t="str">
            <v>201602151421097</v>
          </cell>
          <cell r="M2067" t="str">
            <v>清热解毒口服液10ml*10支</v>
          </cell>
        </row>
        <row r="2068">
          <cell r="E2068" t="str">
            <v>0020030001SJZY0006</v>
          </cell>
          <cell r="H2068" t="str">
            <v>开发区韩峰卫生室</v>
          </cell>
          <cell r="J2068" t="str">
            <v>1859</v>
          </cell>
          <cell r="K2068" t="str">
            <v>201602151421097</v>
          </cell>
          <cell r="M2068" t="str">
            <v>葡萄糖酸钙口服溶液10ml*12支</v>
          </cell>
        </row>
        <row r="2069">
          <cell r="E2069" t="str">
            <v>0020070000SJZY0001</v>
          </cell>
          <cell r="H2069" t="str">
            <v>滨州益康医药连锁有限公司孙镇店</v>
          </cell>
          <cell r="J2069" t="str">
            <v>1859</v>
          </cell>
          <cell r="K2069" t="str">
            <v>201602151421097</v>
          </cell>
          <cell r="M2069" t="str">
            <v>葡萄糖酸锌口服液10ml*12支</v>
          </cell>
        </row>
        <row r="2070">
          <cell r="E2070" t="str">
            <v>0020050090SJZY0001</v>
          </cell>
          <cell r="H2070" t="str">
            <v>滨州益康医药连锁有限公司孙镇店</v>
          </cell>
          <cell r="J2070" t="str">
            <v>1859</v>
          </cell>
          <cell r="K2070" t="str">
            <v>201602151421097</v>
          </cell>
          <cell r="M2070" t="str">
            <v>双黄连口服液10ml*10z</v>
          </cell>
        </row>
        <row r="2071">
          <cell r="E2071" t="str">
            <v>0020040220SHYT0004</v>
          </cell>
          <cell r="H2071" t="str">
            <v>滨州益康医药连锁有限公司邹平明德店</v>
          </cell>
          <cell r="J2071" t="str">
            <v>1859</v>
          </cell>
          <cell r="K2071" t="str">
            <v>201602151421097</v>
          </cell>
          <cell r="M2071" t="str">
            <v>妇宁栓1.6克*8粒</v>
          </cell>
        </row>
        <row r="2072">
          <cell r="E2072" t="str">
            <v>0020030020SJSC0004</v>
          </cell>
          <cell r="H2072" t="str">
            <v>邹平县好生镇金河中心卫生室</v>
          </cell>
          <cell r="J2072" t="str">
            <v>1859</v>
          </cell>
          <cell r="K2072" t="str">
            <v>201602151421097</v>
          </cell>
          <cell r="M2072" t="str">
            <v>复方铝酸铋片/新胃必治50片</v>
          </cell>
        </row>
        <row r="2073">
          <cell r="E2073" t="str">
            <v>0020020020SJMS0006</v>
          </cell>
          <cell r="H2073" t="str">
            <v>邹平县魏桥镇吴庄中心卫生室</v>
          </cell>
          <cell r="J2073" t="str">
            <v>1859</v>
          </cell>
          <cell r="K2073" t="str">
            <v>201602151421097</v>
          </cell>
          <cell r="M2073" t="str">
            <v>尼莫地平片20mg*50片</v>
          </cell>
        </row>
        <row r="2074">
          <cell r="E2074" t="str">
            <v>0020070000ZYLC0052</v>
          </cell>
          <cell r="H2074" t="str">
            <v>滨州益康医药连锁有限公司邹平正心店</v>
          </cell>
          <cell r="J2074" t="str">
            <v>1859</v>
          </cell>
          <cell r="K2074" t="str">
            <v>201602151421097</v>
          </cell>
          <cell r="M2074" t="str">
            <v>哈药六牌钙加锌口服液10ml*12支</v>
          </cell>
        </row>
        <row r="2075">
          <cell r="E2075" t="str">
            <v>0020030001SJZY0006</v>
          </cell>
          <cell r="H2075" t="str">
            <v>滨州益康医药连锁有限公司邹平县魏纺路店</v>
          </cell>
          <cell r="J2075" t="str">
            <v>1859</v>
          </cell>
          <cell r="K2075" t="str">
            <v>201602151421097</v>
          </cell>
          <cell r="M2075" t="str">
            <v>葡萄糖酸钙口服溶液10ml*12支</v>
          </cell>
        </row>
        <row r="2076">
          <cell r="E2076" t="str">
            <v>0020070000SJZY0001</v>
          </cell>
          <cell r="H2076" t="str">
            <v>滨州益康医药连锁有限公司邹平正心店</v>
          </cell>
          <cell r="J2076" t="str">
            <v>1859</v>
          </cell>
          <cell r="K2076" t="str">
            <v>201602151421097</v>
          </cell>
          <cell r="M2076" t="str">
            <v>葡萄糖酸锌口服液10ml*12支</v>
          </cell>
        </row>
        <row r="2077">
          <cell r="E2077" t="str">
            <v>0020030001SJZY0006</v>
          </cell>
          <cell r="H2077" t="str">
            <v>滨州益康医药连锁有限公司便民店</v>
          </cell>
          <cell r="J2077" t="str">
            <v>1859</v>
          </cell>
          <cell r="K2077" t="str">
            <v>201602151421097</v>
          </cell>
          <cell r="M2077" t="str">
            <v>葡萄糖酸钙口服溶液10ml*12支</v>
          </cell>
        </row>
        <row r="2078">
          <cell r="E2078" t="str">
            <v>0020040020SHYT0007</v>
          </cell>
          <cell r="H2078" t="str">
            <v>滨州益康医药连锁有限公司邹平县长山店</v>
          </cell>
          <cell r="J2078" t="str">
            <v>1859</v>
          </cell>
          <cell r="K2078" t="str">
            <v>201602151421097</v>
          </cell>
          <cell r="M2078" t="str">
            <v>丹佛胃尔康颗粒10g*6袋</v>
          </cell>
        </row>
        <row r="2079">
          <cell r="E2079" t="str">
            <v>0020070001ZYZC0383</v>
          </cell>
          <cell r="H2079" t="str">
            <v>滨州益康医药连锁有限公司邹平第二药店</v>
          </cell>
          <cell r="J2079" t="str">
            <v>1859</v>
          </cell>
          <cell r="K2079" t="str">
            <v>201602151421097</v>
          </cell>
          <cell r="M2079" t="str">
            <v>哈药牌钙铁锌口服液10ml*10支</v>
          </cell>
        </row>
        <row r="2080">
          <cell r="E2080" t="str">
            <v>0020030040ZYLC0001</v>
          </cell>
          <cell r="H2080" t="str">
            <v>滨州益康医药连锁有限公司邹平县魏纺路店</v>
          </cell>
          <cell r="J2080" t="str">
            <v>1859</v>
          </cell>
          <cell r="K2080" t="str">
            <v>201602151421097</v>
          </cell>
          <cell r="M2080" t="str">
            <v>小儿氨酚黄那敏颗粒/护彤2g*12袋</v>
          </cell>
        </row>
        <row r="2081">
          <cell r="E2081" t="str">
            <v>0020070000ZYLC0001</v>
          </cell>
          <cell r="H2081" t="str">
            <v>滨州益康医药连锁有限公司邹平正心店</v>
          </cell>
          <cell r="J2081" t="str">
            <v>1859</v>
          </cell>
          <cell r="K2081" t="str">
            <v>201602151421097</v>
          </cell>
          <cell r="M2081" t="str">
            <v>新盖中盖高钙片(成人)/盖中盖2.5g*36片</v>
          </cell>
        </row>
        <row r="2082">
          <cell r="E2082" t="str">
            <v>0020030001SJZY0006</v>
          </cell>
          <cell r="H2082" t="str">
            <v>滨州益康医药连锁有限公司邹平县第六药店</v>
          </cell>
          <cell r="J2082" t="str">
            <v>1859</v>
          </cell>
          <cell r="K2082" t="str">
            <v>201602151421097</v>
          </cell>
          <cell r="M2082" t="str">
            <v>葡萄糖酸钙口服溶液10ml*12支</v>
          </cell>
        </row>
        <row r="2083">
          <cell r="E2083" t="str">
            <v>0020070000SJZY0001</v>
          </cell>
          <cell r="H2083" t="str">
            <v>邹平县好生镇金河中心卫生室</v>
          </cell>
          <cell r="J2083" t="str">
            <v>1859</v>
          </cell>
          <cell r="K2083" t="str">
            <v>201602151421097</v>
          </cell>
          <cell r="M2083" t="str">
            <v>葡萄糖酸锌口服液10ml*12支</v>
          </cell>
        </row>
        <row r="2084">
          <cell r="E2084" t="str">
            <v>0020070000ZYLC0001</v>
          </cell>
          <cell r="H2084" t="str">
            <v>滨州益康医药连锁有限公司邹平县第一药店</v>
          </cell>
          <cell r="J2084" t="str">
            <v>1859</v>
          </cell>
          <cell r="K2084" t="str">
            <v>201602151421097</v>
          </cell>
          <cell r="M2084" t="str">
            <v>新盖中盖高钙片(成人)/盖中盖2.5g*36片</v>
          </cell>
        </row>
        <row r="2085">
          <cell r="E2085" t="str">
            <v>0020070000ZYLC0001</v>
          </cell>
          <cell r="H2085" t="str">
            <v>滨州益康医药连锁有限公司邹平县第九药店</v>
          </cell>
          <cell r="J2085" t="str">
            <v>1859</v>
          </cell>
          <cell r="K2085" t="str">
            <v>201602151421097</v>
          </cell>
          <cell r="M2085" t="str">
            <v>新盖中盖高钙片(成人)/盖中盖2.5g*36片</v>
          </cell>
        </row>
        <row r="2086">
          <cell r="E2086" t="str">
            <v>0020020030ZYZC0510</v>
          </cell>
          <cell r="H2086" t="str">
            <v>滨州益康医药连锁有限公司邹平县魏桥惠民店</v>
          </cell>
          <cell r="J2086" t="str">
            <v>1859</v>
          </cell>
          <cell r="K2086" t="str">
            <v>201602151421097</v>
          </cell>
          <cell r="M2086" t="str">
            <v>诺氟沙星胶囊0.1g*20粒</v>
          </cell>
        </row>
        <row r="2087">
          <cell r="E2087" t="str">
            <v>0020040220SHYT0004</v>
          </cell>
          <cell r="H2087" t="str">
            <v>滨州益康医药连锁有限公司邹平县第十药店</v>
          </cell>
          <cell r="J2087" t="str">
            <v>1859</v>
          </cell>
          <cell r="K2087" t="str">
            <v>201602151421097</v>
          </cell>
          <cell r="M2087" t="str">
            <v>妇宁栓1.6克*8粒</v>
          </cell>
        </row>
        <row r="2088">
          <cell r="E2088" t="str">
            <v>0020020030ZYZC0510</v>
          </cell>
          <cell r="H2088" t="str">
            <v>滨州益康医药连锁有限公司邹平县黄山三路店</v>
          </cell>
          <cell r="J2088" t="str">
            <v>1859</v>
          </cell>
          <cell r="K2088" t="str">
            <v>201602151421097</v>
          </cell>
          <cell r="M2088" t="str">
            <v>诺氟沙星胶囊0.1g*20粒</v>
          </cell>
        </row>
        <row r="2089">
          <cell r="E2089" t="str">
            <v>0020070001ZYZC0383</v>
          </cell>
          <cell r="H2089" t="str">
            <v>滨州益康医药连锁有限公司邹平县第七药店</v>
          </cell>
          <cell r="J2089" t="str">
            <v>1859</v>
          </cell>
          <cell r="K2089" t="str">
            <v>201602151421097</v>
          </cell>
          <cell r="M2089" t="str">
            <v>哈药牌钙铁锌口服液10ml*10支</v>
          </cell>
        </row>
        <row r="2090">
          <cell r="E2090" t="str">
            <v>0020050020ZYEC0008</v>
          </cell>
          <cell r="H2090" t="str">
            <v>滨州益康医药连锁有限公司邹平县南范店</v>
          </cell>
          <cell r="J2090" t="str">
            <v>1859</v>
          </cell>
          <cell r="K2090" t="str">
            <v>201602151421097</v>
          </cell>
          <cell r="M2090" t="str">
            <v>感冒解毒灵颗粒5g*10袋</v>
          </cell>
        </row>
        <row r="2091">
          <cell r="E2091" t="str">
            <v>0020050001SHYT0003</v>
          </cell>
          <cell r="H2091" t="str">
            <v>滨州益康医药连锁有限公司邹平县南范店</v>
          </cell>
          <cell r="J2091" t="str">
            <v>1859</v>
          </cell>
          <cell r="K2091" t="str">
            <v>201602151421097</v>
          </cell>
          <cell r="M2091" t="str">
            <v>益母丸9g*10丸</v>
          </cell>
        </row>
        <row r="2092">
          <cell r="E2092" t="str">
            <v>0020040220SHYT0004</v>
          </cell>
          <cell r="H2092" t="str">
            <v>滨州益康医药连锁有限公司邹平县南范店</v>
          </cell>
          <cell r="J2092" t="str">
            <v>1859</v>
          </cell>
          <cell r="K2092" t="str">
            <v>201602151421097</v>
          </cell>
          <cell r="M2092" t="str">
            <v>妇宁栓1.6克*8粒</v>
          </cell>
        </row>
        <row r="2093">
          <cell r="E2093" t="str">
            <v>0020020030ZYZC0264</v>
          </cell>
          <cell r="H2093" t="str">
            <v>滨州益康医药连锁有限公司邹平县南范店</v>
          </cell>
          <cell r="J2093" t="str">
            <v>1859</v>
          </cell>
          <cell r="K2093" t="str">
            <v>201602151421097</v>
          </cell>
          <cell r="M2093" t="str">
            <v>阿莫西林胶囊/益萨林0.5g*20粒</v>
          </cell>
        </row>
        <row r="2094">
          <cell r="E2094" t="str">
            <v>0020050090ZYEC0005</v>
          </cell>
          <cell r="H2094" t="str">
            <v>滨州益康医药连锁有限公司邹平县南范店</v>
          </cell>
          <cell r="J2094" t="str">
            <v>1859</v>
          </cell>
          <cell r="K2094" t="str">
            <v>201602151421097</v>
          </cell>
          <cell r="M2094" t="str">
            <v>清热解毒口服液10ml*10支</v>
          </cell>
        </row>
        <row r="2095">
          <cell r="E2095" t="str">
            <v>0020030001SJZY0006</v>
          </cell>
          <cell r="H2095" t="str">
            <v>滨州益康医药连锁有限公司邹平县第一药店</v>
          </cell>
          <cell r="J2095" t="str">
            <v>1859</v>
          </cell>
          <cell r="K2095" t="str">
            <v>201602151421097</v>
          </cell>
          <cell r="M2095" t="str">
            <v>葡萄糖酸钙口服溶液10ml*12支</v>
          </cell>
        </row>
        <row r="2096">
          <cell r="E2096" t="str">
            <v>0020020021ZYLC0004</v>
          </cell>
          <cell r="H2096" t="str">
            <v>山东魏桥创业集团第二工业园医务室</v>
          </cell>
          <cell r="J2096" t="str">
            <v>1859</v>
          </cell>
          <cell r="K2096" t="str">
            <v>201602151421097</v>
          </cell>
          <cell r="M2096" t="str">
            <v>罗红霉素分散片/大严迪75mg*12片</v>
          </cell>
        </row>
        <row r="2097">
          <cell r="E2097" t="str">
            <v>0020030001SJZY0006</v>
          </cell>
          <cell r="H2097" t="str">
            <v>滨州益康医药连锁有限公司邹平县第十药店</v>
          </cell>
          <cell r="J2097" t="str">
            <v>1859</v>
          </cell>
          <cell r="K2097" t="str">
            <v>201602151421097</v>
          </cell>
          <cell r="M2097" t="str">
            <v>葡萄糖酸钙口服溶液10ml*12支</v>
          </cell>
        </row>
        <row r="2098">
          <cell r="E2098" t="str">
            <v>0020070000ZYLC0051</v>
          </cell>
          <cell r="H2098" t="str">
            <v>滨州益康医药连锁有限公司邹平至善店</v>
          </cell>
          <cell r="J2098" t="str">
            <v>1859</v>
          </cell>
          <cell r="K2098" t="str">
            <v>201602151421097</v>
          </cell>
          <cell r="M2098" t="str">
            <v>朴血乳酸亚铁口服液10ml*12支</v>
          </cell>
        </row>
        <row r="2099">
          <cell r="E2099" t="str">
            <v>0020070000ZYLC0051</v>
          </cell>
          <cell r="H2099" t="str">
            <v>滨州益康医药连锁有限公司邹平县黄山三路店</v>
          </cell>
          <cell r="J2099" t="str">
            <v>1859</v>
          </cell>
          <cell r="K2099" t="str">
            <v>201602151421097</v>
          </cell>
          <cell r="M2099" t="str">
            <v>朴血乳酸亚铁口服液10ml*12支</v>
          </cell>
        </row>
        <row r="2100">
          <cell r="E2100" t="str">
            <v>0020020020ZYZC0473</v>
          </cell>
          <cell r="H2100" t="str">
            <v>滨州益康医药连锁有限公司邹平县黄山三路店</v>
          </cell>
          <cell r="J2100" t="str">
            <v>1859</v>
          </cell>
          <cell r="K2100" t="str">
            <v>201602151421097</v>
          </cell>
          <cell r="M2100" t="str">
            <v>盐酸环丙沙星片0.25g*12片</v>
          </cell>
        </row>
        <row r="2101">
          <cell r="E2101" t="str">
            <v>0020040001SHYT0026</v>
          </cell>
          <cell r="H2101" t="str">
            <v>滨州益康医药连锁有限公司邹平县黄山三路店</v>
          </cell>
          <cell r="J2101" t="str">
            <v>1859</v>
          </cell>
          <cell r="K2101" t="str">
            <v>201602151421097</v>
          </cell>
          <cell r="M2101" t="str">
            <v>小活络丸3g*10丸</v>
          </cell>
        </row>
        <row r="2102">
          <cell r="E2102" t="str">
            <v>0020020030ZYZC0283</v>
          </cell>
          <cell r="H2102" t="str">
            <v>滨州益康医药连锁有限公司邹平县黄山三路店</v>
          </cell>
          <cell r="J2102" t="str">
            <v>1859</v>
          </cell>
          <cell r="K2102" t="str">
            <v>201602151421097</v>
          </cell>
          <cell r="M2102" t="str">
            <v>头孢拉定胶囊0.25g*24粒</v>
          </cell>
        </row>
        <row r="2103">
          <cell r="E2103" t="str">
            <v>0020020030ZYZC0508</v>
          </cell>
          <cell r="H2103" t="str">
            <v>滨州益康医药连锁有限公司邹平长山诚意店</v>
          </cell>
          <cell r="J2103" t="str">
            <v>1859</v>
          </cell>
          <cell r="K2103" t="str">
            <v>201602151421097</v>
          </cell>
          <cell r="M2103" t="str">
            <v>阿莫西林胶囊/益萨林0.25g*20粒</v>
          </cell>
        </row>
        <row r="2104">
          <cell r="E2104" t="str">
            <v>0020070000SJZY0001</v>
          </cell>
          <cell r="H2104" t="str">
            <v>滨州益康医药连锁有限公司邹平县魏纺路店</v>
          </cell>
          <cell r="J2104" t="str">
            <v>1859</v>
          </cell>
          <cell r="K2104" t="str">
            <v>201602151421097</v>
          </cell>
          <cell r="M2104" t="str">
            <v>葡萄糖酸锌口服液10ml*12支</v>
          </cell>
        </row>
        <row r="2105">
          <cell r="E2105" t="str">
            <v>0020030040ZYLC0001</v>
          </cell>
          <cell r="H2105" t="str">
            <v>滨州益康医药连锁有限公司邹平县黄山二路店</v>
          </cell>
          <cell r="J2105" t="str">
            <v>1859</v>
          </cell>
          <cell r="K2105" t="str">
            <v>201602151421097</v>
          </cell>
          <cell r="M2105" t="str">
            <v>小儿氨酚黄那敏颗粒/护彤2g*12袋</v>
          </cell>
        </row>
        <row r="2106">
          <cell r="E2106" t="str">
            <v>0020040220SHYT0004</v>
          </cell>
          <cell r="H2106" t="str">
            <v>滨州益康医药连锁有限公司邹魏一区店</v>
          </cell>
          <cell r="J2106" t="str">
            <v>1859</v>
          </cell>
          <cell r="K2106" t="str">
            <v>201602151421097</v>
          </cell>
          <cell r="M2106" t="str">
            <v>妇宁栓1.6克*8粒</v>
          </cell>
        </row>
        <row r="2107">
          <cell r="E2107" t="str">
            <v>0020050020ZYEC0008</v>
          </cell>
          <cell r="H2107" t="str">
            <v>滨州益康医药连锁有限公司邹平县第八药店</v>
          </cell>
          <cell r="J2107" t="str">
            <v>1859</v>
          </cell>
          <cell r="K2107" t="str">
            <v>201602151421097</v>
          </cell>
          <cell r="M2107" t="str">
            <v>感冒解毒灵颗粒5g*10袋</v>
          </cell>
        </row>
        <row r="2108">
          <cell r="E2108" t="str">
            <v>0020030040SJET0003</v>
          </cell>
          <cell r="H2108" t="str">
            <v>滨州益康医药连锁有限公司邹平县第八药店</v>
          </cell>
          <cell r="J2108" t="str">
            <v>1859</v>
          </cell>
          <cell r="K2108" t="str">
            <v>201602151421097</v>
          </cell>
          <cell r="M2108" t="str">
            <v>氨金黄敏颗粒6g*10袋</v>
          </cell>
        </row>
        <row r="2109">
          <cell r="E2109" t="str">
            <v>0020030040SJET0003</v>
          </cell>
          <cell r="H2109" t="str">
            <v>滨州益康医药连锁有限公司邹平县邹魏二区店</v>
          </cell>
          <cell r="J2109" t="str">
            <v>1859</v>
          </cell>
          <cell r="K2109" t="str">
            <v>201602151421097</v>
          </cell>
          <cell r="M2109" t="str">
            <v>氨金黄敏颗粒6g*10袋</v>
          </cell>
        </row>
        <row r="2110">
          <cell r="E2110" t="str">
            <v>0020020020ZYLC0003</v>
          </cell>
          <cell r="H2110" t="str">
            <v>滨州益康医药连锁有限公司邹平长山诚意店</v>
          </cell>
          <cell r="J2110" t="str">
            <v>1859</v>
          </cell>
          <cell r="K2110" t="str">
            <v>201602151421097</v>
          </cell>
          <cell r="M2110" t="str">
            <v>颠茄磺苄啶片12片</v>
          </cell>
        </row>
        <row r="2111">
          <cell r="E2111" t="str">
            <v>0020040020SHYT0007</v>
          </cell>
          <cell r="H2111" t="str">
            <v>滨州益康医药连锁有限公司邹平县中心店</v>
          </cell>
          <cell r="J2111" t="str">
            <v>1859</v>
          </cell>
          <cell r="K2111" t="str">
            <v>201602151421097</v>
          </cell>
          <cell r="M2111" t="str">
            <v>丹佛胃尔康颗粒10g*6袋</v>
          </cell>
        </row>
        <row r="2112">
          <cell r="E2112" t="str">
            <v>0020070000SJZY0001</v>
          </cell>
          <cell r="H2112" t="str">
            <v>开发区韩峰卫生室</v>
          </cell>
          <cell r="J2112" t="str">
            <v>1859</v>
          </cell>
          <cell r="K2112" t="str">
            <v>201602151421097</v>
          </cell>
          <cell r="M2112" t="str">
            <v>葡萄糖酸锌口服液10ml*12支</v>
          </cell>
        </row>
        <row r="2113">
          <cell r="E2113" t="str">
            <v>0020040220SHYT0004</v>
          </cell>
          <cell r="H2113" t="str">
            <v>滨州益康医药连锁有限公司邹平县亲民药店</v>
          </cell>
          <cell r="J2113" t="str">
            <v>1859</v>
          </cell>
          <cell r="K2113" t="str">
            <v>201602151421097</v>
          </cell>
          <cell r="M2113" t="str">
            <v>妇宁栓1.6克*8粒</v>
          </cell>
        </row>
        <row r="2114">
          <cell r="E2114" t="str">
            <v>0020100000ZYLC0012</v>
          </cell>
          <cell r="H2114" t="str">
            <v>滨州益康医药连锁有限公司黛溪四路店</v>
          </cell>
          <cell r="J2114" t="str">
            <v>1859</v>
          </cell>
          <cell r="K2114" t="str">
            <v>201602151421097</v>
          </cell>
          <cell r="M2114" t="str">
            <v>医用退热贴2贴</v>
          </cell>
        </row>
        <row r="2115">
          <cell r="E2115" t="str">
            <v>0020050020ZYEC0008</v>
          </cell>
          <cell r="H2115" t="str">
            <v>滨州益康医药连锁有限公司邹平县中心店</v>
          </cell>
          <cell r="J2115" t="str">
            <v>1859</v>
          </cell>
          <cell r="K2115" t="str">
            <v>201602151421097</v>
          </cell>
          <cell r="M2115" t="str">
            <v>感冒解毒灵颗粒5g*10袋</v>
          </cell>
        </row>
        <row r="2116">
          <cell r="E2116" t="str">
            <v>0020070001ZYZC0383</v>
          </cell>
          <cell r="H2116" t="str">
            <v>滨州益康医药连锁有限公司邹平县黄山二路店</v>
          </cell>
          <cell r="J2116" t="str">
            <v>1859</v>
          </cell>
          <cell r="K2116" t="str">
            <v>201602151421097</v>
          </cell>
          <cell r="M2116" t="str">
            <v>哈药牌钙铁锌口服液10ml*10支</v>
          </cell>
        </row>
        <row r="2117">
          <cell r="E2117" t="str">
            <v>0020020030ZYZC0511</v>
          </cell>
          <cell r="H2117" t="str">
            <v>滨州益康医药连锁有限公司邹平县亲民药店</v>
          </cell>
          <cell r="J2117" t="str">
            <v>1859</v>
          </cell>
          <cell r="K2117" t="str">
            <v>201602151421097</v>
          </cell>
          <cell r="M2117" t="str">
            <v>头孢氨苄胶囊0.125g*20粒</v>
          </cell>
        </row>
        <row r="2118">
          <cell r="E2118" t="str">
            <v>0020050020ZYEC0008</v>
          </cell>
          <cell r="H2118" t="str">
            <v>滨州益康医药连锁有限公司邹平第二药店</v>
          </cell>
          <cell r="J2118" t="str">
            <v>1859</v>
          </cell>
          <cell r="K2118" t="str">
            <v>201602151421097</v>
          </cell>
          <cell r="M2118" t="str">
            <v>感冒解毒灵颗粒5g*10袋</v>
          </cell>
        </row>
        <row r="2119">
          <cell r="E2119" t="str">
            <v>0020040070ZYEC0005</v>
          </cell>
          <cell r="H2119" t="str">
            <v>滨州益康医药连锁有限公司邹魏一区店</v>
          </cell>
          <cell r="J2119" t="str">
            <v>1859</v>
          </cell>
          <cell r="K2119" t="str">
            <v>201602151421097</v>
          </cell>
          <cell r="M2119" t="str">
            <v>小儿百部止咳糖浆100ml</v>
          </cell>
        </row>
        <row r="2120">
          <cell r="E2120" t="str">
            <v>0020070000SJZY0001</v>
          </cell>
          <cell r="H2120" t="str">
            <v>滨州益康医药连锁有限公司邹平县黛溪三路店</v>
          </cell>
          <cell r="J2120" t="str">
            <v>1859</v>
          </cell>
          <cell r="K2120" t="str">
            <v>201602151421097</v>
          </cell>
          <cell r="M2120" t="str">
            <v>葡萄糖酸锌口服液10ml*12支</v>
          </cell>
        </row>
        <row r="2121">
          <cell r="E2121" t="str">
            <v>0020020020SJMS0006</v>
          </cell>
          <cell r="H2121" t="str">
            <v>滨州益康医药连锁有限公司邹平长山诚意店</v>
          </cell>
          <cell r="J2121" t="str">
            <v>1859</v>
          </cell>
          <cell r="K2121" t="str">
            <v>201602151421097</v>
          </cell>
          <cell r="M2121" t="str">
            <v>尼莫地平片20mg*50片</v>
          </cell>
        </row>
        <row r="2122">
          <cell r="E2122" t="str">
            <v>0020050020ZYEC0008</v>
          </cell>
          <cell r="H2122" t="str">
            <v>滨州益康医药连锁有限公司邹平县第十一店</v>
          </cell>
          <cell r="J2122" t="str">
            <v>1859</v>
          </cell>
          <cell r="K2122" t="str">
            <v>201602151421097</v>
          </cell>
          <cell r="M2122" t="str">
            <v>感冒解毒灵颗粒5g*10袋</v>
          </cell>
        </row>
        <row r="2123">
          <cell r="E2123" t="str">
            <v>0020030040ZYLC0001</v>
          </cell>
          <cell r="H2123" t="str">
            <v>台子镇闫家中心卫生室</v>
          </cell>
          <cell r="J2123" t="str">
            <v>1859</v>
          </cell>
          <cell r="K2123" t="str">
            <v>201602151421097</v>
          </cell>
          <cell r="M2123" t="str">
            <v>小儿氨酚黄那敏颗粒/护彤2g*12袋</v>
          </cell>
        </row>
        <row r="2124">
          <cell r="E2124" t="str">
            <v>0020030170ZYEC0003</v>
          </cell>
          <cell r="H2124" t="str">
            <v>台子镇张石辛中心卫生室</v>
          </cell>
          <cell r="J2124" t="str">
            <v>1859</v>
          </cell>
          <cell r="K2124" t="str">
            <v>201602151421097</v>
          </cell>
          <cell r="M2124" t="str">
            <v>蒙脱石散3g*12袋</v>
          </cell>
        </row>
        <row r="2125">
          <cell r="E2125" t="str">
            <v>0020030040SHYT0010</v>
          </cell>
          <cell r="H2125" t="str">
            <v>滨州益康医药连锁有限公司孙镇店</v>
          </cell>
          <cell r="J2125" t="str">
            <v>1859</v>
          </cell>
          <cell r="K2125" t="str">
            <v>201602151421097</v>
          </cell>
          <cell r="M2125" t="str">
            <v>布洛芬颗粒/小安瑞克0.2g*12袋</v>
          </cell>
        </row>
        <row r="2126">
          <cell r="E2126" t="str">
            <v>0020070001ZYZC0383</v>
          </cell>
          <cell r="H2126" t="str">
            <v>邹平李杰章诊所</v>
          </cell>
          <cell r="J2126" t="str">
            <v>1859</v>
          </cell>
          <cell r="K2126" t="str">
            <v>201602151421097</v>
          </cell>
          <cell r="M2126" t="str">
            <v>哈药牌钙铁锌口服液10ml*10支</v>
          </cell>
        </row>
        <row r="2127">
          <cell r="E2127" t="str">
            <v>0020070000SJZY0001</v>
          </cell>
          <cell r="H2127" t="str">
            <v>长山镇东南中心卫生室</v>
          </cell>
          <cell r="J2127" t="str">
            <v>1859</v>
          </cell>
          <cell r="K2127" t="str">
            <v>201602151421097</v>
          </cell>
          <cell r="M2127" t="str">
            <v>葡萄糖酸锌口服液10ml*12支</v>
          </cell>
        </row>
        <row r="2128">
          <cell r="E2128" t="str">
            <v>0020030040ZYLC0001</v>
          </cell>
          <cell r="H2128" t="str">
            <v>滨州益康医药连锁有限公司邹平第二药店</v>
          </cell>
          <cell r="J2128" t="str">
            <v>1859</v>
          </cell>
          <cell r="K2128" t="str">
            <v>201602151421097</v>
          </cell>
          <cell r="M2128" t="str">
            <v>小儿氨酚黄那敏颗粒/护彤2g*12袋</v>
          </cell>
        </row>
        <row r="2129">
          <cell r="E2129" t="str">
            <v>0020030020SJSC0004</v>
          </cell>
          <cell r="H2129" t="str">
            <v>滨州益康医药连锁有限公司邹平长山诚意店</v>
          </cell>
          <cell r="J2129" t="str">
            <v>1859</v>
          </cell>
          <cell r="K2129" t="str">
            <v>201602151421097</v>
          </cell>
          <cell r="M2129" t="str">
            <v>复方铝酸铋片/新胃必治50片</v>
          </cell>
        </row>
        <row r="2130">
          <cell r="E2130" t="str">
            <v>0020070001ZYZC0383</v>
          </cell>
          <cell r="H2130" t="str">
            <v>滨州益康医药连锁有限公司邹平县西王店</v>
          </cell>
          <cell r="J2130" t="str">
            <v>1859</v>
          </cell>
          <cell r="K2130" t="str">
            <v>201602151421097</v>
          </cell>
          <cell r="M2130" t="str">
            <v>哈药牌钙铁锌口服液10ml*10支</v>
          </cell>
        </row>
        <row r="2131">
          <cell r="E2131" t="str">
            <v>0020030040ZYZC0307</v>
          </cell>
          <cell r="H2131" t="str">
            <v>滨州益康医药连锁有限公司邹平县魏纺路店</v>
          </cell>
          <cell r="J2131" t="str">
            <v>1859</v>
          </cell>
          <cell r="K2131" t="str">
            <v>201602151421097</v>
          </cell>
          <cell r="M2131" t="str">
            <v>富马酸亚铁颗粒6袋</v>
          </cell>
        </row>
        <row r="2132">
          <cell r="E2132" t="str">
            <v>0020040020SHYT0007</v>
          </cell>
          <cell r="H2132" t="str">
            <v>滨州益康医药连锁有限公司邹平县第六药店</v>
          </cell>
          <cell r="J2132" t="str">
            <v>1859</v>
          </cell>
          <cell r="K2132" t="str">
            <v>201602151421097</v>
          </cell>
          <cell r="M2132" t="str">
            <v>丹佛胃尔康颗粒10g*6袋</v>
          </cell>
        </row>
        <row r="2133">
          <cell r="E2133" t="str">
            <v>0020050020SHYT0016</v>
          </cell>
          <cell r="H2133" t="str">
            <v>滨州益康医药连锁有限公司邹平长山诚意店</v>
          </cell>
          <cell r="J2133" t="str">
            <v>1859</v>
          </cell>
          <cell r="K2133" t="str">
            <v>201602151421097</v>
          </cell>
          <cell r="M2133" t="str">
            <v>复方金银花颗粒10g*10袋</v>
          </cell>
        </row>
        <row r="2134">
          <cell r="E2134" t="str">
            <v>0020070000ZYLC0001</v>
          </cell>
          <cell r="H2134" t="str">
            <v>滨州益康医药连锁有限公司便民店</v>
          </cell>
          <cell r="J2134" t="str">
            <v>1859</v>
          </cell>
          <cell r="K2134" t="str">
            <v>201602151421097</v>
          </cell>
          <cell r="M2134" t="str">
            <v>新盖中盖高钙片(成人)/盖中盖2.5g*36片</v>
          </cell>
        </row>
        <row r="2135">
          <cell r="E2135" t="str">
            <v>0020020030ZYZC0510</v>
          </cell>
          <cell r="H2135" t="str">
            <v>滨州益康医药连锁有限公司邹平县第四药店</v>
          </cell>
          <cell r="J2135" t="str">
            <v>1859</v>
          </cell>
          <cell r="K2135" t="str">
            <v>201602151421097</v>
          </cell>
          <cell r="M2135" t="str">
            <v>诺氟沙星胶囊0.1g*20粒</v>
          </cell>
        </row>
        <row r="2136">
          <cell r="E2136" t="str">
            <v>0020050020ZYEC0008</v>
          </cell>
          <cell r="H2136" t="str">
            <v>滨州益康医药连锁有限公司邹平县第六药店</v>
          </cell>
          <cell r="J2136" t="str">
            <v>1859</v>
          </cell>
          <cell r="K2136" t="str">
            <v>201602151421097</v>
          </cell>
          <cell r="M2136" t="str">
            <v>感冒解毒灵颗粒5g*10袋</v>
          </cell>
        </row>
        <row r="2137">
          <cell r="E2137" t="str">
            <v>0020070001ZYZC0383</v>
          </cell>
          <cell r="H2137" t="str">
            <v>滨州益康医药连锁有限公司邹平县黄山店</v>
          </cell>
          <cell r="J2137" t="str">
            <v>1859</v>
          </cell>
          <cell r="K2137" t="str">
            <v>201602151421097</v>
          </cell>
          <cell r="M2137" t="str">
            <v>哈药牌钙铁锌口服液10ml*10支</v>
          </cell>
        </row>
        <row r="2138">
          <cell r="E2138" t="str">
            <v>0020020030ZYZC0511</v>
          </cell>
          <cell r="H2138" t="str">
            <v>滨州益康医药连锁有限公司邹平县第六药店</v>
          </cell>
          <cell r="J2138" t="str">
            <v>1859</v>
          </cell>
          <cell r="K2138" t="str">
            <v>201602151421097</v>
          </cell>
          <cell r="M2138" t="str">
            <v>头孢氨苄胶囊0.125g*20粒</v>
          </cell>
        </row>
        <row r="2139">
          <cell r="E2139" t="str">
            <v>0020020030SJMS0024</v>
          </cell>
          <cell r="H2139" t="str">
            <v>滨州益康医药连锁有限公司邹平第二药店</v>
          </cell>
          <cell r="J2139" t="str">
            <v>1859</v>
          </cell>
          <cell r="K2139" t="str">
            <v>201602151421097</v>
          </cell>
          <cell r="M2139" t="str">
            <v>人工牛黄甲硝唑胶囊20粒</v>
          </cell>
        </row>
        <row r="2140">
          <cell r="E2140" t="str">
            <v>0020020030SJMS0024</v>
          </cell>
          <cell r="H2140" t="str">
            <v>滨州益康医药连锁有限公司邹平县第六药店</v>
          </cell>
          <cell r="J2140" t="str">
            <v>1859</v>
          </cell>
          <cell r="K2140" t="str">
            <v>201602151421097</v>
          </cell>
          <cell r="M2140" t="str">
            <v>人工牛黄甲硝唑胶囊20粒</v>
          </cell>
        </row>
        <row r="2141">
          <cell r="E2141" t="str">
            <v>0020020030ZYZC0283</v>
          </cell>
          <cell r="H2141" t="str">
            <v>滨州益康医药连锁有限公司邹平县第六药店</v>
          </cell>
          <cell r="J2141" t="str">
            <v>1859</v>
          </cell>
          <cell r="K2141" t="str">
            <v>201602151421097</v>
          </cell>
          <cell r="M2141" t="str">
            <v>头孢拉定胶囊0.25g*24粒</v>
          </cell>
        </row>
        <row r="2142">
          <cell r="E2142" t="str">
            <v>0020020030ZYZC0283</v>
          </cell>
          <cell r="H2142" t="str">
            <v>滨州益康医药连锁有限公司邹平县第三药店</v>
          </cell>
          <cell r="J2142" t="str">
            <v>1859</v>
          </cell>
          <cell r="K2142" t="str">
            <v>201602151421097</v>
          </cell>
          <cell r="M2142" t="str">
            <v>头孢拉定胶囊0.25g*24粒</v>
          </cell>
        </row>
        <row r="2143">
          <cell r="E2143" t="str">
            <v>0020020020ZYZC0359</v>
          </cell>
          <cell r="H2143" t="str">
            <v>滨州益康医药连锁有限公司邹平县第三药店</v>
          </cell>
          <cell r="J2143" t="str">
            <v>1859</v>
          </cell>
          <cell r="K2143" t="str">
            <v>201602151421097</v>
          </cell>
          <cell r="M2143" t="str">
            <v>青霉素V钾片0.236g*24片</v>
          </cell>
        </row>
        <row r="2144">
          <cell r="E2144" t="str">
            <v>0020020030ZYZC0510</v>
          </cell>
          <cell r="H2144" t="str">
            <v>滨州益康医药连锁有限公司邹平县第三药店</v>
          </cell>
          <cell r="J2144" t="str">
            <v>1859</v>
          </cell>
          <cell r="K2144" t="str">
            <v>201602151421097</v>
          </cell>
          <cell r="M2144" t="str">
            <v>诺氟沙星胶囊0.1g*20粒</v>
          </cell>
        </row>
        <row r="2145">
          <cell r="E2145" t="str">
            <v>0020050090ZYEC0005</v>
          </cell>
          <cell r="H2145" t="str">
            <v>滨州益康医药连锁有限公司邹平县第一药店</v>
          </cell>
          <cell r="J2145" t="str">
            <v>1859</v>
          </cell>
          <cell r="K2145" t="str">
            <v>201602151421097</v>
          </cell>
          <cell r="M2145" t="str">
            <v>清热解毒口服液10ml*10支</v>
          </cell>
        </row>
        <row r="2146">
          <cell r="E2146" t="str">
            <v>0020070000SJZY0001</v>
          </cell>
          <cell r="H2146" t="str">
            <v>滨州益康医药连锁有限公司邹平县第十药店</v>
          </cell>
          <cell r="J2146" t="str">
            <v>1859</v>
          </cell>
          <cell r="K2146" t="str">
            <v>201602151421097</v>
          </cell>
          <cell r="M2146" t="str">
            <v>葡萄糖酸锌口服液10ml*12支</v>
          </cell>
        </row>
        <row r="2147">
          <cell r="E2147" t="str">
            <v>0020030020SJSC0004</v>
          </cell>
          <cell r="H2147" t="str">
            <v>滨州益康医药连锁有限公司邹平县第十药店</v>
          </cell>
          <cell r="J2147" t="str">
            <v>1859</v>
          </cell>
          <cell r="K2147" t="str">
            <v>201602151421097</v>
          </cell>
          <cell r="M2147" t="str">
            <v>复方铝酸铋片/新胃必治50片</v>
          </cell>
        </row>
        <row r="2148">
          <cell r="E2148" t="str">
            <v>0020020030ZYZC0508</v>
          </cell>
          <cell r="H2148" t="str">
            <v>滨州益康医药连锁有限公司邹平县第十药店</v>
          </cell>
          <cell r="J2148" t="str">
            <v>1859</v>
          </cell>
          <cell r="K2148" t="str">
            <v>201602151421097</v>
          </cell>
          <cell r="M2148" t="str">
            <v>阿莫西林胶囊/益萨林0.25g*20粒</v>
          </cell>
        </row>
        <row r="2149">
          <cell r="E2149" t="str">
            <v>0020020020SJMS0006</v>
          </cell>
          <cell r="H2149" t="str">
            <v>滨州益康医药连锁有限公司邹平至善店</v>
          </cell>
          <cell r="J2149" t="str">
            <v>1859</v>
          </cell>
          <cell r="K2149" t="str">
            <v>201602151421097</v>
          </cell>
          <cell r="M2149" t="str">
            <v>尼莫地平片20mg*50片</v>
          </cell>
        </row>
        <row r="2150">
          <cell r="E2150" t="str">
            <v>0020050001SHYT0017</v>
          </cell>
          <cell r="H2150" t="str">
            <v>滨州益康医药连锁有限公司邹平县第七药店</v>
          </cell>
          <cell r="J2150" t="str">
            <v>1859</v>
          </cell>
          <cell r="K2150" t="str">
            <v>201602151421097</v>
          </cell>
          <cell r="M2150" t="str">
            <v>附子理中丸9g*10丸</v>
          </cell>
        </row>
        <row r="2151">
          <cell r="E2151" t="str">
            <v>0020040001SHYT0026</v>
          </cell>
          <cell r="H2151" t="str">
            <v>滨州益康医药连锁有限公司邹平县邹魏二区店</v>
          </cell>
          <cell r="J2151" t="str">
            <v>1859</v>
          </cell>
          <cell r="K2151" t="str">
            <v>201602151421097</v>
          </cell>
          <cell r="M2151" t="str">
            <v>小活络丸3g*10丸</v>
          </cell>
        </row>
        <row r="2152">
          <cell r="E2152" t="str">
            <v>0020050001SHYT0017</v>
          </cell>
          <cell r="H2152" t="str">
            <v>滨州益康医药连锁有限公司邹平县邹魏二区店</v>
          </cell>
          <cell r="J2152" t="str">
            <v>1859</v>
          </cell>
          <cell r="K2152" t="str">
            <v>201602151421097</v>
          </cell>
          <cell r="M2152" t="str">
            <v>附子理中丸9g*10丸</v>
          </cell>
        </row>
        <row r="2153">
          <cell r="E2153" t="str">
            <v>0020020021ZYLC0005</v>
          </cell>
          <cell r="H2153" t="str">
            <v>滨州益康医药连锁有限公司邹平县第八药店</v>
          </cell>
          <cell r="J2153" t="str">
            <v>1859</v>
          </cell>
          <cell r="K2153" t="str">
            <v>201602151421097</v>
          </cell>
          <cell r="M2153" t="str">
            <v>罗红霉素分散片/小严迪50mg*12片</v>
          </cell>
        </row>
        <row r="2154">
          <cell r="E2154" t="str">
            <v>0020070001ZYZC0383</v>
          </cell>
          <cell r="H2154" t="str">
            <v>滨州益康医药连锁有限公司邹平县长山店</v>
          </cell>
          <cell r="J2154" t="str">
            <v>1859</v>
          </cell>
          <cell r="K2154" t="str">
            <v>201602151421097</v>
          </cell>
          <cell r="M2154" t="str">
            <v>哈药牌钙铁锌口服液10ml*10支</v>
          </cell>
        </row>
        <row r="2155">
          <cell r="E2155" t="str">
            <v>0020020021ZYLC0004</v>
          </cell>
          <cell r="H2155" t="str">
            <v>滨州益康医药连锁有限公司邹平县魏纺路店</v>
          </cell>
          <cell r="J2155" t="str">
            <v>1859</v>
          </cell>
          <cell r="K2155" t="str">
            <v>201602151421097</v>
          </cell>
          <cell r="M2155" t="str">
            <v>罗红霉素分散片/大严迪75mg*12片</v>
          </cell>
        </row>
        <row r="2156">
          <cell r="E2156" t="str">
            <v>0020040001SHYT0026</v>
          </cell>
          <cell r="H2156" t="str">
            <v>滨州益康医药连锁有限公司邹平长山诚意店</v>
          </cell>
          <cell r="J2156" t="str">
            <v>1859</v>
          </cell>
          <cell r="K2156" t="str">
            <v>201602151421097</v>
          </cell>
          <cell r="M2156" t="str">
            <v>小活络丸3g*10丸</v>
          </cell>
        </row>
        <row r="2157">
          <cell r="E2157" t="str">
            <v>0020030040ZYLC0001</v>
          </cell>
          <cell r="H2157" t="str">
            <v>滨州益康医药连锁有限公司邹平月河店</v>
          </cell>
          <cell r="J2157" t="str">
            <v>1859</v>
          </cell>
          <cell r="K2157" t="str">
            <v>201602151421097</v>
          </cell>
          <cell r="M2157" t="str">
            <v>小儿氨酚黄那敏颗粒/护彤2g*12袋</v>
          </cell>
        </row>
        <row r="2158">
          <cell r="E2158" t="str">
            <v>0020030020SJSC0025</v>
          </cell>
          <cell r="H2158" t="str">
            <v>滨州益康医药连锁有限公司邹平月河店</v>
          </cell>
          <cell r="J2158" t="str">
            <v>1859</v>
          </cell>
          <cell r="K2158" t="str">
            <v>201602151421097</v>
          </cell>
          <cell r="M2158" t="str">
            <v>复方氨酚烷胺片12片</v>
          </cell>
        </row>
        <row r="2159">
          <cell r="E2159" t="str">
            <v>0020020030ZYZC0264</v>
          </cell>
          <cell r="H2159" t="str">
            <v>滨州益康医药连锁有限公司邹平月河店</v>
          </cell>
          <cell r="J2159" t="str">
            <v>1859</v>
          </cell>
          <cell r="K2159" t="str">
            <v>201602151421097</v>
          </cell>
          <cell r="M2159" t="str">
            <v>阿莫西林胶囊/益萨林0.5g*20粒</v>
          </cell>
        </row>
        <row r="2160">
          <cell r="E2160" t="str">
            <v>0020020030ZYZC0283</v>
          </cell>
          <cell r="H2160" t="str">
            <v>滨州益康医药连锁有限公司邹平长山诚意店</v>
          </cell>
          <cell r="J2160" t="str">
            <v>1859</v>
          </cell>
          <cell r="K2160" t="str">
            <v>201602151421097</v>
          </cell>
          <cell r="M2160" t="str">
            <v>头孢拉定胶囊0.25g*24粒</v>
          </cell>
        </row>
        <row r="2161">
          <cell r="E2161" t="str">
            <v>0020020030ZYZC0283</v>
          </cell>
          <cell r="H2161" t="str">
            <v>滨州益康医药连锁有限公司黛溪四路店</v>
          </cell>
          <cell r="J2161" t="str">
            <v>1859</v>
          </cell>
          <cell r="K2161" t="str">
            <v>201602151421097</v>
          </cell>
          <cell r="M2161" t="str">
            <v>头孢拉定胶囊0.25g*24粒</v>
          </cell>
        </row>
        <row r="2162">
          <cell r="E2162" t="str">
            <v>0020040070ZYEC0005</v>
          </cell>
          <cell r="H2162" t="str">
            <v>滨州益康医药连锁有限公司邹平县亲民药店</v>
          </cell>
          <cell r="J2162" t="str">
            <v>1859</v>
          </cell>
          <cell r="K2162" t="str">
            <v>201602151421097</v>
          </cell>
          <cell r="M2162" t="str">
            <v>小儿百部止咳糖浆100ml</v>
          </cell>
        </row>
        <row r="2163">
          <cell r="E2163" t="str">
            <v>0020020021ZYLC0004</v>
          </cell>
          <cell r="H2163" t="str">
            <v>孙镇曹王村何玉民卫生室</v>
          </cell>
          <cell r="J2163" t="str">
            <v>1859</v>
          </cell>
          <cell r="K2163" t="str">
            <v>201602151421097</v>
          </cell>
          <cell r="M2163" t="str">
            <v>罗红霉素分散片/大严迪75mg*12片</v>
          </cell>
        </row>
        <row r="2164">
          <cell r="E2164" t="str">
            <v>0020030001SJZY0006</v>
          </cell>
          <cell r="H2164" t="str">
            <v>滨州益康医药连锁有限公司邹平县黄山一路店</v>
          </cell>
          <cell r="J2164" t="str">
            <v>1859</v>
          </cell>
          <cell r="K2164" t="str">
            <v>201602151421097</v>
          </cell>
          <cell r="M2164" t="str">
            <v>葡萄糖酸钙口服溶液10ml*12支</v>
          </cell>
        </row>
        <row r="2165">
          <cell r="E2165" t="str">
            <v>0020070000SJZY0001</v>
          </cell>
          <cell r="H2165" t="str">
            <v>滨州益康医药连锁有限公司邹平县黄山一路店</v>
          </cell>
          <cell r="J2165" t="str">
            <v>1859</v>
          </cell>
          <cell r="K2165" t="str">
            <v>201602151421097</v>
          </cell>
          <cell r="M2165" t="str">
            <v>葡萄糖酸锌口服液10ml*12支</v>
          </cell>
        </row>
        <row r="2166">
          <cell r="E2166" t="str">
            <v>0020070000SJZY0001</v>
          </cell>
          <cell r="H2166" t="str">
            <v>滨州益康医药连锁有限公司邹平县亲民药店</v>
          </cell>
          <cell r="J2166" t="str">
            <v>1859</v>
          </cell>
          <cell r="K2166" t="str">
            <v>201602151421097</v>
          </cell>
          <cell r="M2166" t="str">
            <v>葡萄糖酸锌口服液10ml*12支</v>
          </cell>
        </row>
        <row r="2167">
          <cell r="E2167" t="str">
            <v>0020030001SJZY0006</v>
          </cell>
          <cell r="H2167" t="str">
            <v>滨州益康医药连锁有限公司孙镇店</v>
          </cell>
          <cell r="J2167" t="str">
            <v>1859</v>
          </cell>
          <cell r="K2167" t="str">
            <v>201602151421097</v>
          </cell>
          <cell r="M2167" t="str">
            <v>葡萄糖酸钙口服溶液10ml*12支</v>
          </cell>
        </row>
        <row r="2168">
          <cell r="E2168" t="str">
            <v>0020040070ZYEC0005</v>
          </cell>
          <cell r="H2168" t="str">
            <v>滨州益康医药连锁有限公司邹平县魏桥惠民店</v>
          </cell>
          <cell r="J2168" t="str">
            <v>1859</v>
          </cell>
          <cell r="K2168" t="str">
            <v>201602151421097</v>
          </cell>
          <cell r="M2168" t="str">
            <v>小儿百部止咳糖浆100ml</v>
          </cell>
        </row>
        <row r="2169">
          <cell r="E2169" t="str">
            <v>0020020020SJMS0006</v>
          </cell>
          <cell r="H2169" t="str">
            <v>滨州益康医药连锁有限公司邹平县第十一店</v>
          </cell>
          <cell r="J2169" t="str">
            <v>1859</v>
          </cell>
          <cell r="K2169" t="str">
            <v>201602151421097</v>
          </cell>
          <cell r="M2169" t="str">
            <v>尼莫地平片20mg*50片</v>
          </cell>
        </row>
        <row r="2170">
          <cell r="E2170" t="str">
            <v>0020070000ZYLC0052</v>
          </cell>
          <cell r="H2170" t="str">
            <v>滨州益康医药连锁有限公司邹平县第十一店</v>
          </cell>
          <cell r="J2170" t="str">
            <v>1859</v>
          </cell>
          <cell r="K2170" t="str">
            <v>201602151421097</v>
          </cell>
          <cell r="M2170" t="str">
            <v>哈药六牌钙加锌口服液10ml*12支</v>
          </cell>
        </row>
        <row r="2171">
          <cell r="E2171" t="str">
            <v>0020030001SJZY0006</v>
          </cell>
          <cell r="H2171" t="str">
            <v>滨州益康医药连锁有限公司邹平县黛溪一路店</v>
          </cell>
          <cell r="J2171" t="str">
            <v>1859</v>
          </cell>
          <cell r="K2171" t="str">
            <v>201602151421097</v>
          </cell>
          <cell r="M2171" t="str">
            <v>葡萄糖酸钙口服溶液10ml*12支</v>
          </cell>
        </row>
        <row r="2172">
          <cell r="E2172" t="str">
            <v>0020040020SHYT0007</v>
          </cell>
          <cell r="H2172" t="str">
            <v>滨州益康医药连锁有限公司邹平长山诚意店</v>
          </cell>
          <cell r="J2172" t="str">
            <v>1859</v>
          </cell>
          <cell r="K2172" t="str">
            <v>201602151421097</v>
          </cell>
          <cell r="M2172" t="str">
            <v>丹佛胃尔康颗粒10g*6袋</v>
          </cell>
        </row>
        <row r="2173">
          <cell r="E2173" t="str">
            <v>0020070000ZYLC0001</v>
          </cell>
          <cell r="H2173" t="str">
            <v>山东魏桥创业集团第一工业园医务室</v>
          </cell>
          <cell r="J2173" t="str">
            <v>1859</v>
          </cell>
          <cell r="K2173" t="str">
            <v>201602151421097</v>
          </cell>
          <cell r="M2173" t="str">
            <v>新盖中盖高钙片(成人)/盖中盖2.5g*36片</v>
          </cell>
        </row>
        <row r="2174">
          <cell r="E2174" t="str">
            <v>0020050030SJSC0010</v>
          </cell>
          <cell r="H2174" t="str">
            <v>滨州益康医药连锁有限公司邹平县魏桥益民店</v>
          </cell>
          <cell r="J2174" t="str">
            <v>1859</v>
          </cell>
          <cell r="K2174" t="str">
            <v>201602151421097</v>
          </cell>
          <cell r="M2174" t="str">
            <v>壮肾安神片45片</v>
          </cell>
        </row>
        <row r="2175">
          <cell r="E2175" t="str">
            <v>0020070000ZYLC0001</v>
          </cell>
          <cell r="H2175" t="str">
            <v>滨州益康医药连锁有限公司邹平县黄山店</v>
          </cell>
          <cell r="J2175" t="str">
            <v>1859</v>
          </cell>
          <cell r="K2175" t="str">
            <v>201602151421097</v>
          </cell>
          <cell r="M2175" t="str">
            <v>新盖中盖高钙片(成人)/盖中盖2.5g*36片</v>
          </cell>
        </row>
        <row r="2176">
          <cell r="E2176" t="str">
            <v>0020050090ZYEC0005</v>
          </cell>
          <cell r="H2176" t="str">
            <v>滨州益康医药连锁有限公司邹平县第六药店</v>
          </cell>
          <cell r="J2176" t="str">
            <v>1859</v>
          </cell>
          <cell r="K2176" t="str">
            <v>201602151421097</v>
          </cell>
          <cell r="M2176" t="str">
            <v>清热解毒口服液10ml*10支</v>
          </cell>
        </row>
        <row r="2177">
          <cell r="E2177" t="str">
            <v>0020070000ZYLC0001</v>
          </cell>
          <cell r="H2177" t="str">
            <v>滨州益康医药连锁有限公司邹平县魏桥益民店</v>
          </cell>
          <cell r="J2177" t="str">
            <v>1859</v>
          </cell>
          <cell r="K2177" t="str">
            <v>201602151421097</v>
          </cell>
          <cell r="M2177" t="str">
            <v>新盖中盖高钙片(成人)/盖中盖2.5g*36片</v>
          </cell>
        </row>
        <row r="2178">
          <cell r="E2178" t="str">
            <v>0020020020SJMS0008</v>
          </cell>
          <cell r="H2178" t="str">
            <v>滨州益康医药连锁有限公司邹平县魏桥益民店</v>
          </cell>
          <cell r="J2178" t="str">
            <v>1859</v>
          </cell>
          <cell r="K2178" t="str">
            <v>201602151421097</v>
          </cell>
          <cell r="M2178" t="str">
            <v>拉西地平片/司乐平4mg*15片</v>
          </cell>
        </row>
        <row r="2179">
          <cell r="E2179" t="str">
            <v>0020020020ZYLC0003</v>
          </cell>
          <cell r="H2179" t="str">
            <v>滨州益康医药连锁有限公司邹平县魏桥益民店</v>
          </cell>
          <cell r="J2179" t="str">
            <v>1859</v>
          </cell>
          <cell r="K2179" t="str">
            <v>201602151421097</v>
          </cell>
          <cell r="M2179" t="str">
            <v>颠茄磺苄啶片12片</v>
          </cell>
        </row>
        <row r="2180">
          <cell r="E2180" t="str">
            <v>0020030170ZYEC0003</v>
          </cell>
          <cell r="H2180" t="str">
            <v>滨州益康医药连锁有限公司邹平县魏桥益民店</v>
          </cell>
          <cell r="J2180" t="str">
            <v>1859</v>
          </cell>
          <cell r="K2180" t="str">
            <v>201602151421097</v>
          </cell>
          <cell r="M2180" t="str">
            <v>蒙脱石散3g*12袋</v>
          </cell>
        </row>
        <row r="2181">
          <cell r="E2181" t="str">
            <v>0020050090ZYEC0005</v>
          </cell>
          <cell r="H2181" t="str">
            <v>滨州益康医药连锁有限公司邹平县魏桥益民店</v>
          </cell>
          <cell r="J2181" t="str">
            <v>1859</v>
          </cell>
          <cell r="K2181" t="str">
            <v>201602151421097</v>
          </cell>
          <cell r="M2181" t="str">
            <v>清热解毒口服液10ml*10支</v>
          </cell>
        </row>
        <row r="2182">
          <cell r="E2182" t="str">
            <v>0020070000SJZY0001</v>
          </cell>
          <cell r="H2182" t="str">
            <v>滨州益康医药连锁有限公司邹平县黄山店</v>
          </cell>
          <cell r="J2182" t="str">
            <v>1859</v>
          </cell>
          <cell r="K2182" t="str">
            <v>201602151421097</v>
          </cell>
          <cell r="M2182" t="str">
            <v>葡萄糖酸锌口服液10ml*12支</v>
          </cell>
        </row>
        <row r="2183">
          <cell r="E2183" t="str">
            <v>0020070000SJZY0001</v>
          </cell>
          <cell r="H2183" t="str">
            <v>滨州益康医药连锁有限公司邹平县第六药店</v>
          </cell>
          <cell r="J2183" t="str">
            <v>1859</v>
          </cell>
          <cell r="K2183" t="str">
            <v>201602151421097</v>
          </cell>
          <cell r="M2183" t="str">
            <v>葡萄糖酸锌口服液10ml*12支</v>
          </cell>
        </row>
        <row r="2184">
          <cell r="E2184" t="str">
            <v>0020050020ZYEC0008</v>
          </cell>
          <cell r="H2184" t="str">
            <v>滨州益康医药连锁有限公司邹平县魏桥益民店</v>
          </cell>
          <cell r="J2184" t="str">
            <v>1859</v>
          </cell>
          <cell r="K2184" t="str">
            <v>201602151421097</v>
          </cell>
          <cell r="M2184" t="str">
            <v>感冒解毒灵颗粒5g*10袋</v>
          </cell>
        </row>
        <row r="2185">
          <cell r="E2185" t="str">
            <v>0020040220SHYT0004</v>
          </cell>
          <cell r="H2185" t="str">
            <v>滨州益康医药连锁有限公司邹平县魏纺路店</v>
          </cell>
          <cell r="J2185" t="str">
            <v>1859</v>
          </cell>
          <cell r="K2185" t="str">
            <v>201602151421097</v>
          </cell>
          <cell r="M2185" t="str">
            <v>妇宁栓1.6克*8粒</v>
          </cell>
        </row>
        <row r="2186">
          <cell r="E2186" t="str">
            <v>0020040070ZYEC0005</v>
          </cell>
          <cell r="H2186" t="str">
            <v>滨州益康医药连锁有限公司邹平县第六药店</v>
          </cell>
          <cell r="J2186" t="str">
            <v>1859</v>
          </cell>
          <cell r="K2186" t="str">
            <v>201602151421097</v>
          </cell>
          <cell r="M2186" t="str">
            <v>小儿百部止咳糖浆100ml</v>
          </cell>
        </row>
        <row r="2187">
          <cell r="E2187" t="str">
            <v>0020040220SHYT0004</v>
          </cell>
          <cell r="H2187" t="str">
            <v>滨州益康医药连锁有限公司邹平县第六药店</v>
          </cell>
          <cell r="J2187" t="str">
            <v>1859</v>
          </cell>
          <cell r="K2187" t="str">
            <v>201602151421097</v>
          </cell>
          <cell r="M2187" t="str">
            <v>妇宁栓1.6克*8粒</v>
          </cell>
        </row>
        <row r="2188">
          <cell r="E2188" t="str">
            <v>0020040220SHYT0004</v>
          </cell>
          <cell r="H2188" t="str">
            <v>滨州益康医药连锁有限公司邹平县魏桥益民店</v>
          </cell>
          <cell r="J2188" t="str">
            <v>1859</v>
          </cell>
          <cell r="K2188" t="str">
            <v>201602151421097</v>
          </cell>
          <cell r="M2188" t="str">
            <v>妇宁栓1.6克*8粒</v>
          </cell>
        </row>
        <row r="2189">
          <cell r="E2189" t="str">
            <v>0020030040ZYLC0001</v>
          </cell>
          <cell r="H2189" t="str">
            <v>滨州益康医药连锁有限公司邹平县魏桥益民店</v>
          </cell>
          <cell r="J2189" t="str">
            <v>1859</v>
          </cell>
          <cell r="K2189" t="str">
            <v>201602151421097</v>
          </cell>
          <cell r="M2189" t="str">
            <v>小儿氨酚黄那敏颗粒/护彤2g*12袋</v>
          </cell>
        </row>
        <row r="2190">
          <cell r="E2190" t="str">
            <v>0020050001SHYT0003</v>
          </cell>
          <cell r="H2190" t="str">
            <v>滨州益康医药连锁有限公司邹平县魏桥益民店</v>
          </cell>
          <cell r="J2190" t="str">
            <v>1859</v>
          </cell>
          <cell r="K2190" t="str">
            <v>201602151421097</v>
          </cell>
          <cell r="M2190" t="str">
            <v>益母丸9g*10丸</v>
          </cell>
        </row>
        <row r="2191">
          <cell r="E2191" t="str">
            <v>0020020030ZYZC0510</v>
          </cell>
          <cell r="H2191" t="str">
            <v>滨州益康医药连锁有限公司邹平县魏桥益民店</v>
          </cell>
          <cell r="J2191" t="str">
            <v>1859</v>
          </cell>
          <cell r="K2191" t="str">
            <v>201602151421097</v>
          </cell>
          <cell r="M2191" t="str">
            <v>诺氟沙星胶囊0.1g*20粒</v>
          </cell>
        </row>
        <row r="2192">
          <cell r="E2192" t="str">
            <v>0020020021ZYZC0341</v>
          </cell>
          <cell r="H2192" t="str">
            <v>滨州益康医药连锁有限公司邹平县魏桥益民店</v>
          </cell>
          <cell r="J2192" t="str">
            <v>1859</v>
          </cell>
          <cell r="K2192" t="str">
            <v>201602151421097</v>
          </cell>
          <cell r="M2192" t="str">
            <v>阿莫西林克拉维酸钾分散片/胜艾0.2285g*12片</v>
          </cell>
        </row>
        <row r="2193">
          <cell r="E2193" t="str">
            <v>0020020030ZYZC0264</v>
          </cell>
          <cell r="H2193" t="str">
            <v>滨州益康医药连锁有限公司邹平县魏桥益民店</v>
          </cell>
          <cell r="J2193" t="str">
            <v>1859</v>
          </cell>
          <cell r="K2193" t="str">
            <v>201602151421097</v>
          </cell>
          <cell r="M2193" t="str">
            <v>阿莫西林胶囊/益萨林0.5g*20粒</v>
          </cell>
        </row>
        <row r="2194">
          <cell r="E2194" t="str">
            <v>0020040070ZYEC0005</v>
          </cell>
          <cell r="H2194" t="str">
            <v>滨州益康医药连锁有限公司邹平县魏桥益民店</v>
          </cell>
          <cell r="J2194" t="str">
            <v>1859</v>
          </cell>
          <cell r="K2194" t="str">
            <v>201602151421097</v>
          </cell>
          <cell r="M2194" t="str">
            <v>小儿百部止咳糖浆100ml</v>
          </cell>
        </row>
        <row r="2195">
          <cell r="E2195" t="str">
            <v>0020030001SJZY0006</v>
          </cell>
          <cell r="H2195" t="str">
            <v>滨州北海公建投资有限公司医务室</v>
          </cell>
          <cell r="J2195" t="str">
            <v>1856</v>
          </cell>
          <cell r="K2195" t="str">
            <v>201602151421097</v>
          </cell>
          <cell r="M2195" t="str">
            <v>葡萄糖酸钙口服溶液10ml*12支</v>
          </cell>
        </row>
        <row r="2196">
          <cell r="E2196" t="str">
            <v>0020040001SHYT0026</v>
          </cell>
          <cell r="H2196" t="str">
            <v>滨州益康医药连锁有限公司邹平县魏桥益民店</v>
          </cell>
          <cell r="J2196" t="str">
            <v>1859</v>
          </cell>
          <cell r="K2196" t="str">
            <v>201602151421097</v>
          </cell>
          <cell r="M2196" t="str">
            <v>小活络丸3g*10丸</v>
          </cell>
        </row>
        <row r="2197">
          <cell r="E2197" t="str">
            <v>0020020020SJMS0006</v>
          </cell>
          <cell r="H2197" t="str">
            <v>滨州益康医药连锁有限公司邹平县魏纺路店</v>
          </cell>
          <cell r="J2197" t="str">
            <v>1859</v>
          </cell>
          <cell r="K2197" t="str">
            <v>201602151421097</v>
          </cell>
          <cell r="M2197" t="str">
            <v>尼莫地平片20mg*50片</v>
          </cell>
        </row>
        <row r="2198">
          <cell r="E2198" t="str">
            <v>0020020020SJMS0006</v>
          </cell>
          <cell r="H2198" t="str">
            <v>滨州益康医药连锁有限公司邹平县魏桥益民店</v>
          </cell>
          <cell r="J2198" t="str">
            <v>1859</v>
          </cell>
          <cell r="K2198" t="str">
            <v>201602151421097</v>
          </cell>
          <cell r="M2198" t="str">
            <v>尼莫地平片20mg*50片</v>
          </cell>
        </row>
        <row r="2199">
          <cell r="E2199" t="str">
            <v>0020030040ZYZC0307</v>
          </cell>
          <cell r="H2199" t="str">
            <v>滨州益康医药连锁有限公司邹平县魏桥益民店</v>
          </cell>
          <cell r="J2199" t="str">
            <v>1859</v>
          </cell>
          <cell r="K2199" t="str">
            <v>201602151421097</v>
          </cell>
          <cell r="M2199" t="str">
            <v>富马酸亚铁颗粒6袋</v>
          </cell>
        </row>
        <row r="2200">
          <cell r="E2200" t="str">
            <v>0020020030ZYZC0508</v>
          </cell>
          <cell r="H2200" t="str">
            <v>滨州益康医药连锁有限公司邹平县魏桥益民店</v>
          </cell>
          <cell r="J2200" t="str">
            <v>1859</v>
          </cell>
          <cell r="K2200" t="str">
            <v>201602151421097</v>
          </cell>
          <cell r="M2200" t="str">
            <v>阿莫西林胶囊/益萨林0.25g*20粒</v>
          </cell>
        </row>
        <row r="2201">
          <cell r="E2201" t="str">
            <v>0020050001SHYT0017</v>
          </cell>
          <cell r="H2201" t="str">
            <v>滨州益康医药连锁有限公司邹平县魏桥益民店</v>
          </cell>
          <cell r="J2201" t="str">
            <v>1859</v>
          </cell>
          <cell r="K2201" t="str">
            <v>201602151421097</v>
          </cell>
          <cell r="M2201" t="str">
            <v>附子理中丸9g*10丸</v>
          </cell>
        </row>
        <row r="2202">
          <cell r="E2202" t="str">
            <v>0020030020SJSC0004</v>
          </cell>
          <cell r="H2202" t="str">
            <v>滨州益康医药连锁有限公司邹平县魏桥益民店</v>
          </cell>
          <cell r="J2202" t="str">
            <v>1859</v>
          </cell>
          <cell r="K2202" t="str">
            <v>201602151421097</v>
          </cell>
          <cell r="M2202" t="str">
            <v>复方铝酸铋片/新胃必治50片</v>
          </cell>
        </row>
        <row r="2203">
          <cell r="E2203" t="str">
            <v>0020070000ZYLC0051</v>
          </cell>
          <cell r="H2203" t="str">
            <v>滨州益康医药连锁有限公司邹平县魏桥益民店</v>
          </cell>
          <cell r="J2203" t="str">
            <v>1859</v>
          </cell>
          <cell r="K2203" t="str">
            <v>201602151421097</v>
          </cell>
          <cell r="M2203" t="str">
            <v>朴血乳酸亚铁口服液10ml*12支</v>
          </cell>
        </row>
        <row r="2204">
          <cell r="E2204" t="str">
            <v>0020020020ZYLC0011</v>
          </cell>
          <cell r="H2204" t="str">
            <v>滨州益康医药连锁有限公司邹平县魏桥益民店</v>
          </cell>
          <cell r="J2204" t="str">
            <v>1859</v>
          </cell>
          <cell r="K2204" t="str">
            <v>201602151421097</v>
          </cell>
          <cell r="M2204" t="str">
            <v>颠茄磺苄啶片/儿童0.122g*20片</v>
          </cell>
        </row>
        <row r="2205">
          <cell r="E2205" t="str">
            <v>0020020021ZYLC0005</v>
          </cell>
          <cell r="H2205" t="str">
            <v>滨州益康医药连锁有限公司邹平县魏桥益民店</v>
          </cell>
          <cell r="J2205" t="str">
            <v>1859</v>
          </cell>
          <cell r="K2205" t="str">
            <v>201602151421097</v>
          </cell>
          <cell r="M2205" t="str">
            <v>罗红霉素分散片/小严迪50mg*12片</v>
          </cell>
        </row>
        <row r="2206">
          <cell r="E2206" t="str">
            <v>0020040020SHYT0007</v>
          </cell>
          <cell r="H2206" t="str">
            <v>滨州益康医药连锁有限公司邹平县魏桥益民店</v>
          </cell>
          <cell r="J2206" t="str">
            <v>1859</v>
          </cell>
          <cell r="K2206" t="str">
            <v>201602151421097</v>
          </cell>
          <cell r="M2206" t="str">
            <v>丹佛胃尔康颗粒10g*6袋</v>
          </cell>
        </row>
        <row r="2207">
          <cell r="E2207" t="str">
            <v>0020030040SJET0003</v>
          </cell>
          <cell r="H2207" t="str">
            <v>滨州益康医药连锁有限公司邹平县魏桥益民店</v>
          </cell>
          <cell r="J2207" t="str">
            <v>1859</v>
          </cell>
          <cell r="K2207" t="str">
            <v>201602151421097</v>
          </cell>
          <cell r="M2207" t="str">
            <v>氨金黄敏颗粒6g*10袋</v>
          </cell>
        </row>
        <row r="2208">
          <cell r="E2208" t="str">
            <v>0020020020ZYZC0473</v>
          </cell>
          <cell r="H2208" t="str">
            <v>滨州益康医药连锁有限公司邹平县魏桥益民店</v>
          </cell>
          <cell r="J2208" t="str">
            <v>1859</v>
          </cell>
          <cell r="K2208" t="str">
            <v>201602151421097</v>
          </cell>
          <cell r="M2208" t="str">
            <v>盐酸环丙沙星片0.25g*12片</v>
          </cell>
        </row>
        <row r="2209">
          <cell r="E2209" t="str">
            <v>0020020020SJMS0006</v>
          </cell>
          <cell r="H2209" t="str">
            <v>滨州益康医药连锁有限公司邹平县第八药店</v>
          </cell>
          <cell r="J2209" t="str">
            <v>1859</v>
          </cell>
          <cell r="K2209" t="str">
            <v>201602151421097</v>
          </cell>
          <cell r="M2209" t="str">
            <v>尼莫地平片20mg*50片</v>
          </cell>
        </row>
        <row r="2210">
          <cell r="E2210" t="str">
            <v>0020020030SJMS0024</v>
          </cell>
          <cell r="H2210" t="str">
            <v>滨州益康医药连锁有限公司邹平县魏桥益民店</v>
          </cell>
          <cell r="J2210" t="str">
            <v>1859</v>
          </cell>
          <cell r="K2210" t="str">
            <v>201602151421097</v>
          </cell>
          <cell r="M2210" t="str">
            <v>人工牛黄甲硝唑胶囊20粒</v>
          </cell>
        </row>
        <row r="2211">
          <cell r="E2211" t="str">
            <v>0020020030ZYZC0511</v>
          </cell>
          <cell r="H2211" t="str">
            <v>滨州益康医药连锁有限公司邹平县魏桥益民店</v>
          </cell>
          <cell r="J2211" t="str">
            <v>1859</v>
          </cell>
          <cell r="K2211" t="str">
            <v>201602151421097</v>
          </cell>
          <cell r="M2211" t="str">
            <v>头孢氨苄胶囊0.125g*20粒</v>
          </cell>
        </row>
        <row r="2212">
          <cell r="E2212" t="str">
            <v>0020020030ZYZC0283</v>
          </cell>
          <cell r="H2212" t="str">
            <v>滨州益康医药连锁有限公司邹平县第十药店</v>
          </cell>
          <cell r="J2212" t="str">
            <v>1859</v>
          </cell>
          <cell r="K2212" t="str">
            <v>201602151421097</v>
          </cell>
          <cell r="M2212" t="str">
            <v>头孢拉定胶囊0.25g*24粒</v>
          </cell>
        </row>
        <row r="2213">
          <cell r="E2213" t="str">
            <v>0020070000SJZY0001</v>
          </cell>
          <cell r="H2213" t="str">
            <v>邹平县好生镇苗家中心卫生室</v>
          </cell>
          <cell r="J2213" t="str">
            <v>1859</v>
          </cell>
          <cell r="K2213" t="str">
            <v>201602151421097</v>
          </cell>
          <cell r="M2213" t="str">
            <v>葡萄糖酸锌口服液10ml*12支</v>
          </cell>
        </row>
        <row r="2214">
          <cell r="E2214" t="str">
            <v>0020030020ZYLC0006</v>
          </cell>
          <cell r="H2214" t="str">
            <v>明集镇段桥中心卫生室</v>
          </cell>
          <cell r="J2214" t="str">
            <v>1859</v>
          </cell>
          <cell r="K2214" t="str">
            <v>201602151421097</v>
          </cell>
          <cell r="M2214" t="str">
            <v>复方氨酚烷胺片12片</v>
          </cell>
        </row>
        <row r="2215">
          <cell r="E2215" t="str">
            <v>0020070001ZYZC0383</v>
          </cell>
          <cell r="H2215" t="str">
            <v>滨州益康医药连锁有限公司邹平县南范店</v>
          </cell>
          <cell r="J2215" t="str">
            <v>1859</v>
          </cell>
          <cell r="K2215" t="str">
            <v>201602151421097</v>
          </cell>
          <cell r="M2215" t="str">
            <v>哈药牌钙铁锌口服液10ml*10支</v>
          </cell>
        </row>
        <row r="2216">
          <cell r="E2216" t="str">
            <v>0020020020SJMS0006</v>
          </cell>
          <cell r="H2216" t="str">
            <v>滨州益康医药连锁有限公司邹平县第七药店</v>
          </cell>
          <cell r="J2216" t="str">
            <v>1859</v>
          </cell>
          <cell r="K2216" t="str">
            <v>201602151421097</v>
          </cell>
          <cell r="M2216" t="str">
            <v>尼莫地平片20mg*50片</v>
          </cell>
        </row>
        <row r="2217">
          <cell r="E2217" t="str">
            <v>0020070000SJZY0001</v>
          </cell>
          <cell r="H2217" t="str">
            <v>滨州益康医药连锁有限公司邹平县黄山三路店</v>
          </cell>
          <cell r="J2217" t="str">
            <v>1859</v>
          </cell>
          <cell r="K2217" t="str">
            <v>201602151421097</v>
          </cell>
          <cell r="M2217" t="str">
            <v>葡萄糖酸锌口服液10ml*12支</v>
          </cell>
        </row>
        <row r="2218">
          <cell r="E2218" t="str">
            <v>0020070000SJZY0001</v>
          </cell>
          <cell r="H2218" t="str">
            <v>滨州益康医药连锁有限公司邹平县第一药店</v>
          </cell>
          <cell r="J2218" t="str">
            <v>1859</v>
          </cell>
          <cell r="K2218" t="str">
            <v>201602151421097</v>
          </cell>
          <cell r="M2218" t="str">
            <v>葡萄糖酸锌口服液10ml*12支</v>
          </cell>
        </row>
        <row r="2219">
          <cell r="E2219" t="str">
            <v>0020070001ZYZC0383</v>
          </cell>
          <cell r="H2219" t="str">
            <v>滨州益康医药连锁有限公司邹平县第一药店</v>
          </cell>
          <cell r="J2219" t="str">
            <v>1859</v>
          </cell>
          <cell r="K2219" t="str">
            <v>201602151421097</v>
          </cell>
          <cell r="M2219" t="str">
            <v>哈药牌钙铁锌口服液10ml*10支</v>
          </cell>
        </row>
        <row r="2220">
          <cell r="E2220" t="str">
            <v>0020020020SJMS0006</v>
          </cell>
          <cell r="H2220" t="str">
            <v>滨州益康医药连锁有限公司邹平县第一药店</v>
          </cell>
          <cell r="J2220" t="str">
            <v>1859</v>
          </cell>
          <cell r="K2220" t="str">
            <v>201602151421097</v>
          </cell>
          <cell r="M2220" t="str">
            <v>尼莫地平片20mg*50片</v>
          </cell>
        </row>
        <row r="2221">
          <cell r="E2221" t="str">
            <v>0020020030ZYLC0006</v>
          </cell>
          <cell r="H2221" t="str">
            <v>明集镇段桥中心卫生室</v>
          </cell>
          <cell r="J2221" t="str">
            <v>1859</v>
          </cell>
          <cell r="K2221" t="str">
            <v>201602151421097</v>
          </cell>
          <cell r="M2221" t="str">
            <v>厄贝沙坦胶囊0.075g*24粒</v>
          </cell>
        </row>
        <row r="2222">
          <cell r="E2222" t="str">
            <v>0020050020SHYT0016</v>
          </cell>
          <cell r="H2222" t="str">
            <v>滨州益康医药连锁有限公司邹平县南范店</v>
          </cell>
          <cell r="J2222" t="str">
            <v>1859</v>
          </cell>
          <cell r="K2222" t="str">
            <v>201602151421097</v>
          </cell>
          <cell r="M2222" t="str">
            <v>复方金银花颗粒10g*10袋</v>
          </cell>
        </row>
        <row r="2223">
          <cell r="E2223" t="str">
            <v>0020030020SJSC0025</v>
          </cell>
          <cell r="H2223" t="str">
            <v>滨州益康医药连锁有限公司邹平县第一药店</v>
          </cell>
          <cell r="J2223" t="str">
            <v>1859</v>
          </cell>
          <cell r="K2223" t="str">
            <v>201602151421097</v>
          </cell>
          <cell r="M2223" t="str">
            <v>复方氨酚烷胺片12片</v>
          </cell>
        </row>
        <row r="2224">
          <cell r="E2224" t="str">
            <v>0020020030ZYZC0510</v>
          </cell>
          <cell r="H2224" t="str">
            <v>滨州益康医药连锁有限公司邹平县第一药店</v>
          </cell>
          <cell r="J2224" t="str">
            <v>1859</v>
          </cell>
          <cell r="K2224" t="str">
            <v>201602151421097</v>
          </cell>
          <cell r="M2224" t="str">
            <v>诺氟沙星胶囊0.1g*20粒</v>
          </cell>
        </row>
        <row r="2225">
          <cell r="E2225" t="str">
            <v>0020020030ZYLC0006</v>
          </cell>
          <cell r="H2225" t="str">
            <v>滨州益康医药连锁有限公司邹平至善店</v>
          </cell>
          <cell r="J2225" t="str">
            <v>1859</v>
          </cell>
          <cell r="K2225" t="str">
            <v>201602151421097</v>
          </cell>
          <cell r="M2225" t="str">
            <v>厄贝沙坦胶囊0.075g*24粒</v>
          </cell>
        </row>
        <row r="2226">
          <cell r="E2226" t="str">
            <v>0020020030ZYLC0006</v>
          </cell>
          <cell r="H2226" t="str">
            <v>滨州益康医药连锁有限公司邹平县第七药店</v>
          </cell>
          <cell r="J2226" t="str">
            <v>1859</v>
          </cell>
          <cell r="K2226" t="str">
            <v>201602151421097</v>
          </cell>
          <cell r="M2226" t="str">
            <v>厄贝沙坦胶囊0.075g*24粒</v>
          </cell>
        </row>
        <row r="2227">
          <cell r="E2227" t="str">
            <v>0020070000ZYLC0052</v>
          </cell>
          <cell r="H2227" t="str">
            <v>开发区韩峰卫生室</v>
          </cell>
          <cell r="J2227" t="str">
            <v>1859</v>
          </cell>
          <cell r="K2227" t="str">
            <v>201602151421097</v>
          </cell>
          <cell r="M2227" t="str">
            <v>哈药六牌钙加锌口服液10ml*12支</v>
          </cell>
        </row>
        <row r="2228">
          <cell r="E2228" t="str">
            <v>0020070001ZYZC0383</v>
          </cell>
          <cell r="H2228" t="str">
            <v>滨州益康医药连锁有限公司邹平县第三药店</v>
          </cell>
          <cell r="J2228" t="str">
            <v>1859</v>
          </cell>
          <cell r="K2228" t="str">
            <v>201602151421097</v>
          </cell>
          <cell r="M2228" t="str">
            <v>哈药牌钙铁锌口服液10ml*10支</v>
          </cell>
        </row>
        <row r="2229">
          <cell r="E2229" t="str">
            <v>0020020020ZYLC0003</v>
          </cell>
          <cell r="H2229" t="str">
            <v>滨州益康医药连锁有限公司邹平县第三药店</v>
          </cell>
          <cell r="J2229" t="str">
            <v>1859</v>
          </cell>
          <cell r="K2229" t="str">
            <v>201602151421097</v>
          </cell>
          <cell r="M2229" t="str">
            <v>颠茄磺苄啶片12片</v>
          </cell>
        </row>
        <row r="2230">
          <cell r="E2230" t="str">
            <v>0020070000ZYLC0001</v>
          </cell>
          <cell r="H2230" t="str">
            <v>滨州北海公建投资有限公司医务室</v>
          </cell>
          <cell r="J2230" t="str">
            <v>1856</v>
          </cell>
          <cell r="K2230" t="str">
            <v>201602151421097</v>
          </cell>
          <cell r="M2230" t="str">
            <v>新盖中盖高钙片(成人)/盖中盖2.5g*36片</v>
          </cell>
        </row>
        <row r="2231">
          <cell r="E2231" t="str">
            <v>0020070001ZYZC0383</v>
          </cell>
          <cell r="H2231" t="str">
            <v>开发区韩峰卫生室</v>
          </cell>
          <cell r="J2231" t="str">
            <v>1859</v>
          </cell>
          <cell r="K2231" t="str">
            <v>201602151421097</v>
          </cell>
          <cell r="M2231" t="str">
            <v>哈药牌钙铁锌口服液10ml*10支</v>
          </cell>
        </row>
        <row r="2232">
          <cell r="E2232" t="str">
            <v>0020020020SJMS0006</v>
          </cell>
          <cell r="H2232" t="str">
            <v>滨州益康医药连锁有限公司邹平月河店</v>
          </cell>
          <cell r="J2232" t="str">
            <v>1859</v>
          </cell>
          <cell r="K2232" t="str">
            <v>201602151421097</v>
          </cell>
          <cell r="M2232" t="str">
            <v>尼莫地平片20mg*50片</v>
          </cell>
        </row>
        <row r="2233">
          <cell r="E2233" t="str">
            <v>0020050020SHYT0016</v>
          </cell>
          <cell r="H2233" t="str">
            <v>滨州益康医药连锁有限公司邹平县第八药店</v>
          </cell>
          <cell r="J2233" t="str">
            <v>1859</v>
          </cell>
          <cell r="K2233" t="str">
            <v>201602151421097</v>
          </cell>
          <cell r="M2233" t="str">
            <v>复方金银花颗粒10g*10袋</v>
          </cell>
        </row>
        <row r="2234">
          <cell r="E2234" t="str">
            <v>0020040001SHYT0026</v>
          </cell>
          <cell r="H2234" t="str">
            <v>滨州益康医药连锁有限公司邹平县礼参店</v>
          </cell>
          <cell r="J2234" t="str">
            <v>1859</v>
          </cell>
          <cell r="K2234" t="str">
            <v>201602151421097</v>
          </cell>
          <cell r="M2234" t="str">
            <v>小活络丸3g*10丸</v>
          </cell>
        </row>
        <row r="2235">
          <cell r="E2235" t="str">
            <v>0020030001SJZY0006</v>
          </cell>
          <cell r="H2235" t="str">
            <v>长山镇大丁村孔向阳卫生室</v>
          </cell>
          <cell r="J2235" t="str">
            <v>1859</v>
          </cell>
          <cell r="K2235" t="str">
            <v>201602151421097</v>
          </cell>
          <cell r="M2235" t="str">
            <v>葡萄糖酸钙口服溶液10ml*12支</v>
          </cell>
        </row>
        <row r="2236">
          <cell r="E2236" t="str">
            <v>0020070000SJZY0001</v>
          </cell>
          <cell r="H2236" t="str">
            <v>长山镇大丁村孔向阳卫生室</v>
          </cell>
          <cell r="J2236" t="str">
            <v>1859</v>
          </cell>
          <cell r="K2236" t="str">
            <v>201602151421097</v>
          </cell>
          <cell r="M2236" t="str">
            <v>葡萄糖酸锌口服液10ml*12支</v>
          </cell>
        </row>
        <row r="2237">
          <cell r="E2237" t="str">
            <v>0020070000SJZY0001</v>
          </cell>
          <cell r="H2237" t="str">
            <v>滨州益康医药连锁有限公司邹平县第八药店</v>
          </cell>
          <cell r="J2237" t="str">
            <v>1859</v>
          </cell>
          <cell r="K2237" t="str">
            <v>201602151421097</v>
          </cell>
          <cell r="M2237" t="str">
            <v>葡萄糖酸锌口服液10ml*12支</v>
          </cell>
        </row>
        <row r="2238">
          <cell r="E2238" t="str">
            <v>0020030001SJZY0006</v>
          </cell>
          <cell r="H2238" t="str">
            <v>滨州益康医药连锁有限公司邹平县西王店</v>
          </cell>
          <cell r="J2238" t="str">
            <v>1859</v>
          </cell>
          <cell r="K2238" t="str">
            <v>201602151421097</v>
          </cell>
          <cell r="M2238" t="str">
            <v>葡萄糖酸钙口服溶液10ml*12支</v>
          </cell>
        </row>
        <row r="2239">
          <cell r="E2239" t="str">
            <v>0020070000ZYLC0052</v>
          </cell>
          <cell r="H2239" t="str">
            <v>淄角镇前韩村卫生室</v>
          </cell>
          <cell r="J2239" t="str">
            <v>1854</v>
          </cell>
          <cell r="K2239" t="str">
            <v>201602151421097</v>
          </cell>
          <cell r="M2239" t="str">
            <v>哈药六牌钙加锌口服液10ml*12支</v>
          </cell>
        </row>
        <row r="2240">
          <cell r="E2240" t="str">
            <v>0020020021ZYLC0004</v>
          </cell>
          <cell r="H2240" t="str">
            <v>滨州益康医药连锁有限公司邹平县黄山一路店</v>
          </cell>
          <cell r="J2240" t="str">
            <v>1859</v>
          </cell>
          <cell r="K2240" t="str">
            <v>201602151421097</v>
          </cell>
          <cell r="M2240" t="str">
            <v>罗红霉素分散片/大严迪75mg*12片</v>
          </cell>
        </row>
        <row r="2241">
          <cell r="E2241" t="str">
            <v>0020070000SJZY0001</v>
          </cell>
          <cell r="H2241" t="str">
            <v>滨州益康医药连锁有限公司邹平县明珠店</v>
          </cell>
          <cell r="J2241" t="str">
            <v>1859</v>
          </cell>
          <cell r="K2241" t="str">
            <v>201602151421097</v>
          </cell>
          <cell r="M2241" t="str">
            <v>葡萄糖酸锌口服液10ml*12支</v>
          </cell>
        </row>
        <row r="2242">
          <cell r="E2242" t="str">
            <v>0020050001SHYT0017</v>
          </cell>
          <cell r="H2242" t="str">
            <v>滨州益康医药连锁有限公司邹平县亲民药店</v>
          </cell>
          <cell r="J2242" t="str">
            <v>1859</v>
          </cell>
          <cell r="K2242" t="str">
            <v>201602151421097</v>
          </cell>
          <cell r="M2242" t="str">
            <v>附子理中丸9g*10丸</v>
          </cell>
        </row>
        <row r="2243">
          <cell r="E2243" t="str">
            <v>0020020030ZYLC0006</v>
          </cell>
          <cell r="H2243" t="str">
            <v>滨州益康医药连锁有限公司邹平县黄山二路店</v>
          </cell>
          <cell r="J2243" t="str">
            <v>1859</v>
          </cell>
          <cell r="K2243" t="str">
            <v>201602151421097</v>
          </cell>
          <cell r="M2243" t="str">
            <v>厄贝沙坦胶囊0.075g*24粒</v>
          </cell>
        </row>
        <row r="2244">
          <cell r="E2244" t="str">
            <v>0020020030ZYZC0510</v>
          </cell>
          <cell r="H2244" t="str">
            <v>滨州益康医药连锁有限公司邹平县第五药店</v>
          </cell>
          <cell r="J2244" t="str">
            <v>1859</v>
          </cell>
          <cell r="K2244" t="str">
            <v>201602151421097</v>
          </cell>
          <cell r="M2244" t="str">
            <v>诺氟沙星胶囊0.1g*20粒</v>
          </cell>
        </row>
        <row r="2245">
          <cell r="E2245" t="str">
            <v>0020030001SJZY0006</v>
          </cell>
          <cell r="H2245" t="str">
            <v>滨州益康医药连锁有限公司邹平县第五药店</v>
          </cell>
          <cell r="J2245" t="str">
            <v>1859</v>
          </cell>
          <cell r="K2245" t="str">
            <v>201602151421097</v>
          </cell>
          <cell r="M2245" t="str">
            <v>葡萄糖酸钙口服溶液10ml*12支</v>
          </cell>
        </row>
        <row r="2246">
          <cell r="E2246" t="str">
            <v>0020070000ZYLC0001</v>
          </cell>
          <cell r="H2246" t="str">
            <v>滨州益康医药连锁有限公司孙镇店</v>
          </cell>
          <cell r="J2246" t="str">
            <v>1859</v>
          </cell>
          <cell r="K2246" t="str">
            <v>201602151421097</v>
          </cell>
          <cell r="M2246" t="str">
            <v>新盖中盖高钙片(成人)/盖中盖2.5g*36片</v>
          </cell>
        </row>
        <row r="2247">
          <cell r="E2247" t="str">
            <v>0020100000ZYLC0012</v>
          </cell>
          <cell r="H2247" t="str">
            <v>滨州益康医药连锁有限公司邹平县黄山一路店</v>
          </cell>
          <cell r="J2247" t="str">
            <v>1859</v>
          </cell>
          <cell r="K2247" t="str">
            <v>201602151421097</v>
          </cell>
          <cell r="M2247" t="str">
            <v>医用退热贴2贴</v>
          </cell>
        </row>
        <row r="2248">
          <cell r="E2248" t="str">
            <v>0020040220SHYT0004</v>
          </cell>
          <cell r="H2248" t="str">
            <v>滨州益康医药连锁有限公司黛溪四路店</v>
          </cell>
          <cell r="J2248" t="str">
            <v>1859</v>
          </cell>
          <cell r="K2248" t="str">
            <v>201602151421097</v>
          </cell>
          <cell r="M2248" t="str">
            <v>妇宁栓1.6克*8粒</v>
          </cell>
        </row>
        <row r="2249">
          <cell r="E2249" t="str">
            <v>0020050001SHYT0017</v>
          </cell>
          <cell r="H2249" t="str">
            <v>滨州益康医药连锁有限公司邹平县黄山一路店</v>
          </cell>
          <cell r="J2249" t="str">
            <v>1859</v>
          </cell>
          <cell r="K2249" t="str">
            <v>201602151421097</v>
          </cell>
          <cell r="M2249" t="str">
            <v>附子理中丸9g*10丸</v>
          </cell>
        </row>
        <row r="2250">
          <cell r="E2250" t="str">
            <v>0020030170ZYEC0003</v>
          </cell>
          <cell r="H2250" t="str">
            <v>码头镇中站中心卫生室</v>
          </cell>
          <cell r="J2250" t="str">
            <v>1859</v>
          </cell>
          <cell r="K2250" t="str">
            <v>201602151421097</v>
          </cell>
          <cell r="M2250" t="str">
            <v>蒙脱石散3g*12袋</v>
          </cell>
        </row>
        <row r="2251">
          <cell r="E2251" t="str">
            <v>0020040220SHYT0004</v>
          </cell>
          <cell r="H2251" t="str">
            <v>滨州益康医药连锁有限公司邹平县邹魏二区店</v>
          </cell>
          <cell r="J2251" t="str">
            <v>1859</v>
          </cell>
          <cell r="K2251" t="str">
            <v>201602151421097</v>
          </cell>
          <cell r="M2251" t="str">
            <v>妇宁栓1.6克*8粒</v>
          </cell>
        </row>
        <row r="2252">
          <cell r="E2252" t="str">
            <v>0020020030ZYLC0006</v>
          </cell>
          <cell r="H2252" t="str">
            <v>滨州益康医药连锁有限公司邹平县魏桥惠民店</v>
          </cell>
          <cell r="J2252" t="str">
            <v>1859</v>
          </cell>
          <cell r="K2252" t="str">
            <v>201602151421097</v>
          </cell>
          <cell r="M2252" t="str">
            <v>厄贝沙坦胶囊0.075g*24粒</v>
          </cell>
        </row>
        <row r="2253">
          <cell r="E2253" t="str">
            <v>0020020030ZYZC0510</v>
          </cell>
          <cell r="H2253" t="str">
            <v>滨州益康医药连锁有限公司邹平县邹魏二区店</v>
          </cell>
          <cell r="J2253" t="str">
            <v>1859</v>
          </cell>
          <cell r="K2253" t="str">
            <v>201602151421097</v>
          </cell>
          <cell r="M2253" t="str">
            <v>诺氟沙星胶囊0.1g*20粒</v>
          </cell>
        </row>
        <row r="2254">
          <cell r="E2254" t="str">
            <v>0020020030ZYZC0264</v>
          </cell>
          <cell r="H2254" t="str">
            <v>滨州益康医药连锁有限公司邹魏一区店</v>
          </cell>
          <cell r="J2254" t="str">
            <v>1859</v>
          </cell>
          <cell r="K2254" t="str">
            <v>201602151421097</v>
          </cell>
          <cell r="M2254" t="str">
            <v>阿莫西林胶囊/益萨林0.5g*20粒</v>
          </cell>
        </row>
        <row r="2255">
          <cell r="E2255" t="str">
            <v>0020020030ZYZC0510</v>
          </cell>
          <cell r="H2255" t="str">
            <v>魏桥镇东码头中心卫生室</v>
          </cell>
          <cell r="J2255" t="str">
            <v>1859</v>
          </cell>
          <cell r="K2255" t="str">
            <v>201602151421097</v>
          </cell>
          <cell r="M2255" t="str">
            <v>诺氟沙星胶囊0.1g*20粒</v>
          </cell>
        </row>
        <row r="2256">
          <cell r="E2256" t="str">
            <v>0020030001SJZY0006</v>
          </cell>
          <cell r="H2256" t="str">
            <v>台子镇官道村卫生室</v>
          </cell>
          <cell r="J2256" t="str">
            <v>1859</v>
          </cell>
          <cell r="K2256" t="str">
            <v>201602151421097</v>
          </cell>
          <cell r="M2256" t="str">
            <v>葡萄糖酸钙口服溶液10ml*12支</v>
          </cell>
        </row>
        <row r="2257">
          <cell r="E2257" t="str">
            <v>0020070000SJZY0001</v>
          </cell>
          <cell r="H2257" t="str">
            <v>滨州益康医药连锁有限公司邹平县魏桥惠民店</v>
          </cell>
          <cell r="J2257" t="str">
            <v>1859</v>
          </cell>
          <cell r="K2257" t="str">
            <v>201602151421097</v>
          </cell>
          <cell r="M2257" t="str">
            <v>葡萄糖酸锌口服液10ml*12支</v>
          </cell>
        </row>
        <row r="2258">
          <cell r="E2258" t="str">
            <v>0020070000ZYLC0052</v>
          </cell>
          <cell r="H2258" t="str">
            <v>山东魏桥创业集团第一工业园医务室</v>
          </cell>
          <cell r="J2258" t="str">
            <v>1859</v>
          </cell>
          <cell r="K2258" t="str">
            <v>201602151421097</v>
          </cell>
          <cell r="M2258" t="str">
            <v>哈药六牌钙加锌口服液10ml*12支</v>
          </cell>
        </row>
        <row r="2259">
          <cell r="E2259" t="str">
            <v>0020070000ZYLC0052</v>
          </cell>
          <cell r="H2259" t="str">
            <v>黛溪办碧云洞中心卫生室</v>
          </cell>
          <cell r="J2259" t="str">
            <v>1859</v>
          </cell>
          <cell r="K2259" t="str">
            <v>201602151421097</v>
          </cell>
          <cell r="M2259" t="str">
            <v>哈药六牌钙加锌口服液10ml*12支</v>
          </cell>
        </row>
        <row r="2260">
          <cell r="E2260" t="str">
            <v>0020070001ZYZC0383</v>
          </cell>
          <cell r="H2260" t="str">
            <v>滨州益康医药连锁有限公司邹魏一区店</v>
          </cell>
          <cell r="J2260" t="str">
            <v>1859</v>
          </cell>
          <cell r="K2260" t="str">
            <v>201602151421097</v>
          </cell>
          <cell r="M2260" t="str">
            <v>哈药牌钙铁锌口服液10ml*10支</v>
          </cell>
        </row>
        <row r="2261">
          <cell r="E2261" t="str">
            <v>0020020020ZYZC0359</v>
          </cell>
          <cell r="H2261" t="str">
            <v>滨州益康医药连锁有限公司邹平县邹魏二区店</v>
          </cell>
          <cell r="J2261" t="str">
            <v>1859</v>
          </cell>
          <cell r="K2261" t="str">
            <v>201602151421097</v>
          </cell>
          <cell r="M2261" t="str">
            <v>青霉素V钾片0.236g*24片</v>
          </cell>
        </row>
        <row r="2262">
          <cell r="E2262" t="str">
            <v>0020020030SJMS0024</v>
          </cell>
          <cell r="H2262" t="str">
            <v>滨州益康医药连锁有限公司邹平县邹魏二区店</v>
          </cell>
          <cell r="J2262" t="str">
            <v>1859</v>
          </cell>
          <cell r="K2262" t="str">
            <v>201602151421097</v>
          </cell>
          <cell r="M2262" t="str">
            <v>人工牛黄甲硝唑胶囊20粒</v>
          </cell>
        </row>
        <row r="2263">
          <cell r="E2263" t="str">
            <v>0020070001ZYZC0383</v>
          </cell>
          <cell r="H2263" t="str">
            <v>邹平杏林堂医药连锁有限公司</v>
          </cell>
          <cell r="J2263" t="str">
            <v>1859</v>
          </cell>
          <cell r="K2263" t="str">
            <v>201602151421097</v>
          </cell>
          <cell r="M2263" t="str">
            <v>哈药牌钙铁锌口服液10ml*10支</v>
          </cell>
        </row>
        <row r="2264">
          <cell r="E2264" t="str">
            <v>0020020030ZYLC0006</v>
          </cell>
          <cell r="H2264" t="str">
            <v>邹平杏林堂医药连锁有限公司</v>
          </cell>
          <cell r="J2264" t="str">
            <v>1859</v>
          </cell>
          <cell r="K2264" t="str">
            <v>201602151421097</v>
          </cell>
          <cell r="M2264" t="str">
            <v>厄贝沙坦胶囊0.075g*24粒</v>
          </cell>
        </row>
        <row r="2265">
          <cell r="E2265" t="str">
            <v>0020070000SJZY0001</v>
          </cell>
          <cell r="H2265" t="str">
            <v>邹平杏林堂医药连锁有限公司</v>
          </cell>
          <cell r="J2265" t="str">
            <v>1859</v>
          </cell>
          <cell r="K2265" t="str">
            <v>201602151421097</v>
          </cell>
          <cell r="M2265" t="str">
            <v>葡萄糖酸锌口服液10ml*12支</v>
          </cell>
        </row>
        <row r="2266">
          <cell r="E2266" t="str">
            <v>0020020030ZYZC0510</v>
          </cell>
          <cell r="H2266" t="str">
            <v>明集镇开发区中心卫生室</v>
          </cell>
          <cell r="J2266" t="str">
            <v>1859</v>
          </cell>
          <cell r="K2266" t="str">
            <v>201602151421097</v>
          </cell>
          <cell r="M2266" t="str">
            <v>诺氟沙星胶囊0.1g*20粒</v>
          </cell>
        </row>
        <row r="2267">
          <cell r="E2267" t="str">
            <v>0020030040ZYLC0001</v>
          </cell>
          <cell r="H2267" t="str">
            <v>滨州益康医药连锁有限公司邹平县黄山店</v>
          </cell>
          <cell r="J2267" t="str">
            <v>1859</v>
          </cell>
          <cell r="K2267" t="str">
            <v>201602151421097</v>
          </cell>
          <cell r="M2267" t="str">
            <v>小儿氨酚黄那敏颗粒/护彤2g*12袋</v>
          </cell>
        </row>
        <row r="2268">
          <cell r="E2268" t="str">
            <v>0020040070ZYEC0005</v>
          </cell>
          <cell r="H2268" t="str">
            <v>滨州益康医药连锁有限公司邹平县黄山店</v>
          </cell>
          <cell r="J2268" t="str">
            <v>1859</v>
          </cell>
          <cell r="K2268" t="str">
            <v>201602151421097</v>
          </cell>
          <cell r="M2268" t="str">
            <v>小儿百部止咳糖浆100ml</v>
          </cell>
        </row>
        <row r="2269">
          <cell r="E2269" t="str">
            <v>0020020030ZYZC0510</v>
          </cell>
          <cell r="H2269" t="str">
            <v>高新办盖家村卫生室</v>
          </cell>
          <cell r="J2269" t="str">
            <v>1859</v>
          </cell>
          <cell r="K2269" t="str">
            <v>201602151421097</v>
          </cell>
          <cell r="M2269" t="str">
            <v>诺氟沙星胶囊0.1g*20粒</v>
          </cell>
        </row>
        <row r="2270">
          <cell r="E2270" t="str">
            <v>0020040070ZYEC0005</v>
          </cell>
          <cell r="H2270" t="str">
            <v>滨州益康医药连锁有限公司邹平第二药店</v>
          </cell>
          <cell r="J2270" t="str">
            <v>1859</v>
          </cell>
          <cell r="K2270" t="str">
            <v>201602151421097</v>
          </cell>
          <cell r="M2270" t="str">
            <v>小儿百部止咳糖浆100ml</v>
          </cell>
        </row>
        <row r="2271">
          <cell r="E2271" t="str">
            <v>0020070001ZYZC0383</v>
          </cell>
          <cell r="H2271" t="str">
            <v>滨州益康医药连锁有限公司邹平县黄山店</v>
          </cell>
          <cell r="J2271" t="str">
            <v>1859</v>
          </cell>
          <cell r="K2271" t="str">
            <v>201602151421097</v>
          </cell>
          <cell r="M2271" t="str">
            <v>哈药牌钙铁锌口服液10ml*10支</v>
          </cell>
        </row>
        <row r="2272">
          <cell r="E2272" t="str">
            <v>0020030020SJSC0004</v>
          </cell>
          <cell r="H2272" t="str">
            <v>滨州益康医药连锁有限公司邹平县长山店</v>
          </cell>
          <cell r="J2272" t="str">
            <v>1859</v>
          </cell>
          <cell r="K2272" t="str">
            <v>201602151421097</v>
          </cell>
          <cell r="M2272" t="str">
            <v>复方铝酸铋片/新胃必治50片</v>
          </cell>
        </row>
        <row r="2273">
          <cell r="E2273" t="str">
            <v>0020030001SJZY0006</v>
          </cell>
          <cell r="H2273" t="str">
            <v>滨州益康医药连锁有限公司邹平县第十二店</v>
          </cell>
          <cell r="J2273" t="str">
            <v>1859</v>
          </cell>
          <cell r="K2273" t="str">
            <v>201602151421097</v>
          </cell>
          <cell r="M2273" t="str">
            <v>葡萄糖酸钙口服溶液10ml*12支</v>
          </cell>
        </row>
        <row r="2274">
          <cell r="E2274" t="str">
            <v>0020020021ZYLC0004</v>
          </cell>
          <cell r="H2274" t="str">
            <v>山东魏桥创业集团魏桥工业园医务室</v>
          </cell>
          <cell r="J2274" t="str">
            <v>1859</v>
          </cell>
          <cell r="K2274" t="str">
            <v>201602151421097</v>
          </cell>
          <cell r="M2274" t="str">
            <v>罗红霉素分散片/大严迪75mg*12片</v>
          </cell>
        </row>
        <row r="2275">
          <cell r="E2275" t="str">
            <v>0020030020SJSC0004</v>
          </cell>
          <cell r="H2275" t="str">
            <v>滨州益康医药连锁有限公司邹平县第一药店</v>
          </cell>
          <cell r="J2275" t="str">
            <v>1859</v>
          </cell>
          <cell r="K2275" t="str">
            <v>201602151421097</v>
          </cell>
          <cell r="M2275" t="str">
            <v>复方铝酸铋片/新胃必治50片</v>
          </cell>
        </row>
        <row r="2276">
          <cell r="E2276" t="str">
            <v>0020050020ZYEC0008</v>
          </cell>
          <cell r="H2276" t="str">
            <v>滨州益康医药连锁有限公司邹平县第七药店</v>
          </cell>
          <cell r="J2276" t="str">
            <v>1859</v>
          </cell>
          <cell r="K2276" t="str">
            <v>201602151421097</v>
          </cell>
          <cell r="M2276" t="str">
            <v>感冒解毒灵颗粒5g*10袋</v>
          </cell>
        </row>
        <row r="2277">
          <cell r="E2277" t="str">
            <v>0020070001ZYZC0383</v>
          </cell>
          <cell r="H2277" t="str">
            <v>滨州益康医药连锁有限公司邹平县第十药店</v>
          </cell>
          <cell r="J2277" t="str">
            <v>1859</v>
          </cell>
          <cell r="K2277" t="str">
            <v>201602151421097</v>
          </cell>
          <cell r="M2277" t="str">
            <v>哈药牌钙铁锌口服液10ml*10支</v>
          </cell>
        </row>
        <row r="2278">
          <cell r="E2278" t="str">
            <v>0020030040ZYLC0001</v>
          </cell>
          <cell r="H2278" t="str">
            <v>滨州益康医药连锁有限公司邹平县第十药店</v>
          </cell>
          <cell r="J2278" t="str">
            <v>1859</v>
          </cell>
          <cell r="K2278" t="str">
            <v>201602151421097</v>
          </cell>
          <cell r="M2278" t="str">
            <v>小儿氨酚黄那敏颗粒/护彤2g*12袋</v>
          </cell>
        </row>
        <row r="2279">
          <cell r="E2279" t="str">
            <v>0020020021ZYZC0341</v>
          </cell>
          <cell r="H2279" t="str">
            <v>滨州益康医药连锁有限公司邹平县黄山三路店</v>
          </cell>
          <cell r="J2279" t="str">
            <v>1859</v>
          </cell>
          <cell r="K2279" t="str">
            <v>201602151421097</v>
          </cell>
          <cell r="M2279" t="str">
            <v>阿莫西林克拉维酸钾分散片/胜艾0.2285g*12片</v>
          </cell>
        </row>
        <row r="2280">
          <cell r="E2280" t="str">
            <v>0020070000SJZY0001</v>
          </cell>
          <cell r="H2280" t="str">
            <v>惠民县瑞堂大药房</v>
          </cell>
          <cell r="J2280" t="str">
            <v>1854</v>
          </cell>
          <cell r="K2280" t="str">
            <v>201602151421097</v>
          </cell>
          <cell r="M2280" t="str">
            <v>葡萄糖酸锌口服液10ml*12支</v>
          </cell>
        </row>
        <row r="2281">
          <cell r="E2281" t="str">
            <v>0020030001SJZY0006</v>
          </cell>
          <cell r="H2281" t="str">
            <v>惠民县瑞堂大药房</v>
          </cell>
          <cell r="J2281" t="str">
            <v>1854</v>
          </cell>
          <cell r="K2281" t="str">
            <v>201602151421097</v>
          </cell>
          <cell r="M2281" t="str">
            <v>葡萄糖酸钙口服溶液10ml*12支</v>
          </cell>
        </row>
        <row r="2282">
          <cell r="E2282" t="str">
            <v>0020040020SHYT0007</v>
          </cell>
          <cell r="H2282" t="str">
            <v>滨州益康医药连锁有限公司邹平县第七药店</v>
          </cell>
          <cell r="J2282" t="str">
            <v>1859</v>
          </cell>
          <cell r="K2282" t="str">
            <v>201602151421097</v>
          </cell>
          <cell r="M2282" t="str">
            <v>丹佛胃尔康颗粒10g*6袋</v>
          </cell>
        </row>
        <row r="2283">
          <cell r="E2283" t="str">
            <v>0020020020ZYZC0473</v>
          </cell>
          <cell r="H2283" t="str">
            <v>滨州益康医药连锁有限公司邹平县魏桥惠民店</v>
          </cell>
          <cell r="J2283" t="str">
            <v>1859</v>
          </cell>
          <cell r="K2283" t="str">
            <v>201602151421097</v>
          </cell>
          <cell r="M2283" t="str">
            <v>盐酸环丙沙星片0.25g*12片</v>
          </cell>
        </row>
        <row r="2284">
          <cell r="E2284" t="str">
            <v>0020040070ZYEC0005</v>
          </cell>
          <cell r="H2284" t="str">
            <v>滨州益康医药连锁有限公司邹平县第九药店</v>
          </cell>
          <cell r="J2284" t="str">
            <v>1859</v>
          </cell>
          <cell r="K2284" t="str">
            <v>201602151421097</v>
          </cell>
          <cell r="M2284" t="str">
            <v>小儿百部止咳糖浆100ml</v>
          </cell>
        </row>
        <row r="2285">
          <cell r="E2285" t="str">
            <v>0020030170ZYEC0003</v>
          </cell>
          <cell r="H2285" t="str">
            <v>滨州益康医药连锁有限公司邹平县第七药店</v>
          </cell>
          <cell r="J2285" t="str">
            <v>1859</v>
          </cell>
          <cell r="K2285" t="str">
            <v>201602151421097</v>
          </cell>
          <cell r="M2285" t="str">
            <v>蒙脱石散3g*12袋</v>
          </cell>
        </row>
        <row r="2286">
          <cell r="E2286" t="str">
            <v>0020050090ZYEC0005</v>
          </cell>
          <cell r="H2286" t="str">
            <v>滨州益康医药连锁有限公司邹平县第七药店</v>
          </cell>
          <cell r="J2286" t="str">
            <v>1859</v>
          </cell>
          <cell r="K2286" t="str">
            <v>201602151421097</v>
          </cell>
          <cell r="M2286" t="str">
            <v>清热解毒口服液10ml*10支</v>
          </cell>
        </row>
        <row r="2287">
          <cell r="E2287" t="str">
            <v>0020020030SJMS0024</v>
          </cell>
          <cell r="H2287" t="str">
            <v>滨州益康医药连锁有限公司邹平县黄山三路店</v>
          </cell>
          <cell r="J2287" t="str">
            <v>1859</v>
          </cell>
          <cell r="K2287" t="str">
            <v>201602151421097</v>
          </cell>
          <cell r="M2287" t="str">
            <v>人工牛黄甲硝唑胶囊20粒</v>
          </cell>
        </row>
        <row r="2288">
          <cell r="E2288" t="str">
            <v>0020020030ZYZC0511</v>
          </cell>
          <cell r="H2288" t="str">
            <v>滨州益康医药连锁有限公司邹平县第三药店</v>
          </cell>
          <cell r="J2288" t="str">
            <v>1859</v>
          </cell>
          <cell r="K2288" t="str">
            <v>201602151421097</v>
          </cell>
          <cell r="M2288" t="str">
            <v>头孢氨苄胶囊0.125g*20粒</v>
          </cell>
        </row>
        <row r="2289">
          <cell r="E2289" t="str">
            <v>0020050030SJSC0010</v>
          </cell>
          <cell r="H2289" t="str">
            <v>滨州益康医药连锁有限公司邹平县第七药店</v>
          </cell>
          <cell r="J2289" t="str">
            <v>1859</v>
          </cell>
          <cell r="K2289" t="str">
            <v>201602151421097</v>
          </cell>
          <cell r="M2289" t="str">
            <v>壮肾安神片45片</v>
          </cell>
        </row>
        <row r="2290">
          <cell r="E2290" t="str">
            <v>0020020020ZYZC0359</v>
          </cell>
          <cell r="H2290" t="str">
            <v>滨州益康医药连锁有限公司邹平县礼参店</v>
          </cell>
          <cell r="J2290" t="str">
            <v>1859</v>
          </cell>
          <cell r="K2290" t="str">
            <v>201602151421097</v>
          </cell>
          <cell r="M2290" t="str">
            <v>青霉素V钾片0.236g*24片</v>
          </cell>
        </row>
        <row r="2291">
          <cell r="E2291" t="str">
            <v>0020020030ZYZC0283</v>
          </cell>
          <cell r="H2291" t="str">
            <v>滨州益康医药连锁有限公司邹平月河店</v>
          </cell>
          <cell r="J2291" t="str">
            <v>1859</v>
          </cell>
          <cell r="K2291" t="str">
            <v>201602151421097</v>
          </cell>
          <cell r="M2291" t="str">
            <v>头孢拉定胶囊0.25g*24粒</v>
          </cell>
        </row>
        <row r="2292">
          <cell r="E2292" t="str">
            <v>0020020030ZYZC0511</v>
          </cell>
          <cell r="H2292" t="str">
            <v>滨州益康医药连锁有限公司邹平县礼参店</v>
          </cell>
          <cell r="J2292" t="str">
            <v>1859</v>
          </cell>
          <cell r="K2292" t="str">
            <v>201602151421097</v>
          </cell>
          <cell r="M2292" t="str">
            <v>头孢氨苄胶囊0.125g*20粒</v>
          </cell>
        </row>
        <row r="2293">
          <cell r="E2293" t="str">
            <v>0020070000ZYLC0051</v>
          </cell>
          <cell r="H2293" t="str">
            <v>滨州益康医药连锁有限公司邹平县魏纺路店</v>
          </cell>
          <cell r="J2293" t="str">
            <v>1859</v>
          </cell>
          <cell r="K2293" t="str">
            <v>201602151421097</v>
          </cell>
          <cell r="M2293" t="str">
            <v>朴血乳酸亚铁口服液10ml*12支</v>
          </cell>
        </row>
        <row r="2294">
          <cell r="E2294" t="str">
            <v>0020040220SHYT0004</v>
          </cell>
          <cell r="H2294" t="str">
            <v>滨州益康医药连锁有限公司邹平县长山店</v>
          </cell>
          <cell r="J2294" t="str">
            <v>1859</v>
          </cell>
          <cell r="K2294" t="str">
            <v>201602151421097</v>
          </cell>
          <cell r="M2294" t="str">
            <v>妇宁栓1.6克*8粒</v>
          </cell>
        </row>
        <row r="2295">
          <cell r="E2295" t="str">
            <v>0020070000ZYLC0052</v>
          </cell>
          <cell r="H2295" t="str">
            <v>滨州益康医药连锁有限公司邹平县第八药店</v>
          </cell>
          <cell r="J2295" t="str">
            <v>1859</v>
          </cell>
          <cell r="K2295" t="str">
            <v>201602151421097</v>
          </cell>
          <cell r="M2295" t="str">
            <v>哈药六牌钙加锌口服液10ml*12支</v>
          </cell>
        </row>
        <row r="2296">
          <cell r="E2296" t="str">
            <v>0020070001ZYZC0383</v>
          </cell>
          <cell r="H2296" t="str">
            <v>滨州益康医药连锁有限公司邹平县第八药店</v>
          </cell>
          <cell r="J2296" t="str">
            <v>1859</v>
          </cell>
          <cell r="K2296" t="str">
            <v>201602151421097</v>
          </cell>
          <cell r="M2296" t="str">
            <v>哈药牌钙铁锌口服液10ml*10支</v>
          </cell>
        </row>
        <row r="2297">
          <cell r="E2297" t="str">
            <v>0020020021ZYLC0004</v>
          </cell>
          <cell r="H2297" t="str">
            <v>滨州益康医药连锁有限公司邹平县礼参店</v>
          </cell>
          <cell r="J2297" t="str">
            <v>1859</v>
          </cell>
          <cell r="K2297" t="str">
            <v>201602151421097</v>
          </cell>
          <cell r="M2297" t="str">
            <v>罗红霉素分散片/大严迪75mg*12片</v>
          </cell>
        </row>
        <row r="2298">
          <cell r="E2298" t="str">
            <v>0020070000ZYLC0052</v>
          </cell>
          <cell r="H2298" t="str">
            <v>滨州益康医药连锁有限公司邹平县西王店</v>
          </cell>
          <cell r="J2298" t="str">
            <v>1859</v>
          </cell>
          <cell r="K2298" t="str">
            <v>201602151421097</v>
          </cell>
          <cell r="M2298" t="str">
            <v>哈药六牌钙加锌口服液10ml*12支</v>
          </cell>
        </row>
        <row r="2299">
          <cell r="E2299" t="str">
            <v>0020050001SHYT0017</v>
          </cell>
          <cell r="H2299" t="str">
            <v>滨州益康医药连锁有限公司邹平长山诚意店</v>
          </cell>
          <cell r="J2299" t="str">
            <v>1859</v>
          </cell>
          <cell r="K2299" t="str">
            <v>201602151421097</v>
          </cell>
          <cell r="M2299" t="str">
            <v>附子理中丸9g*10丸</v>
          </cell>
        </row>
        <row r="2300">
          <cell r="E2300" t="str">
            <v>0020020020ZYZC0473</v>
          </cell>
          <cell r="H2300" t="str">
            <v>滨州益康医药连锁有限公司黛溪四路店</v>
          </cell>
          <cell r="J2300" t="str">
            <v>1859</v>
          </cell>
          <cell r="K2300" t="str">
            <v>201602151421097</v>
          </cell>
          <cell r="M2300" t="str">
            <v>盐酸环丙沙星片0.25g*12片</v>
          </cell>
        </row>
        <row r="2301">
          <cell r="E2301" t="str">
            <v>0020040220SHYT0004</v>
          </cell>
          <cell r="H2301" t="str">
            <v>滨州益康医药连锁有限公司邹平长山诚意店</v>
          </cell>
          <cell r="J2301" t="str">
            <v>1859</v>
          </cell>
          <cell r="K2301" t="str">
            <v>201602151421097</v>
          </cell>
          <cell r="M2301" t="str">
            <v>妇宁栓1.6克*8粒</v>
          </cell>
        </row>
        <row r="2302">
          <cell r="E2302" t="str">
            <v>0020030040ZYLC0001</v>
          </cell>
          <cell r="H2302" t="str">
            <v>滨州益康医药连锁有限公司邹平长山诚意店</v>
          </cell>
          <cell r="J2302" t="str">
            <v>1859</v>
          </cell>
          <cell r="K2302" t="str">
            <v>201602151421097</v>
          </cell>
          <cell r="M2302" t="str">
            <v>小儿氨酚黄那敏颗粒/护彤2g*12袋</v>
          </cell>
        </row>
        <row r="2303">
          <cell r="E2303" t="str">
            <v>0020050001SHYT0003</v>
          </cell>
          <cell r="H2303" t="str">
            <v>滨州益康医药连锁有限公司邹平长山诚意店</v>
          </cell>
          <cell r="J2303" t="str">
            <v>1859</v>
          </cell>
          <cell r="K2303" t="str">
            <v>201602151421097</v>
          </cell>
          <cell r="M2303" t="str">
            <v>益母丸9g*10丸</v>
          </cell>
        </row>
        <row r="2304">
          <cell r="E2304" t="str">
            <v>0020020030ZYZC0510</v>
          </cell>
          <cell r="H2304" t="str">
            <v>滨州益康医药连锁有限公司邹平长山诚意店</v>
          </cell>
          <cell r="J2304" t="str">
            <v>1859</v>
          </cell>
          <cell r="K2304" t="str">
            <v>201602151421097</v>
          </cell>
          <cell r="M2304" t="str">
            <v>诺氟沙星胶囊0.1g*20粒</v>
          </cell>
        </row>
        <row r="2305">
          <cell r="E2305" t="str">
            <v>0020020030ZYZC0264</v>
          </cell>
          <cell r="H2305" t="str">
            <v>滨州益康医药连锁有限公司邹平长山诚意店</v>
          </cell>
          <cell r="J2305" t="str">
            <v>1859</v>
          </cell>
          <cell r="K2305" t="str">
            <v>201602151421097</v>
          </cell>
          <cell r="M2305" t="str">
            <v>阿莫西林胶囊/益萨林0.5g*20粒</v>
          </cell>
        </row>
        <row r="2306">
          <cell r="E2306" t="str">
            <v>0020070001ZYZC0383</v>
          </cell>
          <cell r="H2306" t="str">
            <v>滨州益康医药连锁有限公司邹平县第五药店</v>
          </cell>
          <cell r="J2306" t="str">
            <v>1859</v>
          </cell>
          <cell r="K2306" t="str">
            <v>201602151421097</v>
          </cell>
          <cell r="M2306" t="str">
            <v>哈药牌钙铁锌口服液10ml*10支</v>
          </cell>
        </row>
        <row r="2307">
          <cell r="E2307" t="str">
            <v>0020070000ZYLC0052</v>
          </cell>
          <cell r="H2307" t="str">
            <v>滨州益康医药连锁有限公司邹平长山诚意店</v>
          </cell>
          <cell r="J2307" t="str">
            <v>1859</v>
          </cell>
          <cell r="K2307" t="str">
            <v>201602151421097</v>
          </cell>
          <cell r="M2307" t="str">
            <v>哈药六牌钙加锌口服液10ml*12支</v>
          </cell>
        </row>
        <row r="2308">
          <cell r="E2308" t="str">
            <v>0020070001ZYZC0383</v>
          </cell>
          <cell r="H2308" t="str">
            <v>滨州益康医药连锁有限公司邹平长山诚意店</v>
          </cell>
          <cell r="J2308" t="str">
            <v>1859</v>
          </cell>
          <cell r="K2308" t="str">
            <v>201602151421097</v>
          </cell>
          <cell r="M2308" t="str">
            <v>哈药牌钙铁锌口服液10ml*10支</v>
          </cell>
        </row>
        <row r="2309">
          <cell r="E2309" t="str">
            <v>0020050020ZYEC0008</v>
          </cell>
          <cell r="H2309" t="str">
            <v>滨州益康医药连锁有限公司邹平长山诚意店</v>
          </cell>
          <cell r="J2309" t="str">
            <v>1859</v>
          </cell>
          <cell r="K2309" t="str">
            <v>201602151421097</v>
          </cell>
          <cell r="M2309" t="str">
            <v>感冒解毒灵颗粒5g*10袋</v>
          </cell>
        </row>
        <row r="2310">
          <cell r="E2310" t="str">
            <v>0020070000ZYLC0051</v>
          </cell>
          <cell r="H2310" t="str">
            <v>滨州益康医药连锁有限公司邹平长山诚意店</v>
          </cell>
          <cell r="J2310" t="str">
            <v>1859</v>
          </cell>
          <cell r="K2310" t="str">
            <v>201602151421097</v>
          </cell>
          <cell r="M2310" t="str">
            <v>朴血乳酸亚铁口服液10ml*12支</v>
          </cell>
        </row>
        <row r="2311">
          <cell r="E2311" t="str">
            <v>0020030040SJET0003</v>
          </cell>
          <cell r="H2311" t="str">
            <v>滨州益康医药连锁有限公司邹平长山诚意店</v>
          </cell>
          <cell r="J2311" t="str">
            <v>1859</v>
          </cell>
          <cell r="K2311" t="str">
            <v>201602151421097</v>
          </cell>
          <cell r="M2311" t="str">
            <v>氨金黄敏颗粒6g*10袋</v>
          </cell>
        </row>
        <row r="2312">
          <cell r="E2312" t="str">
            <v>0020020020ZYLC0011</v>
          </cell>
          <cell r="H2312" t="str">
            <v>滨州益康医药连锁有限公司邹平长山诚意店</v>
          </cell>
          <cell r="J2312" t="str">
            <v>1859</v>
          </cell>
          <cell r="K2312" t="str">
            <v>201602151421097</v>
          </cell>
          <cell r="M2312" t="str">
            <v>颠茄磺苄啶片/儿童0.122g*20片</v>
          </cell>
        </row>
        <row r="2313">
          <cell r="E2313" t="str">
            <v>0020070000SJZY0001</v>
          </cell>
          <cell r="H2313" t="str">
            <v>滨州益康医药连锁有限公司邹平县黄山二路店</v>
          </cell>
          <cell r="J2313" t="str">
            <v>1859</v>
          </cell>
          <cell r="K2313" t="str">
            <v>201602151421097</v>
          </cell>
          <cell r="M2313" t="str">
            <v>葡萄糖酸锌口服液10ml*12支</v>
          </cell>
        </row>
        <row r="2314">
          <cell r="E2314" t="str">
            <v>0020030001SJZY0006</v>
          </cell>
          <cell r="H2314" t="str">
            <v>滨州益康医药连锁有限公司邹平县黄山二路店</v>
          </cell>
          <cell r="J2314" t="str">
            <v>1859</v>
          </cell>
          <cell r="K2314" t="str">
            <v>201602151421097</v>
          </cell>
          <cell r="M2314" t="str">
            <v>葡萄糖酸钙口服溶液10ml*12支</v>
          </cell>
        </row>
        <row r="2315">
          <cell r="E2315" t="str">
            <v>0020030001SJZY0006</v>
          </cell>
          <cell r="H2315" t="str">
            <v>滨州益康医药连锁有限公司邹平长山诚意店</v>
          </cell>
          <cell r="J2315" t="str">
            <v>1859</v>
          </cell>
          <cell r="K2315" t="str">
            <v>201602151421097</v>
          </cell>
          <cell r="M2315" t="str">
            <v>葡萄糖酸钙口服溶液10ml*12支</v>
          </cell>
        </row>
        <row r="2316">
          <cell r="E2316" t="str">
            <v>0020070000SJZY0001</v>
          </cell>
          <cell r="H2316" t="str">
            <v>滨州益康医药连锁有限公司邹平长山诚意店</v>
          </cell>
          <cell r="J2316" t="str">
            <v>1859</v>
          </cell>
          <cell r="K2316" t="str">
            <v>201602151421097</v>
          </cell>
          <cell r="M2316" t="str">
            <v>葡萄糖酸锌口服液10ml*12支</v>
          </cell>
        </row>
        <row r="2317">
          <cell r="E2317" t="str">
            <v>0020020021ZYLC0005</v>
          </cell>
          <cell r="H2317" t="str">
            <v>滨州益康医药连锁有限公司邹平长山诚意店</v>
          </cell>
          <cell r="J2317" t="str">
            <v>1859</v>
          </cell>
          <cell r="K2317" t="str">
            <v>201602151421097</v>
          </cell>
          <cell r="M2317" t="str">
            <v>罗红霉素分散片/小严迪50mg*12片</v>
          </cell>
        </row>
        <row r="2318">
          <cell r="E2318" t="str">
            <v>0020020021ZYLC0004</v>
          </cell>
          <cell r="H2318" t="str">
            <v>滨州益康医药连锁有限公司邹平长山诚意店</v>
          </cell>
          <cell r="J2318" t="str">
            <v>1859</v>
          </cell>
          <cell r="K2318" t="str">
            <v>201602151421097</v>
          </cell>
          <cell r="M2318" t="str">
            <v>罗红霉素分散片/大严迪75mg*12片</v>
          </cell>
        </row>
        <row r="2319">
          <cell r="E2319" t="str">
            <v>0020020020ZYZC0473</v>
          </cell>
          <cell r="H2319" t="str">
            <v>滨州益康医药连锁有限公司邹平长山诚意店</v>
          </cell>
          <cell r="J2319" t="str">
            <v>1859</v>
          </cell>
          <cell r="K2319" t="str">
            <v>201602151421097</v>
          </cell>
          <cell r="M2319" t="str">
            <v>盐酸环丙沙星片0.25g*12片</v>
          </cell>
        </row>
        <row r="2320">
          <cell r="E2320" t="str">
            <v>0020040070ZYEC0005</v>
          </cell>
          <cell r="H2320" t="str">
            <v>滨州益康医药连锁有限公司邹平县黄山二路店</v>
          </cell>
          <cell r="J2320" t="str">
            <v>1859</v>
          </cell>
          <cell r="K2320" t="str">
            <v>201602151421097</v>
          </cell>
          <cell r="M2320" t="str">
            <v>小儿百部止咳糖浆100ml</v>
          </cell>
        </row>
        <row r="2321">
          <cell r="E2321" t="str">
            <v>0020040220SHYT0004</v>
          </cell>
          <cell r="H2321" t="str">
            <v>滨州益康医药连锁有限公司邹平县中心店</v>
          </cell>
          <cell r="J2321" t="str">
            <v>1859</v>
          </cell>
          <cell r="K2321" t="str">
            <v>201602151421097</v>
          </cell>
          <cell r="M2321" t="str">
            <v>妇宁栓1.6克*8粒</v>
          </cell>
        </row>
        <row r="2322">
          <cell r="E2322" t="str">
            <v>0020040070ZYEC0005</v>
          </cell>
          <cell r="H2322" t="str">
            <v>滨州益康医药连锁有限公司邹平县中心店</v>
          </cell>
          <cell r="J2322" t="str">
            <v>1859</v>
          </cell>
          <cell r="K2322" t="str">
            <v>201602151421097</v>
          </cell>
          <cell r="M2322" t="str">
            <v>小儿百部止咳糖浆100ml</v>
          </cell>
        </row>
        <row r="2323">
          <cell r="E2323" t="str">
            <v>0020050090ZYEC0005</v>
          </cell>
          <cell r="H2323" t="str">
            <v>滨州益康医药连锁有限公司邹平长山诚意店</v>
          </cell>
          <cell r="J2323" t="str">
            <v>1859</v>
          </cell>
          <cell r="K2323" t="str">
            <v>201602151421097</v>
          </cell>
          <cell r="M2323" t="str">
            <v>清热解毒口服液10ml*10支</v>
          </cell>
        </row>
        <row r="2324">
          <cell r="E2324" t="str">
            <v>0020020020SJMS0008</v>
          </cell>
          <cell r="H2324" t="str">
            <v>滨州益康医药连锁有限公司邹平县黄山二路店</v>
          </cell>
          <cell r="J2324" t="str">
            <v>1859</v>
          </cell>
          <cell r="K2324" t="str">
            <v>201602151421097</v>
          </cell>
          <cell r="M2324" t="str">
            <v>拉西地平片/司乐平4mg*15片</v>
          </cell>
        </row>
        <row r="2325">
          <cell r="E2325" t="str">
            <v>0020020030SJMS0024</v>
          </cell>
          <cell r="H2325" t="str">
            <v>滨州益康医药连锁有限公司邹平长山诚意店</v>
          </cell>
          <cell r="J2325" t="str">
            <v>1859</v>
          </cell>
          <cell r="K2325" t="str">
            <v>201602151421097</v>
          </cell>
          <cell r="M2325" t="str">
            <v>人工牛黄甲硝唑胶囊20粒</v>
          </cell>
        </row>
        <row r="2326">
          <cell r="E2326" t="str">
            <v>0020020020ZYZC0359</v>
          </cell>
          <cell r="H2326" t="str">
            <v>滨州益康医药连锁有限公司邹平长山诚意店</v>
          </cell>
          <cell r="J2326" t="str">
            <v>1859</v>
          </cell>
          <cell r="K2326" t="str">
            <v>201602151421097</v>
          </cell>
          <cell r="M2326" t="str">
            <v>青霉素V钾片0.236g*24片</v>
          </cell>
        </row>
        <row r="2327">
          <cell r="E2327" t="str">
            <v>0020020020ZYZC0359</v>
          </cell>
          <cell r="H2327" t="str">
            <v>滨州益康医药连锁有限公司邹平县明珠店</v>
          </cell>
          <cell r="J2327" t="str">
            <v>1859</v>
          </cell>
          <cell r="K2327" t="str">
            <v>201602151421097</v>
          </cell>
          <cell r="M2327" t="str">
            <v>青霉素V钾片0.236g*24片</v>
          </cell>
        </row>
        <row r="2328">
          <cell r="E2328" t="str">
            <v>0020020030ZYZC0511</v>
          </cell>
          <cell r="H2328" t="str">
            <v>滨州益康医药连锁有限公司邹平县黛溪三路店</v>
          </cell>
          <cell r="J2328" t="str">
            <v>1859</v>
          </cell>
          <cell r="K2328" t="str">
            <v>201602151421097</v>
          </cell>
          <cell r="M2328" t="str">
            <v>头孢氨苄胶囊0.125g*20粒</v>
          </cell>
        </row>
        <row r="2329">
          <cell r="E2329" t="str">
            <v>0020020030ZYZC0511</v>
          </cell>
          <cell r="H2329" t="str">
            <v>滨州益康医药连锁有限公司邹平县魏桥惠民店</v>
          </cell>
          <cell r="J2329" t="str">
            <v>1859</v>
          </cell>
          <cell r="K2329" t="str">
            <v>201602151421097</v>
          </cell>
          <cell r="M2329" t="str">
            <v>头孢氨苄胶囊0.125g*20粒</v>
          </cell>
        </row>
        <row r="2330">
          <cell r="E2330" t="str">
            <v>0020020020ZYZC0359</v>
          </cell>
          <cell r="H2330" t="str">
            <v>滨州益康医药连锁有限公司邹平县魏桥惠民店</v>
          </cell>
          <cell r="J2330" t="str">
            <v>1859</v>
          </cell>
          <cell r="K2330" t="str">
            <v>201602151421097</v>
          </cell>
          <cell r="M2330" t="str">
            <v>青霉素V钾片0.236g*24片</v>
          </cell>
        </row>
        <row r="2331">
          <cell r="E2331" t="str">
            <v>0020040220SHYT0004</v>
          </cell>
          <cell r="H2331" t="str">
            <v>滨州益康医药连锁有限公司邹平县黛溪三路店</v>
          </cell>
          <cell r="J2331" t="str">
            <v>1859</v>
          </cell>
          <cell r="K2331" t="str">
            <v>201602151421097</v>
          </cell>
          <cell r="M2331" t="str">
            <v>妇宁栓1.6克*8粒</v>
          </cell>
        </row>
        <row r="2332">
          <cell r="E2332" t="str">
            <v>0020040220SHYT0004</v>
          </cell>
          <cell r="H2332" t="str">
            <v>滨州益康医药连锁有限公司邹平第二药店</v>
          </cell>
          <cell r="J2332" t="str">
            <v>1859</v>
          </cell>
          <cell r="K2332" t="str">
            <v>201602151421097</v>
          </cell>
          <cell r="M2332" t="str">
            <v>妇宁栓1.6克*8粒</v>
          </cell>
        </row>
        <row r="2333">
          <cell r="E2333" t="str">
            <v>0020040220SHYT0004</v>
          </cell>
          <cell r="H2333" t="str">
            <v>滨州益康医药连锁有限公司邹平县魏桥惠民店</v>
          </cell>
          <cell r="J2333" t="str">
            <v>1859</v>
          </cell>
          <cell r="K2333" t="str">
            <v>201602151421097</v>
          </cell>
          <cell r="M2333" t="str">
            <v>妇宁栓1.6克*8粒</v>
          </cell>
        </row>
        <row r="2334">
          <cell r="E2334" t="str">
            <v>0020030040ZYLC0001</v>
          </cell>
          <cell r="H2334" t="str">
            <v>滨州益康医药连锁有限公司邹平县第三药店</v>
          </cell>
          <cell r="J2334" t="str">
            <v>1859</v>
          </cell>
          <cell r="K2334" t="str">
            <v>201602151421097</v>
          </cell>
          <cell r="M2334" t="str">
            <v>小儿氨酚黄那敏颗粒/护彤2g*12袋</v>
          </cell>
        </row>
        <row r="2335">
          <cell r="E2335" t="str">
            <v>0020030001SJZY0006</v>
          </cell>
          <cell r="H2335" t="str">
            <v>山东魏桥创业集团第二工业园医务室</v>
          </cell>
          <cell r="J2335" t="str">
            <v>1859</v>
          </cell>
          <cell r="K2335" t="str">
            <v>201602151421097</v>
          </cell>
          <cell r="M2335" t="str">
            <v>葡萄糖酸钙口服溶液10ml*12支</v>
          </cell>
        </row>
        <row r="2336">
          <cell r="E2336" t="str">
            <v>0020030001SJZY0006</v>
          </cell>
          <cell r="H2336" t="str">
            <v>滨州益康医药连锁有限公司邹平至善店</v>
          </cell>
          <cell r="J2336" t="str">
            <v>1859</v>
          </cell>
          <cell r="K2336" t="str">
            <v>201602151421097</v>
          </cell>
          <cell r="M2336" t="str">
            <v>葡萄糖酸钙口服溶液10ml*12支</v>
          </cell>
        </row>
        <row r="2337">
          <cell r="E2337" t="str">
            <v>0020040001SHYT0026</v>
          </cell>
          <cell r="H2337" t="str">
            <v>滨州益康医药连锁有限公司邹平县第十一店</v>
          </cell>
          <cell r="J2337" t="str">
            <v>1859</v>
          </cell>
          <cell r="K2337" t="str">
            <v>201602151421097</v>
          </cell>
          <cell r="M2337" t="str">
            <v>小活络丸3g*10丸</v>
          </cell>
        </row>
        <row r="2338">
          <cell r="E2338" t="str">
            <v>0020030020SJSC0004</v>
          </cell>
          <cell r="H2338" t="str">
            <v>滨州益康医药连锁有限公司成五店</v>
          </cell>
          <cell r="J2338" t="str">
            <v>1859</v>
          </cell>
          <cell r="K2338" t="str">
            <v>201602151421097</v>
          </cell>
          <cell r="M2338" t="str">
            <v>复方铝酸铋片/新胃必治50片</v>
          </cell>
        </row>
        <row r="2339">
          <cell r="E2339" t="str">
            <v>0020040001SHYT0026</v>
          </cell>
          <cell r="H2339" t="str">
            <v>滨州益康医药连锁有限公司成五店</v>
          </cell>
          <cell r="J2339" t="str">
            <v>1859</v>
          </cell>
          <cell r="K2339" t="str">
            <v>201602151421097</v>
          </cell>
          <cell r="M2339" t="str">
            <v>小活络丸3g*10丸</v>
          </cell>
        </row>
        <row r="2340">
          <cell r="E2340" t="str">
            <v>0020070001ZYZC0383</v>
          </cell>
          <cell r="H2340" t="str">
            <v>滨州益康医药连锁有限公司邹平县魏桥惠民店</v>
          </cell>
          <cell r="J2340" t="str">
            <v>1859</v>
          </cell>
          <cell r="K2340" t="str">
            <v>201602151421097</v>
          </cell>
          <cell r="M2340" t="str">
            <v>哈药牌钙铁锌口服液10ml*10支</v>
          </cell>
        </row>
        <row r="2341">
          <cell r="E2341" t="str">
            <v>0020020030ZYZC0264</v>
          </cell>
          <cell r="H2341" t="str">
            <v>滨州市滨城区市立医院</v>
          </cell>
          <cell r="J2341" t="str">
            <v>1853</v>
          </cell>
          <cell r="K2341" t="str">
            <v>201602151421097</v>
          </cell>
          <cell r="M2341" t="str">
            <v>阿莫西林胶囊0.5g*20s</v>
          </cell>
        </row>
        <row r="2342">
          <cell r="E2342" t="str">
            <v>0020030001SJZY0006</v>
          </cell>
          <cell r="H2342" t="str">
            <v>滨城区市西街道办事处社区卫生服务站</v>
          </cell>
          <cell r="J2342" t="str">
            <v>1853</v>
          </cell>
          <cell r="K2342" t="str">
            <v>201602151421097</v>
          </cell>
          <cell r="M2342" t="str">
            <v>葡萄糖酸钙口服溶液10ml*12(含糖型)</v>
          </cell>
        </row>
        <row r="2343">
          <cell r="E2343" t="str">
            <v>0020050020SHYT0016</v>
          </cell>
          <cell r="H2343" t="str">
            <v>滨城区市西街道办事处社区卫生服务站</v>
          </cell>
          <cell r="J2343" t="str">
            <v>1853</v>
          </cell>
          <cell r="K2343" t="str">
            <v>201602151421097</v>
          </cell>
          <cell r="M2343" t="str">
            <v>复方金银花颗粒10g*10袋</v>
          </cell>
        </row>
        <row r="2344">
          <cell r="E2344" t="str">
            <v>0020020021ZYLC0004</v>
          </cell>
          <cell r="H2344" t="str">
            <v>博兴县健民大药房</v>
          </cell>
          <cell r="J2344" t="str">
            <v>1858</v>
          </cell>
          <cell r="K2344" t="str">
            <v>201602151421097</v>
          </cell>
          <cell r="M2344" t="str">
            <v>罗红霉素分散片75mg*12片</v>
          </cell>
        </row>
        <row r="2345">
          <cell r="E2345" t="str">
            <v>0020050020ZYEC0008</v>
          </cell>
          <cell r="H2345" t="str">
            <v>孙武街道世纪园诊所</v>
          </cell>
          <cell r="J2345" t="str">
            <v>1854</v>
          </cell>
          <cell r="K2345" t="str">
            <v>201602151421097</v>
          </cell>
          <cell r="M2345" t="str">
            <v>感冒解毒灵颗粒5g*10袋/盒</v>
          </cell>
        </row>
        <row r="2346">
          <cell r="E2346" t="str">
            <v>0020050003SHYT0001</v>
          </cell>
          <cell r="H2346" t="str">
            <v>大年陈乡中心卫生院（基药）</v>
          </cell>
          <cell r="J2346" t="str">
            <v>1854</v>
          </cell>
          <cell r="K2346" t="str">
            <v>201602151421097</v>
          </cell>
          <cell r="M2346" t="str">
            <v>六味地黄丸72g(水蜜丸)</v>
          </cell>
        </row>
        <row r="2347">
          <cell r="E2347" t="str">
            <v>0020050030SJSC0007</v>
          </cell>
          <cell r="H2347" t="str">
            <v>博兴县庞家镇民生大药店旗舰店</v>
          </cell>
          <cell r="J2347" t="str">
            <v>1858</v>
          </cell>
          <cell r="K2347" t="str">
            <v>201602151421097</v>
          </cell>
          <cell r="M2347" t="str">
            <v>菊梅利咽含片每片重1.2g*6片*3板</v>
          </cell>
        </row>
        <row r="2348">
          <cell r="E2348" t="str">
            <v>0020070000ZYLC0003</v>
          </cell>
          <cell r="H2348" t="str">
            <v>滨州市仁信医药有限公司</v>
          </cell>
          <cell r="J2348" t="str">
            <v>1855</v>
          </cell>
          <cell r="K2348" t="str">
            <v>201602151421097</v>
          </cell>
          <cell r="M2348" t="str">
            <v>新盖中盖牌儿童钙片1.75g*36片</v>
          </cell>
        </row>
        <row r="2349">
          <cell r="E2349" t="str">
            <v>0020030020SJSC0025</v>
          </cell>
          <cell r="H2349" t="str">
            <v>滨州市仁信医药有限公司</v>
          </cell>
          <cell r="J2349" t="str">
            <v>1855</v>
          </cell>
          <cell r="K2349" t="str">
            <v>201602151421097</v>
          </cell>
          <cell r="M2349" t="str">
            <v>复方氨酚烷胺片12片</v>
          </cell>
        </row>
        <row r="2350">
          <cell r="E2350" t="str">
            <v>0020050020ZYEC0008</v>
          </cell>
          <cell r="H2350" t="str">
            <v>滨州市仁信医药有限公司</v>
          </cell>
          <cell r="J2350" t="str">
            <v>1855</v>
          </cell>
          <cell r="K2350" t="str">
            <v>201602151421097</v>
          </cell>
          <cell r="M2350" t="str">
            <v>感冒解毒灵颗粒5g*10袋/盒</v>
          </cell>
        </row>
        <row r="2351">
          <cell r="E2351" t="str">
            <v>0020040001SHYT0028</v>
          </cell>
          <cell r="H2351" t="str">
            <v>滨州市仁信医药有限公司</v>
          </cell>
          <cell r="J2351" t="str">
            <v>1855</v>
          </cell>
          <cell r="K2351" t="str">
            <v>201602151421097</v>
          </cell>
          <cell r="M2351" t="str">
            <v>冠心苏合丸30丸</v>
          </cell>
        </row>
        <row r="2352">
          <cell r="E2352" t="str">
            <v>0020020020ZYZC0359</v>
          </cell>
          <cell r="H2352" t="str">
            <v>滨州市仁信医药有限公司</v>
          </cell>
          <cell r="J2352" t="str">
            <v>1855</v>
          </cell>
          <cell r="K2352" t="str">
            <v>201602151421097</v>
          </cell>
          <cell r="M2352" t="str">
            <v>青霉素V钾片0.236g*24片</v>
          </cell>
        </row>
        <row r="2353">
          <cell r="E2353" t="str">
            <v>0020030040SJET0003</v>
          </cell>
          <cell r="H2353" t="str">
            <v>滨州市仁信医药有限公司</v>
          </cell>
          <cell r="J2353" t="str">
            <v>1855</v>
          </cell>
          <cell r="K2353" t="str">
            <v>201602151421097</v>
          </cell>
          <cell r="M2353" t="str">
            <v>氨金黄敏颗粒6g*10袋</v>
          </cell>
        </row>
        <row r="2354">
          <cell r="E2354" t="str">
            <v>0020050020SHYT0014</v>
          </cell>
          <cell r="H2354" t="str">
            <v>滨州市仁信医药有限公司</v>
          </cell>
          <cell r="J2354" t="str">
            <v>1855</v>
          </cell>
          <cell r="K2354" t="str">
            <v>201602151421097</v>
          </cell>
          <cell r="M2354" t="str">
            <v>宫血停颗粒10g*12袋</v>
          </cell>
        </row>
        <row r="2355">
          <cell r="E2355" t="str">
            <v>0020050001SHYT0014</v>
          </cell>
          <cell r="H2355" t="str">
            <v>滨州市仁信医药有限公司</v>
          </cell>
          <cell r="J2355" t="str">
            <v>1855</v>
          </cell>
          <cell r="K2355" t="str">
            <v>201602151421097</v>
          </cell>
          <cell r="M2355" t="str">
            <v>杞菊地黄丸9g*10丸/盒</v>
          </cell>
        </row>
        <row r="2356">
          <cell r="E2356" t="str">
            <v>0020050001SHYT0003</v>
          </cell>
          <cell r="H2356" t="str">
            <v>滨州市仁信医药有限公司</v>
          </cell>
          <cell r="J2356" t="str">
            <v>1855</v>
          </cell>
          <cell r="K2356" t="str">
            <v>201602151421097</v>
          </cell>
          <cell r="M2356" t="str">
            <v>益母丸9g*10丸/盒</v>
          </cell>
        </row>
        <row r="2357">
          <cell r="E2357" t="str">
            <v>0020050001SHYT0007</v>
          </cell>
          <cell r="H2357" t="str">
            <v>滨州市仁信医药有限公司</v>
          </cell>
          <cell r="J2357" t="str">
            <v>1855</v>
          </cell>
          <cell r="K2357" t="str">
            <v>201602151421097</v>
          </cell>
          <cell r="M2357" t="str">
            <v xml:space="preserve">十全大补丸9g*10   </v>
          </cell>
        </row>
        <row r="2358">
          <cell r="E2358" t="str">
            <v>0020040220SHYT0004</v>
          </cell>
          <cell r="H2358" t="str">
            <v>滨州市仁信医药有限公司</v>
          </cell>
          <cell r="J2358" t="str">
            <v>1855</v>
          </cell>
          <cell r="K2358" t="str">
            <v>201602151421097</v>
          </cell>
          <cell r="M2358" t="str">
            <v>妇宁栓1.6g*8粒</v>
          </cell>
        </row>
        <row r="2359">
          <cell r="E2359" t="str">
            <v>0020020020ZYZC0491</v>
          </cell>
          <cell r="H2359" t="str">
            <v>滨州市仁信医药有限公司</v>
          </cell>
          <cell r="J2359" t="str">
            <v>1855</v>
          </cell>
          <cell r="K2359" t="str">
            <v>201602151421097</v>
          </cell>
          <cell r="M2359" t="str">
            <v>头孢氨苄片0.25g*30片</v>
          </cell>
        </row>
        <row r="2360">
          <cell r="E2360" t="str">
            <v>0020020020ZYLC0007</v>
          </cell>
          <cell r="H2360" t="str">
            <v>滨州市仁信医药有限公司</v>
          </cell>
          <cell r="J2360" t="str">
            <v>1855</v>
          </cell>
          <cell r="K2360" t="str">
            <v>201602151421097</v>
          </cell>
          <cell r="M2360" t="str">
            <v>盐酸氟桂利嗪片5mg*40片</v>
          </cell>
        </row>
        <row r="2361">
          <cell r="E2361" t="str">
            <v>0020050030SJSC0007</v>
          </cell>
          <cell r="H2361" t="str">
            <v>滨州市仁信医药有限公司</v>
          </cell>
          <cell r="J2361" t="str">
            <v>1855</v>
          </cell>
          <cell r="K2361" t="str">
            <v>201602151421097</v>
          </cell>
          <cell r="M2361" t="str">
            <v>菊梅利咽含片每片重1.2g*6片*3板</v>
          </cell>
        </row>
        <row r="2362">
          <cell r="E2362" t="str">
            <v>0020040003SHYT0010</v>
          </cell>
          <cell r="H2362" t="str">
            <v>滨州市仁信医药有限公司</v>
          </cell>
          <cell r="J2362" t="str">
            <v>1855</v>
          </cell>
          <cell r="K2362" t="str">
            <v>201602151421097</v>
          </cell>
          <cell r="M2362" t="str">
            <v>牛黄清胃丸70g</v>
          </cell>
        </row>
        <row r="2363">
          <cell r="E2363" t="str">
            <v>0020040030SHYT0003</v>
          </cell>
          <cell r="H2363" t="str">
            <v>滨州市仁信医药有限公司</v>
          </cell>
          <cell r="J2363" t="str">
            <v>1855</v>
          </cell>
          <cell r="K2363" t="str">
            <v>201602151421097</v>
          </cell>
          <cell r="M2363" t="str">
            <v>牛黄消炎片30片</v>
          </cell>
        </row>
        <row r="2364">
          <cell r="E2364" t="str">
            <v>0020040070ZYEC0005</v>
          </cell>
          <cell r="H2364" t="str">
            <v>滨州市仁信医药有限公司</v>
          </cell>
          <cell r="J2364" t="str">
            <v>1855</v>
          </cell>
          <cell r="K2364" t="str">
            <v>201602151421097</v>
          </cell>
          <cell r="M2364" t="str">
            <v>小儿百部止咳糖浆100ml</v>
          </cell>
        </row>
        <row r="2365">
          <cell r="E2365" t="str">
            <v>0020020020SJMS0008</v>
          </cell>
          <cell r="H2365" t="str">
            <v>滨州市仁信医药有限公司</v>
          </cell>
          <cell r="J2365" t="str">
            <v>1855</v>
          </cell>
          <cell r="K2365" t="str">
            <v>201602151421097</v>
          </cell>
          <cell r="M2365" t="str">
            <v>拉西地平片4mg*15片</v>
          </cell>
        </row>
        <row r="2366">
          <cell r="E2366" t="str">
            <v>0020020030ZYZC0282</v>
          </cell>
          <cell r="H2366" t="str">
            <v>滨州市仁信医药有限公司</v>
          </cell>
          <cell r="J2366" t="str">
            <v>1855</v>
          </cell>
          <cell r="K2366" t="str">
            <v>201602151421097</v>
          </cell>
          <cell r="M2366" t="str">
            <v>小檗碱甲氧苄啶胶囊30粒</v>
          </cell>
        </row>
        <row r="2367">
          <cell r="E2367" t="str">
            <v>0020020021ZYLC0011</v>
          </cell>
          <cell r="H2367" t="str">
            <v>滨州市仁信医药有限公司</v>
          </cell>
          <cell r="J2367" t="str">
            <v>1855</v>
          </cell>
          <cell r="K2367" t="str">
            <v>201602151421097</v>
          </cell>
          <cell r="M2367" t="str">
            <v>罗红霉素分散片150mg*12片</v>
          </cell>
        </row>
        <row r="2368">
          <cell r="E2368" t="str">
            <v>0020030020ZYLC0010</v>
          </cell>
          <cell r="H2368" t="str">
            <v>滨州市仁信医药有限公司</v>
          </cell>
          <cell r="J2368" t="str">
            <v>1855</v>
          </cell>
          <cell r="K2368" t="str">
            <v>201602151421097</v>
          </cell>
          <cell r="M2368" t="str">
            <v>乳酸菌素片0.4g*36片</v>
          </cell>
        </row>
        <row r="2369">
          <cell r="E2369" t="str">
            <v>0020020030ZYZC0264</v>
          </cell>
          <cell r="H2369" t="str">
            <v>滨州百佳妇产医院</v>
          </cell>
          <cell r="J2369" t="str">
            <v>1853</v>
          </cell>
          <cell r="K2369" t="str">
            <v>201602151421097</v>
          </cell>
          <cell r="M2369" t="str">
            <v>阿莫西林胶囊0.5g*20s</v>
          </cell>
        </row>
        <row r="2370">
          <cell r="E2370" t="str">
            <v>0020020030ZYZC0289</v>
          </cell>
          <cell r="H2370" t="str">
            <v>滨城济滨医院</v>
          </cell>
          <cell r="J2370" t="str">
            <v>1853</v>
          </cell>
          <cell r="K2370" t="str">
            <v>201602151421097</v>
          </cell>
          <cell r="M2370" t="str">
            <v>阿莫西林胶囊0.5g*36粒</v>
          </cell>
        </row>
        <row r="2371">
          <cell r="E2371" t="str">
            <v>0020030020ZYLC0010</v>
          </cell>
          <cell r="H2371" t="str">
            <v>利津县万德福大药房</v>
          </cell>
          <cell r="J2371" t="str">
            <v>1757</v>
          </cell>
          <cell r="M2371" t="str">
            <v>乳酸菌素片0.4g*12片*3板</v>
          </cell>
        </row>
        <row r="2372">
          <cell r="E2372" t="str">
            <v>0020020030SJMS0025</v>
          </cell>
          <cell r="H2372" t="str">
            <v>滨城区杨柳雪镇小唐村卫生室</v>
          </cell>
          <cell r="J2372" t="str">
            <v>1853</v>
          </cell>
          <cell r="K2372" t="str">
            <v>201602151421097</v>
          </cell>
          <cell r="M2372" t="str">
            <v>人工牛黄甲硝唑胶囊30粒</v>
          </cell>
        </row>
        <row r="2373">
          <cell r="E2373" t="str">
            <v>0020030032ZYZC0300</v>
          </cell>
          <cell r="H2373" t="str">
            <v>惠民县康舒大药房</v>
          </cell>
          <cell r="J2373" t="str">
            <v>1854</v>
          </cell>
          <cell r="K2373" t="str">
            <v>201602151421097</v>
          </cell>
          <cell r="M2373" t="str">
            <v>维生素E软胶囊30粒</v>
          </cell>
        </row>
        <row r="2374">
          <cell r="E2374" t="str">
            <v>0020030020SJSC0004</v>
          </cell>
          <cell r="H2374" t="str">
            <v>滨城区市东街道办事处郑家第三卫生室</v>
          </cell>
          <cell r="J2374" t="str">
            <v>1853</v>
          </cell>
          <cell r="K2374" t="str">
            <v>201602151421097</v>
          </cell>
          <cell r="M2374" t="str">
            <v>复方铝酸铋片50片</v>
          </cell>
        </row>
        <row r="2375">
          <cell r="E2375" t="str">
            <v>0020050090SJZY0001</v>
          </cell>
          <cell r="H2375" t="str">
            <v>邹平县方正医药有限公司</v>
          </cell>
          <cell r="J2375" t="str">
            <v>1859</v>
          </cell>
          <cell r="K2375" t="str">
            <v>201602151421097</v>
          </cell>
          <cell r="M2375" t="str">
            <v>双黄连口服液10ml*10支</v>
          </cell>
        </row>
        <row r="2376">
          <cell r="E2376" t="str">
            <v>0020020020ZYLC0010</v>
          </cell>
          <cell r="H2376" t="str">
            <v>邹平县方正医药有限公司</v>
          </cell>
          <cell r="J2376" t="str">
            <v>1859</v>
          </cell>
          <cell r="K2376" t="str">
            <v>201602151421097</v>
          </cell>
          <cell r="M2376" t="str">
            <v>颠茄磺苄啶片10片/瓶</v>
          </cell>
        </row>
        <row r="2377">
          <cell r="E2377" t="str">
            <v>0020030001SJZY0006</v>
          </cell>
          <cell r="H2377" t="str">
            <v>滨城曹淑玲诊所</v>
          </cell>
          <cell r="J2377" t="str">
            <v>1853</v>
          </cell>
          <cell r="K2377" t="str">
            <v>201602151421097</v>
          </cell>
          <cell r="M2377" t="str">
            <v>葡萄糖酸钙口服溶液10ml*12支</v>
          </cell>
        </row>
        <row r="2378">
          <cell r="E2378" t="str">
            <v>0020070000ZYLC0051</v>
          </cell>
          <cell r="H2378" t="str">
            <v>滨城区三河湖镇曹桥村卫生室</v>
          </cell>
          <cell r="J2378" t="str">
            <v>1853</v>
          </cell>
          <cell r="K2378" t="str">
            <v>201602151421097</v>
          </cell>
          <cell r="M2378" t="str">
            <v>朴雪乳酸亚铁口服液10ml*12支</v>
          </cell>
        </row>
        <row r="2379">
          <cell r="E2379" t="str">
            <v>0020020020ZYLC0003</v>
          </cell>
          <cell r="H2379" t="str">
            <v>阳信县济康大药房</v>
          </cell>
          <cell r="J2379" t="str">
            <v>1855</v>
          </cell>
          <cell r="K2379" t="str">
            <v>201602151421097</v>
          </cell>
          <cell r="M2379" t="str">
            <v>颠茄磺苄啶片12片</v>
          </cell>
        </row>
        <row r="2380">
          <cell r="E2380" t="str">
            <v>0020070000SJZY0001</v>
          </cell>
          <cell r="H2380" t="str">
            <v>滨州市瑞丰医药连锁经营有限责任公司</v>
          </cell>
          <cell r="J2380" t="str">
            <v>1853</v>
          </cell>
          <cell r="K2380" t="str">
            <v>201602151421097</v>
          </cell>
          <cell r="M2380" t="str">
            <v>葡萄糖酸锌口服溶液10ml*12支</v>
          </cell>
        </row>
        <row r="2381">
          <cell r="E2381" t="str">
            <v>0020020020ZYLC0003</v>
          </cell>
          <cell r="H2381" t="str">
            <v>博兴县永康药店</v>
          </cell>
          <cell r="J2381" t="str">
            <v>1858</v>
          </cell>
          <cell r="K2381" t="str">
            <v>201602151421097</v>
          </cell>
          <cell r="M2381" t="str">
            <v>颠茄磺苄啶片12片</v>
          </cell>
        </row>
        <row r="2382">
          <cell r="E2382" t="str">
            <v>0020030001SJZY0006</v>
          </cell>
          <cell r="H2382" t="str">
            <v>水落坡乡雷家社区卫生室</v>
          </cell>
          <cell r="J2382" t="str">
            <v>1855</v>
          </cell>
          <cell r="K2382" t="str">
            <v>201602151421097</v>
          </cell>
          <cell r="M2382" t="str">
            <v>葡萄糖酸钙口服溶液10ml*12支</v>
          </cell>
        </row>
        <row r="2383">
          <cell r="E2383" t="str">
            <v>0020070000ZYLC0051</v>
          </cell>
          <cell r="H2383" t="str">
            <v>滨州康杰大药房有限责任公司</v>
          </cell>
          <cell r="J2383" t="str">
            <v>1853</v>
          </cell>
          <cell r="K2383" t="str">
            <v>201602151421097</v>
          </cell>
          <cell r="M2383" t="str">
            <v>朴雪乳酸亚铁口服液10ml*12支</v>
          </cell>
        </row>
        <row r="2384">
          <cell r="E2384" t="str">
            <v>0020030170ZYEC0003</v>
          </cell>
          <cell r="H2384" t="str">
            <v>圣济堂医药连锁有限公司</v>
          </cell>
          <cell r="J2384" t="str">
            <v>1853</v>
          </cell>
          <cell r="K2384" t="str">
            <v>201602151421097</v>
          </cell>
          <cell r="M2384" t="str">
            <v>蒙脱石散3g*12袋</v>
          </cell>
        </row>
        <row r="2385">
          <cell r="E2385" t="str">
            <v>0020070000SJZY0001</v>
          </cell>
          <cell r="H2385" t="str">
            <v>邹平县金正医药连锁有限公司</v>
          </cell>
          <cell r="J2385" t="str">
            <v>1859</v>
          </cell>
          <cell r="K2385" t="str">
            <v>201602151421097</v>
          </cell>
          <cell r="M2385" t="str">
            <v>葡萄糖酸锌口服溶液10ml*12支</v>
          </cell>
        </row>
        <row r="2386">
          <cell r="E2386" t="str">
            <v>0020030001SJZY0006</v>
          </cell>
          <cell r="H2386" t="str">
            <v>邹平县方正医药有限公司</v>
          </cell>
          <cell r="J2386" t="str">
            <v>1859</v>
          </cell>
          <cell r="K2386" t="str">
            <v>201602151421097</v>
          </cell>
          <cell r="M2386" t="str">
            <v>葡萄糖酸钙口服溶液10ml*12支</v>
          </cell>
        </row>
        <row r="2387">
          <cell r="E2387" t="str">
            <v>0020020030ZYZC0289</v>
          </cell>
          <cell r="H2387" t="str">
            <v>邹平县方正医药有限公司</v>
          </cell>
          <cell r="J2387" t="str">
            <v>1859</v>
          </cell>
          <cell r="K2387" t="str">
            <v>201602151421097</v>
          </cell>
          <cell r="M2387" t="str">
            <v>阿莫西林胶囊0.5g*36粒</v>
          </cell>
        </row>
        <row r="2388">
          <cell r="E2388" t="str">
            <v>0020030001SJZY0006</v>
          </cell>
          <cell r="H2388" t="str">
            <v>滨城刘利剑中医诊所</v>
          </cell>
          <cell r="J2388" t="str">
            <v>1853</v>
          </cell>
          <cell r="K2388" t="str">
            <v>201602151421097</v>
          </cell>
          <cell r="M2388" t="str">
            <v>葡萄糖酸钙口服溶液10ml*12支</v>
          </cell>
        </row>
        <row r="2389">
          <cell r="E2389" t="str">
            <v>0020070000ZYLC0051</v>
          </cell>
          <cell r="H2389" t="str">
            <v>邹平县方正医药有限公司</v>
          </cell>
          <cell r="J2389" t="str">
            <v>1859</v>
          </cell>
          <cell r="K2389" t="str">
            <v>201602151421097</v>
          </cell>
          <cell r="M2389" t="str">
            <v>朴雪乳酸亚铁口服液10ml*12支</v>
          </cell>
        </row>
        <row r="2390">
          <cell r="E2390" t="str">
            <v>0020020030ZYZC0289</v>
          </cell>
          <cell r="H2390" t="str">
            <v>滨城瑞慷医院</v>
          </cell>
          <cell r="J2390" t="str">
            <v>1853</v>
          </cell>
          <cell r="K2390" t="str">
            <v>201602151421097</v>
          </cell>
          <cell r="M2390" t="str">
            <v>阿莫西林胶囊0.5g*36粒</v>
          </cell>
        </row>
        <row r="2391">
          <cell r="E2391" t="str">
            <v>0020070000ZYLC0001</v>
          </cell>
          <cell r="H2391" t="str">
            <v>刁口乡兴牧村卫生室</v>
          </cell>
          <cell r="J2391" t="str">
            <v>1757</v>
          </cell>
          <cell r="M2391" t="str">
            <v>新盖中盖牌高钙片2.5g*36片</v>
          </cell>
        </row>
        <row r="2392">
          <cell r="E2392" t="str">
            <v>0020030001SJZY0006</v>
          </cell>
          <cell r="H2392" t="str">
            <v>滨州市北海经济开发区马山子镇济堂药店</v>
          </cell>
          <cell r="J2392" t="str">
            <v>1856</v>
          </cell>
          <cell r="K2392" t="str">
            <v>201602151421097</v>
          </cell>
          <cell r="M2392" t="str">
            <v>葡萄糖酸钙口服溶液10ml*12支</v>
          </cell>
        </row>
        <row r="2393">
          <cell r="E2393" t="str">
            <v>0020070000SJZY0001</v>
          </cell>
          <cell r="H2393" t="str">
            <v>滨州市北海经济开发区马山子镇济堂药店</v>
          </cell>
          <cell r="J2393" t="str">
            <v>1856</v>
          </cell>
          <cell r="K2393" t="str">
            <v>201602151421097</v>
          </cell>
          <cell r="M2393" t="str">
            <v>葡萄糖酸锌口服溶液10ml*12支</v>
          </cell>
        </row>
        <row r="2394">
          <cell r="E2394" t="str">
            <v>0020070000SJZY0001</v>
          </cell>
          <cell r="H2394" t="str">
            <v>山东无棣医药公司</v>
          </cell>
          <cell r="J2394" t="str">
            <v>1856</v>
          </cell>
          <cell r="K2394" t="str">
            <v>201602151421097</v>
          </cell>
          <cell r="M2394" t="str">
            <v>葡萄糖酸锌口服溶液10ml*12支</v>
          </cell>
        </row>
        <row r="2395">
          <cell r="E2395" t="str">
            <v>0020070001ZYZC0383</v>
          </cell>
          <cell r="H2395" t="str">
            <v>滨城区市西街道办事处张八棍第二卫生室</v>
          </cell>
          <cell r="J2395" t="str">
            <v>1853</v>
          </cell>
          <cell r="K2395" t="str">
            <v>201602151421097</v>
          </cell>
          <cell r="M2395" t="str">
            <v>哈药牌钙铁锌口服液10ml*10支</v>
          </cell>
        </row>
        <row r="2396">
          <cell r="E2396" t="str">
            <v>0020070000ZYLC0001</v>
          </cell>
          <cell r="H2396" t="str">
            <v>西南街卫生室</v>
          </cell>
          <cell r="J2396" t="str">
            <v>1853</v>
          </cell>
          <cell r="K2396" t="str">
            <v>201602151421097</v>
          </cell>
          <cell r="M2396" t="str">
            <v>新盖中盖牌高钙片2.5g*36片</v>
          </cell>
        </row>
        <row r="2397">
          <cell r="E2397" t="str">
            <v>0020070000ZYLC0001</v>
          </cell>
          <cell r="H2397" t="str">
            <v>惠民县舒泰大药房有限公司</v>
          </cell>
          <cell r="J2397" t="str">
            <v>1854</v>
          </cell>
          <cell r="K2397" t="str">
            <v>201602151421097</v>
          </cell>
          <cell r="M2397" t="str">
            <v>新盖中盖牌高钙片2.5g*36片</v>
          </cell>
        </row>
        <row r="2398">
          <cell r="E2398" t="str">
            <v>0020070001ZYLC0001</v>
          </cell>
          <cell r="H2398" t="str">
            <v>滨州晟滨医药有限公司</v>
          </cell>
          <cell r="J2398" t="str">
            <v>1853</v>
          </cell>
          <cell r="K2398" t="str">
            <v>201602151421097</v>
          </cell>
          <cell r="M2398" t="str">
            <v>哈药六钙锌口服液10ml*12支</v>
          </cell>
        </row>
        <row r="2399">
          <cell r="E2399" t="str">
            <v>0020070001ZYZC0383</v>
          </cell>
          <cell r="H2399" t="str">
            <v>滨州晟滨医药有限公司</v>
          </cell>
          <cell r="J2399" t="str">
            <v>1853</v>
          </cell>
          <cell r="K2399" t="str">
            <v>201602151421097</v>
          </cell>
          <cell r="M2399" t="str">
            <v>哈药牌钙铁锌口服液10ml*10支</v>
          </cell>
        </row>
        <row r="2400">
          <cell r="E2400" t="str">
            <v>0020070000SJZY0001</v>
          </cell>
          <cell r="H2400" t="str">
            <v>滨州晟滨医药有限公司</v>
          </cell>
          <cell r="J2400" t="str">
            <v>1853</v>
          </cell>
          <cell r="K2400" t="str">
            <v>201602151421097</v>
          </cell>
          <cell r="M2400" t="str">
            <v>葡萄糖酸锌口服溶液10ml*12支</v>
          </cell>
        </row>
        <row r="2401">
          <cell r="E2401" t="str">
            <v>0020050001SHYT0037</v>
          </cell>
          <cell r="H2401" t="str">
            <v>滨州恒丰仁和医药连锁有限责任公司</v>
          </cell>
          <cell r="J2401" t="str">
            <v>1853</v>
          </cell>
          <cell r="K2401" t="str">
            <v>201602151421097</v>
          </cell>
          <cell r="M2401" t="str">
            <v>艾附暖宫丸9g*10丸</v>
          </cell>
        </row>
        <row r="2402">
          <cell r="E2402" t="str">
            <v>0020070000SJZY0001</v>
          </cell>
          <cell r="H2402" t="str">
            <v>无棣县佘家镇顺昌百姓大药房</v>
          </cell>
          <cell r="J2402" t="str">
            <v>1856</v>
          </cell>
          <cell r="K2402" t="str">
            <v>201602151421097</v>
          </cell>
          <cell r="M2402" t="str">
            <v>葡萄糖酸锌口服溶液10ml*12支</v>
          </cell>
        </row>
        <row r="2403">
          <cell r="E2403" t="str">
            <v>0020070001ZYZC0383</v>
          </cell>
          <cell r="H2403" t="str">
            <v>滨州市滨城区彭李街道办事处北海社区卫生服务站</v>
          </cell>
          <cell r="J2403" t="str">
            <v>1853</v>
          </cell>
          <cell r="K2403" t="str">
            <v>201602151421097</v>
          </cell>
          <cell r="M2403" t="str">
            <v>哈药牌钙铁锌口服液10ml*10支</v>
          </cell>
        </row>
        <row r="2404">
          <cell r="E2404" t="str">
            <v>0020030020SJSC0004</v>
          </cell>
          <cell r="H2404" t="str">
            <v>滨州宁心医药有限公司</v>
          </cell>
          <cell r="J2404" t="str">
            <v>1853</v>
          </cell>
          <cell r="K2404" t="str">
            <v>201602151421097</v>
          </cell>
          <cell r="M2404" t="str">
            <v>复方铝酸铋片50片</v>
          </cell>
        </row>
        <row r="2405">
          <cell r="E2405" t="str">
            <v>0020070000SJZY0001</v>
          </cell>
          <cell r="H2405" t="str">
            <v>水落坡乡雷家社区卫生室</v>
          </cell>
          <cell r="J2405" t="str">
            <v>1855</v>
          </cell>
          <cell r="K2405" t="str">
            <v>201602151421097</v>
          </cell>
          <cell r="M2405" t="str">
            <v>葡萄糖酸锌口服溶液10ml*12支</v>
          </cell>
        </row>
        <row r="2406">
          <cell r="E2406" t="str">
            <v>0020070001ZYLC0001</v>
          </cell>
          <cell r="H2406" t="str">
            <v>滨城区市西街道办事处李口卫生室</v>
          </cell>
          <cell r="J2406" t="str">
            <v>1853</v>
          </cell>
          <cell r="K2406" t="str">
            <v>201602151421097</v>
          </cell>
          <cell r="M2406" t="str">
            <v>哈药六钙锌口服液10ml*12支</v>
          </cell>
        </row>
        <row r="2407">
          <cell r="E2407" t="str">
            <v>0020070000ZYLC0001</v>
          </cell>
          <cell r="H2407" t="str">
            <v>滨城区市西街道办事处李口卫生室</v>
          </cell>
          <cell r="J2407" t="str">
            <v>1853</v>
          </cell>
          <cell r="K2407" t="str">
            <v>201602151421097</v>
          </cell>
          <cell r="M2407" t="str">
            <v>新盖中盖牌高钙片2.5g*36片</v>
          </cell>
        </row>
        <row r="2408">
          <cell r="E2408" t="str">
            <v>0020070000ZYLC0001</v>
          </cell>
          <cell r="H2408" t="str">
            <v>居民诊所</v>
          </cell>
          <cell r="J2408" t="str">
            <v>1853</v>
          </cell>
          <cell r="K2408" t="str">
            <v>201602151421097</v>
          </cell>
          <cell r="M2408" t="str">
            <v>新盖中盖牌高钙片2.5g*36片</v>
          </cell>
        </row>
        <row r="2409">
          <cell r="E2409" t="str">
            <v>0020050001SHYT0037</v>
          </cell>
          <cell r="H2409" t="str">
            <v>滨州市滨城区市西街道办事处利民社区第二卫生服务站</v>
          </cell>
          <cell r="J2409" t="str">
            <v>1853</v>
          </cell>
          <cell r="K2409" t="str">
            <v>201602151421097</v>
          </cell>
          <cell r="M2409" t="str">
            <v>艾附暖宫丸9g*10丸</v>
          </cell>
        </row>
        <row r="2410">
          <cell r="E2410" t="str">
            <v>0020030040SJET0003</v>
          </cell>
          <cell r="H2410" t="str">
            <v>博兴县德仁堂大药房连锁有限公司</v>
          </cell>
          <cell r="J2410" t="str">
            <v>1858</v>
          </cell>
          <cell r="K2410" t="str">
            <v>201602151421097</v>
          </cell>
          <cell r="M2410" t="str">
            <v>氨金黄敏颗粒6g*10袋</v>
          </cell>
        </row>
        <row r="2411">
          <cell r="E2411" t="str">
            <v>0020030040ZYLC0001</v>
          </cell>
          <cell r="H2411" t="str">
            <v>博兴县德仁堂大药房连锁有限公司</v>
          </cell>
          <cell r="J2411" t="str">
            <v>1858</v>
          </cell>
          <cell r="K2411" t="str">
            <v>201602151421097</v>
          </cell>
          <cell r="M2411" t="str">
            <v>小儿氨酚黄那敏颗粒12袋</v>
          </cell>
        </row>
        <row r="2412">
          <cell r="E2412" t="str">
            <v>0020020021ZYLC0004</v>
          </cell>
          <cell r="H2412" t="str">
            <v>瑞康诊所</v>
          </cell>
          <cell r="J2412" t="str">
            <v>1853</v>
          </cell>
          <cell r="K2412" t="str">
            <v>201602151421097</v>
          </cell>
          <cell r="M2412" t="str">
            <v>罗红霉素分散片75mg*12片</v>
          </cell>
        </row>
        <row r="2413">
          <cell r="E2413" t="str">
            <v>0020070000ZYLC0001</v>
          </cell>
          <cell r="H2413" t="str">
            <v>吴苟李村卫生室</v>
          </cell>
          <cell r="J2413" t="str">
            <v>1757</v>
          </cell>
          <cell r="M2413" t="str">
            <v>新盖中盖牌高钙片2.5g*36片</v>
          </cell>
        </row>
        <row r="2414">
          <cell r="E2414" t="str">
            <v>0020070000SJZY0001</v>
          </cell>
          <cell r="H2414" t="str">
            <v>滨城魏玲玲诊所</v>
          </cell>
          <cell r="J2414" t="str">
            <v>1853</v>
          </cell>
          <cell r="K2414" t="str">
            <v>201602151421097</v>
          </cell>
          <cell r="M2414" t="str">
            <v>葡萄糖酸锌口服溶液10ml*12支</v>
          </cell>
        </row>
        <row r="2415">
          <cell r="E2415" t="str">
            <v>0020050090SJZY0001</v>
          </cell>
          <cell r="H2415" t="str">
            <v>滨城区彭李街道办事处海河社区卫生服务站</v>
          </cell>
          <cell r="J2415" t="str">
            <v>1853</v>
          </cell>
          <cell r="K2415" t="str">
            <v>201602151421097</v>
          </cell>
          <cell r="M2415" t="str">
            <v>双黄连口服液10ml*10支</v>
          </cell>
        </row>
        <row r="2416">
          <cell r="E2416" t="str">
            <v>0020050001SHYT0037</v>
          </cell>
          <cell r="H2416" t="str">
            <v>滨城孙红霞诊所</v>
          </cell>
          <cell r="J2416" t="str">
            <v>1853</v>
          </cell>
          <cell r="K2416" t="str">
            <v>201602151421097</v>
          </cell>
          <cell r="M2416" t="str">
            <v>艾附暖宫丸9g*10丸</v>
          </cell>
        </row>
        <row r="2417">
          <cell r="E2417" t="str">
            <v>0020070000SJZY0001</v>
          </cell>
          <cell r="H2417" t="str">
            <v>滨城区市东街道办事处天王堂第一卫生室</v>
          </cell>
          <cell r="J2417" t="str">
            <v>1853</v>
          </cell>
          <cell r="K2417" t="str">
            <v>201602151421097</v>
          </cell>
          <cell r="M2417" t="str">
            <v>葡萄糖酸锌口服溶液10ml*12支</v>
          </cell>
        </row>
        <row r="2418">
          <cell r="E2418" t="str">
            <v>0020030040SHYT0010</v>
          </cell>
          <cell r="H2418" t="str">
            <v>滨州晟滨医药有限公司</v>
          </cell>
          <cell r="J2418" t="str">
            <v>1853</v>
          </cell>
          <cell r="K2418" t="str">
            <v>201602151421097</v>
          </cell>
          <cell r="M2418" t="str">
            <v>布洛芬颗粒0.2g*12袋</v>
          </cell>
        </row>
        <row r="2419">
          <cell r="E2419" t="str">
            <v>0020020021ZYLC0004</v>
          </cell>
          <cell r="H2419" t="str">
            <v>滨州晟滨医药有限公司</v>
          </cell>
          <cell r="J2419" t="str">
            <v>1853</v>
          </cell>
          <cell r="K2419" t="str">
            <v>201602151421097</v>
          </cell>
          <cell r="M2419" t="str">
            <v>罗红霉素分散片75mg*12片</v>
          </cell>
        </row>
        <row r="2420">
          <cell r="E2420" t="str">
            <v>0020020021ZYLC0005</v>
          </cell>
          <cell r="H2420" t="str">
            <v>滨州晟滨医药有限公司</v>
          </cell>
          <cell r="J2420" t="str">
            <v>1853</v>
          </cell>
          <cell r="K2420" t="str">
            <v>201602151421097</v>
          </cell>
          <cell r="M2420" t="str">
            <v>罗红霉素分散片50mg*12片</v>
          </cell>
        </row>
        <row r="2421">
          <cell r="E2421" t="str">
            <v>0020030040ZYLC0001</v>
          </cell>
          <cell r="H2421" t="str">
            <v>滨州晟滨医药有限公司</v>
          </cell>
          <cell r="J2421" t="str">
            <v>1853</v>
          </cell>
          <cell r="K2421" t="str">
            <v>201602151421097</v>
          </cell>
          <cell r="M2421" t="str">
            <v>小儿氨酚黄那敏颗粒12袋</v>
          </cell>
        </row>
        <row r="2422">
          <cell r="E2422" t="str">
            <v>0020070000SJZY0001</v>
          </cell>
          <cell r="H2422" t="str">
            <v>山东弘旭医药连锁经营有限公司</v>
          </cell>
          <cell r="J2422" t="str">
            <v>1853</v>
          </cell>
          <cell r="K2422" t="str">
            <v>201602151421097</v>
          </cell>
          <cell r="M2422" t="str">
            <v>葡萄糖酸锌口服溶液10ml*12支</v>
          </cell>
        </row>
        <row r="2423">
          <cell r="E2423" t="str">
            <v>0020030040ZYLC0001</v>
          </cell>
          <cell r="H2423" t="str">
            <v>高新区小营办事处愉悦城中心卫生室</v>
          </cell>
          <cell r="J2423" t="str">
            <v>1853</v>
          </cell>
          <cell r="K2423" t="str">
            <v>201602151421097</v>
          </cell>
          <cell r="M2423" t="str">
            <v>小儿氨酚黄那敏颗粒12袋</v>
          </cell>
        </row>
        <row r="2424">
          <cell r="E2424" t="str">
            <v>0020020020ZYLC0003</v>
          </cell>
          <cell r="H2424" t="str">
            <v>淄博瑞和医药销售有限公司</v>
          </cell>
          <cell r="M2424" t="str">
            <v>颠茄磺苄啶片12片</v>
          </cell>
        </row>
        <row r="2425">
          <cell r="E2425" t="str">
            <v>0020070000SJZY0001</v>
          </cell>
          <cell r="H2425" t="str">
            <v>滨州市住房和城乡建设局卫生所</v>
          </cell>
          <cell r="J2425" t="str">
            <v>1853</v>
          </cell>
          <cell r="K2425" t="str">
            <v>201602151421097</v>
          </cell>
          <cell r="M2425" t="str">
            <v>葡萄糖酸锌口服溶液10ml*12支</v>
          </cell>
        </row>
        <row r="2426">
          <cell r="E2426" t="str">
            <v>0020030020ZYLC0010</v>
          </cell>
          <cell r="H2426" t="str">
            <v>滨城区三河湖镇曹桥村卫生室</v>
          </cell>
          <cell r="J2426" t="str">
            <v>1853</v>
          </cell>
          <cell r="K2426" t="str">
            <v>201602151421097</v>
          </cell>
          <cell r="M2426" t="str">
            <v>乳酸菌素片0.4g*12片*3板</v>
          </cell>
        </row>
        <row r="2427">
          <cell r="E2427" t="str">
            <v>0020030001SJZY0006</v>
          </cell>
          <cell r="H2427" t="str">
            <v>惠民县舒泰大药房有限公司</v>
          </cell>
          <cell r="J2427" t="str">
            <v>1854</v>
          </cell>
          <cell r="K2427" t="str">
            <v>201602151421097</v>
          </cell>
          <cell r="M2427" t="str">
            <v>葡萄糖酸钙口服溶液10ml*12支</v>
          </cell>
        </row>
        <row r="2428">
          <cell r="E2428" t="str">
            <v>0020070001ZYZC0383</v>
          </cell>
          <cell r="H2428" t="str">
            <v>淄博瑞和医药销售有限公司</v>
          </cell>
          <cell r="M2428" t="str">
            <v>哈药牌钙铁锌口服液10ml*10支</v>
          </cell>
        </row>
        <row r="2429">
          <cell r="E2429" t="str">
            <v>0020030020SJSC0025</v>
          </cell>
          <cell r="H2429" t="str">
            <v>滨城区市东街道办事处沙家第一卫生室</v>
          </cell>
          <cell r="J2429" t="str">
            <v>1853</v>
          </cell>
          <cell r="K2429" t="str">
            <v>201602151421097</v>
          </cell>
          <cell r="M2429" t="str">
            <v>复方氨酚烷胺片12片</v>
          </cell>
        </row>
        <row r="2430">
          <cell r="E2430" t="str">
            <v>0020020021ZYLC0004</v>
          </cell>
          <cell r="H2430" t="str">
            <v>居民诊所</v>
          </cell>
          <cell r="J2430" t="str">
            <v>1853</v>
          </cell>
          <cell r="K2430" t="str">
            <v>201602151421097</v>
          </cell>
          <cell r="M2430" t="str">
            <v>罗红霉素分散片75mg*12片</v>
          </cell>
        </row>
        <row r="2431">
          <cell r="E2431" t="str">
            <v>0020020021ZYLC0005</v>
          </cell>
          <cell r="H2431" t="str">
            <v>居民诊所</v>
          </cell>
          <cell r="J2431" t="str">
            <v>1853</v>
          </cell>
          <cell r="K2431" t="str">
            <v>201602151421097</v>
          </cell>
          <cell r="M2431" t="str">
            <v>罗红霉素分散片50mg*12片</v>
          </cell>
        </row>
        <row r="2432">
          <cell r="E2432" t="str">
            <v>0020030020SJSC0004</v>
          </cell>
          <cell r="H2432" t="str">
            <v>博兴县陈户镇福百仁大药房</v>
          </cell>
          <cell r="J2432" t="str">
            <v>1858</v>
          </cell>
          <cell r="K2432" t="str">
            <v>201602151421097</v>
          </cell>
          <cell r="M2432" t="str">
            <v>复方铝酸铋片50片</v>
          </cell>
        </row>
        <row r="2433">
          <cell r="E2433" t="str">
            <v>0020040020SHYT0007</v>
          </cell>
          <cell r="H2433" t="str">
            <v>滨州盛泰医药连锁有限公司</v>
          </cell>
          <cell r="J2433" t="str">
            <v>1858</v>
          </cell>
          <cell r="K2433" t="str">
            <v>201602151421097</v>
          </cell>
          <cell r="M2433" t="str">
            <v>丹佛胃尔康颗粒10g*6袋</v>
          </cell>
        </row>
        <row r="2434">
          <cell r="E2434" t="str">
            <v>0020020021ZYLC0004</v>
          </cell>
          <cell r="H2434" t="str">
            <v>滨州盛泰医药连锁有限公司</v>
          </cell>
          <cell r="J2434" t="str">
            <v>1858</v>
          </cell>
          <cell r="K2434" t="str">
            <v>201602151421097</v>
          </cell>
          <cell r="M2434" t="str">
            <v>罗红霉素分散片75mg*12片</v>
          </cell>
        </row>
        <row r="2435">
          <cell r="E2435" t="str">
            <v>0020070000ZYLC0001</v>
          </cell>
          <cell r="H2435" t="str">
            <v>滨城安新岐诊所</v>
          </cell>
          <cell r="J2435" t="str">
            <v>1853</v>
          </cell>
          <cell r="K2435" t="str">
            <v>201602151421097</v>
          </cell>
          <cell r="M2435" t="str">
            <v>新盖中盖牌高钙片2.5g*36片</v>
          </cell>
        </row>
        <row r="2436">
          <cell r="E2436" t="str">
            <v>0020070000ZYLC0001</v>
          </cell>
          <cell r="H2436" t="str">
            <v>滨州市滨源医药连锁有限公司</v>
          </cell>
          <cell r="J2436" t="str">
            <v>1853</v>
          </cell>
          <cell r="K2436" t="str">
            <v>201602151421097</v>
          </cell>
          <cell r="M2436" t="str">
            <v>新盖中盖牌高钙片2.5g*36片</v>
          </cell>
        </row>
        <row r="2437">
          <cell r="E2437" t="str">
            <v>0020070000SJZY0001</v>
          </cell>
          <cell r="H2437" t="str">
            <v>滨州市滨源医药连锁有限公司</v>
          </cell>
          <cell r="J2437" t="str">
            <v>1853</v>
          </cell>
          <cell r="K2437" t="str">
            <v>201602151421097</v>
          </cell>
          <cell r="M2437" t="str">
            <v>葡萄糖酸锌口服溶液10ml*12支</v>
          </cell>
        </row>
        <row r="2438">
          <cell r="E2438" t="str">
            <v>0020070000SJZY0001</v>
          </cell>
          <cell r="H2438" t="str">
            <v>滨州市厚德医药有限公司</v>
          </cell>
          <cell r="J2438" t="str">
            <v>1853</v>
          </cell>
          <cell r="K2438" t="str">
            <v>201602151421097</v>
          </cell>
          <cell r="M2438" t="str">
            <v>葡萄糖酸锌口服溶液10ml*12支</v>
          </cell>
        </row>
        <row r="2439">
          <cell r="E2439" t="str">
            <v>0020070000SJZY0001</v>
          </cell>
          <cell r="H2439" t="str">
            <v>邹平百盛医药连锁有限公司</v>
          </cell>
          <cell r="J2439" t="str">
            <v>1859</v>
          </cell>
          <cell r="K2439" t="str">
            <v>201602151421097</v>
          </cell>
          <cell r="M2439" t="str">
            <v>葡萄糖酸锌口服溶液10ml*12支</v>
          </cell>
        </row>
        <row r="2440">
          <cell r="E2440" t="str">
            <v>0020020020ZYLC0003</v>
          </cell>
          <cell r="H2440" t="str">
            <v>邹平百盛医药连锁有限公司</v>
          </cell>
          <cell r="J2440" t="str">
            <v>1859</v>
          </cell>
          <cell r="K2440" t="str">
            <v>201602151421097</v>
          </cell>
          <cell r="M2440" t="str">
            <v>颠茄磺苄啶片12片</v>
          </cell>
        </row>
        <row r="2441">
          <cell r="E2441" t="str">
            <v>0020070000SJZY0001</v>
          </cell>
          <cell r="H2441" t="str">
            <v>滨城区彭李街道办事处菜刘卫生室</v>
          </cell>
          <cell r="J2441" t="str">
            <v>1853</v>
          </cell>
          <cell r="K2441" t="str">
            <v>201602151421097</v>
          </cell>
          <cell r="M2441" t="str">
            <v>葡萄糖酸锌口服溶液10ml*12支</v>
          </cell>
        </row>
        <row r="2442">
          <cell r="E2442" t="str">
            <v>0020020020ZYZC0359</v>
          </cell>
          <cell r="H2442" t="str">
            <v>滨城谭桂英诊所</v>
          </cell>
          <cell r="J2442" t="str">
            <v>1853</v>
          </cell>
          <cell r="K2442" t="str">
            <v>201602151421097</v>
          </cell>
          <cell r="M2442" t="str">
            <v>青霉素V钾片0.236g*24片</v>
          </cell>
        </row>
        <row r="2443">
          <cell r="E2443" t="str">
            <v>0020070000ZYLC0001</v>
          </cell>
          <cell r="H2443" t="str">
            <v>滨州康乐医药连锁有限公司</v>
          </cell>
          <cell r="J2443" t="str">
            <v>1853</v>
          </cell>
          <cell r="K2443" t="str">
            <v>201602151421097</v>
          </cell>
          <cell r="M2443" t="str">
            <v>新盖中盖牌高钙片2.5g*36片</v>
          </cell>
        </row>
        <row r="2444">
          <cell r="E2444" t="str">
            <v>0020030001SJZY0006</v>
          </cell>
          <cell r="H2444" t="str">
            <v>博兴县城东街道办事处国康大药房</v>
          </cell>
          <cell r="J2444" t="str">
            <v>1858</v>
          </cell>
          <cell r="K2444" t="str">
            <v>201602151421097</v>
          </cell>
          <cell r="M2444" t="str">
            <v>葡萄糖酸钙口服溶液10ml*12支</v>
          </cell>
        </row>
        <row r="2445">
          <cell r="E2445" t="str">
            <v>0020030020SJSC0004</v>
          </cell>
          <cell r="H2445" t="str">
            <v>滨州市滨源医药连锁有限公司</v>
          </cell>
          <cell r="J2445" t="str">
            <v>1853</v>
          </cell>
          <cell r="K2445" t="str">
            <v>201602151421097</v>
          </cell>
          <cell r="M2445" t="str">
            <v>复方铝酸铋片50片</v>
          </cell>
        </row>
        <row r="2446">
          <cell r="E2446" t="str">
            <v>0020020021ZYZC0341</v>
          </cell>
          <cell r="H2446" t="str">
            <v>滨城区市东街道办事处北杨第三卫生室</v>
          </cell>
          <cell r="J2446" t="str">
            <v>1853</v>
          </cell>
          <cell r="K2446" t="str">
            <v>201602151421097</v>
          </cell>
          <cell r="M2446" t="str">
            <v>阿莫西林克拉维酸钾分散片0.2285g*12片</v>
          </cell>
        </row>
        <row r="2447">
          <cell r="E2447" t="str">
            <v>0020020021ZYLC0005</v>
          </cell>
          <cell r="H2447" t="str">
            <v>杜店王会宾诊所</v>
          </cell>
          <cell r="J2447" t="str">
            <v>1853</v>
          </cell>
          <cell r="K2447" t="str">
            <v>201602151421097</v>
          </cell>
          <cell r="M2447" t="str">
            <v>罗红霉素分散片50mg*12片</v>
          </cell>
        </row>
        <row r="2448">
          <cell r="E2448" t="str">
            <v>0020030040ZYLC0001</v>
          </cell>
          <cell r="H2448" t="str">
            <v>滨城魏玲玲诊所</v>
          </cell>
          <cell r="J2448" t="str">
            <v>1853</v>
          </cell>
          <cell r="K2448" t="str">
            <v>201602151421097</v>
          </cell>
          <cell r="M2448" t="str">
            <v>小儿氨酚黄那敏颗粒12袋</v>
          </cell>
        </row>
        <row r="2449">
          <cell r="E2449" t="str">
            <v>0020020021ZYLC0005</v>
          </cell>
          <cell r="H2449" t="str">
            <v>惠民县东涛大药房</v>
          </cell>
          <cell r="J2449" t="str">
            <v>1854</v>
          </cell>
          <cell r="K2449" t="str">
            <v>201602151421097</v>
          </cell>
          <cell r="M2449" t="str">
            <v>罗红霉素分散片50mg*12片</v>
          </cell>
        </row>
        <row r="2450">
          <cell r="E2450" t="str">
            <v>0020030001SJZY0006</v>
          </cell>
          <cell r="H2450" t="str">
            <v>邹平仁益医药连锁有限公司</v>
          </cell>
          <cell r="J2450" t="str">
            <v>1859</v>
          </cell>
          <cell r="K2450" t="str">
            <v>201602151421097</v>
          </cell>
          <cell r="M2450" t="str">
            <v>葡萄糖酸钙口服溶液10ml*12支</v>
          </cell>
        </row>
        <row r="2451">
          <cell r="E2451" t="str">
            <v>0020030020ZYLC0013</v>
          </cell>
          <cell r="H2451" t="str">
            <v>邹平仁益医药连锁有限公司</v>
          </cell>
          <cell r="J2451" t="str">
            <v>1859</v>
          </cell>
          <cell r="K2451" t="str">
            <v>201602151421097</v>
          </cell>
          <cell r="M2451" t="str">
            <v>乳酸菌素片0.4g*36片/小包</v>
          </cell>
        </row>
        <row r="2452">
          <cell r="E2452" t="str">
            <v>0020070000ZYLC0051</v>
          </cell>
          <cell r="H2452" t="str">
            <v>滨城区滨北街道办事处利民社区卫生服务站</v>
          </cell>
          <cell r="J2452" t="str">
            <v>1853</v>
          </cell>
          <cell r="K2452" t="str">
            <v>201602151421097</v>
          </cell>
          <cell r="M2452" t="str">
            <v>朴雪乳酸亚铁口服液10ml*12支</v>
          </cell>
        </row>
        <row r="2453">
          <cell r="E2453" t="str">
            <v>0020070001ZYZC0369</v>
          </cell>
          <cell r="H2453" t="str">
            <v>滨城区滨北街道办事处利民社区卫生服务站</v>
          </cell>
          <cell r="J2453" t="str">
            <v>1853</v>
          </cell>
          <cell r="K2453" t="str">
            <v>201602151421097</v>
          </cell>
          <cell r="M2453" t="str">
            <v>哈药牌钙铁锌口服液10ml*12支</v>
          </cell>
        </row>
        <row r="2454">
          <cell r="E2454" t="str">
            <v>0020070000SJZY0001</v>
          </cell>
          <cell r="H2454" t="str">
            <v>滨城区滨北街道办事处利民社区卫生服务站</v>
          </cell>
          <cell r="J2454" t="str">
            <v>1853</v>
          </cell>
          <cell r="K2454" t="str">
            <v>201602151421097</v>
          </cell>
          <cell r="M2454" t="str">
            <v>葡萄糖酸锌口服溶液10ml*12支</v>
          </cell>
        </row>
        <row r="2455">
          <cell r="E2455" t="str">
            <v>0020030020ZYLC0013</v>
          </cell>
          <cell r="H2455" t="str">
            <v>杜店李岷山诊所</v>
          </cell>
          <cell r="J2455" t="str">
            <v>1853</v>
          </cell>
          <cell r="K2455" t="str">
            <v>201602151421097</v>
          </cell>
          <cell r="M2455" t="str">
            <v>乳酸菌素片0.4g*36片/小包</v>
          </cell>
        </row>
        <row r="2456">
          <cell r="E2456" t="str">
            <v>0020020021ZYZC0341</v>
          </cell>
          <cell r="H2456" t="str">
            <v>滨城庞真真诊所</v>
          </cell>
          <cell r="J2456" t="str">
            <v>1853</v>
          </cell>
          <cell r="K2456" t="str">
            <v>201602151421097</v>
          </cell>
          <cell r="M2456" t="str">
            <v>阿莫西林克拉维酸钾分散片0.2285g*12片</v>
          </cell>
        </row>
        <row r="2457">
          <cell r="E2457" t="str">
            <v>0020030020SJSC0004</v>
          </cell>
          <cell r="H2457" t="str">
            <v>滨城区彭李街道办事处府前社区卫生服务站</v>
          </cell>
          <cell r="J2457" t="str">
            <v>1853</v>
          </cell>
          <cell r="K2457" t="str">
            <v>201602151421097</v>
          </cell>
          <cell r="M2457" t="str">
            <v>复方铝酸铋片50片</v>
          </cell>
        </row>
        <row r="2458">
          <cell r="E2458" t="str">
            <v>0020030001SJZY0006</v>
          </cell>
          <cell r="H2458" t="str">
            <v>滨城区市东街道办事处清怡社区卫生服务站</v>
          </cell>
          <cell r="J2458" t="str">
            <v>1853</v>
          </cell>
          <cell r="K2458" t="str">
            <v>201602151421097</v>
          </cell>
          <cell r="M2458" t="str">
            <v>葡萄糖酸钙口服溶液10ml*12支</v>
          </cell>
        </row>
        <row r="2459">
          <cell r="E2459" t="str">
            <v>0020030020ZYLC0010</v>
          </cell>
          <cell r="H2459" t="str">
            <v>滨城区市东街道办事处清怡社区卫生服务站</v>
          </cell>
          <cell r="J2459" t="str">
            <v>1853</v>
          </cell>
          <cell r="K2459" t="str">
            <v>201602151421097</v>
          </cell>
          <cell r="M2459" t="str">
            <v>乳酸菌素片0.4g*12片*3板</v>
          </cell>
        </row>
        <row r="2460">
          <cell r="E2460" t="str">
            <v>0020070000SJZY0001</v>
          </cell>
          <cell r="H2460" t="str">
            <v>杜店王会宾诊所</v>
          </cell>
          <cell r="J2460" t="str">
            <v>1853</v>
          </cell>
          <cell r="K2460" t="str">
            <v>201602151421097</v>
          </cell>
          <cell r="M2460" t="str">
            <v>葡萄糖酸锌口服溶液10ml*12支</v>
          </cell>
        </row>
        <row r="2461">
          <cell r="E2461" t="str">
            <v>0020030040ZYLC0001</v>
          </cell>
          <cell r="H2461" t="str">
            <v>杜店王会宾诊所</v>
          </cell>
          <cell r="J2461" t="str">
            <v>1853</v>
          </cell>
          <cell r="K2461" t="str">
            <v>201602151421097</v>
          </cell>
          <cell r="M2461" t="str">
            <v>小儿氨酚黄那敏颗粒12袋</v>
          </cell>
        </row>
        <row r="2462">
          <cell r="E2462" t="str">
            <v>0020020020ZYLC0003</v>
          </cell>
          <cell r="H2462" t="str">
            <v>市东办事处华天社区卫生服务站</v>
          </cell>
          <cell r="J2462" t="str">
            <v>1853</v>
          </cell>
          <cell r="K2462" t="str">
            <v>201602151421097</v>
          </cell>
          <cell r="M2462" t="str">
            <v>颠茄磺苄啶片12片</v>
          </cell>
        </row>
        <row r="2463">
          <cell r="E2463" t="str">
            <v>0020020021ZYLC0004</v>
          </cell>
          <cell r="H2463" t="str">
            <v>市东办事处华天社区卫生服务站</v>
          </cell>
          <cell r="J2463" t="str">
            <v>1853</v>
          </cell>
          <cell r="K2463" t="str">
            <v>201602151421097</v>
          </cell>
          <cell r="M2463" t="str">
            <v>罗红霉素分散片75mg*12片</v>
          </cell>
        </row>
        <row r="2464">
          <cell r="E2464" t="str">
            <v>0020020020ZYZC0359</v>
          </cell>
          <cell r="H2464" t="str">
            <v>市东办事处华天社区卫生服务站</v>
          </cell>
          <cell r="J2464" t="str">
            <v>1853</v>
          </cell>
          <cell r="K2464" t="str">
            <v>201602151421097</v>
          </cell>
          <cell r="M2464" t="str">
            <v>青霉素V钾片0.236g*24片</v>
          </cell>
        </row>
        <row r="2465">
          <cell r="E2465" t="str">
            <v>0020030020SJSC0004</v>
          </cell>
          <cell r="H2465" t="str">
            <v>邹平县方正医药有限公司</v>
          </cell>
          <cell r="J2465" t="str">
            <v>1859</v>
          </cell>
          <cell r="K2465" t="str">
            <v>201602151421097</v>
          </cell>
          <cell r="M2465" t="str">
            <v>复方铝酸铋片50片</v>
          </cell>
        </row>
        <row r="2466">
          <cell r="E2466" t="str">
            <v>0020020020SJMS0008</v>
          </cell>
          <cell r="H2466" t="str">
            <v>滨州市瑞丰医药连锁经营有限责任公司</v>
          </cell>
          <cell r="J2466" t="str">
            <v>1853</v>
          </cell>
          <cell r="K2466" t="str">
            <v>201602151421097</v>
          </cell>
          <cell r="M2466" t="str">
            <v>拉西地平片4mg*15片</v>
          </cell>
        </row>
        <row r="2467">
          <cell r="E2467" t="str">
            <v>0020030020ZYLC0013</v>
          </cell>
          <cell r="H2467" t="str">
            <v>滨州市滨城区彭李街道办事处平民社区卫生服务站</v>
          </cell>
          <cell r="J2467" t="str">
            <v>1853</v>
          </cell>
          <cell r="K2467" t="str">
            <v>201602151421097</v>
          </cell>
          <cell r="M2467" t="str">
            <v>乳酸菌素片0.4g*36片/小包</v>
          </cell>
        </row>
        <row r="2468">
          <cell r="E2468" t="str">
            <v>0020020020ZYLC0003</v>
          </cell>
          <cell r="H2468" t="str">
            <v>滨城苏娟诊所</v>
          </cell>
          <cell r="J2468" t="str">
            <v>1853</v>
          </cell>
          <cell r="K2468" t="str">
            <v>201602151421097</v>
          </cell>
          <cell r="M2468" t="str">
            <v>颠茄磺苄啶片12片</v>
          </cell>
        </row>
        <row r="2469">
          <cell r="E2469" t="str">
            <v>0020070000ZYLC0001</v>
          </cell>
          <cell r="H2469" t="str">
            <v>滨城区市东街道办事处南蔺卫生室</v>
          </cell>
          <cell r="J2469" t="str">
            <v>1853</v>
          </cell>
          <cell r="K2469" t="str">
            <v>201602151421097</v>
          </cell>
          <cell r="M2469" t="str">
            <v>新盖中盖牌高钙片2.5g*36片</v>
          </cell>
        </row>
        <row r="2470">
          <cell r="E2470" t="str">
            <v>0020020030ZYZC0283</v>
          </cell>
          <cell r="H2470" t="str">
            <v>滨城谢凤树诊所</v>
          </cell>
          <cell r="J2470" t="str">
            <v>1853</v>
          </cell>
          <cell r="K2470" t="str">
            <v>201602151421097</v>
          </cell>
          <cell r="M2470" t="str">
            <v>头孢拉定胶囊0.25g*24粒</v>
          </cell>
        </row>
        <row r="2471">
          <cell r="E2471" t="str">
            <v>0020040220SHYT0004</v>
          </cell>
          <cell r="H2471" t="str">
            <v>邹平县金正医药连锁有限公司</v>
          </cell>
          <cell r="J2471" t="str">
            <v>1859</v>
          </cell>
          <cell r="K2471" t="str">
            <v>201602151421097</v>
          </cell>
          <cell r="M2471" t="str">
            <v>妇宁栓1.6g*8粒</v>
          </cell>
        </row>
        <row r="2472">
          <cell r="E2472" t="str">
            <v>0020070000SJZY0001</v>
          </cell>
          <cell r="H2472" t="str">
            <v>惠民县泓景大药房有限公司</v>
          </cell>
          <cell r="J2472" t="str">
            <v>1854</v>
          </cell>
          <cell r="K2472" t="str">
            <v>201602151421097</v>
          </cell>
          <cell r="M2472" t="str">
            <v>葡萄糖酸锌口服溶液10ml*12支</v>
          </cell>
        </row>
        <row r="2473">
          <cell r="E2473" t="str">
            <v>0020020021ZYLC0010</v>
          </cell>
          <cell r="H2473" t="str">
            <v>杜店蒋秀芬诊所</v>
          </cell>
          <cell r="J2473" t="str">
            <v>1853</v>
          </cell>
          <cell r="K2473" t="str">
            <v>201602151421097</v>
          </cell>
          <cell r="M2473" t="str">
            <v>克拉霉素分散片0.125g*12片</v>
          </cell>
        </row>
        <row r="2474">
          <cell r="E2474" t="str">
            <v>0020070000SJZY0001</v>
          </cell>
          <cell r="H2474" t="str">
            <v>滨城区市东街道办事处常家第一卫生室</v>
          </cell>
          <cell r="J2474" t="str">
            <v>1853</v>
          </cell>
          <cell r="K2474" t="str">
            <v>201602151421097</v>
          </cell>
          <cell r="M2474" t="str">
            <v>葡萄糖酸锌口服溶液10ml*12支</v>
          </cell>
        </row>
        <row r="2475">
          <cell r="E2475" t="str">
            <v>0020070000ZYLC0003</v>
          </cell>
          <cell r="H2475" t="str">
            <v>无棣益生堂药店连锁有限公司</v>
          </cell>
          <cell r="J2475" t="str">
            <v>1856</v>
          </cell>
          <cell r="K2475" t="str">
            <v>201602151421097</v>
          </cell>
          <cell r="M2475" t="str">
            <v>新盖中盖牌儿童钙片36片</v>
          </cell>
        </row>
        <row r="2476">
          <cell r="E2476" t="str">
            <v>0020070000ZYLC0001</v>
          </cell>
          <cell r="H2476" t="str">
            <v>无棣益生堂药店连锁有限公司</v>
          </cell>
          <cell r="J2476" t="str">
            <v>1856</v>
          </cell>
          <cell r="K2476" t="str">
            <v>201602151421097</v>
          </cell>
          <cell r="M2476" t="str">
            <v>新盖中盖牌高钙片2.5g*36片</v>
          </cell>
        </row>
        <row r="2477">
          <cell r="E2477" t="str">
            <v>0020070001ZYLC0001</v>
          </cell>
          <cell r="H2477" t="str">
            <v>无棣益生堂药店连锁有限公司</v>
          </cell>
          <cell r="J2477" t="str">
            <v>1856</v>
          </cell>
          <cell r="K2477" t="str">
            <v>201602151421097</v>
          </cell>
          <cell r="M2477" t="str">
            <v>哈药六钙锌口服液10ml*12支</v>
          </cell>
        </row>
        <row r="2478">
          <cell r="E2478" t="str">
            <v>0020070000SJZY0001</v>
          </cell>
          <cell r="H2478" t="str">
            <v>无棣益生堂药店连锁有限公司</v>
          </cell>
          <cell r="J2478" t="str">
            <v>1856</v>
          </cell>
          <cell r="K2478" t="str">
            <v>201602151421097</v>
          </cell>
          <cell r="M2478" t="str">
            <v>葡萄糖酸锌口服溶液10ml*12支</v>
          </cell>
        </row>
        <row r="2479">
          <cell r="E2479" t="str">
            <v>0020020020ZYLC0010</v>
          </cell>
          <cell r="H2479" t="str">
            <v>阳信县益寿康大药房有限公司</v>
          </cell>
          <cell r="J2479" t="str">
            <v>1855</v>
          </cell>
          <cell r="K2479" t="str">
            <v>201602151421097</v>
          </cell>
          <cell r="M2479" t="str">
            <v>颠茄磺苄啶片10片/瓶</v>
          </cell>
        </row>
        <row r="2480">
          <cell r="E2480" t="str">
            <v>0020020020ZYLC0003</v>
          </cell>
          <cell r="H2480" t="str">
            <v>邹平县方正医药有限公司</v>
          </cell>
          <cell r="J2480" t="str">
            <v>1859</v>
          </cell>
          <cell r="K2480" t="str">
            <v>201602151421097</v>
          </cell>
          <cell r="M2480" t="str">
            <v>颠茄磺苄啶片12片</v>
          </cell>
        </row>
        <row r="2481">
          <cell r="E2481" t="str">
            <v>0020020021ZYZC0341</v>
          </cell>
          <cell r="H2481" t="str">
            <v>邹平县方正医药有限公司</v>
          </cell>
          <cell r="J2481" t="str">
            <v>1859</v>
          </cell>
          <cell r="K2481" t="str">
            <v>201602151421097</v>
          </cell>
          <cell r="M2481" t="str">
            <v>阿莫西林克拉维酸钾分散片0.2285g*12片</v>
          </cell>
        </row>
        <row r="2482">
          <cell r="E2482" t="str">
            <v>0020020021ZYZC0341</v>
          </cell>
          <cell r="H2482" t="str">
            <v>淄博瑞和医药销售有限公司</v>
          </cell>
          <cell r="M2482" t="str">
            <v>阿莫西林克拉维酸钾分散片0.2285g*12片</v>
          </cell>
        </row>
        <row r="2483">
          <cell r="E2483" t="str">
            <v>0020020020SJMS0008</v>
          </cell>
          <cell r="H2483" t="str">
            <v>利津县仁益堂药店</v>
          </cell>
          <cell r="J2483" t="str">
            <v>1757</v>
          </cell>
          <cell r="M2483" t="str">
            <v>拉西地平片4mg*15片</v>
          </cell>
        </row>
        <row r="2484">
          <cell r="E2484" t="str">
            <v>0020020020ZYLC0010</v>
          </cell>
          <cell r="H2484" t="str">
            <v>博兴县陈户镇春梅便民药店</v>
          </cell>
          <cell r="J2484" t="str">
            <v>1858</v>
          </cell>
          <cell r="K2484" t="str">
            <v>201602151421097</v>
          </cell>
          <cell r="M2484" t="str">
            <v>颠茄磺苄啶片10片/瓶</v>
          </cell>
        </row>
        <row r="2485">
          <cell r="E2485" t="str">
            <v>0020020021ZYLC0005</v>
          </cell>
          <cell r="H2485" t="str">
            <v>博兴县陈户镇春梅便民药店</v>
          </cell>
          <cell r="J2485" t="str">
            <v>1858</v>
          </cell>
          <cell r="K2485" t="str">
            <v>201602151421097</v>
          </cell>
          <cell r="M2485" t="str">
            <v>罗红霉素分散片50mg*12片</v>
          </cell>
        </row>
        <row r="2486">
          <cell r="E2486" t="str">
            <v>0020030170ZYEC0003</v>
          </cell>
          <cell r="H2486" t="str">
            <v>博兴县陈户镇春梅便民药店</v>
          </cell>
          <cell r="J2486" t="str">
            <v>1858</v>
          </cell>
          <cell r="K2486" t="str">
            <v>201602151421097</v>
          </cell>
          <cell r="M2486" t="str">
            <v>蒙脱石散3g*12袋</v>
          </cell>
        </row>
        <row r="2487">
          <cell r="E2487" t="str">
            <v>0020070000SJZY0001</v>
          </cell>
          <cell r="H2487" t="str">
            <v>麻店镇麻店街卫生所</v>
          </cell>
          <cell r="J2487" t="str">
            <v>1854</v>
          </cell>
          <cell r="K2487" t="str">
            <v>201602151421097</v>
          </cell>
          <cell r="M2487" t="str">
            <v>葡萄糖酸锌口服溶液10ml*12支</v>
          </cell>
        </row>
        <row r="2488">
          <cell r="E2488" t="str">
            <v>0020030020ZYLC0010</v>
          </cell>
          <cell r="H2488" t="str">
            <v>滨城区市西街道办事处康家卫生室</v>
          </cell>
          <cell r="J2488" t="str">
            <v>1853</v>
          </cell>
          <cell r="K2488" t="str">
            <v>201602151421097</v>
          </cell>
          <cell r="M2488" t="str">
            <v>乳酸菌素片0.4g*12片*3板</v>
          </cell>
        </row>
        <row r="2489">
          <cell r="E2489" t="str">
            <v>0020070000ZYLC0051</v>
          </cell>
          <cell r="H2489" t="str">
            <v>滨城济滨医院</v>
          </cell>
          <cell r="J2489" t="str">
            <v>1853</v>
          </cell>
          <cell r="K2489" t="str">
            <v>201602151421097</v>
          </cell>
          <cell r="M2489" t="str">
            <v>朴雪乳酸亚铁口服液10ml*12支</v>
          </cell>
        </row>
        <row r="2490">
          <cell r="E2490" t="str">
            <v>0020070001ZYLC0001</v>
          </cell>
          <cell r="H2490" t="str">
            <v>滨城杨海虹诊所</v>
          </cell>
          <cell r="J2490" t="str">
            <v>1853</v>
          </cell>
          <cell r="K2490" t="str">
            <v>201602151421097</v>
          </cell>
          <cell r="M2490" t="str">
            <v>哈药六钙锌口服液10ml*12支</v>
          </cell>
        </row>
        <row r="2491">
          <cell r="E2491" t="str">
            <v>0020070000ZYLC0001</v>
          </cell>
          <cell r="H2491" t="str">
            <v>惠民县康舒大药房</v>
          </cell>
          <cell r="J2491" t="str">
            <v>1854</v>
          </cell>
          <cell r="K2491" t="str">
            <v>201602151421097</v>
          </cell>
          <cell r="M2491" t="str">
            <v>新盖中盖牌高钙片2.5g*36片</v>
          </cell>
        </row>
        <row r="2492">
          <cell r="E2492" t="str">
            <v>0020020021ZYLC0011</v>
          </cell>
          <cell r="H2492" t="str">
            <v>阳信县商店镇瑞康平民药店</v>
          </cell>
          <cell r="J2492" t="str">
            <v>1855</v>
          </cell>
          <cell r="K2492" t="str">
            <v>201602151421097</v>
          </cell>
          <cell r="M2492" t="str">
            <v>罗红霉素分散片150mg*12片</v>
          </cell>
        </row>
        <row r="2493">
          <cell r="E2493" t="str">
            <v>0020030040SJET0003</v>
          </cell>
          <cell r="H2493" t="str">
            <v>阳信县商店镇瑞康平民药店</v>
          </cell>
          <cell r="J2493" t="str">
            <v>1855</v>
          </cell>
          <cell r="K2493" t="str">
            <v>201602151421097</v>
          </cell>
          <cell r="M2493" t="str">
            <v>氨金黄敏颗粒6g*10袋</v>
          </cell>
        </row>
        <row r="2494">
          <cell r="E2494" t="str">
            <v>0020070000SJZY0001</v>
          </cell>
          <cell r="H2494" t="str">
            <v>高新国峰诊所</v>
          </cell>
          <cell r="J2494" t="str">
            <v>1853</v>
          </cell>
          <cell r="K2494" t="str">
            <v>201602151421097</v>
          </cell>
          <cell r="M2494" t="str">
            <v>葡萄糖酸锌口服溶液10ml*12支</v>
          </cell>
        </row>
        <row r="2495">
          <cell r="E2495" t="str">
            <v>0020020030ZYLC0003</v>
          </cell>
          <cell r="H2495" t="str">
            <v>高新国峰诊所</v>
          </cell>
          <cell r="J2495" t="str">
            <v>1853</v>
          </cell>
          <cell r="K2495" t="str">
            <v>201602151421097</v>
          </cell>
          <cell r="M2495" t="str">
            <v>厄贝沙坦胶囊0.075g*12粒</v>
          </cell>
        </row>
        <row r="2496">
          <cell r="E2496" t="str">
            <v>0020030020SJSC0004</v>
          </cell>
          <cell r="H2496" t="str">
            <v>滨城区彭李街道办事处张课第一卫生室</v>
          </cell>
          <cell r="J2496" t="str">
            <v>1853</v>
          </cell>
          <cell r="K2496" t="str">
            <v>201602151421097</v>
          </cell>
          <cell r="M2496" t="str">
            <v>复方铝酸铋片50片</v>
          </cell>
        </row>
        <row r="2497">
          <cell r="E2497" t="str">
            <v>0020070000ZYLC0051</v>
          </cell>
          <cell r="H2497" t="str">
            <v>滨城区市西街道办事处魏家卫生室</v>
          </cell>
          <cell r="J2497" t="str">
            <v>1853</v>
          </cell>
          <cell r="K2497" t="str">
            <v>201602151421097</v>
          </cell>
          <cell r="M2497" t="str">
            <v>朴雪乳酸亚铁口服液10ml*12支</v>
          </cell>
        </row>
        <row r="2498">
          <cell r="E2498" t="str">
            <v>0020070000SJZY0001</v>
          </cell>
          <cell r="H2498" t="str">
            <v>杜店李俊杰诊所</v>
          </cell>
          <cell r="J2498" t="str">
            <v>1853</v>
          </cell>
          <cell r="K2498" t="str">
            <v>201602151421097</v>
          </cell>
          <cell r="M2498" t="str">
            <v>葡萄糖酸锌口服溶液10ml*12支</v>
          </cell>
        </row>
        <row r="2499">
          <cell r="E2499" t="str">
            <v>0020040020SHYT0007</v>
          </cell>
          <cell r="H2499" t="str">
            <v>博兴县康源大药房有限公司</v>
          </cell>
          <cell r="J2499" t="str">
            <v>1858</v>
          </cell>
          <cell r="K2499" t="str">
            <v>201602151421097</v>
          </cell>
          <cell r="M2499" t="str">
            <v>丹佛胃尔康颗粒10g*6袋</v>
          </cell>
        </row>
        <row r="2500">
          <cell r="E2500" t="str">
            <v>0020070001ZYLC0001</v>
          </cell>
          <cell r="H2500" t="str">
            <v>惠民县淄角镇东街本草堂药店</v>
          </cell>
          <cell r="J2500" t="str">
            <v>1854</v>
          </cell>
          <cell r="K2500" t="str">
            <v>201602151421097</v>
          </cell>
          <cell r="M2500" t="str">
            <v>哈药六钙锌口服液10ml*12支</v>
          </cell>
        </row>
        <row r="2501">
          <cell r="E2501" t="str">
            <v>0020070000ZYLC0003</v>
          </cell>
          <cell r="H2501" t="str">
            <v>滨州晟滨医药有限公司</v>
          </cell>
          <cell r="J2501" t="str">
            <v>1853</v>
          </cell>
          <cell r="K2501" t="str">
            <v>201602151421097</v>
          </cell>
          <cell r="M2501" t="str">
            <v>新盖中盖牌儿童钙片36片</v>
          </cell>
        </row>
        <row r="2502">
          <cell r="E2502" t="str">
            <v>0020070000ZYLC0051</v>
          </cell>
          <cell r="H2502" t="str">
            <v>滨州晟滨医药有限公司</v>
          </cell>
          <cell r="J2502" t="str">
            <v>1853</v>
          </cell>
          <cell r="K2502" t="str">
            <v>201602151421097</v>
          </cell>
          <cell r="M2502" t="str">
            <v>朴雪乳酸亚铁口服液10ml*12支</v>
          </cell>
        </row>
        <row r="2503">
          <cell r="E2503" t="str">
            <v>0020070001ZYZC0369</v>
          </cell>
          <cell r="H2503" t="str">
            <v>滨州晟滨医药有限公司</v>
          </cell>
          <cell r="J2503" t="str">
            <v>1853</v>
          </cell>
          <cell r="K2503" t="str">
            <v>201602151421097</v>
          </cell>
          <cell r="M2503" t="str">
            <v>哈药牌钙铁锌口服液10ml*12支</v>
          </cell>
        </row>
        <row r="2504">
          <cell r="E2504" t="str">
            <v>0020030040ZYLC0001</v>
          </cell>
          <cell r="H2504" t="str">
            <v>滨州市滨源医药连锁有限公司</v>
          </cell>
          <cell r="J2504" t="str">
            <v>1853</v>
          </cell>
          <cell r="K2504" t="str">
            <v>201602151421097</v>
          </cell>
          <cell r="M2504" t="str">
            <v>小儿氨酚黄那敏颗粒12袋</v>
          </cell>
        </row>
        <row r="2505">
          <cell r="E2505" t="str">
            <v>0020070000ZYLC0001</v>
          </cell>
          <cell r="H2505" t="str">
            <v>滨城李延花诊所</v>
          </cell>
          <cell r="J2505" t="str">
            <v>1853</v>
          </cell>
          <cell r="K2505" t="str">
            <v>201602151421097</v>
          </cell>
          <cell r="M2505" t="str">
            <v>新盖中盖牌高钙片2.5g*36片</v>
          </cell>
        </row>
        <row r="2506">
          <cell r="E2506" t="str">
            <v>0020040030SHYT0002</v>
          </cell>
          <cell r="H2506" t="str">
            <v>阳信福瑞源大药房</v>
          </cell>
          <cell r="J2506" t="str">
            <v>1855</v>
          </cell>
          <cell r="K2506" t="str">
            <v>201602151421097</v>
          </cell>
          <cell r="M2506" t="str">
            <v>牛黄消炎片24片</v>
          </cell>
        </row>
        <row r="2507">
          <cell r="E2507" t="str">
            <v>0020070000ZYLC0001</v>
          </cell>
          <cell r="H2507" t="str">
            <v>邹平县方正医药有限公司</v>
          </cell>
          <cell r="J2507" t="str">
            <v>1859</v>
          </cell>
          <cell r="K2507" t="str">
            <v>201602151421097</v>
          </cell>
          <cell r="M2507" t="str">
            <v>新盖中盖牌高钙片2.5g*36片</v>
          </cell>
        </row>
        <row r="2508">
          <cell r="E2508" t="str">
            <v>0020020030ZYZC0283</v>
          </cell>
          <cell r="H2508" t="str">
            <v>山东民泰大药房连锁有限公司</v>
          </cell>
          <cell r="J2508" t="str">
            <v>1859</v>
          </cell>
          <cell r="K2508" t="str">
            <v>201602151421097</v>
          </cell>
          <cell r="M2508" t="str">
            <v>头孢拉定胶囊0.25g*24粒</v>
          </cell>
        </row>
        <row r="2509">
          <cell r="E2509" t="str">
            <v>0020030001SJZY0006</v>
          </cell>
          <cell r="H2509" t="str">
            <v>滨城谭桂英诊所</v>
          </cell>
          <cell r="J2509" t="str">
            <v>1853</v>
          </cell>
          <cell r="K2509" t="str">
            <v>201602151421097</v>
          </cell>
          <cell r="M2509" t="str">
            <v>葡萄糖酸钙口服溶液10ml*12支</v>
          </cell>
        </row>
        <row r="2510">
          <cell r="E2510" t="str">
            <v>0020070000SJZY0001</v>
          </cell>
          <cell r="H2510" t="str">
            <v>滨城谭桂英诊所</v>
          </cell>
          <cell r="J2510" t="str">
            <v>1853</v>
          </cell>
          <cell r="K2510" t="str">
            <v>201602151421097</v>
          </cell>
          <cell r="M2510" t="str">
            <v>葡萄糖酸锌口服溶液10ml*12支</v>
          </cell>
        </row>
        <row r="2511">
          <cell r="E2511" t="str">
            <v>0020070001ZYLC0001</v>
          </cell>
          <cell r="H2511" t="str">
            <v>吴苟李村卫生室</v>
          </cell>
          <cell r="J2511" t="str">
            <v>1757</v>
          </cell>
          <cell r="M2511" t="str">
            <v>哈药六钙锌口服液10ml*12支</v>
          </cell>
        </row>
        <row r="2512">
          <cell r="E2512" t="str">
            <v>0020070000ZYLC0001</v>
          </cell>
          <cell r="H2512" t="str">
            <v>滨州济民堂医药有限公司</v>
          </cell>
          <cell r="J2512" t="str">
            <v>1854</v>
          </cell>
          <cell r="K2512" t="str">
            <v>201602151421097</v>
          </cell>
          <cell r="M2512" t="str">
            <v>新盖中盖牌高钙片2.5g*36片</v>
          </cell>
        </row>
        <row r="2513">
          <cell r="E2513" t="str">
            <v>0020020020ZYLC0010</v>
          </cell>
          <cell r="H2513" t="str">
            <v>滨州济民堂医药有限公司</v>
          </cell>
          <cell r="J2513" t="str">
            <v>1854</v>
          </cell>
          <cell r="K2513" t="str">
            <v>201602151421097</v>
          </cell>
          <cell r="M2513" t="str">
            <v>颠茄磺苄啶片10片/瓶</v>
          </cell>
        </row>
        <row r="2514">
          <cell r="E2514" t="str">
            <v>0020030020SJSC0004</v>
          </cell>
          <cell r="H2514" t="str">
            <v>滨州市北海经济开发区马山子镇济堂药店</v>
          </cell>
          <cell r="J2514" t="str">
            <v>1856</v>
          </cell>
          <cell r="K2514" t="str">
            <v>201602151421097</v>
          </cell>
          <cell r="M2514" t="str">
            <v>复方铝酸铋片50片</v>
          </cell>
        </row>
        <row r="2515">
          <cell r="E2515" t="str">
            <v>0020030001SJZY0006</v>
          </cell>
          <cell r="H2515" t="str">
            <v>惠民县古城药房第一分店</v>
          </cell>
          <cell r="J2515" t="str">
            <v>1854</v>
          </cell>
          <cell r="K2515" t="str">
            <v>201602151421097</v>
          </cell>
          <cell r="M2515" t="str">
            <v>葡萄糖酸钙口服溶液10ml*12支</v>
          </cell>
        </row>
        <row r="2516">
          <cell r="E2516" t="str">
            <v>0020070000SJZY0001</v>
          </cell>
          <cell r="H2516" t="str">
            <v>滨州市滨城区彭李街道办事处安民社区卫生服务站</v>
          </cell>
          <cell r="J2516" t="str">
            <v>1853</v>
          </cell>
          <cell r="K2516" t="str">
            <v>201602151421097</v>
          </cell>
          <cell r="M2516" t="str">
            <v>葡萄糖酸锌口服溶液10ml*12支</v>
          </cell>
        </row>
        <row r="2517">
          <cell r="E2517" t="str">
            <v>0020030040SJET0003</v>
          </cell>
          <cell r="H2517" t="str">
            <v>滨州宁心医药有限公司</v>
          </cell>
          <cell r="J2517" t="str">
            <v>1853</v>
          </cell>
          <cell r="K2517" t="str">
            <v>201602151421097</v>
          </cell>
          <cell r="M2517" t="str">
            <v>氨金黄敏颗粒6g*10袋</v>
          </cell>
        </row>
        <row r="2518">
          <cell r="E2518" t="str">
            <v>0020030040ZYLC0001</v>
          </cell>
          <cell r="H2518" t="str">
            <v>滨州宁心医药有限公司</v>
          </cell>
          <cell r="J2518" t="str">
            <v>1853</v>
          </cell>
          <cell r="K2518" t="str">
            <v>201602151421097</v>
          </cell>
          <cell r="M2518" t="str">
            <v>小儿氨酚黄那敏颗粒12袋</v>
          </cell>
        </row>
        <row r="2519">
          <cell r="E2519" t="str">
            <v>0020070000ZYLC0003</v>
          </cell>
          <cell r="H2519" t="str">
            <v>西门街卫生室</v>
          </cell>
          <cell r="J2519" t="str">
            <v>1854</v>
          </cell>
          <cell r="K2519" t="str">
            <v>201602151421097</v>
          </cell>
          <cell r="M2519" t="str">
            <v>新盖中盖牌儿童钙片36片</v>
          </cell>
        </row>
        <row r="2520">
          <cell r="E2520" t="str">
            <v>0020030020ZYLC0010</v>
          </cell>
          <cell r="H2520" t="str">
            <v>西门街卫生室</v>
          </cell>
          <cell r="J2520" t="str">
            <v>1854</v>
          </cell>
          <cell r="K2520" t="str">
            <v>201602151421097</v>
          </cell>
          <cell r="M2520" t="str">
            <v>乳酸菌素片0.4g*12片*3板</v>
          </cell>
        </row>
        <row r="2521">
          <cell r="E2521" t="str">
            <v>0020020021ZYLC0004</v>
          </cell>
          <cell r="H2521" t="str">
            <v>邹平县方正医药有限公司</v>
          </cell>
          <cell r="J2521" t="str">
            <v>1859</v>
          </cell>
          <cell r="K2521" t="str">
            <v>201602151421097</v>
          </cell>
          <cell r="M2521" t="str">
            <v>罗红霉素分散片75mg*12片</v>
          </cell>
        </row>
        <row r="2522">
          <cell r="E2522" t="str">
            <v>0020030001SJZY0006</v>
          </cell>
          <cell r="H2522" t="str">
            <v>滨城区市西街道办事处徐家第二卫生室</v>
          </cell>
          <cell r="J2522" t="str">
            <v>1853</v>
          </cell>
          <cell r="K2522" t="str">
            <v>201602151421097</v>
          </cell>
          <cell r="M2522" t="str">
            <v>葡萄糖酸钙口服溶液10ml*12支</v>
          </cell>
        </row>
        <row r="2523">
          <cell r="E2523" t="str">
            <v>0020030001SJZY0006</v>
          </cell>
          <cell r="H2523" t="str">
            <v>邹平博祥医药连锁有限公司</v>
          </cell>
          <cell r="J2523" t="str">
            <v>1859</v>
          </cell>
          <cell r="K2523" t="str">
            <v>201602151421097</v>
          </cell>
          <cell r="M2523" t="str">
            <v>葡萄糖酸钙口服溶液10ml*12支</v>
          </cell>
        </row>
        <row r="2524">
          <cell r="E2524" t="str">
            <v>0020070000SJZY0001</v>
          </cell>
          <cell r="H2524" t="str">
            <v>邹平博祥医药连锁有限公司</v>
          </cell>
          <cell r="J2524" t="str">
            <v>1859</v>
          </cell>
          <cell r="K2524" t="str">
            <v>201602151421097</v>
          </cell>
          <cell r="M2524" t="str">
            <v>葡萄糖酸锌口服溶液10ml*12支</v>
          </cell>
        </row>
        <row r="2525">
          <cell r="E2525" t="str">
            <v>0020070001ZYZC0369</v>
          </cell>
          <cell r="H2525" t="str">
            <v>邹平博祥医药连锁有限公司</v>
          </cell>
          <cell r="J2525" t="str">
            <v>1859</v>
          </cell>
          <cell r="K2525" t="str">
            <v>201602151421097</v>
          </cell>
          <cell r="M2525" t="str">
            <v>哈药牌钙铁锌口服液10ml*12支</v>
          </cell>
        </row>
        <row r="2526">
          <cell r="E2526" t="str">
            <v>0020020020ZYZC0359</v>
          </cell>
          <cell r="H2526" t="str">
            <v>惠民县瑞安康大药房</v>
          </cell>
          <cell r="J2526" t="str">
            <v>1854</v>
          </cell>
          <cell r="K2526" t="str">
            <v>201602151421097</v>
          </cell>
          <cell r="M2526" t="str">
            <v>青霉素V钾片0.236g*24片</v>
          </cell>
        </row>
        <row r="2527">
          <cell r="E2527" t="str">
            <v>0020070000ZYLC0001</v>
          </cell>
          <cell r="H2527" t="str">
            <v>滨州市滨城区市西街道办事处利民社区第二卫生服务站</v>
          </cell>
          <cell r="J2527" t="str">
            <v>1853</v>
          </cell>
          <cell r="K2527" t="str">
            <v>201602151421097</v>
          </cell>
          <cell r="M2527" t="str">
            <v>新盖中盖牌高钙片2.5g*36片</v>
          </cell>
        </row>
        <row r="2528">
          <cell r="E2528" t="str">
            <v>0020070000SJZY0001</v>
          </cell>
          <cell r="H2528" t="str">
            <v>博兴县盛和堂大药店</v>
          </cell>
          <cell r="J2528" t="str">
            <v>1858</v>
          </cell>
          <cell r="K2528" t="str">
            <v>201602151421097</v>
          </cell>
          <cell r="M2528" t="str">
            <v>葡萄糖酸锌口服溶液10ml*12支</v>
          </cell>
        </row>
        <row r="2529">
          <cell r="E2529" t="str">
            <v>0020070000SJZY0001</v>
          </cell>
          <cell r="H2529" t="str">
            <v>博兴县陈户镇福百仁大药房</v>
          </cell>
          <cell r="J2529" t="str">
            <v>1858</v>
          </cell>
          <cell r="K2529" t="str">
            <v>201602151421097</v>
          </cell>
          <cell r="M2529" t="str">
            <v>葡萄糖酸锌口服溶液10ml*12支</v>
          </cell>
        </row>
        <row r="2530">
          <cell r="E2530" t="str">
            <v>0020070001ZYZC0369</v>
          </cell>
          <cell r="H2530" t="str">
            <v>滨州市滨城区彭李街道办事处阳光社区卫生服务站</v>
          </cell>
          <cell r="J2530" t="str">
            <v>1853</v>
          </cell>
          <cell r="K2530" t="str">
            <v>201602151421097</v>
          </cell>
          <cell r="M2530" t="str">
            <v>哈药牌钙铁锌口服液10ml*12支</v>
          </cell>
        </row>
        <row r="2531">
          <cell r="E2531" t="str">
            <v>0020020021ZYLC0012</v>
          </cell>
          <cell r="H2531" t="str">
            <v>博兴县瑞康药房</v>
          </cell>
          <cell r="J2531" t="str">
            <v>1858</v>
          </cell>
          <cell r="K2531" t="str">
            <v>201602151421097</v>
          </cell>
          <cell r="M2531" t="str">
            <v>阿奇霉素分散片0.25g*6片</v>
          </cell>
        </row>
        <row r="2532">
          <cell r="E2532" t="str">
            <v>0020030001SJZY0006</v>
          </cell>
          <cell r="H2532" t="str">
            <v>阳信县商店镇台属大药房</v>
          </cell>
          <cell r="J2532" t="str">
            <v>1855</v>
          </cell>
          <cell r="K2532" t="str">
            <v>201602151421097</v>
          </cell>
          <cell r="M2532" t="str">
            <v>葡萄糖酸钙口服溶液10ml*12支</v>
          </cell>
        </row>
        <row r="2533">
          <cell r="E2533" t="str">
            <v>0020070000SJZY0001</v>
          </cell>
          <cell r="H2533" t="str">
            <v>阳信县商店镇台属大药房</v>
          </cell>
          <cell r="J2533" t="str">
            <v>1855</v>
          </cell>
          <cell r="K2533" t="str">
            <v>201602151421097</v>
          </cell>
          <cell r="M2533" t="str">
            <v>葡萄糖酸锌口服溶液10ml*12支</v>
          </cell>
        </row>
        <row r="2534">
          <cell r="E2534" t="str">
            <v>0020030170ZYEC0003</v>
          </cell>
          <cell r="H2534" t="str">
            <v>阳信县商店镇台属大药房</v>
          </cell>
          <cell r="J2534" t="str">
            <v>1855</v>
          </cell>
          <cell r="K2534" t="str">
            <v>201602151421097</v>
          </cell>
          <cell r="M2534" t="str">
            <v>蒙脱石散3g*12袋</v>
          </cell>
        </row>
        <row r="2535">
          <cell r="E2535" t="str">
            <v>0020030020SJSC0004</v>
          </cell>
          <cell r="H2535" t="str">
            <v>阳信县商店镇台属大药房</v>
          </cell>
          <cell r="J2535" t="str">
            <v>1855</v>
          </cell>
          <cell r="K2535" t="str">
            <v>201602151421097</v>
          </cell>
          <cell r="M2535" t="str">
            <v>复方铝酸铋片50片</v>
          </cell>
        </row>
        <row r="2536">
          <cell r="E2536" t="str">
            <v>0020030001SJZY0006</v>
          </cell>
          <cell r="H2536" t="str">
            <v>滨州市沾化区鲁康医药连锁有限公司</v>
          </cell>
          <cell r="J2536" t="str">
            <v>1857</v>
          </cell>
          <cell r="K2536" t="str">
            <v>201602151421097</v>
          </cell>
          <cell r="M2536" t="str">
            <v>葡萄糖酸钙口服溶液10ml*12支</v>
          </cell>
        </row>
        <row r="2537">
          <cell r="E2537" t="str">
            <v>0020070000SJZY0001</v>
          </cell>
          <cell r="H2537" t="str">
            <v>滨州市沾化区鲁康医药连锁有限公司</v>
          </cell>
          <cell r="J2537" t="str">
            <v>1857</v>
          </cell>
          <cell r="K2537" t="str">
            <v>201602151421097</v>
          </cell>
          <cell r="M2537" t="str">
            <v>葡萄糖酸锌口服溶液10ml*12支</v>
          </cell>
        </row>
        <row r="2538">
          <cell r="E2538" t="str">
            <v>0020020021ZYLC0004</v>
          </cell>
          <cell r="H2538" t="str">
            <v>滨州市沾化区鲁康医药连锁有限公司</v>
          </cell>
          <cell r="J2538" t="str">
            <v>1857</v>
          </cell>
          <cell r="K2538" t="str">
            <v>201602151421097</v>
          </cell>
          <cell r="M2538" t="str">
            <v>罗红霉素分散片75mg*12片</v>
          </cell>
        </row>
        <row r="2539">
          <cell r="E2539" t="str">
            <v>0020070000ZYLC0003</v>
          </cell>
          <cell r="H2539" t="str">
            <v>阳信县商店镇台属大药房</v>
          </cell>
          <cell r="J2539" t="str">
            <v>1855</v>
          </cell>
          <cell r="K2539" t="str">
            <v>201602151421097</v>
          </cell>
          <cell r="M2539" t="str">
            <v>新盖中盖牌儿童钙片36片</v>
          </cell>
        </row>
        <row r="2540">
          <cell r="E2540" t="str">
            <v>0020070000SJZY0001</v>
          </cell>
          <cell r="H2540" t="str">
            <v>邹平县方正医药有限公司</v>
          </cell>
          <cell r="J2540" t="str">
            <v>1859</v>
          </cell>
          <cell r="K2540" t="str">
            <v>201602151421097</v>
          </cell>
          <cell r="M2540" t="str">
            <v>葡萄糖酸锌口服溶液10ml*12支</v>
          </cell>
        </row>
        <row r="2541">
          <cell r="E2541" t="str">
            <v>0020070001ZYLC0001</v>
          </cell>
          <cell r="H2541" t="str">
            <v>邹平县方正医药有限公司</v>
          </cell>
          <cell r="J2541" t="str">
            <v>1859</v>
          </cell>
          <cell r="K2541" t="str">
            <v>201602151421097</v>
          </cell>
          <cell r="M2541" t="str">
            <v>哈药六钙锌口服液10ml*12支</v>
          </cell>
        </row>
        <row r="2542">
          <cell r="E2542" t="str">
            <v>0020070000SJZY0001</v>
          </cell>
          <cell r="H2542" t="str">
            <v>高新区小营办事处愉悦城中心卫生室</v>
          </cell>
          <cell r="J2542" t="str">
            <v>1853</v>
          </cell>
          <cell r="K2542" t="str">
            <v>201602151421097</v>
          </cell>
          <cell r="M2542" t="str">
            <v>葡萄糖酸锌口服溶液10ml*12支</v>
          </cell>
        </row>
        <row r="2543">
          <cell r="E2543" t="str">
            <v>0020030020ZYLC0010</v>
          </cell>
          <cell r="H2543" t="str">
            <v>滨城李延花诊所</v>
          </cell>
          <cell r="J2543" t="str">
            <v>1853</v>
          </cell>
          <cell r="K2543" t="str">
            <v>201602151421097</v>
          </cell>
          <cell r="M2543" t="str">
            <v>乳酸菌素片0.4g*12片*3板</v>
          </cell>
        </row>
        <row r="2544">
          <cell r="E2544" t="str">
            <v>0020030020ZYLC0013</v>
          </cell>
          <cell r="H2544" t="str">
            <v>滨城区彭李街道办事处卜家卫生室</v>
          </cell>
          <cell r="J2544" t="str">
            <v>1853</v>
          </cell>
          <cell r="K2544" t="str">
            <v>201602151421097</v>
          </cell>
          <cell r="M2544" t="str">
            <v>乳酸菌素片0.4g*36片/小包</v>
          </cell>
        </row>
        <row r="2545">
          <cell r="E2545" t="str">
            <v>0020030020ZYLC0010</v>
          </cell>
          <cell r="H2545" t="str">
            <v>滨城区彭李街道办事处卜家卫生室</v>
          </cell>
          <cell r="J2545" t="str">
            <v>1853</v>
          </cell>
          <cell r="K2545" t="str">
            <v>201602151421097</v>
          </cell>
          <cell r="M2545" t="str">
            <v>乳酸菌素片0.4g*12片*3板</v>
          </cell>
        </row>
        <row r="2546">
          <cell r="E2546" t="str">
            <v>0020030001SJZY0006</v>
          </cell>
          <cell r="H2546" t="str">
            <v>振邦诊所</v>
          </cell>
          <cell r="J2546" t="str">
            <v>1853</v>
          </cell>
          <cell r="K2546" t="str">
            <v>201602151421097</v>
          </cell>
          <cell r="M2546" t="str">
            <v>葡萄糖酸钙口服溶液10ml*12支</v>
          </cell>
        </row>
        <row r="2547">
          <cell r="E2547" t="str">
            <v>0020030001SJZY0006</v>
          </cell>
          <cell r="H2547" t="str">
            <v>滨城王全枝诊所</v>
          </cell>
          <cell r="J2547" t="str">
            <v>1853</v>
          </cell>
          <cell r="K2547" t="str">
            <v>201602151421097</v>
          </cell>
          <cell r="M2547" t="str">
            <v>葡萄糖酸钙口服溶液10ml*12支</v>
          </cell>
        </row>
        <row r="2548">
          <cell r="E2548" t="str">
            <v>0020030020SJSC0004</v>
          </cell>
          <cell r="H2548" t="str">
            <v>滨州市滨城区市西街道办事处利民社区第二卫生服务站</v>
          </cell>
          <cell r="J2548" t="str">
            <v>1853</v>
          </cell>
          <cell r="K2548" t="str">
            <v>201602151421097</v>
          </cell>
          <cell r="M2548" t="str">
            <v>复方铝酸铋片50片</v>
          </cell>
        </row>
        <row r="2549">
          <cell r="E2549" t="str">
            <v>0020030001SJZY0006</v>
          </cell>
          <cell r="H2549" t="str">
            <v>滨城李延花诊所</v>
          </cell>
          <cell r="J2549" t="str">
            <v>1853</v>
          </cell>
          <cell r="K2549" t="str">
            <v>201602151421097</v>
          </cell>
          <cell r="M2549" t="str">
            <v>葡萄糖酸钙口服溶液10ml*12支</v>
          </cell>
        </row>
        <row r="2550">
          <cell r="E2550" t="str">
            <v>0020070000SJZY0001</v>
          </cell>
          <cell r="H2550" t="str">
            <v>滨城李延花诊所</v>
          </cell>
          <cell r="J2550" t="str">
            <v>1853</v>
          </cell>
          <cell r="K2550" t="str">
            <v>201602151421097</v>
          </cell>
          <cell r="M2550" t="str">
            <v>葡萄糖酸锌口服溶液10ml*12支</v>
          </cell>
        </row>
        <row r="2551">
          <cell r="E2551" t="str">
            <v>0020040001SHYT0018</v>
          </cell>
          <cell r="H2551" t="str">
            <v>邹平县方正医药有限公司</v>
          </cell>
          <cell r="J2551" t="str">
            <v>1859</v>
          </cell>
          <cell r="K2551" t="str">
            <v>201602151421097</v>
          </cell>
          <cell r="M2551" t="str">
            <v>血府逐瘀丸9g*10丸</v>
          </cell>
        </row>
        <row r="2552">
          <cell r="E2552" t="str">
            <v>0020020021ZYLC0011</v>
          </cell>
          <cell r="H2552" t="str">
            <v>沙河钟芹诊所</v>
          </cell>
          <cell r="J2552" t="str">
            <v>1853</v>
          </cell>
          <cell r="K2552" t="str">
            <v>201602151421097</v>
          </cell>
          <cell r="M2552" t="str">
            <v>罗红霉素分散片150mg*12片</v>
          </cell>
        </row>
        <row r="2553">
          <cell r="E2553" t="str">
            <v>0020070000SJZY0001</v>
          </cell>
          <cell r="H2553" t="str">
            <v>商店镇张寨社区卫生室</v>
          </cell>
          <cell r="J2553" t="str">
            <v>1855</v>
          </cell>
          <cell r="K2553" t="str">
            <v>201602151421097</v>
          </cell>
          <cell r="M2553" t="str">
            <v>葡萄糖酸锌口服溶液10ml*12支</v>
          </cell>
        </row>
        <row r="2554">
          <cell r="E2554" t="str">
            <v>0020070000SJZY0001</v>
          </cell>
          <cell r="H2554" t="str">
            <v>滨城区彭李街道办事处山柳杜第一卫生室</v>
          </cell>
          <cell r="J2554" t="str">
            <v>1853</v>
          </cell>
          <cell r="K2554" t="str">
            <v>201602151421097</v>
          </cell>
          <cell r="M2554" t="str">
            <v>葡萄糖酸锌口服溶液10ml*12支</v>
          </cell>
        </row>
        <row r="2555">
          <cell r="E2555" t="str">
            <v>0020020030SJMS0025</v>
          </cell>
          <cell r="H2555" t="str">
            <v>阳信县商店镇台属大药房</v>
          </cell>
          <cell r="J2555" t="str">
            <v>1855</v>
          </cell>
          <cell r="K2555" t="str">
            <v>201602151421097</v>
          </cell>
          <cell r="M2555" t="str">
            <v>人工牛黄甲硝唑胶囊30粒</v>
          </cell>
        </row>
        <row r="2556">
          <cell r="E2556" t="str">
            <v>0020030020ZYLC0013</v>
          </cell>
          <cell r="H2556" t="str">
            <v>阳信县商店镇台属大药房</v>
          </cell>
          <cell r="J2556" t="str">
            <v>1855</v>
          </cell>
          <cell r="K2556" t="str">
            <v>201602151421097</v>
          </cell>
          <cell r="M2556" t="str">
            <v>乳酸菌素片0.4g*36片/小包</v>
          </cell>
        </row>
        <row r="2557">
          <cell r="E2557" t="str">
            <v>0020030020SJSC0004</v>
          </cell>
          <cell r="H2557" t="str">
            <v>滨城籍志涛诊所</v>
          </cell>
          <cell r="J2557" t="str">
            <v>1853</v>
          </cell>
          <cell r="K2557" t="str">
            <v>201602151421097</v>
          </cell>
          <cell r="M2557" t="str">
            <v>复方铝酸铋片50片</v>
          </cell>
        </row>
        <row r="2558">
          <cell r="E2558" t="str">
            <v>0020030020ZYLC0013</v>
          </cell>
          <cell r="H2558" t="str">
            <v>文化街康民卫生室</v>
          </cell>
          <cell r="J2558" t="str">
            <v>1854</v>
          </cell>
          <cell r="K2558" t="str">
            <v>201602151421097</v>
          </cell>
          <cell r="M2558" t="str">
            <v>“为消”牌乳酸菌素片0.4g*36片</v>
          </cell>
        </row>
        <row r="2559">
          <cell r="E2559" t="str">
            <v>0020020021ZYLC0011</v>
          </cell>
          <cell r="H2559" t="str">
            <v>文化街康民卫生室</v>
          </cell>
          <cell r="J2559" t="str">
            <v>1854</v>
          </cell>
          <cell r="K2559" t="str">
            <v>201602151421097</v>
          </cell>
          <cell r="M2559" t="str">
            <v>严迪/罗红霉素分散片150mg*12片</v>
          </cell>
        </row>
        <row r="2560">
          <cell r="E2560" t="str">
            <v>0020040001SHYT0011</v>
          </cell>
          <cell r="H2560" t="str">
            <v>阳信县济康大药房</v>
          </cell>
          <cell r="J2560" t="str">
            <v>1855</v>
          </cell>
          <cell r="K2560" t="str">
            <v>201602151421097</v>
          </cell>
          <cell r="M2560" t="str">
            <v>牛黄解毒丸3g*10丸</v>
          </cell>
        </row>
        <row r="2561">
          <cell r="E2561" t="str">
            <v>0020030020SJSC0014</v>
          </cell>
          <cell r="H2561" t="str">
            <v>孙武村卫生室</v>
          </cell>
          <cell r="J2561" t="str">
            <v>1854</v>
          </cell>
          <cell r="K2561" t="str">
            <v>201602151421097</v>
          </cell>
          <cell r="M2561" t="str">
            <v>维D2磷酸氢钙片60片</v>
          </cell>
        </row>
        <row r="2562">
          <cell r="E2562" t="str">
            <v>0020030020SJSC0014</v>
          </cell>
          <cell r="H2562" t="str">
            <v>信诚街道办事处东南村卫生室</v>
          </cell>
          <cell r="J2562" t="str">
            <v>1855</v>
          </cell>
          <cell r="K2562" t="str">
            <v>201602151421097</v>
          </cell>
          <cell r="M2562" t="str">
            <v>维D2磷酸氢钙片60片</v>
          </cell>
        </row>
        <row r="2563">
          <cell r="E2563" t="str">
            <v>0020030001SJZY0006</v>
          </cell>
          <cell r="H2563" t="str">
            <v>水落坡乡河北刘社区卫生室</v>
          </cell>
          <cell r="J2563" t="str">
            <v>1855</v>
          </cell>
          <cell r="K2563" t="str">
            <v>201602151421097</v>
          </cell>
          <cell r="M2563" t="str">
            <v>葡萄糖酸钙口服溶液（含糖）10ml*12支</v>
          </cell>
        </row>
        <row r="2564">
          <cell r="E2564" t="str">
            <v>0020040220SHYT0005</v>
          </cell>
          <cell r="H2564" t="str">
            <v>无棣香榭里诊所</v>
          </cell>
          <cell r="J2564" t="str">
            <v>1856</v>
          </cell>
          <cell r="K2564" t="str">
            <v>201602151421097</v>
          </cell>
          <cell r="M2564" t="str">
            <v>妇宁栓1.6g×7枚</v>
          </cell>
        </row>
        <row r="2565">
          <cell r="E2565" t="str">
            <v>0020070000ZYLC0001</v>
          </cell>
          <cell r="H2565" t="str">
            <v>无棣香榭里诊所</v>
          </cell>
          <cell r="J2565" t="str">
            <v>1856</v>
          </cell>
          <cell r="K2565" t="str">
            <v>201602151421097</v>
          </cell>
          <cell r="M2565" t="str">
            <v>新盖中盖高钙片2.5g*36P</v>
          </cell>
        </row>
        <row r="2566">
          <cell r="E2566" t="str">
            <v>0020030040SJET0003</v>
          </cell>
          <cell r="H2566" t="str">
            <v>无棣香榭里诊所</v>
          </cell>
          <cell r="J2566" t="str">
            <v>1856</v>
          </cell>
          <cell r="K2566" t="str">
            <v>201602151421097</v>
          </cell>
          <cell r="M2566" t="str">
            <v>氨金黄敏颗粒6g*10袋</v>
          </cell>
        </row>
        <row r="2567">
          <cell r="E2567" t="str">
            <v>0020070000ZYLC0003</v>
          </cell>
          <cell r="H2567" t="str">
            <v>无棣香榭里诊所</v>
          </cell>
          <cell r="J2567" t="str">
            <v>1856</v>
          </cell>
          <cell r="K2567" t="str">
            <v>201602151421097</v>
          </cell>
          <cell r="M2567" t="str">
            <v>新盖中盖牌儿童钙片1.75g*36p</v>
          </cell>
        </row>
        <row r="2568">
          <cell r="E2568" t="str">
            <v>0020030020SJSC0004</v>
          </cell>
          <cell r="H2568" t="str">
            <v>无棣香榭里诊所</v>
          </cell>
          <cell r="J2568" t="str">
            <v>1856</v>
          </cell>
          <cell r="K2568" t="str">
            <v>201602151421097</v>
          </cell>
          <cell r="M2568" t="str">
            <v>胃必治/复方铝酸铋片50片</v>
          </cell>
        </row>
        <row r="2569">
          <cell r="E2569" t="str">
            <v>0020020030ZYZC0264</v>
          </cell>
          <cell r="H2569" t="str">
            <v>无棣香榭里诊所</v>
          </cell>
          <cell r="J2569" t="str">
            <v>1856</v>
          </cell>
          <cell r="K2569" t="str">
            <v>201602151421097</v>
          </cell>
          <cell r="M2569" t="str">
            <v>阿莫西林胶囊0.5g*20粒</v>
          </cell>
        </row>
        <row r="2570">
          <cell r="E2570" t="str">
            <v>0020050020ZYEC0008</v>
          </cell>
          <cell r="H2570" t="str">
            <v>无棣香榭里诊所</v>
          </cell>
          <cell r="J2570" t="str">
            <v>1856</v>
          </cell>
          <cell r="K2570" t="str">
            <v>201602151421097</v>
          </cell>
          <cell r="M2570" t="str">
            <v>感冒解毒灵颗粒5g*10袋</v>
          </cell>
        </row>
        <row r="2571">
          <cell r="E2571" t="str">
            <v>0020030020SJSC0025</v>
          </cell>
          <cell r="H2571" t="str">
            <v>无棣香榭里诊所</v>
          </cell>
          <cell r="J2571" t="str">
            <v>1856</v>
          </cell>
          <cell r="K2571" t="str">
            <v>201602151421097</v>
          </cell>
          <cell r="M2571" t="str">
            <v>复方氨酚烷胺片12片</v>
          </cell>
        </row>
        <row r="2572">
          <cell r="E2572" t="str">
            <v>0020030040SJET0003</v>
          </cell>
          <cell r="H2572" t="str">
            <v>无棣香榭里诊所</v>
          </cell>
          <cell r="J2572" t="str">
            <v>1856</v>
          </cell>
          <cell r="K2572" t="str">
            <v>201602151421097</v>
          </cell>
          <cell r="M2572" t="str">
            <v>氨金黄敏颗粒6g*10袋</v>
          </cell>
        </row>
        <row r="2573">
          <cell r="E2573" t="str">
            <v>0020030170ZYEC0003</v>
          </cell>
          <cell r="H2573" t="str">
            <v>无棣香榭里诊所</v>
          </cell>
          <cell r="J2573" t="str">
            <v>1856</v>
          </cell>
          <cell r="K2573" t="str">
            <v>201602151421097</v>
          </cell>
          <cell r="M2573" t="str">
            <v>蒙脱石散3g*12袋</v>
          </cell>
        </row>
        <row r="2574">
          <cell r="E2574" t="str">
            <v>0020040070ZYEC0005</v>
          </cell>
          <cell r="H2574" t="str">
            <v>无棣香榭里诊所</v>
          </cell>
          <cell r="J2574" t="str">
            <v>1856</v>
          </cell>
          <cell r="K2574" t="str">
            <v>201602151421097</v>
          </cell>
          <cell r="M2574" t="str">
            <v>小儿百部止咳糖浆100ml</v>
          </cell>
        </row>
        <row r="2575">
          <cell r="E2575" t="str">
            <v>0020050020ZYEC0008</v>
          </cell>
          <cell r="H2575" t="str">
            <v>无棣县康莊大药房</v>
          </cell>
          <cell r="J2575" t="str">
            <v>1856</v>
          </cell>
          <cell r="K2575" t="str">
            <v>201602151421097</v>
          </cell>
          <cell r="M2575" t="str">
            <v>感冒解毒灵颗粒5g*10袋</v>
          </cell>
        </row>
        <row r="2576">
          <cell r="E2576" t="str">
            <v>0020020030ZYZC0264</v>
          </cell>
          <cell r="H2576" t="str">
            <v>无棣县康莊大药房</v>
          </cell>
          <cell r="J2576" t="str">
            <v>1856</v>
          </cell>
          <cell r="K2576" t="str">
            <v>201602151421097</v>
          </cell>
          <cell r="M2576" t="str">
            <v>阿莫西林胶囊0.5g*20粒</v>
          </cell>
        </row>
        <row r="2577">
          <cell r="E2577" t="str">
            <v>0020040070ZYEC0005</v>
          </cell>
          <cell r="H2577" t="str">
            <v>无棣县康莊大药房</v>
          </cell>
          <cell r="J2577" t="str">
            <v>1856</v>
          </cell>
          <cell r="K2577" t="str">
            <v>201602151421097</v>
          </cell>
          <cell r="M2577" t="str">
            <v>小儿百部止咳糖浆100ml</v>
          </cell>
        </row>
        <row r="2578">
          <cell r="E2578" t="str">
            <v>0020030040SJET0003</v>
          </cell>
          <cell r="H2578" t="str">
            <v>无棣县康莊大药房</v>
          </cell>
          <cell r="J2578" t="str">
            <v>1856</v>
          </cell>
          <cell r="K2578" t="str">
            <v>201602151421097</v>
          </cell>
          <cell r="M2578" t="str">
            <v>氨金黄敏颗粒6g*10袋</v>
          </cell>
        </row>
        <row r="2579">
          <cell r="E2579" t="str">
            <v>0020030020SJSC0025</v>
          </cell>
          <cell r="H2579" t="str">
            <v>无棣县康莊大药房</v>
          </cell>
          <cell r="J2579" t="str">
            <v>1856</v>
          </cell>
          <cell r="K2579" t="str">
            <v>201602151421097</v>
          </cell>
          <cell r="M2579" t="str">
            <v>复方氨酚烷胺片12片</v>
          </cell>
        </row>
        <row r="2580">
          <cell r="E2580" t="str">
            <v>0020070000ZYLC0003</v>
          </cell>
          <cell r="H2580" t="str">
            <v>无棣县康莊大药房</v>
          </cell>
          <cell r="J2580" t="str">
            <v>1856</v>
          </cell>
          <cell r="K2580" t="str">
            <v>201602151421097</v>
          </cell>
          <cell r="M2580" t="str">
            <v>新盖中盖牌儿童钙片1.75g*36p</v>
          </cell>
        </row>
        <row r="2581">
          <cell r="E2581" t="str">
            <v>0020030170ZYEC0003</v>
          </cell>
          <cell r="H2581" t="str">
            <v>无棣县康莊大药房</v>
          </cell>
          <cell r="J2581" t="str">
            <v>1856</v>
          </cell>
          <cell r="K2581" t="str">
            <v>201602151421097</v>
          </cell>
          <cell r="M2581" t="str">
            <v>蒙脱石散3g*12袋</v>
          </cell>
        </row>
        <row r="2582">
          <cell r="E2582" t="str">
            <v>0020070000ZYLC0001</v>
          </cell>
          <cell r="H2582" t="str">
            <v>无棣县康莊大药房</v>
          </cell>
          <cell r="J2582" t="str">
            <v>1856</v>
          </cell>
          <cell r="K2582" t="str">
            <v>201602151421097</v>
          </cell>
          <cell r="M2582" t="str">
            <v>新盖中盖高钙片2.5g*36P</v>
          </cell>
        </row>
        <row r="2583">
          <cell r="E2583" t="str">
            <v>0020030020SJSC0004</v>
          </cell>
          <cell r="H2583" t="str">
            <v>无棣县康莊大药房</v>
          </cell>
          <cell r="J2583" t="str">
            <v>1856</v>
          </cell>
          <cell r="K2583" t="str">
            <v>201602151421097</v>
          </cell>
          <cell r="M2583" t="str">
            <v>胃必治/复方铝酸铋片50片</v>
          </cell>
        </row>
        <row r="2584">
          <cell r="E2584" t="str">
            <v>0020030040SJET0003</v>
          </cell>
          <cell r="H2584" t="str">
            <v>无棣县康莊大药房</v>
          </cell>
          <cell r="J2584" t="str">
            <v>1856</v>
          </cell>
          <cell r="K2584" t="str">
            <v>201602151421097</v>
          </cell>
          <cell r="M2584" t="str">
            <v>氨金黄敏颗粒6g*10袋</v>
          </cell>
        </row>
        <row r="2585">
          <cell r="E2585" t="str">
            <v>0020040220SHYT0005</v>
          </cell>
          <cell r="H2585" t="str">
            <v>无棣县康莊大药房</v>
          </cell>
          <cell r="J2585" t="str">
            <v>1856</v>
          </cell>
          <cell r="K2585" t="str">
            <v>201602151421097</v>
          </cell>
          <cell r="M2585" t="str">
            <v>妇宁栓1.6g×7枚</v>
          </cell>
        </row>
        <row r="2586">
          <cell r="E2586" t="str">
            <v>0020030020ZYZC0360</v>
          </cell>
          <cell r="H2586" t="str">
            <v>滨城韩吉福诊所</v>
          </cell>
          <cell r="J2586" t="str">
            <v>1853</v>
          </cell>
          <cell r="K2586" t="str">
            <v>201602151421097</v>
          </cell>
          <cell r="M2586" t="str">
            <v>*维生素C咀嚼片/VC片0.1g*30片</v>
          </cell>
        </row>
        <row r="2587">
          <cell r="E2587" t="str">
            <v>0020070001ZYZC0383</v>
          </cell>
          <cell r="H2587" t="str">
            <v>无棣县埕口镇万豪药店</v>
          </cell>
          <cell r="J2587" t="str">
            <v>1856</v>
          </cell>
          <cell r="K2587" t="str">
            <v>201602151421097</v>
          </cell>
          <cell r="M2587" t="str">
            <v>哈药牌钙铁锌口服液10ml*10支</v>
          </cell>
        </row>
        <row r="2588">
          <cell r="E2588" t="str">
            <v>0020020021ZYLC0005</v>
          </cell>
          <cell r="H2588" t="str">
            <v>无棣县康莊大药房</v>
          </cell>
          <cell r="J2588" t="str">
            <v>1856</v>
          </cell>
          <cell r="K2588" t="str">
            <v>201602151421097</v>
          </cell>
          <cell r="M2588" t="str">
            <v>小儿严迪片/罗红霉素分散片50mg*12片</v>
          </cell>
        </row>
        <row r="2589">
          <cell r="E2589" t="str">
            <v>0020030020SJSC0004</v>
          </cell>
          <cell r="H2589" t="str">
            <v>博兴县德仁堂大药房连锁有限公司</v>
          </cell>
          <cell r="J2589" t="str">
            <v>1858</v>
          </cell>
          <cell r="K2589" t="str">
            <v>201602151421097</v>
          </cell>
          <cell r="M2589" t="str">
            <v>胃必治/复方铝酸铋片50片</v>
          </cell>
        </row>
        <row r="2590">
          <cell r="E2590" t="str">
            <v>0020070000SJZY0001</v>
          </cell>
          <cell r="H2590" t="str">
            <v>无棣康棣医药连锁有限公司</v>
          </cell>
          <cell r="J2590" t="str">
            <v>1856</v>
          </cell>
          <cell r="K2590" t="str">
            <v>201602151421097</v>
          </cell>
          <cell r="M2590" t="str">
            <v>葡萄糖酸锌口服液10ML*12支</v>
          </cell>
        </row>
        <row r="2591">
          <cell r="E2591" t="str">
            <v>0020030040SHYT0010</v>
          </cell>
          <cell r="H2591" t="str">
            <v>无棣康棣医药连锁有限公司</v>
          </cell>
          <cell r="J2591" t="str">
            <v>1856</v>
          </cell>
          <cell r="K2591" t="str">
            <v>201602151421097</v>
          </cell>
          <cell r="M2591" t="str">
            <v>布洛芬颗粒0.2g*12袋</v>
          </cell>
        </row>
        <row r="2592">
          <cell r="E2592" t="str">
            <v>0020070001ZYLC0001</v>
          </cell>
          <cell r="H2592" t="str">
            <v>无棣康棣医药连锁有限公司</v>
          </cell>
          <cell r="J2592" t="str">
            <v>1856</v>
          </cell>
          <cell r="K2592" t="str">
            <v>201602151421097</v>
          </cell>
          <cell r="M2592" t="str">
            <v>哈药六钙锌口服液10ml*12支</v>
          </cell>
        </row>
        <row r="2593">
          <cell r="E2593" t="str">
            <v>0020050090ZYEC0007</v>
          </cell>
          <cell r="H2593" t="str">
            <v>无棣康棣医药连锁有限公司</v>
          </cell>
          <cell r="J2593" t="str">
            <v>1856</v>
          </cell>
          <cell r="K2593" t="str">
            <v>201602151421097</v>
          </cell>
          <cell r="M2593" t="str">
            <v>生脉饮（党参方）10ml*10支</v>
          </cell>
        </row>
        <row r="2594">
          <cell r="E2594" t="str">
            <v>0020020021ZYLC0011</v>
          </cell>
          <cell r="H2594" t="str">
            <v>惠民县汉康大药房</v>
          </cell>
          <cell r="J2594" t="str">
            <v>1854</v>
          </cell>
          <cell r="K2594" t="str">
            <v>201602151421097</v>
          </cell>
          <cell r="M2594" t="str">
            <v>严迪/罗红霉素分散片150mg*12片</v>
          </cell>
        </row>
        <row r="2595">
          <cell r="E2595" t="str">
            <v>0020030020ZYZC0360</v>
          </cell>
          <cell r="H2595" t="str">
            <v>滨城区市中街道办事处北一卫生室</v>
          </cell>
          <cell r="J2595" t="str">
            <v>1853</v>
          </cell>
          <cell r="K2595" t="str">
            <v>201602151421097</v>
          </cell>
          <cell r="M2595" t="str">
            <v>*维生素C咀嚼片/VC片0.1g*30片</v>
          </cell>
        </row>
        <row r="2596">
          <cell r="E2596" t="str">
            <v>0020030020SJSC0014</v>
          </cell>
          <cell r="H2596" t="str">
            <v>滨城区市中街道办事处北一卫生室</v>
          </cell>
          <cell r="J2596" t="str">
            <v>1853</v>
          </cell>
          <cell r="K2596" t="str">
            <v>201602151421097</v>
          </cell>
          <cell r="M2596" t="str">
            <v>维D2磷酸氢钙片60片</v>
          </cell>
        </row>
        <row r="2597">
          <cell r="E2597" t="str">
            <v>0020070001ZYZC0383</v>
          </cell>
          <cell r="H2597" t="str">
            <v>无棣万盛堂药店连锁有限公司</v>
          </cell>
          <cell r="J2597" t="str">
            <v>1856</v>
          </cell>
          <cell r="K2597" t="str">
            <v>201602151421097</v>
          </cell>
          <cell r="M2597" t="str">
            <v>哈药牌钙铁锌口服液10ml*10支</v>
          </cell>
        </row>
        <row r="2598">
          <cell r="E2598" t="str">
            <v>0020020021ZYLC0005</v>
          </cell>
          <cell r="H2598" t="str">
            <v>无棣福顺康大药房</v>
          </cell>
          <cell r="J2598" t="str">
            <v>1856</v>
          </cell>
          <cell r="K2598" t="str">
            <v>201602151421097</v>
          </cell>
          <cell r="M2598" t="str">
            <v>小儿严迪片/罗红霉素分散片50mg*12片</v>
          </cell>
        </row>
        <row r="2599">
          <cell r="E2599" t="str">
            <v>0020070000SJZY0001</v>
          </cell>
          <cell r="H2599" t="str">
            <v>无棣福顺康大药房</v>
          </cell>
          <cell r="J2599" t="str">
            <v>1856</v>
          </cell>
          <cell r="K2599" t="str">
            <v>201602151421097</v>
          </cell>
          <cell r="M2599" t="str">
            <v>葡萄糖酸锌口服液10ML*12支</v>
          </cell>
        </row>
        <row r="2600">
          <cell r="E2600" t="str">
            <v>0020070001ZYLC0001</v>
          </cell>
          <cell r="H2600" t="str">
            <v>惠民县春英大药房</v>
          </cell>
          <cell r="J2600" t="str">
            <v>1854</v>
          </cell>
          <cell r="K2600" t="str">
            <v>201602151421097</v>
          </cell>
          <cell r="M2600" t="str">
            <v>哈药六钙锌口服液10ml*12支</v>
          </cell>
        </row>
        <row r="2601">
          <cell r="E2601" t="str">
            <v>0020070000SJZY0001</v>
          </cell>
          <cell r="H2601" t="str">
            <v>惠民县春英大药房</v>
          </cell>
          <cell r="J2601" t="str">
            <v>1854</v>
          </cell>
          <cell r="K2601" t="str">
            <v>201602151421097</v>
          </cell>
          <cell r="M2601" t="str">
            <v>葡萄糖酸锌口服液10ML*12支</v>
          </cell>
        </row>
        <row r="2602">
          <cell r="E2602" t="str">
            <v>0020070000ZYLC0051</v>
          </cell>
          <cell r="H2602" t="str">
            <v>无棣县聚福堂药店连锁有限公司</v>
          </cell>
          <cell r="J2602" t="str">
            <v>1856</v>
          </cell>
          <cell r="K2602" t="str">
            <v>201602151421097</v>
          </cell>
          <cell r="M2602" t="str">
            <v>朴血/乳酸亚铁口服液10ml*12支</v>
          </cell>
        </row>
        <row r="2603">
          <cell r="E2603" t="str">
            <v>0020070000SJZY0001</v>
          </cell>
          <cell r="H2603" t="str">
            <v>无棣县聚福堂药店连锁有限公司</v>
          </cell>
          <cell r="J2603" t="str">
            <v>1856</v>
          </cell>
          <cell r="K2603" t="str">
            <v>201602151421097</v>
          </cell>
          <cell r="M2603" t="str">
            <v>葡萄糖酸锌口服液10ML*12支</v>
          </cell>
        </row>
        <row r="2604">
          <cell r="E2604" t="str">
            <v>0020020020ZYLC0010</v>
          </cell>
          <cell r="H2604" t="str">
            <v>惠民县班班大药房</v>
          </cell>
          <cell r="J2604" t="str">
            <v>1854</v>
          </cell>
          <cell r="K2604" t="str">
            <v>201602151421097</v>
          </cell>
          <cell r="M2604" t="str">
            <v xml:space="preserve">泻利停/颠茄磺苄啶片0.48g*10片 </v>
          </cell>
        </row>
        <row r="2605">
          <cell r="E2605" t="str">
            <v>0020020020ZYLC0010</v>
          </cell>
          <cell r="H2605" t="str">
            <v>洋湖乡纪刘社区卫生室</v>
          </cell>
          <cell r="J2605" t="str">
            <v>1855</v>
          </cell>
          <cell r="K2605" t="str">
            <v>201602151421097</v>
          </cell>
          <cell r="M2605" t="str">
            <v xml:space="preserve">泻利停/颠茄磺苄啶片0.48g*10片 </v>
          </cell>
        </row>
        <row r="2606">
          <cell r="E2606" t="str">
            <v>0020070000SJZY0001</v>
          </cell>
          <cell r="H2606" t="str">
            <v>滨州市康之元大药房医药有限公司</v>
          </cell>
          <cell r="J2606" t="str">
            <v>1853</v>
          </cell>
          <cell r="K2606" t="str">
            <v>201602151421097</v>
          </cell>
          <cell r="M2606" t="str">
            <v>葡萄糖酸锌口服液10ML*12支</v>
          </cell>
        </row>
        <row r="2607">
          <cell r="E2607" t="str">
            <v>0020070001ZYZC0369</v>
          </cell>
          <cell r="H2607" t="str">
            <v>滨州市康之元大药房医药有限公司</v>
          </cell>
          <cell r="J2607" t="str">
            <v>1853</v>
          </cell>
          <cell r="K2607" t="str">
            <v>201602151421097</v>
          </cell>
          <cell r="M2607" t="str">
            <v>哈药牌钙铁锌口服液10ml*12支</v>
          </cell>
        </row>
        <row r="2608">
          <cell r="E2608" t="str">
            <v>0020030040ZYLC0001</v>
          </cell>
          <cell r="H2608" t="str">
            <v>滨州市康之元大药房医药有限公司</v>
          </cell>
          <cell r="J2608" t="str">
            <v>1853</v>
          </cell>
          <cell r="K2608" t="str">
            <v>201602151421097</v>
          </cell>
          <cell r="M2608" t="str">
            <v>护彤冲剂/小儿氨酚黄那敏颗粒2g*12袋</v>
          </cell>
        </row>
        <row r="2609">
          <cell r="E2609" t="str">
            <v>0020070000ZYLC0001</v>
          </cell>
          <cell r="H2609" t="str">
            <v>无棣汇仁堂药店</v>
          </cell>
          <cell r="J2609" t="str">
            <v>1856</v>
          </cell>
          <cell r="K2609" t="str">
            <v>201602151421097</v>
          </cell>
          <cell r="M2609" t="str">
            <v>新盖中盖高钙片2.5g*36P</v>
          </cell>
        </row>
        <row r="2610">
          <cell r="E2610" t="str">
            <v>0020070000SJZY0001</v>
          </cell>
          <cell r="H2610" t="str">
            <v>无棣汇仁堂药店</v>
          </cell>
          <cell r="J2610" t="str">
            <v>1856</v>
          </cell>
          <cell r="K2610" t="str">
            <v>201602151421097</v>
          </cell>
          <cell r="M2610" t="str">
            <v>葡萄糖酸锌口服液10ML*12支</v>
          </cell>
        </row>
        <row r="2611">
          <cell r="E2611" t="str">
            <v>0020030001SJZY0006</v>
          </cell>
          <cell r="H2611" t="str">
            <v>无棣汇仁堂药店</v>
          </cell>
          <cell r="J2611" t="str">
            <v>1856</v>
          </cell>
          <cell r="K2611" t="str">
            <v>201602151421097</v>
          </cell>
          <cell r="M2611" t="str">
            <v>葡萄糖酸钙口服溶液（含糖）10ml*12支</v>
          </cell>
        </row>
        <row r="2612">
          <cell r="E2612" t="str">
            <v>0020030001SJZY0006</v>
          </cell>
          <cell r="H2612" t="str">
            <v>滨州市康泉大药房连锁有限公司</v>
          </cell>
          <cell r="J2612" t="str">
            <v>1853</v>
          </cell>
          <cell r="K2612" t="str">
            <v>201602151421097</v>
          </cell>
          <cell r="M2612" t="str">
            <v>葡萄糖酸钙口服溶液（含糖）10ml*12支</v>
          </cell>
        </row>
        <row r="2613">
          <cell r="E2613" t="str">
            <v>0020070000SJZY0001</v>
          </cell>
          <cell r="H2613" t="str">
            <v>滨州市康泉大药房连锁有限公司</v>
          </cell>
          <cell r="J2613" t="str">
            <v>1853</v>
          </cell>
          <cell r="K2613" t="str">
            <v>201602151421097</v>
          </cell>
          <cell r="M2613" t="str">
            <v>葡萄糖酸锌口服液10ML*12支</v>
          </cell>
        </row>
        <row r="2614">
          <cell r="E2614" t="str">
            <v>0020070000SJZY0001</v>
          </cell>
          <cell r="H2614" t="str">
            <v>苏氏诊所</v>
          </cell>
          <cell r="J2614" t="str">
            <v>1853</v>
          </cell>
          <cell r="K2614" t="str">
            <v>201602151421097</v>
          </cell>
          <cell r="M2614" t="str">
            <v>葡萄糖酸锌口服液10ML*12支</v>
          </cell>
        </row>
        <row r="2615">
          <cell r="E2615" t="str">
            <v>0020070000ZYLC0001</v>
          </cell>
          <cell r="H2615" t="str">
            <v>苏氏诊所</v>
          </cell>
          <cell r="J2615" t="str">
            <v>1853</v>
          </cell>
          <cell r="K2615" t="str">
            <v>201602151421097</v>
          </cell>
          <cell r="M2615" t="str">
            <v>新盖中盖高钙片2.5g*36P</v>
          </cell>
        </row>
        <row r="2616">
          <cell r="E2616" t="str">
            <v>0020020021ZYLC0011</v>
          </cell>
          <cell r="H2616" t="str">
            <v>孙武村寿俊卫生室</v>
          </cell>
          <cell r="J2616" t="str">
            <v>1854</v>
          </cell>
          <cell r="K2616" t="str">
            <v>201602151421097</v>
          </cell>
          <cell r="M2616" t="str">
            <v>严迪/罗红霉素分散片150mg*12片</v>
          </cell>
        </row>
        <row r="2617">
          <cell r="E2617" t="str">
            <v>0020070000ZYLC0051</v>
          </cell>
          <cell r="H2617" t="str">
            <v>洋湖乡刀刘村第二卫生室</v>
          </cell>
          <cell r="J2617" t="str">
            <v>1855</v>
          </cell>
          <cell r="K2617" t="str">
            <v>201602151421097</v>
          </cell>
          <cell r="M2617" t="str">
            <v>朴血/乳酸亚铁口服液10ml*12支</v>
          </cell>
        </row>
        <row r="2618">
          <cell r="E2618" t="str">
            <v>0020070001ZYZC0383</v>
          </cell>
          <cell r="H2618" t="str">
            <v>阳信县商店镇台属大药房</v>
          </cell>
          <cell r="J2618" t="str">
            <v>1855</v>
          </cell>
          <cell r="K2618" t="str">
            <v>201602151421097</v>
          </cell>
          <cell r="M2618" t="str">
            <v>哈药牌钙铁锌口服液10ml*10支</v>
          </cell>
        </row>
        <row r="2619">
          <cell r="E2619" t="str">
            <v>0020020021ZYLC0005</v>
          </cell>
          <cell r="H2619" t="str">
            <v>流坡坞镇红门堂村卫生室</v>
          </cell>
          <cell r="J2619" t="str">
            <v>1855</v>
          </cell>
          <cell r="K2619" t="str">
            <v>201602151421097</v>
          </cell>
          <cell r="M2619" t="str">
            <v>小儿严迪片/罗红霉素分散片50mg*12片</v>
          </cell>
        </row>
        <row r="2620">
          <cell r="E2620" t="str">
            <v>0020030020SJSC0004</v>
          </cell>
          <cell r="H2620" t="str">
            <v>阳信县河流镇餐具厂卫生所</v>
          </cell>
          <cell r="J2620" t="str">
            <v>1855</v>
          </cell>
          <cell r="K2620" t="str">
            <v>201602151421097</v>
          </cell>
          <cell r="M2620" t="str">
            <v>胃必治/复方铝酸铋片50片</v>
          </cell>
        </row>
        <row r="2621">
          <cell r="E2621" t="str">
            <v>0020070001ZYZC0383</v>
          </cell>
          <cell r="H2621" t="str">
            <v>滨州康乐医药连锁有限公司</v>
          </cell>
          <cell r="J2621" t="str">
            <v>1853</v>
          </cell>
          <cell r="K2621" t="str">
            <v>201602151421097</v>
          </cell>
          <cell r="M2621" t="str">
            <v>哈药牌钙铁锌口服液10ml*10支</v>
          </cell>
        </row>
        <row r="2622">
          <cell r="E2622" t="str">
            <v>0020030020SJSC0004</v>
          </cell>
          <cell r="H2622" t="str">
            <v>滨州康乐医药连锁有限公司</v>
          </cell>
          <cell r="J2622" t="str">
            <v>1853</v>
          </cell>
          <cell r="K2622" t="str">
            <v>201602151421097</v>
          </cell>
          <cell r="M2622" t="str">
            <v>胃必治/复方铝酸铋片50片</v>
          </cell>
        </row>
        <row r="2623">
          <cell r="E2623" t="str">
            <v>0020070000ZYLC0001</v>
          </cell>
          <cell r="H2623" t="str">
            <v>滨城区市中办事处万全社区卫生服务站</v>
          </cell>
          <cell r="J2623" t="str">
            <v>1853</v>
          </cell>
          <cell r="K2623" t="str">
            <v>201602151421097</v>
          </cell>
          <cell r="M2623" t="str">
            <v>新盖中盖高钙片2.5g*36P</v>
          </cell>
        </row>
        <row r="2624">
          <cell r="E2624" t="str">
            <v>0020030001SJZY0006</v>
          </cell>
          <cell r="H2624" t="str">
            <v>无棣县聚福堂药店连锁有限公司</v>
          </cell>
          <cell r="J2624" t="str">
            <v>1856</v>
          </cell>
          <cell r="K2624" t="str">
            <v>201602151421097</v>
          </cell>
          <cell r="M2624" t="str">
            <v>葡萄糖酸钙口服溶液（含糖）10ml*12支</v>
          </cell>
        </row>
        <row r="2625">
          <cell r="E2625" t="str">
            <v>0020030001SJZY0006</v>
          </cell>
          <cell r="H2625" t="str">
            <v>文化街康民卫生室</v>
          </cell>
          <cell r="J2625" t="str">
            <v>1854</v>
          </cell>
          <cell r="K2625" t="str">
            <v>201602151421097</v>
          </cell>
          <cell r="M2625" t="str">
            <v>葡萄糖酸钙口服溶液（含糖）10ml*12支</v>
          </cell>
        </row>
        <row r="2626">
          <cell r="E2626" t="str">
            <v>0020070000SJZY0001</v>
          </cell>
          <cell r="H2626" t="str">
            <v>文化街康民卫生室</v>
          </cell>
          <cell r="J2626" t="str">
            <v>1854</v>
          </cell>
          <cell r="K2626" t="str">
            <v>201602151421097</v>
          </cell>
          <cell r="M2626" t="str">
            <v>葡萄糖酸锌口服液10ML*12支</v>
          </cell>
        </row>
        <row r="2627">
          <cell r="E2627" t="str">
            <v>0020030001SJZY0006</v>
          </cell>
          <cell r="H2627" t="str">
            <v>惠民县春英大药房</v>
          </cell>
          <cell r="J2627" t="str">
            <v>1854</v>
          </cell>
          <cell r="K2627" t="str">
            <v>201602151421097</v>
          </cell>
          <cell r="M2627" t="str">
            <v>葡萄糖酸钙口服溶液（含糖）10ml*12支</v>
          </cell>
        </row>
        <row r="2628">
          <cell r="E2628" t="str">
            <v>0020070001ZYLC0001</v>
          </cell>
          <cell r="H2628" t="str">
            <v>阳信县仁和堂医药连锁有限公司</v>
          </cell>
          <cell r="J2628" t="str">
            <v>1855</v>
          </cell>
          <cell r="K2628" t="str">
            <v>201602151421097</v>
          </cell>
          <cell r="M2628" t="str">
            <v>哈药六钙锌口服液10ml*12支</v>
          </cell>
        </row>
        <row r="2629">
          <cell r="E2629" t="str">
            <v>0020020020ZYLC0010</v>
          </cell>
          <cell r="H2629" t="str">
            <v>阳信县仁和堂医药连锁有限公司</v>
          </cell>
          <cell r="J2629" t="str">
            <v>1855</v>
          </cell>
          <cell r="K2629" t="str">
            <v>201602151421097</v>
          </cell>
          <cell r="M2629" t="str">
            <v xml:space="preserve">泻利停/颠茄磺苄啶片0.48g*10片 </v>
          </cell>
        </row>
        <row r="2630">
          <cell r="E2630" t="str">
            <v>0020070000SJZY0001</v>
          </cell>
          <cell r="H2630" t="str">
            <v>商店镇王朝正社区卫生室</v>
          </cell>
          <cell r="J2630" t="str">
            <v>1855</v>
          </cell>
          <cell r="K2630" t="str">
            <v>201602151421097</v>
          </cell>
          <cell r="M2630" t="str">
            <v>葡萄糖酸锌口服液10ML*12支</v>
          </cell>
        </row>
        <row r="2631">
          <cell r="E2631" t="str">
            <v>0020030020ZYLC0010</v>
          </cell>
          <cell r="H2631" t="str">
            <v>滨州市修正堂医药有限公司</v>
          </cell>
          <cell r="J2631" t="str">
            <v>1853</v>
          </cell>
          <cell r="K2631" t="str">
            <v>201602151421097</v>
          </cell>
          <cell r="M2631" t="str">
            <v>乳酸菌素片/为消0.4g*36片</v>
          </cell>
        </row>
        <row r="2632">
          <cell r="E2632" t="str">
            <v>0020030001SJZY0006</v>
          </cell>
          <cell r="H2632" t="str">
            <v>滨州市修正堂医药有限公司</v>
          </cell>
          <cell r="J2632" t="str">
            <v>1853</v>
          </cell>
          <cell r="K2632" t="str">
            <v>201602151421097</v>
          </cell>
          <cell r="M2632" t="str">
            <v>葡萄糖酸钙口服溶液（含糖）10ml*12支</v>
          </cell>
        </row>
        <row r="2633">
          <cell r="E2633" t="str">
            <v>0020030001SJZY0006</v>
          </cell>
          <cell r="H2633" t="str">
            <v>滨州市滨城区彭李街道办事处阳光社区卫生服务站</v>
          </cell>
          <cell r="J2633" t="str">
            <v>1853</v>
          </cell>
          <cell r="K2633" t="str">
            <v>201602151421097</v>
          </cell>
          <cell r="M2633" t="str">
            <v>葡萄糖酸钙口服溶液（含糖）10ml*12支</v>
          </cell>
        </row>
        <row r="2634">
          <cell r="E2634" t="str">
            <v>0020020021ZYLC0011</v>
          </cell>
          <cell r="H2634" t="str">
            <v>阳信荣军诊所</v>
          </cell>
          <cell r="J2634" t="str">
            <v>1855</v>
          </cell>
          <cell r="K2634" t="str">
            <v>201602151421097</v>
          </cell>
          <cell r="M2634" t="str">
            <v>严迪/罗红霉素分散片150mg*12片</v>
          </cell>
        </row>
        <row r="2635">
          <cell r="E2635" t="str">
            <v>0020050030SJSC0007</v>
          </cell>
          <cell r="H2635" t="str">
            <v>阳信荣军诊所</v>
          </cell>
          <cell r="J2635" t="str">
            <v>1855</v>
          </cell>
          <cell r="K2635" t="str">
            <v>201602151421097</v>
          </cell>
          <cell r="M2635" t="str">
            <v>菊梅利咽含片1.2g*18片</v>
          </cell>
        </row>
        <row r="2636">
          <cell r="E2636" t="str">
            <v>0020070000ZYLC0003</v>
          </cell>
          <cell r="H2636" t="str">
            <v>沾化济生堂大药房连锁有限公司</v>
          </cell>
          <cell r="J2636" t="str">
            <v>1857</v>
          </cell>
          <cell r="K2636" t="str">
            <v>201602151421097</v>
          </cell>
          <cell r="M2636" t="str">
            <v>新盖中盖牌儿童钙片1.75g*36p</v>
          </cell>
        </row>
        <row r="2637">
          <cell r="E2637" t="str">
            <v>0020020021ZYLC0004</v>
          </cell>
          <cell r="H2637" t="str">
            <v>沾化县康宁诊所</v>
          </cell>
          <cell r="J2637" t="str">
            <v>1857</v>
          </cell>
          <cell r="K2637" t="str">
            <v>201602151421097</v>
          </cell>
          <cell r="M2637" t="str">
            <v>大严迪片/罗红霉素分散片75mg*12片</v>
          </cell>
        </row>
        <row r="2638">
          <cell r="E2638" t="str">
            <v>0020070000SJZY0001</v>
          </cell>
          <cell r="H2638" t="str">
            <v>滨州市沾化区协和大药店</v>
          </cell>
          <cell r="J2638" t="str">
            <v>1857</v>
          </cell>
          <cell r="K2638" t="str">
            <v>201602151421097</v>
          </cell>
          <cell r="M2638" t="str">
            <v>葡萄糖酸锌口服液10ML*12支</v>
          </cell>
        </row>
        <row r="2639">
          <cell r="E2639" t="str">
            <v>0020030020ZYZC0360</v>
          </cell>
          <cell r="H2639" t="str">
            <v>滨州市沾化区协和大药店</v>
          </cell>
          <cell r="J2639" t="str">
            <v>1857</v>
          </cell>
          <cell r="K2639" t="str">
            <v>201602151421097</v>
          </cell>
          <cell r="M2639" t="str">
            <v>*维生素C咀嚼片/VC片0.1g*30片</v>
          </cell>
        </row>
        <row r="2640">
          <cell r="E2640" t="str">
            <v>0020070000SJZY0001</v>
          </cell>
          <cell r="H2640" t="str">
            <v>邹平县泰康大药房有限公司</v>
          </cell>
          <cell r="J2640" t="str">
            <v>1859</v>
          </cell>
          <cell r="K2640" t="str">
            <v>201602151421097</v>
          </cell>
          <cell r="M2640" t="str">
            <v>葡萄糖酸锌口服液10ML*12支</v>
          </cell>
        </row>
        <row r="2641">
          <cell r="E2641" t="str">
            <v>0020020020ZYLC0010</v>
          </cell>
          <cell r="H2641" t="str">
            <v>邹平县泰康大药房有限公司</v>
          </cell>
          <cell r="J2641" t="str">
            <v>1859</v>
          </cell>
          <cell r="K2641" t="str">
            <v>201602151421097</v>
          </cell>
          <cell r="M2641" t="str">
            <v xml:space="preserve">泻利停/颠茄磺苄啶片0.48g*10片 </v>
          </cell>
        </row>
        <row r="2642">
          <cell r="E2642" t="str">
            <v>0020020021ZYLC0010</v>
          </cell>
          <cell r="H2642" t="str">
            <v>阳信荣军诊所</v>
          </cell>
          <cell r="J2642" t="str">
            <v>1855</v>
          </cell>
          <cell r="K2642" t="str">
            <v>201602151421097</v>
          </cell>
          <cell r="M2642" t="str">
            <v>克拉霉素分散片0.125g*12片</v>
          </cell>
        </row>
        <row r="2643">
          <cell r="E2643" t="str">
            <v>0020030001SJZY0006</v>
          </cell>
          <cell r="H2643" t="str">
            <v>阳信荣军诊所</v>
          </cell>
          <cell r="J2643" t="str">
            <v>1855</v>
          </cell>
          <cell r="K2643" t="str">
            <v>201602151421097</v>
          </cell>
          <cell r="M2643" t="str">
            <v>葡萄糖酸钙口服溶液（含糖）10ml*12支</v>
          </cell>
        </row>
        <row r="2644">
          <cell r="E2644" t="str">
            <v>0020040070ZYEC0005</v>
          </cell>
          <cell r="H2644" t="str">
            <v>阳信荣军诊所</v>
          </cell>
          <cell r="J2644" t="str">
            <v>1855</v>
          </cell>
          <cell r="K2644" t="str">
            <v>201602151421097</v>
          </cell>
          <cell r="M2644" t="str">
            <v>小儿百部止咳糖浆100ml</v>
          </cell>
        </row>
        <row r="2645">
          <cell r="E2645" t="str">
            <v>0020020030SJMS0024</v>
          </cell>
          <cell r="H2645" t="str">
            <v>阳信荣军诊所</v>
          </cell>
          <cell r="J2645" t="str">
            <v>1855</v>
          </cell>
          <cell r="K2645" t="str">
            <v>201602151421097</v>
          </cell>
          <cell r="M2645" t="str">
            <v>人工牛黄甲硝唑胶囊/牙疼安10粒*2板</v>
          </cell>
        </row>
        <row r="2646">
          <cell r="E2646" t="str">
            <v>0020030020SJSC0004</v>
          </cell>
          <cell r="H2646" t="str">
            <v>阳信荣军诊所</v>
          </cell>
          <cell r="J2646" t="str">
            <v>1855</v>
          </cell>
          <cell r="K2646" t="str">
            <v>201602151421097</v>
          </cell>
          <cell r="M2646" t="str">
            <v>胃必治/复方铝酸铋片50片</v>
          </cell>
        </row>
        <row r="2647">
          <cell r="E2647" t="str">
            <v>0020070000SJZY0001</v>
          </cell>
          <cell r="H2647" t="str">
            <v>阳信荣军诊所</v>
          </cell>
          <cell r="J2647" t="str">
            <v>1855</v>
          </cell>
          <cell r="K2647" t="str">
            <v>201602151421097</v>
          </cell>
          <cell r="M2647" t="str">
            <v>葡萄糖酸锌口服液10ML*12支</v>
          </cell>
        </row>
        <row r="2648">
          <cell r="E2648" t="str">
            <v>0020070000ZYLC0001</v>
          </cell>
          <cell r="H2648" t="str">
            <v>阳信荣军诊所</v>
          </cell>
          <cell r="J2648" t="str">
            <v>1855</v>
          </cell>
          <cell r="K2648" t="str">
            <v>201602151421097</v>
          </cell>
          <cell r="M2648" t="str">
            <v>新盖中盖高钙片2.5g*36P</v>
          </cell>
        </row>
        <row r="2649">
          <cell r="E2649" t="str">
            <v>0020020021ZYLC0004</v>
          </cell>
          <cell r="H2649" t="str">
            <v>阳信荣军诊所</v>
          </cell>
          <cell r="J2649" t="str">
            <v>1855</v>
          </cell>
          <cell r="K2649" t="str">
            <v>201602151421097</v>
          </cell>
          <cell r="M2649" t="str">
            <v>大严迪片/罗红霉素分散片75mg*12片</v>
          </cell>
        </row>
        <row r="2650">
          <cell r="E2650" t="str">
            <v>0020040030SHYT0002</v>
          </cell>
          <cell r="H2650" t="str">
            <v>阳信荣军诊所</v>
          </cell>
          <cell r="J2650" t="str">
            <v>1855</v>
          </cell>
          <cell r="K2650" t="str">
            <v>201602151421097</v>
          </cell>
          <cell r="M2650" t="str">
            <v>牛黄消炎片0.12g*24片</v>
          </cell>
        </row>
        <row r="2651">
          <cell r="E2651" t="str">
            <v>0020020020ZYLC0010</v>
          </cell>
          <cell r="H2651" t="str">
            <v>阳信荣军诊所</v>
          </cell>
          <cell r="J2651" t="str">
            <v>1855</v>
          </cell>
          <cell r="K2651" t="str">
            <v>201602151421097</v>
          </cell>
          <cell r="M2651" t="str">
            <v xml:space="preserve">泻利停/颠茄磺苄啶片0.48g*10片 </v>
          </cell>
        </row>
        <row r="2652">
          <cell r="E2652" t="str">
            <v>0020070000ZYLC0003</v>
          </cell>
          <cell r="H2652" t="str">
            <v>阳信荣军诊所</v>
          </cell>
          <cell r="J2652" t="str">
            <v>1855</v>
          </cell>
          <cell r="K2652" t="str">
            <v>201602151421097</v>
          </cell>
          <cell r="M2652" t="str">
            <v>新盖中盖牌儿童钙片1.75g*36p</v>
          </cell>
        </row>
        <row r="2653">
          <cell r="E2653" t="str">
            <v>0020030040SHYT0010</v>
          </cell>
          <cell r="H2653" t="str">
            <v>阳信荣军诊所</v>
          </cell>
          <cell r="J2653" t="str">
            <v>1855</v>
          </cell>
          <cell r="K2653" t="str">
            <v>201602151421097</v>
          </cell>
          <cell r="M2653" t="str">
            <v>布洛芬颗粒0.2g*12袋</v>
          </cell>
        </row>
        <row r="2654">
          <cell r="E2654" t="str">
            <v>0020040001SHYT0028</v>
          </cell>
          <cell r="H2654" t="str">
            <v>阳信荣军诊所</v>
          </cell>
          <cell r="J2654" t="str">
            <v>1855</v>
          </cell>
          <cell r="K2654" t="str">
            <v>201602151421097</v>
          </cell>
          <cell r="M2654" t="str">
            <v>冠心苏合丸1.2g*30丸</v>
          </cell>
        </row>
        <row r="2655">
          <cell r="E2655" t="str">
            <v>0020020020ZYLC0010</v>
          </cell>
          <cell r="H2655" t="str">
            <v>恒泰社区卫生室</v>
          </cell>
          <cell r="J2655" t="str">
            <v>1855</v>
          </cell>
          <cell r="K2655" t="str">
            <v>201602151421097</v>
          </cell>
          <cell r="M2655" t="str">
            <v xml:space="preserve">泻利停/颠茄磺苄啶片0.48g*10片 </v>
          </cell>
        </row>
        <row r="2656">
          <cell r="E2656" t="str">
            <v>0020020020ZYLC0010</v>
          </cell>
          <cell r="H2656" t="str">
            <v>阳信药材公司诊所</v>
          </cell>
          <cell r="J2656" t="str">
            <v>1855</v>
          </cell>
          <cell r="K2656" t="str">
            <v>201602151421097</v>
          </cell>
          <cell r="M2656" t="str">
            <v xml:space="preserve">泻利停/颠茄磺苄啶片0.48g*10片 </v>
          </cell>
        </row>
        <row r="2657">
          <cell r="E2657" t="str">
            <v>0020030040ZYLC0001</v>
          </cell>
          <cell r="H2657" t="str">
            <v>博兴县德仁堂大药房连锁有限公司</v>
          </cell>
          <cell r="J2657" t="str">
            <v>1858</v>
          </cell>
          <cell r="K2657" t="str">
            <v>201602151421097</v>
          </cell>
          <cell r="M2657" t="str">
            <v>护彤冲剂/小儿氨酚黄那敏颗粒2g*12袋</v>
          </cell>
        </row>
        <row r="2658">
          <cell r="E2658" t="str">
            <v>0020030001SJZY0006</v>
          </cell>
          <cell r="H2658" t="str">
            <v>信诚街道接官亭村第一卫生室</v>
          </cell>
          <cell r="J2658" t="str">
            <v>1855</v>
          </cell>
          <cell r="K2658" t="str">
            <v>201602151421097</v>
          </cell>
          <cell r="M2658" t="str">
            <v>葡萄糖酸钙口服溶液（含糖）10ml*12支</v>
          </cell>
        </row>
        <row r="2659">
          <cell r="E2659" t="str">
            <v>0020020030ZYLC0006</v>
          </cell>
          <cell r="H2659" t="str">
            <v>孙武街道世纪园诊所</v>
          </cell>
          <cell r="J2659" t="str">
            <v>1854</v>
          </cell>
          <cell r="K2659" t="str">
            <v>201602151421097</v>
          </cell>
          <cell r="M2659" t="str">
            <v>厄贝沙坦胶囊75mg*24粒</v>
          </cell>
        </row>
        <row r="2660">
          <cell r="E2660" t="str">
            <v>0020030020ZYLC0013</v>
          </cell>
          <cell r="H2660" t="str">
            <v>滨州市靖和堂大药房医药连锁有限公司</v>
          </cell>
          <cell r="J2660" t="str">
            <v>1858</v>
          </cell>
          <cell r="K2660" t="str">
            <v>201602151421097</v>
          </cell>
          <cell r="M2660" t="str">
            <v>“为消”牌乳酸菌素片0.4g*36片</v>
          </cell>
        </row>
        <row r="2661">
          <cell r="E2661" t="str">
            <v>0020040070ZYEC0005</v>
          </cell>
          <cell r="H2661" t="str">
            <v>滨州市靖和堂大药房医药连锁有限公司</v>
          </cell>
          <cell r="J2661" t="str">
            <v>1858</v>
          </cell>
          <cell r="K2661" t="str">
            <v>201602151421097</v>
          </cell>
          <cell r="M2661" t="str">
            <v>小儿百部止咳糖浆100ml</v>
          </cell>
        </row>
        <row r="2662">
          <cell r="E2662" t="str">
            <v>0020070001ZYLC0001</v>
          </cell>
          <cell r="H2662" t="str">
            <v>滨州市靖和堂大药房医药连锁有限公司</v>
          </cell>
          <cell r="J2662" t="str">
            <v>1858</v>
          </cell>
          <cell r="K2662" t="str">
            <v>201602151421097</v>
          </cell>
          <cell r="M2662" t="str">
            <v>哈药六钙锌口服液10ml*12支</v>
          </cell>
        </row>
        <row r="2663">
          <cell r="E2663" t="str">
            <v>0020020020ZYLC0010</v>
          </cell>
          <cell r="H2663" t="str">
            <v>滨州市靖和堂大药房医药连锁有限公司</v>
          </cell>
          <cell r="J2663" t="str">
            <v>1858</v>
          </cell>
          <cell r="K2663" t="str">
            <v>201602151421097</v>
          </cell>
          <cell r="M2663" t="str">
            <v xml:space="preserve">泻利停/颠茄磺苄啶片0.48g*10片 </v>
          </cell>
        </row>
        <row r="2664">
          <cell r="E2664" t="str">
            <v>0020070000ZYLC0003</v>
          </cell>
          <cell r="H2664" t="str">
            <v>滨州市靖和堂大药房医药连锁有限公司</v>
          </cell>
          <cell r="J2664" t="str">
            <v>1858</v>
          </cell>
          <cell r="K2664" t="str">
            <v>201602151421097</v>
          </cell>
          <cell r="M2664" t="str">
            <v>新盖中盖牌儿童钙片1.75g*36p</v>
          </cell>
        </row>
        <row r="2665">
          <cell r="E2665" t="str">
            <v>0020030001SJZY0006</v>
          </cell>
          <cell r="H2665" t="str">
            <v>滨州市靖和堂大药房医药连锁有限公司</v>
          </cell>
          <cell r="J2665" t="str">
            <v>1858</v>
          </cell>
          <cell r="K2665" t="str">
            <v>201602151421097</v>
          </cell>
          <cell r="M2665" t="str">
            <v>葡萄糖酸钙口服溶液（含糖）10ml*12支</v>
          </cell>
        </row>
        <row r="2666">
          <cell r="E2666" t="str">
            <v>0020050090SJZY0001</v>
          </cell>
          <cell r="H2666" t="str">
            <v>滨州市靖和堂大药房医药连锁有限公司</v>
          </cell>
          <cell r="J2666" t="str">
            <v>1858</v>
          </cell>
          <cell r="K2666" t="str">
            <v>201602151421097</v>
          </cell>
          <cell r="M2666" t="str">
            <v>双黄连口服液10ml*10支</v>
          </cell>
        </row>
        <row r="2667">
          <cell r="E2667" t="str">
            <v>0020030020SJSC0004</v>
          </cell>
          <cell r="H2667" t="str">
            <v>滨州市靖和堂大药房医药连锁有限公司</v>
          </cell>
          <cell r="J2667" t="str">
            <v>1858</v>
          </cell>
          <cell r="K2667" t="str">
            <v>201602151421097</v>
          </cell>
          <cell r="M2667" t="str">
            <v>胃必治/复方铝酸铋片50片</v>
          </cell>
        </row>
        <row r="2668">
          <cell r="E2668" t="str">
            <v>0020020020SJMS0008</v>
          </cell>
          <cell r="H2668" t="str">
            <v>滨州市靖和堂大药房医药连锁有限公司</v>
          </cell>
          <cell r="J2668" t="str">
            <v>1858</v>
          </cell>
          <cell r="K2668" t="str">
            <v>201602151421097</v>
          </cell>
          <cell r="M2668" t="str">
            <v>拉西地平片/三精司乐平片4mg*15片</v>
          </cell>
        </row>
        <row r="2669">
          <cell r="E2669" t="str">
            <v>0020070000SJZY0001</v>
          </cell>
          <cell r="H2669" t="str">
            <v>滨州市靖和堂大药房医药连锁有限公司</v>
          </cell>
          <cell r="J2669" t="str">
            <v>1858</v>
          </cell>
          <cell r="K2669" t="str">
            <v>201602151421097</v>
          </cell>
          <cell r="M2669" t="str">
            <v>葡萄糖酸锌口服液10ML*12支</v>
          </cell>
        </row>
        <row r="2670">
          <cell r="E2670" t="str">
            <v>0020030020ZYLC0010</v>
          </cell>
          <cell r="H2670" t="str">
            <v>滨州市靖和堂大药房医药连锁有限公司</v>
          </cell>
          <cell r="J2670" t="str">
            <v>1858</v>
          </cell>
          <cell r="K2670" t="str">
            <v>201602151421097</v>
          </cell>
          <cell r="M2670" t="str">
            <v>乳酸菌素片/为消0.4g*36片</v>
          </cell>
        </row>
        <row r="2671">
          <cell r="E2671" t="str">
            <v>0020070000ZYLC0051</v>
          </cell>
          <cell r="H2671" t="str">
            <v>无棣万盛堂药店连锁有限公司</v>
          </cell>
          <cell r="J2671" t="str">
            <v>1856</v>
          </cell>
          <cell r="K2671" t="str">
            <v>201602151421097</v>
          </cell>
          <cell r="M2671" t="str">
            <v>朴血/乳酸亚铁口服液10ml*12支</v>
          </cell>
        </row>
        <row r="2672">
          <cell r="E2672" t="str">
            <v>0020020021ZYLC0005</v>
          </cell>
          <cell r="H2672" t="str">
            <v>无棣万盛堂药店连锁有限公司</v>
          </cell>
          <cell r="J2672" t="str">
            <v>1856</v>
          </cell>
          <cell r="K2672" t="str">
            <v>201602151421097</v>
          </cell>
          <cell r="M2672" t="str">
            <v>小儿严迪片/罗红霉素分散片50mg*12片</v>
          </cell>
        </row>
        <row r="2673">
          <cell r="E2673" t="str">
            <v>0020070000ZYLC0001</v>
          </cell>
          <cell r="H2673" t="str">
            <v>无棣万盛堂药店连锁有限公司</v>
          </cell>
          <cell r="J2673" t="str">
            <v>1856</v>
          </cell>
          <cell r="K2673" t="str">
            <v>201602151421097</v>
          </cell>
          <cell r="M2673" t="str">
            <v>新盖中盖高钙片2.5g*36P</v>
          </cell>
        </row>
        <row r="2674">
          <cell r="E2674" t="str">
            <v>0020030020SJSC0004</v>
          </cell>
          <cell r="H2674" t="str">
            <v>无棣万盛堂药店连锁有限公司</v>
          </cell>
          <cell r="J2674" t="str">
            <v>1856</v>
          </cell>
          <cell r="K2674" t="str">
            <v>201602151421097</v>
          </cell>
          <cell r="M2674" t="str">
            <v>胃必治/复方铝酸铋片50片</v>
          </cell>
        </row>
        <row r="2675">
          <cell r="E2675" t="str">
            <v>0020030020ZYLC0010</v>
          </cell>
          <cell r="H2675" t="str">
            <v>无棣万盛堂药店连锁有限公司</v>
          </cell>
          <cell r="J2675" t="str">
            <v>1856</v>
          </cell>
          <cell r="K2675" t="str">
            <v>201602151421097</v>
          </cell>
          <cell r="M2675" t="str">
            <v>乳酸菌素片/为消0.4g*36片</v>
          </cell>
        </row>
        <row r="2676">
          <cell r="E2676" t="str">
            <v>0020050090SJZY0001</v>
          </cell>
          <cell r="H2676" t="str">
            <v>无棣万盛堂药店连锁有限公司</v>
          </cell>
          <cell r="J2676" t="str">
            <v>1856</v>
          </cell>
          <cell r="K2676" t="str">
            <v>201602151421097</v>
          </cell>
          <cell r="M2676" t="str">
            <v>双黄连口服液10ml*10支</v>
          </cell>
        </row>
        <row r="2677">
          <cell r="E2677" t="str">
            <v>0020020021ZYLC0004</v>
          </cell>
          <cell r="H2677" t="str">
            <v>无棣万盛堂药店连锁有限公司</v>
          </cell>
          <cell r="J2677" t="str">
            <v>1856</v>
          </cell>
          <cell r="K2677" t="str">
            <v>201602151421097</v>
          </cell>
          <cell r="M2677" t="str">
            <v>大严迪片/罗红霉素分散片75mg*12片</v>
          </cell>
        </row>
        <row r="2678">
          <cell r="E2678" t="str">
            <v>0020070000SJZY0001</v>
          </cell>
          <cell r="H2678" t="str">
            <v>无棣万盛堂药店连锁有限公司</v>
          </cell>
          <cell r="J2678" t="str">
            <v>1856</v>
          </cell>
          <cell r="K2678" t="str">
            <v>201602151421097</v>
          </cell>
          <cell r="M2678" t="str">
            <v>葡萄糖酸锌口服液10ML*12支</v>
          </cell>
        </row>
        <row r="2679">
          <cell r="E2679" t="str">
            <v>0020070001ZYLC0001</v>
          </cell>
          <cell r="H2679" t="str">
            <v>无棣万盛堂药店连锁有限公司</v>
          </cell>
          <cell r="J2679" t="str">
            <v>1856</v>
          </cell>
          <cell r="K2679" t="str">
            <v>201602151421097</v>
          </cell>
          <cell r="M2679" t="str">
            <v>哈药六钙锌口服液10ml*12支</v>
          </cell>
        </row>
        <row r="2680">
          <cell r="E2680" t="str">
            <v>0020030040SHYT0010</v>
          </cell>
          <cell r="H2680" t="str">
            <v>无棣万盛堂药店连锁有限公司</v>
          </cell>
          <cell r="J2680" t="str">
            <v>1856</v>
          </cell>
          <cell r="K2680" t="str">
            <v>201602151421097</v>
          </cell>
          <cell r="M2680" t="str">
            <v>布洛芬颗粒0.2g*12袋</v>
          </cell>
        </row>
        <row r="2681">
          <cell r="E2681" t="str">
            <v>0020070001ZYZC0383</v>
          </cell>
          <cell r="H2681" t="str">
            <v>无棣万盛堂药店连锁有限公司</v>
          </cell>
          <cell r="J2681" t="str">
            <v>1856</v>
          </cell>
          <cell r="K2681" t="str">
            <v>201602151421097</v>
          </cell>
          <cell r="M2681" t="str">
            <v>哈药牌钙铁锌口服液10ml*10支</v>
          </cell>
        </row>
        <row r="2682">
          <cell r="E2682" t="str">
            <v>0020030170ZYEC0003</v>
          </cell>
          <cell r="H2682" t="str">
            <v>无棣万盛堂药店连锁有限公司</v>
          </cell>
          <cell r="J2682" t="str">
            <v>1856</v>
          </cell>
          <cell r="K2682" t="str">
            <v>201602151421097</v>
          </cell>
          <cell r="M2682" t="str">
            <v>蒙脱石散3g*12袋</v>
          </cell>
        </row>
        <row r="2683">
          <cell r="E2683" t="str">
            <v>0020050020ZYEC0008</v>
          </cell>
          <cell r="H2683" t="str">
            <v>无棣万盛堂药店连锁有限公司</v>
          </cell>
          <cell r="J2683" t="str">
            <v>1856</v>
          </cell>
          <cell r="K2683" t="str">
            <v>201602151421097</v>
          </cell>
          <cell r="M2683" t="str">
            <v>感冒解毒灵颗粒5g*10袋</v>
          </cell>
        </row>
        <row r="2684">
          <cell r="E2684" t="str">
            <v>0020030040ZYLC0001</v>
          </cell>
          <cell r="H2684" t="str">
            <v>无棣万盛堂药店连锁有限公司</v>
          </cell>
          <cell r="J2684" t="str">
            <v>1856</v>
          </cell>
          <cell r="K2684" t="str">
            <v>201602151421097</v>
          </cell>
          <cell r="M2684" t="str">
            <v>护彤冲剂/小儿氨酚黄那敏颗粒2g*12袋</v>
          </cell>
        </row>
        <row r="2685">
          <cell r="E2685" t="str">
            <v>0020040220SHYT0005</v>
          </cell>
          <cell r="H2685" t="str">
            <v>无棣万盛堂药店连锁有限公司</v>
          </cell>
          <cell r="J2685" t="str">
            <v>1856</v>
          </cell>
          <cell r="K2685" t="str">
            <v>201602151421097</v>
          </cell>
          <cell r="M2685" t="str">
            <v>妇宁栓1.6g×7枚</v>
          </cell>
        </row>
        <row r="2686">
          <cell r="E2686" t="str">
            <v>0020020021ZYZC0341</v>
          </cell>
          <cell r="H2686" t="str">
            <v>无棣万盛堂药店连锁有限公司</v>
          </cell>
          <cell r="J2686" t="str">
            <v>1856</v>
          </cell>
          <cell r="K2686" t="str">
            <v>201602151421097</v>
          </cell>
          <cell r="M2686" t="str">
            <v>阿莫西林克拉维酸钾7:1分散片（胜艾）0.2285g*12片</v>
          </cell>
        </row>
        <row r="2687">
          <cell r="E2687" t="str">
            <v>0020020030ZYZC0511</v>
          </cell>
          <cell r="H2687" t="str">
            <v>无棣万盛堂药店连锁有限公司</v>
          </cell>
          <cell r="J2687" t="str">
            <v>1856</v>
          </cell>
          <cell r="K2687" t="str">
            <v>201602151421097</v>
          </cell>
          <cell r="M2687" t="str">
            <v>头孢氨苄胶囊0.125g*20粒</v>
          </cell>
        </row>
        <row r="2688">
          <cell r="E2688" t="str">
            <v>0020030020SJSC0025</v>
          </cell>
          <cell r="H2688" t="str">
            <v>无棣万盛堂药店连锁有限公司</v>
          </cell>
          <cell r="J2688" t="str">
            <v>1856</v>
          </cell>
          <cell r="K2688" t="str">
            <v>201602151421097</v>
          </cell>
          <cell r="M2688" t="str">
            <v>复方氨酚烷胺片12片</v>
          </cell>
        </row>
        <row r="2689">
          <cell r="E2689" t="str">
            <v>0020020030ZYZC0283</v>
          </cell>
          <cell r="H2689" t="str">
            <v>无棣万盛堂药店连锁有限公司</v>
          </cell>
          <cell r="J2689" t="str">
            <v>1856</v>
          </cell>
          <cell r="K2689" t="str">
            <v>201602151421097</v>
          </cell>
          <cell r="M2689" t="str">
            <v>头孢拉定胶囊0.25g*24粒</v>
          </cell>
        </row>
        <row r="2690">
          <cell r="E2690" t="str">
            <v>0020020030ZYZC0511</v>
          </cell>
          <cell r="H2690" t="str">
            <v>无棣万盛堂药店连锁有限公司</v>
          </cell>
          <cell r="J2690" t="str">
            <v>1856</v>
          </cell>
          <cell r="K2690" t="str">
            <v>201602151421097</v>
          </cell>
          <cell r="M2690" t="str">
            <v>头孢氨苄胶囊0.125g*20粒</v>
          </cell>
        </row>
        <row r="2691">
          <cell r="E2691" t="str">
            <v>0020030040ZYLC0001</v>
          </cell>
          <cell r="H2691" t="str">
            <v>商店镇王朝正社区卫生室</v>
          </cell>
          <cell r="J2691" t="str">
            <v>1855</v>
          </cell>
          <cell r="K2691" t="str">
            <v>201602151421097</v>
          </cell>
          <cell r="M2691" t="str">
            <v>护彤冲剂/小儿氨酚黄那敏颗粒2g*12袋</v>
          </cell>
        </row>
        <row r="2692">
          <cell r="E2692" t="str">
            <v>0020050090SJZY0001</v>
          </cell>
          <cell r="H2692" t="str">
            <v>何坊街道官道张村卫生室</v>
          </cell>
          <cell r="J2692" t="str">
            <v>1854</v>
          </cell>
          <cell r="K2692" t="str">
            <v>201602151421097</v>
          </cell>
          <cell r="M2692" t="str">
            <v>双黄连口服液10ml*10支</v>
          </cell>
        </row>
        <row r="2693">
          <cell r="E2693" t="str">
            <v>0020030020ZYLC0010</v>
          </cell>
          <cell r="H2693" t="str">
            <v>阳信初心医院</v>
          </cell>
          <cell r="J2693" t="str">
            <v>1855</v>
          </cell>
          <cell r="K2693" t="str">
            <v>201602151421097</v>
          </cell>
          <cell r="M2693" t="str">
            <v>乳酸菌素片/为消0.4g*36片</v>
          </cell>
        </row>
        <row r="2694">
          <cell r="E2694" t="str">
            <v>0020020013ZYZC0491</v>
          </cell>
          <cell r="H2694" t="str">
            <v>商店镇北街社区卫生室</v>
          </cell>
          <cell r="J2694" t="str">
            <v>1855</v>
          </cell>
          <cell r="K2694" t="str">
            <v>201602151421097</v>
          </cell>
          <cell r="M2694" t="str">
            <v>阿奇针/注射用乳糖酸阿奇霉素针0.25g</v>
          </cell>
        </row>
        <row r="2695">
          <cell r="E2695" t="str">
            <v>0020020021ZYLC0004</v>
          </cell>
          <cell r="H2695" t="str">
            <v>滨城韩小亮中医诊所</v>
          </cell>
          <cell r="J2695" t="str">
            <v>1853</v>
          </cell>
          <cell r="K2695" t="str">
            <v>201602151421097</v>
          </cell>
          <cell r="M2695" t="str">
            <v>大严迪片/罗红霉素分散片75mg*12片</v>
          </cell>
        </row>
        <row r="2696">
          <cell r="E2696" t="str">
            <v>0020070000ZYLC0051</v>
          </cell>
          <cell r="H2696" t="str">
            <v>孙武街道高官村卫生室</v>
          </cell>
          <cell r="J2696" t="str">
            <v>1854</v>
          </cell>
          <cell r="K2696" t="str">
            <v>201602151421097</v>
          </cell>
          <cell r="M2696" t="str">
            <v>朴血/乳酸亚铁口服液10ml*12支</v>
          </cell>
        </row>
        <row r="2697">
          <cell r="E2697" t="str">
            <v>0020030001SJZY0006</v>
          </cell>
          <cell r="H2697" t="str">
            <v>滨州市恒康医药有限公司</v>
          </cell>
          <cell r="J2697" t="str">
            <v>1853</v>
          </cell>
          <cell r="K2697" t="str">
            <v>201602151421097</v>
          </cell>
          <cell r="M2697" t="str">
            <v>葡萄糖酸钙口服溶液（含糖）10ml*12支</v>
          </cell>
        </row>
        <row r="2698">
          <cell r="E2698" t="str">
            <v>0020070000SJZY0001</v>
          </cell>
          <cell r="H2698" t="str">
            <v>滨州市恒康医药有限公司</v>
          </cell>
          <cell r="J2698" t="str">
            <v>1853</v>
          </cell>
          <cell r="K2698" t="str">
            <v>201602151421097</v>
          </cell>
          <cell r="M2698" t="str">
            <v>葡萄糖酸锌口服液10ML*12支</v>
          </cell>
        </row>
        <row r="2699">
          <cell r="E2699" t="str">
            <v>0020030001SJZY0006</v>
          </cell>
          <cell r="H2699" t="str">
            <v>沙河钟芹诊所</v>
          </cell>
          <cell r="J2699" t="str">
            <v>1853</v>
          </cell>
          <cell r="K2699" t="str">
            <v>201602151421097</v>
          </cell>
          <cell r="M2699" t="str">
            <v>葡萄糖酸钙口服溶液（含糖）10ml*12支</v>
          </cell>
        </row>
        <row r="2700">
          <cell r="E2700" t="str">
            <v>0020070000SJZY0001</v>
          </cell>
          <cell r="H2700" t="str">
            <v xml:space="preserve">邹平县方正医药有限公司 </v>
          </cell>
          <cell r="J2700" t="str">
            <v>1859</v>
          </cell>
          <cell r="K2700" t="str">
            <v>201602151421097</v>
          </cell>
          <cell r="M2700" t="str">
            <v>葡萄糖酸锌口服液10ML*12支</v>
          </cell>
        </row>
        <row r="2701">
          <cell r="E2701" t="str">
            <v>0020070000ZYLC0001</v>
          </cell>
          <cell r="H2701" t="str">
            <v xml:space="preserve">邹平县方正医药有限公司 </v>
          </cell>
          <cell r="J2701" t="str">
            <v>1859</v>
          </cell>
          <cell r="K2701" t="str">
            <v>201602151421097</v>
          </cell>
          <cell r="M2701" t="str">
            <v>新盖中盖高钙片2.5g*36P</v>
          </cell>
        </row>
        <row r="2702">
          <cell r="E2702" t="str">
            <v>0020050020ZYEC0019</v>
          </cell>
          <cell r="H2702" t="str">
            <v>商店镇王朝正社区卫生室</v>
          </cell>
          <cell r="J2702" t="str">
            <v>1855</v>
          </cell>
          <cell r="K2702" t="str">
            <v>201602151421097</v>
          </cell>
          <cell r="M2702" t="str">
            <v>双黄连颗粒（无蔗糖）5g*10袋</v>
          </cell>
        </row>
        <row r="2703">
          <cell r="E2703" t="str">
            <v>0020030020ZYZC0360</v>
          </cell>
          <cell r="H2703" t="str">
            <v>滨城区市东街道办事处郑家第一卫生室</v>
          </cell>
          <cell r="J2703" t="str">
            <v>1853</v>
          </cell>
          <cell r="K2703" t="str">
            <v>201602151421097</v>
          </cell>
          <cell r="M2703" t="str">
            <v>*维生素C咀嚼片/VC片0.1g*30片</v>
          </cell>
        </row>
        <row r="2704">
          <cell r="E2704" t="str">
            <v>0020030020SJSC0014</v>
          </cell>
          <cell r="H2704" t="str">
            <v>邹平县韩店镇福源大药店</v>
          </cell>
          <cell r="J2704" t="str">
            <v>1859</v>
          </cell>
          <cell r="K2704" t="str">
            <v>201602151421097</v>
          </cell>
          <cell r="M2704" t="str">
            <v>维D2磷酸氢钙片60片</v>
          </cell>
        </row>
        <row r="2705">
          <cell r="E2705" t="str">
            <v>0020040001SHYT0026</v>
          </cell>
          <cell r="H2705" t="str">
            <v>惠民县寿康大药房有限责任公司</v>
          </cell>
          <cell r="J2705" t="str">
            <v>1854</v>
          </cell>
          <cell r="K2705" t="str">
            <v>201602151421097</v>
          </cell>
          <cell r="M2705" t="str">
            <v>小活络丸3g*10丸</v>
          </cell>
        </row>
        <row r="2706">
          <cell r="E2706" t="str">
            <v>0020030040SJET0003</v>
          </cell>
          <cell r="H2706" t="str">
            <v>无棣县聚福堂药店连锁有限公司</v>
          </cell>
          <cell r="J2706" t="str">
            <v>1856</v>
          </cell>
          <cell r="K2706" t="str">
            <v>201602151421097</v>
          </cell>
          <cell r="M2706" t="str">
            <v>氨金黄敏颗粒6g*10袋</v>
          </cell>
        </row>
        <row r="2707">
          <cell r="E2707" t="str">
            <v>0020040070ZYEC0005</v>
          </cell>
          <cell r="H2707" t="str">
            <v>无棣县聚福堂药店连锁有限公司</v>
          </cell>
          <cell r="J2707" t="str">
            <v>1856</v>
          </cell>
          <cell r="K2707" t="str">
            <v>201602151421097</v>
          </cell>
          <cell r="M2707" t="str">
            <v>小儿百部止咳糖浆100ml</v>
          </cell>
        </row>
        <row r="2708">
          <cell r="E2708" t="str">
            <v>0020030020SJSC0014</v>
          </cell>
          <cell r="H2708" t="str">
            <v>洋湖乡八里泊社区卫生室</v>
          </cell>
          <cell r="J2708" t="str">
            <v>1855</v>
          </cell>
          <cell r="K2708" t="str">
            <v>201602151421097</v>
          </cell>
          <cell r="M2708" t="str">
            <v>维D2磷酸氢钙片60片</v>
          </cell>
        </row>
        <row r="2709">
          <cell r="E2709" t="str">
            <v>0020030001SJZY0006</v>
          </cell>
          <cell r="H2709" t="str">
            <v>阳信镇行宫庙社区卫生室</v>
          </cell>
          <cell r="J2709" t="str">
            <v>1855</v>
          </cell>
          <cell r="K2709" t="str">
            <v>201602151421097</v>
          </cell>
          <cell r="M2709" t="str">
            <v>葡萄糖酸钙口服溶液（含糖）10ml*12支</v>
          </cell>
        </row>
        <row r="2710">
          <cell r="E2710" t="str">
            <v>0020020030SJMS0024</v>
          </cell>
          <cell r="H2710" t="str">
            <v>阳信镇行宫庙社区卫生室</v>
          </cell>
          <cell r="J2710" t="str">
            <v>1855</v>
          </cell>
          <cell r="K2710" t="str">
            <v>201602151421097</v>
          </cell>
          <cell r="M2710" t="str">
            <v>人工牛黄甲硝唑胶囊/牙疼安10粒*2板</v>
          </cell>
        </row>
        <row r="2711">
          <cell r="E2711" t="str">
            <v>0020050090SJZY0001</v>
          </cell>
          <cell r="H2711" t="str">
            <v>阳信镇行宫庙社区卫生室</v>
          </cell>
          <cell r="J2711" t="str">
            <v>1855</v>
          </cell>
          <cell r="K2711" t="str">
            <v>201602151421097</v>
          </cell>
          <cell r="M2711" t="str">
            <v>双黄连口服液10ml*10支</v>
          </cell>
        </row>
        <row r="2712">
          <cell r="E2712" t="str">
            <v>0020070000SJZY0001</v>
          </cell>
          <cell r="H2712" t="str">
            <v>阳信镇行宫庙社区卫生室</v>
          </cell>
          <cell r="J2712" t="str">
            <v>1855</v>
          </cell>
          <cell r="K2712" t="str">
            <v>201602151421097</v>
          </cell>
          <cell r="M2712" t="str">
            <v>葡萄糖酸锌口服液10ML*12支</v>
          </cell>
        </row>
        <row r="2713">
          <cell r="E2713" t="str">
            <v>0020070000ZYLC0001</v>
          </cell>
          <cell r="H2713" t="str">
            <v>阳信镇行宫庙社区卫生室</v>
          </cell>
          <cell r="J2713" t="str">
            <v>1855</v>
          </cell>
          <cell r="K2713" t="str">
            <v>201602151421097</v>
          </cell>
          <cell r="M2713" t="str">
            <v>新盖中盖高钙片2.5g*36P</v>
          </cell>
        </row>
        <row r="2714">
          <cell r="E2714" t="str">
            <v>0020030040SJET0003</v>
          </cell>
          <cell r="H2714" t="str">
            <v>阳信镇行宫庙社区卫生室</v>
          </cell>
          <cell r="J2714" t="str">
            <v>1855</v>
          </cell>
          <cell r="K2714" t="str">
            <v>201602151421097</v>
          </cell>
          <cell r="M2714" t="str">
            <v>氨金黄敏颗粒6g*10袋</v>
          </cell>
        </row>
        <row r="2715">
          <cell r="E2715" t="str">
            <v>0020020021ZYLC0015</v>
          </cell>
          <cell r="H2715" t="str">
            <v>无棣益生堂药店连锁有限公司</v>
          </cell>
          <cell r="J2715" t="str">
            <v>1856</v>
          </cell>
          <cell r="K2715" t="str">
            <v>201602151421097</v>
          </cell>
          <cell r="M2715" t="str">
            <v>克拉霉素分散片/长迪0.125g*24粒</v>
          </cell>
        </row>
        <row r="2716">
          <cell r="E2716" t="str">
            <v>0020070000ZYLC0001</v>
          </cell>
          <cell r="H2716" t="str">
            <v>无棣益生堂药店连锁有限公司</v>
          </cell>
          <cell r="J2716" t="str">
            <v>1856</v>
          </cell>
          <cell r="K2716" t="str">
            <v>201602151421097</v>
          </cell>
          <cell r="M2716" t="str">
            <v>新盖中盖高钙片2.5g*36P</v>
          </cell>
        </row>
        <row r="2717">
          <cell r="E2717" t="str">
            <v>0020030020ZYLC0010</v>
          </cell>
          <cell r="H2717" t="str">
            <v>无棣益生堂药店连锁有限公司</v>
          </cell>
          <cell r="J2717" t="str">
            <v>1856</v>
          </cell>
          <cell r="K2717" t="str">
            <v>201602151421097</v>
          </cell>
          <cell r="M2717" t="str">
            <v>乳酸菌素片/为消0.4g*36片</v>
          </cell>
        </row>
        <row r="2718">
          <cell r="E2718" t="str">
            <v>0020020021ZYLC0011</v>
          </cell>
          <cell r="H2718" t="str">
            <v>阳信镇行宫庙社区卫生室</v>
          </cell>
          <cell r="J2718" t="str">
            <v>1855</v>
          </cell>
          <cell r="K2718" t="str">
            <v>201602151421097</v>
          </cell>
          <cell r="M2718" t="str">
            <v>严迪/罗红霉素分散片150mg*12片</v>
          </cell>
        </row>
        <row r="2719">
          <cell r="E2719" t="str">
            <v>0020050030SJSC0007</v>
          </cell>
          <cell r="H2719" t="str">
            <v>阳信镇行宫庙社区卫生室</v>
          </cell>
          <cell r="J2719" t="str">
            <v>1855</v>
          </cell>
          <cell r="K2719" t="str">
            <v>201602151421097</v>
          </cell>
          <cell r="M2719" t="str">
            <v>菊梅利咽含片1.2g*18片</v>
          </cell>
        </row>
        <row r="2720">
          <cell r="E2720" t="str">
            <v>0020070001ZYLC0001</v>
          </cell>
          <cell r="H2720" t="str">
            <v>阳信县百姓大药房医药连锁有限公司</v>
          </cell>
          <cell r="J2720" t="str">
            <v>1855</v>
          </cell>
          <cell r="K2720" t="str">
            <v>201602151421097</v>
          </cell>
          <cell r="M2720" t="str">
            <v>哈药六钙锌口服液10ml*12支</v>
          </cell>
        </row>
        <row r="2721">
          <cell r="E2721" t="str">
            <v>0020050090ZYEC0004</v>
          </cell>
          <cell r="H2721" t="str">
            <v>滨城张德辉诊所</v>
          </cell>
          <cell r="J2721" t="str">
            <v>1853</v>
          </cell>
          <cell r="K2721" t="str">
            <v>201602151421097</v>
          </cell>
          <cell r="M2721" t="str">
            <v>刺五加脑灵液100ml</v>
          </cell>
        </row>
        <row r="2722">
          <cell r="E2722" t="str">
            <v>0020030040SHYT0010</v>
          </cell>
          <cell r="H2722" t="str">
            <v>惠民县康之家药房</v>
          </cell>
          <cell r="J2722" t="str">
            <v>1854</v>
          </cell>
          <cell r="K2722" t="str">
            <v>201602151421097</v>
          </cell>
          <cell r="M2722" t="str">
            <v>布洛芬颗粒0.2g*12袋</v>
          </cell>
        </row>
        <row r="2723">
          <cell r="E2723" t="str">
            <v>0020070000ZYLC0001</v>
          </cell>
          <cell r="H2723" t="str">
            <v>阳信县仁和堂医药连锁有限公司</v>
          </cell>
          <cell r="J2723" t="str">
            <v>1855</v>
          </cell>
          <cell r="K2723" t="str">
            <v>201602151421097</v>
          </cell>
          <cell r="M2723" t="str">
            <v>新盖中盖高钙片2.5g*36P</v>
          </cell>
        </row>
        <row r="2724">
          <cell r="E2724" t="str">
            <v>0020070000SJZY0001</v>
          </cell>
          <cell r="H2724" t="str">
            <v>阳信县仁和堂医药连锁有限公司</v>
          </cell>
          <cell r="J2724" t="str">
            <v>1855</v>
          </cell>
          <cell r="K2724" t="str">
            <v>201602151421097</v>
          </cell>
          <cell r="M2724" t="str">
            <v>葡萄糖酸锌口服液10ML*12支</v>
          </cell>
        </row>
        <row r="2725">
          <cell r="E2725" t="str">
            <v>0020020013ZYZC0491</v>
          </cell>
          <cell r="H2725" t="str">
            <v>沾化静康诊所</v>
          </cell>
          <cell r="J2725" t="str">
            <v>1857</v>
          </cell>
          <cell r="K2725" t="str">
            <v>201602151421097</v>
          </cell>
          <cell r="M2725" t="str">
            <v>阿奇针/注射用乳糖酸阿奇霉素针0.25g</v>
          </cell>
        </row>
        <row r="2726">
          <cell r="E2726" t="str">
            <v>0020020021ZYLC0011</v>
          </cell>
          <cell r="H2726" t="str">
            <v>北镇办事处工业园区社区卫生服务站</v>
          </cell>
          <cell r="J2726" t="str">
            <v>1853</v>
          </cell>
          <cell r="K2726" t="str">
            <v>201602151421097</v>
          </cell>
          <cell r="M2726" t="str">
            <v>严迪/罗红霉素分散片150mg*12片</v>
          </cell>
        </row>
        <row r="2727">
          <cell r="E2727" t="str">
            <v>0020050090SJZY0001</v>
          </cell>
          <cell r="H2727" t="str">
            <v>阳信县益寿康大药房有限公司</v>
          </cell>
          <cell r="J2727" t="str">
            <v>1855</v>
          </cell>
          <cell r="K2727" t="str">
            <v>201602151421097</v>
          </cell>
          <cell r="M2727" t="str">
            <v>双黄连口服液10ml*10支</v>
          </cell>
        </row>
        <row r="2728">
          <cell r="E2728" t="str">
            <v>0020030020ZYLC0013</v>
          </cell>
          <cell r="H2728" t="str">
            <v>沾化国瑞医药连锁有限责任公司</v>
          </cell>
          <cell r="J2728" t="str">
            <v>1857</v>
          </cell>
          <cell r="K2728" t="str">
            <v>201602151421097</v>
          </cell>
          <cell r="M2728" t="str">
            <v>“为消”牌乳酸菌素片0.4g*36片</v>
          </cell>
        </row>
        <row r="2729">
          <cell r="E2729" t="str">
            <v>0020030020ZYLC0013</v>
          </cell>
          <cell r="H2729" t="str">
            <v>惠民县胡集镇卫生院陈集分院</v>
          </cell>
          <cell r="J2729" t="str">
            <v>1854</v>
          </cell>
          <cell r="K2729" t="str">
            <v>201602151421097</v>
          </cell>
          <cell r="M2729" t="str">
            <v>“为消”牌乳酸菌素片0.4g*36片</v>
          </cell>
        </row>
        <row r="2730">
          <cell r="E2730" t="str">
            <v>0020020020ZYLC0010</v>
          </cell>
          <cell r="H2730" t="str">
            <v>惠民县胡集镇卫生院陈集分院</v>
          </cell>
          <cell r="J2730" t="str">
            <v>1854</v>
          </cell>
          <cell r="K2730" t="str">
            <v>201602151421097</v>
          </cell>
          <cell r="M2730" t="str">
            <v xml:space="preserve">泻利停/颠茄磺苄啶片0.48g*10片 </v>
          </cell>
        </row>
        <row r="2731">
          <cell r="E2731" t="str">
            <v>0020030020ZYLC0010</v>
          </cell>
          <cell r="H2731" t="str">
            <v>无棣康棣医药连锁有限公司</v>
          </cell>
          <cell r="J2731" t="str">
            <v>1856</v>
          </cell>
          <cell r="K2731" t="str">
            <v>201602151421097</v>
          </cell>
          <cell r="M2731" t="str">
            <v>乳酸菌素片/为消0.4g*36片</v>
          </cell>
        </row>
        <row r="2732">
          <cell r="E2732" t="str">
            <v>0020070000ZYLC0051</v>
          </cell>
          <cell r="H2732" t="str">
            <v>滨州盛泰医药连锁有限公司</v>
          </cell>
          <cell r="J2732" t="str">
            <v>1858</v>
          </cell>
          <cell r="K2732" t="str">
            <v>201602151421097</v>
          </cell>
          <cell r="M2732" t="str">
            <v>朴血/乳酸亚铁口服液10ml*12支</v>
          </cell>
        </row>
        <row r="2733">
          <cell r="E2733" t="str">
            <v>0020040220SHYT0005</v>
          </cell>
          <cell r="H2733" t="str">
            <v>滨州盛泰医药连锁有限公司</v>
          </cell>
          <cell r="J2733" t="str">
            <v>1858</v>
          </cell>
          <cell r="K2733" t="str">
            <v>201602151421097</v>
          </cell>
          <cell r="M2733" t="str">
            <v>妇宁栓1.6g×7枚</v>
          </cell>
        </row>
        <row r="2734">
          <cell r="E2734" t="str">
            <v>0020030170ZYEC0003</v>
          </cell>
          <cell r="H2734" t="str">
            <v>滨州盛泰医药连锁有限公司</v>
          </cell>
          <cell r="J2734" t="str">
            <v>1858</v>
          </cell>
          <cell r="K2734" t="str">
            <v>201602151421097</v>
          </cell>
          <cell r="M2734" t="str">
            <v>蒙脱石散3g*12袋</v>
          </cell>
        </row>
        <row r="2735">
          <cell r="E2735" t="str">
            <v>0020020013ZYZC0213</v>
          </cell>
          <cell r="H2735" t="str">
            <v>孙武街道世纪园诊所</v>
          </cell>
          <cell r="J2735" t="str">
            <v>1854</v>
          </cell>
          <cell r="K2735" t="str">
            <v>201602151421097</v>
          </cell>
          <cell r="M2735" t="str">
            <v>注射用磷霉素钠2g</v>
          </cell>
        </row>
        <row r="2736">
          <cell r="E2736" t="str">
            <v>0020020021ZYLC0011</v>
          </cell>
          <cell r="H2736" t="str">
            <v>孙武街道世纪园诊所</v>
          </cell>
          <cell r="J2736" t="str">
            <v>1854</v>
          </cell>
          <cell r="K2736" t="str">
            <v>201602151421097</v>
          </cell>
          <cell r="M2736" t="str">
            <v>严迪/罗红霉素分散片150mg*12片</v>
          </cell>
        </row>
        <row r="2737">
          <cell r="E2737" t="str">
            <v>0020040030SJSC0003</v>
          </cell>
          <cell r="H2737" t="str">
            <v>惠民润德堂诊所</v>
          </cell>
          <cell r="J2737" t="str">
            <v>1854</v>
          </cell>
          <cell r="K2737" t="str">
            <v>201602151421097</v>
          </cell>
          <cell r="M2737" t="str">
            <v>羊肝明目片0.35g*24片</v>
          </cell>
        </row>
        <row r="2738">
          <cell r="E2738" t="str">
            <v>0020040020SHYT0007</v>
          </cell>
          <cell r="H2738" t="str">
            <v>滨城朱林诊所</v>
          </cell>
          <cell r="J2738" t="str">
            <v>1853</v>
          </cell>
          <cell r="K2738" t="str">
            <v>201602151421097</v>
          </cell>
          <cell r="M2738" t="str">
            <v>丹佛胃尔康颗粒10g*6袋</v>
          </cell>
        </row>
        <row r="2739">
          <cell r="E2739" t="str">
            <v>0020070001ZYZC0383</v>
          </cell>
          <cell r="H2739" t="str">
            <v>滨城济滨医院</v>
          </cell>
          <cell r="J2739" t="str">
            <v>1853</v>
          </cell>
          <cell r="K2739" t="str">
            <v>201602151421097</v>
          </cell>
          <cell r="M2739" t="str">
            <v>哈药牌钙铁锌口服液10ml*10支</v>
          </cell>
        </row>
        <row r="2740">
          <cell r="E2740" t="str">
            <v>0020020021ZYLC0011</v>
          </cell>
          <cell r="H2740" t="str">
            <v>大洋集团诊所</v>
          </cell>
          <cell r="J2740" t="str">
            <v>1856</v>
          </cell>
          <cell r="K2740" t="str">
            <v>201602151421097</v>
          </cell>
          <cell r="M2740" t="str">
            <v>严迪/罗红霉素分散片150mg*12片</v>
          </cell>
        </row>
        <row r="2741">
          <cell r="E2741" t="str">
            <v>0020050090SJZY0001</v>
          </cell>
          <cell r="H2741" t="str">
            <v>阳信镇侯家社区卫生室</v>
          </cell>
          <cell r="J2741" t="str">
            <v>1855</v>
          </cell>
          <cell r="K2741" t="str">
            <v>201602151421097</v>
          </cell>
          <cell r="M2741" t="str">
            <v>双黄连口服液10ml*10支</v>
          </cell>
        </row>
        <row r="2742">
          <cell r="E2742" t="str">
            <v>0020020030ZYLC0006</v>
          </cell>
          <cell r="H2742" t="str">
            <v>邹平博祥医药连锁有限公司</v>
          </cell>
          <cell r="J2742" t="str">
            <v>1859</v>
          </cell>
          <cell r="K2742" t="str">
            <v>201602151421097</v>
          </cell>
          <cell r="M2742" t="str">
            <v>厄贝沙坦胶囊75mg*24粒</v>
          </cell>
        </row>
        <row r="2743">
          <cell r="E2743" t="str">
            <v>0020020030ZYZC0263</v>
          </cell>
          <cell r="H2743" t="str">
            <v>邹平博祥医药连锁有限公司</v>
          </cell>
          <cell r="J2743" t="str">
            <v>1859</v>
          </cell>
          <cell r="K2743" t="str">
            <v>201602151421097</v>
          </cell>
          <cell r="M2743" t="str">
            <v>盐酸依托必利胶囊50mg*20粒</v>
          </cell>
        </row>
        <row r="2744">
          <cell r="E2744" t="str">
            <v>0020030020SJSC0014</v>
          </cell>
          <cell r="H2744" t="str">
            <v>河流镇小李村社区卫生室</v>
          </cell>
          <cell r="J2744" t="str">
            <v>1855</v>
          </cell>
          <cell r="K2744" t="str">
            <v>201602151421097</v>
          </cell>
          <cell r="M2744" t="str">
            <v>维D2磷酸氢钙片60片</v>
          </cell>
        </row>
        <row r="2745">
          <cell r="E2745" t="str">
            <v>0020020020ZYLC0010</v>
          </cell>
          <cell r="H2745" t="str">
            <v xml:space="preserve">阳信人民诊所  </v>
          </cell>
          <cell r="J2745" t="str">
            <v>1855</v>
          </cell>
          <cell r="K2745" t="str">
            <v>201602151421097</v>
          </cell>
          <cell r="M2745" t="str">
            <v xml:space="preserve">泻利停/颠茄磺苄啶片0.48g*10片 </v>
          </cell>
        </row>
        <row r="2746">
          <cell r="E2746" t="str">
            <v>0020050001SHYT0023</v>
          </cell>
          <cell r="H2746" t="str">
            <v>阳信镇北关中心卫生室</v>
          </cell>
          <cell r="J2746" t="str">
            <v>1855</v>
          </cell>
          <cell r="K2746" t="str">
            <v>201602151421097</v>
          </cell>
          <cell r="M2746" t="str">
            <v>保和丸9g*10丸</v>
          </cell>
        </row>
        <row r="2747">
          <cell r="E2747" t="str">
            <v>0020030040ZYLC0001</v>
          </cell>
          <cell r="H2747" t="str">
            <v>惠民县汉康大药房</v>
          </cell>
          <cell r="J2747" t="str">
            <v>1854</v>
          </cell>
          <cell r="K2747" t="str">
            <v>201602151421097</v>
          </cell>
          <cell r="M2747" t="str">
            <v>护彤冲剂/小儿氨酚黄那敏颗粒2g*12袋</v>
          </cell>
        </row>
        <row r="2748">
          <cell r="E2748" t="str">
            <v>0020020021ZYLC0004</v>
          </cell>
          <cell r="H2748" t="str">
            <v>惠民县汉康大药房</v>
          </cell>
          <cell r="J2748" t="str">
            <v>1854</v>
          </cell>
          <cell r="K2748" t="str">
            <v>201602151421097</v>
          </cell>
          <cell r="M2748" t="str">
            <v>大严迪片/罗红霉素分散片75mg*12片</v>
          </cell>
        </row>
        <row r="2749">
          <cell r="E2749" t="str">
            <v>0020020021ZYLC0011</v>
          </cell>
          <cell r="H2749" t="str">
            <v>滨州市滨城区彭李街道办事处黄河社区卫生服务站</v>
          </cell>
          <cell r="J2749" t="str">
            <v>1853</v>
          </cell>
          <cell r="K2749" t="str">
            <v>201602151421097</v>
          </cell>
          <cell r="M2749" t="str">
            <v>严迪/罗红霉素分散片150mg*12片</v>
          </cell>
        </row>
        <row r="2750">
          <cell r="E2750" t="str">
            <v>0020020021ZYLC0011</v>
          </cell>
          <cell r="H2750" t="str">
            <v>信诚街道接官亭村第一卫生室</v>
          </cell>
          <cell r="J2750" t="str">
            <v>1855</v>
          </cell>
          <cell r="K2750" t="str">
            <v>201602151421097</v>
          </cell>
          <cell r="M2750" t="str">
            <v>严迪/罗红霉素分散片150mg*12片</v>
          </cell>
        </row>
        <row r="2751">
          <cell r="E2751" t="str">
            <v>0020020030SJMS0024</v>
          </cell>
          <cell r="H2751" t="str">
            <v>惠民润德堂诊所</v>
          </cell>
          <cell r="J2751" t="str">
            <v>1854</v>
          </cell>
          <cell r="K2751" t="str">
            <v>201602151421097</v>
          </cell>
          <cell r="M2751" t="str">
            <v>人工牛黄甲硝唑胶囊/牙疼安10粒*2板</v>
          </cell>
        </row>
        <row r="2752">
          <cell r="E2752" t="str">
            <v>0020020020ZYLC0010</v>
          </cell>
          <cell r="H2752" t="str">
            <v>邹平仁益医药连锁有限公司</v>
          </cell>
          <cell r="J2752" t="str">
            <v>1859</v>
          </cell>
          <cell r="K2752" t="str">
            <v>201602151421097</v>
          </cell>
          <cell r="M2752" t="str">
            <v xml:space="preserve">泻利停/颠茄磺苄啶片0.48g*10片 </v>
          </cell>
        </row>
        <row r="2753">
          <cell r="E2753" t="str">
            <v>0020070000SJZY0001</v>
          </cell>
          <cell r="H2753" t="str">
            <v>河流镇沙王村社区卫生室</v>
          </cell>
          <cell r="J2753" t="str">
            <v>1855</v>
          </cell>
          <cell r="K2753" t="str">
            <v>201602151421097</v>
          </cell>
          <cell r="M2753" t="str">
            <v>葡萄糖酸锌口服液10ML*12支</v>
          </cell>
        </row>
        <row r="2754">
          <cell r="E2754" t="str">
            <v>0020070001ZYLC0001</v>
          </cell>
          <cell r="H2754" t="str">
            <v>河流镇沙王村社区卫生室</v>
          </cell>
          <cell r="J2754" t="str">
            <v>1855</v>
          </cell>
          <cell r="K2754" t="str">
            <v>201602151421097</v>
          </cell>
          <cell r="M2754" t="str">
            <v>哈药六钙锌口服液10ml*12支</v>
          </cell>
        </row>
        <row r="2755">
          <cell r="E2755" t="str">
            <v>0020030020ZYLC0010</v>
          </cell>
          <cell r="H2755" t="str">
            <v>金红诊所</v>
          </cell>
          <cell r="J2755" t="str">
            <v>1857</v>
          </cell>
          <cell r="K2755" t="str">
            <v>201602151421097</v>
          </cell>
          <cell r="M2755" t="str">
            <v>乳酸菌素片/为消0.4g*36片</v>
          </cell>
        </row>
        <row r="2756">
          <cell r="E2756" t="str">
            <v>0020070001ZYLC0001</v>
          </cell>
          <cell r="H2756" t="str">
            <v>流坡坞镇褚家社区卫生室</v>
          </cell>
          <cell r="J2756" t="str">
            <v>1855</v>
          </cell>
          <cell r="K2756" t="str">
            <v>201602151421097</v>
          </cell>
          <cell r="M2756" t="str">
            <v>哈药六钙锌口服液10ml*12支</v>
          </cell>
        </row>
        <row r="2757">
          <cell r="E2757" t="str">
            <v>0020070000SJZY0001</v>
          </cell>
          <cell r="H2757" t="str">
            <v>流坡坞镇西李昂社区卫生室</v>
          </cell>
          <cell r="J2757" t="str">
            <v>1855</v>
          </cell>
          <cell r="K2757" t="str">
            <v>201602151421097</v>
          </cell>
          <cell r="M2757" t="str">
            <v>葡萄糖酸锌口服液10ML*12支</v>
          </cell>
        </row>
        <row r="2758">
          <cell r="E2758" t="str">
            <v>0020040070ZYEC0005</v>
          </cell>
          <cell r="H2758" t="str">
            <v>无棣县聚福堂药店连锁有限公司</v>
          </cell>
          <cell r="J2758" t="str">
            <v>1856</v>
          </cell>
          <cell r="K2758" t="str">
            <v>201602151421097</v>
          </cell>
          <cell r="M2758" t="str">
            <v>小儿百部止咳糖浆100ml</v>
          </cell>
        </row>
        <row r="2759">
          <cell r="E2759" t="str">
            <v>0020030040ZYLC0001</v>
          </cell>
          <cell r="H2759" t="str">
            <v>惠民县广军康宁大药房有限公司</v>
          </cell>
          <cell r="J2759" t="str">
            <v>1854</v>
          </cell>
          <cell r="K2759" t="str">
            <v>201602151421097</v>
          </cell>
          <cell r="M2759" t="str">
            <v>护彤冲剂/小儿氨酚黄那敏颗粒2g*12袋</v>
          </cell>
        </row>
        <row r="2760">
          <cell r="E2760" t="str">
            <v>0020070001ZYZC0377</v>
          </cell>
          <cell r="H2760" t="str">
            <v>商店镇王朝正社区卫生室</v>
          </cell>
          <cell r="J2760" t="str">
            <v>1855</v>
          </cell>
          <cell r="K2760" t="str">
            <v>201602151421097</v>
          </cell>
          <cell r="M2760" t="str">
            <v>哈药牌钙铁锌口服液10ml*15支</v>
          </cell>
        </row>
        <row r="2761">
          <cell r="E2761" t="str">
            <v>0020020030SJMS0024</v>
          </cell>
          <cell r="H2761" t="str">
            <v>无棣荣玉大药房</v>
          </cell>
          <cell r="J2761" t="str">
            <v>1856</v>
          </cell>
          <cell r="K2761" t="str">
            <v>201602151421097</v>
          </cell>
          <cell r="M2761" t="str">
            <v>人工牛黄甲硝唑胶囊/牙疼安10粒*2板</v>
          </cell>
        </row>
        <row r="2762">
          <cell r="E2762" t="str">
            <v>0020040070ZYEC0005</v>
          </cell>
          <cell r="H2762" t="str">
            <v>滨城谢凤树诊所</v>
          </cell>
          <cell r="J2762" t="str">
            <v>1853</v>
          </cell>
          <cell r="K2762" t="str">
            <v>201602151421097</v>
          </cell>
          <cell r="M2762" t="str">
            <v>小儿百部止咳糖浆100ml</v>
          </cell>
        </row>
        <row r="2763">
          <cell r="E2763" t="str">
            <v>0020020021ZYLC0011</v>
          </cell>
          <cell r="H2763" t="str">
            <v>阳信县仁和堂医药连锁有限公司</v>
          </cell>
          <cell r="J2763" t="str">
            <v>1855</v>
          </cell>
          <cell r="K2763" t="str">
            <v>201602151421097</v>
          </cell>
          <cell r="M2763" t="str">
            <v>严迪/罗红霉素分散片150mg*12片</v>
          </cell>
        </row>
        <row r="2764">
          <cell r="E2764" t="str">
            <v>0020070001ZYLC0001</v>
          </cell>
          <cell r="H2764" t="str">
            <v>劳店乡西街村卫生室</v>
          </cell>
          <cell r="J2764" t="str">
            <v>1855</v>
          </cell>
          <cell r="K2764" t="str">
            <v>201602151421097</v>
          </cell>
          <cell r="M2764" t="str">
            <v>哈药六钙锌口服液10ml*12支</v>
          </cell>
        </row>
        <row r="2765">
          <cell r="E2765" t="str">
            <v>0020050090ZYEC0005</v>
          </cell>
          <cell r="H2765" t="str">
            <v>惠民县敬文大药房</v>
          </cell>
          <cell r="J2765" t="str">
            <v>1854</v>
          </cell>
          <cell r="K2765" t="str">
            <v>201602151421097</v>
          </cell>
          <cell r="M2765" t="str">
            <v>清热解毒口服液10ML*10支</v>
          </cell>
        </row>
        <row r="2766">
          <cell r="E2766" t="str">
            <v>0020030040SJET0003</v>
          </cell>
          <cell r="H2766" t="str">
            <v>惠民县敬文大药房</v>
          </cell>
          <cell r="J2766" t="str">
            <v>1854</v>
          </cell>
          <cell r="K2766" t="str">
            <v>201602151421097</v>
          </cell>
          <cell r="M2766" t="str">
            <v>氨金黄敏颗粒6g*10袋</v>
          </cell>
        </row>
        <row r="2767">
          <cell r="E2767" t="str">
            <v>0020030020SJSC0004</v>
          </cell>
          <cell r="H2767" t="str">
            <v>惠民县敬文大药房</v>
          </cell>
          <cell r="J2767" t="str">
            <v>1854</v>
          </cell>
          <cell r="K2767" t="str">
            <v>201602151421097</v>
          </cell>
          <cell r="M2767" t="str">
            <v>胃必治/复方铝酸铋片50片</v>
          </cell>
        </row>
        <row r="2768">
          <cell r="E2768" t="str">
            <v>0020070000ZYLC0003</v>
          </cell>
          <cell r="H2768" t="str">
            <v>惠民县敬文大药房</v>
          </cell>
          <cell r="J2768" t="str">
            <v>1854</v>
          </cell>
          <cell r="K2768" t="str">
            <v>201602151421097</v>
          </cell>
          <cell r="M2768" t="str">
            <v>新盖中盖牌儿童钙片1.75g*36p</v>
          </cell>
        </row>
        <row r="2769">
          <cell r="E2769" t="str">
            <v>0020040070ZYEC0005</v>
          </cell>
          <cell r="H2769" t="str">
            <v>惠民县敬文大药房</v>
          </cell>
          <cell r="J2769" t="str">
            <v>1854</v>
          </cell>
          <cell r="K2769" t="str">
            <v>201602151421097</v>
          </cell>
          <cell r="M2769" t="str">
            <v>小儿百部止咳糖浆100ml</v>
          </cell>
        </row>
        <row r="2770">
          <cell r="E2770" t="str">
            <v>0020050020ZYEC0008</v>
          </cell>
          <cell r="H2770" t="str">
            <v>惠民县敬文大药房</v>
          </cell>
          <cell r="J2770" t="str">
            <v>1854</v>
          </cell>
          <cell r="K2770" t="str">
            <v>201602151421097</v>
          </cell>
          <cell r="M2770" t="str">
            <v>感冒解毒灵颗粒5g*10袋</v>
          </cell>
        </row>
        <row r="2771">
          <cell r="E2771" t="str">
            <v>0020050090ZYEC0004</v>
          </cell>
          <cell r="H2771" t="str">
            <v>惠民县敬文大药房</v>
          </cell>
          <cell r="J2771" t="str">
            <v>1854</v>
          </cell>
          <cell r="K2771" t="str">
            <v>201602151421097</v>
          </cell>
          <cell r="M2771" t="str">
            <v>刺五加脑灵液100ml</v>
          </cell>
        </row>
        <row r="2772">
          <cell r="E2772" t="str">
            <v>0020070000SJZY0001</v>
          </cell>
          <cell r="H2772" t="str">
            <v>惠民县敬文大药房</v>
          </cell>
          <cell r="J2772" t="str">
            <v>1854</v>
          </cell>
          <cell r="K2772" t="str">
            <v>201602151421097</v>
          </cell>
          <cell r="M2772" t="str">
            <v>葡萄糖酸锌口服液10ML*12支</v>
          </cell>
        </row>
        <row r="2773">
          <cell r="E2773" t="str">
            <v>0020030020ZYLC0010</v>
          </cell>
          <cell r="H2773" t="str">
            <v>惠民县敬文大药房</v>
          </cell>
          <cell r="J2773" t="str">
            <v>1854</v>
          </cell>
          <cell r="K2773" t="str">
            <v>201602151421097</v>
          </cell>
          <cell r="M2773" t="str">
            <v>乳酸菌素片/为消0.4g*36片</v>
          </cell>
        </row>
        <row r="2774">
          <cell r="E2774" t="str">
            <v>0020070001ZYZC0383</v>
          </cell>
          <cell r="H2774" t="str">
            <v>惠民县敬文大药房</v>
          </cell>
          <cell r="J2774" t="str">
            <v>1854</v>
          </cell>
          <cell r="K2774" t="str">
            <v>201602151421097</v>
          </cell>
          <cell r="M2774" t="str">
            <v>哈药牌钙铁锌口服液10ml*10支</v>
          </cell>
        </row>
        <row r="2775">
          <cell r="E2775" t="str">
            <v>0020070001ZYLC0001</v>
          </cell>
          <cell r="H2775" t="str">
            <v>惠民县敬文大药房</v>
          </cell>
          <cell r="J2775" t="str">
            <v>1854</v>
          </cell>
          <cell r="K2775" t="str">
            <v>201602151421097</v>
          </cell>
          <cell r="M2775" t="str">
            <v>哈药六钙锌口服液10ml*12支</v>
          </cell>
        </row>
        <row r="2776">
          <cell r="E2776" t="str">
            <v>0020030020SJSC0025</v>
          </cell>
          <cell r="H2776" t="str">
            <v>惠民县敬文大药房</v>
          </cell>
          <cell r="J2776" t="str">
            <v>1854</v>
          </cell>
          <cell r="K2776" t="str">
            <v>201602151421097</v>
          </cell>
          <cell r="M2776" t="str">
            <v>复方氨酚烷胺片12片</v>
          </cell>
        </row>
        <row r="2777">
          <cell r="E2777" t="str">
            <v>0020070000ZYLC0051</v>
          </cell>
          <cell r="H2777" t="str">
            <v>惠民县敬文大药房</v>
          </cell>
          <cell r="J2777" t="str">
            <v>1854</v>
          </cell>
          <cell r="K2777" t="str">
            <v>201602151421097</v>
          </cell>
          <cell r="M2777" t="str">
            <v>朴血/乳酸亚铁口服液10ml*12支</v>
          </cell>
        </row>
        <row r="2778">
          <cell r="E2778" t="str">
            <v>0020020021ZYLC0005</v>
          </cell>
          <cell r="H2778" t="str">
            <v>惠民县敬文大药房</v>
          </cell>
          <cell r="J2778" t="str">
            <v>1854</v>
          </cell>
          <cell r="K2778" t="str">
            <v>201602151421097</v>
          </cell>
          <cell r="M2778" t="str">
            <v>小儿严迪片/罗红霉素分散片50mg*12片</v>
          </cell>
        </row>
        <row r="2779">
          <cell r="E2779" t="str">
            <v>0020030170ZYEC0003</v>
          </cell>
          <cell r="H2779" t="str">
            <v>惠民县敬文大药房</v>
          </cell>
          <cell r="J2779" t="str">
            <v>1854</v>
          </cell>
          <cell r="K2779" t="str">
            <v>201602151421097</v>
          </cell>
          <cell r="M2779" t="str">
            <v>蒙脱石散3g*12袋</v>
          </cell>
        </row>
        <row r="2780">
          <cell r="E2780" t="str">
            <v>0020030040ZYLC0001</v>
          </cell>
          <cell r="H2780" t="str">
            <v>惠民县敬文大药房</v>
          </cell>
          <cell r="J2780" t="str">
            <v>1854</v>
          </cell>
          <cell r="K2780" t="str">
            <v>201602151421097</v>
          </cell>
          <cell r="M2780" t="str">
            <v>护彤冲剂/小儿氨酚黄那敏颗粒2g*12袋</v>
          </cell>
        </row>
        <row r="2781">
          <cell r="E2781" t="str">
            <v>0020020020ZYLC0003</v>
          </cell>
          <cell r="H2781" t="str">
            <v>惠民县敬文大药房</v>
          </cell>
          <cell r="J2781" t="str">
            <v>1854</v>
          </cell>
          <cell r="K2781" t="str">
            <v>201602151421097</v>
          </cell>
          <cell r="M2781" t="str">
            <v>泻立停片/颠茄磺苄啶片0.4g：80mg：8mg*12片</v>
          </cell>
        </row>
        <row r="2782">
          <cell r="E2782" t="str">
            <v>0020070000ZYLC0001</v>
          </cell>
          <cell r="H2782" t="str">
            <v>惠民县敬文大药房</v>
          </cell>
          <cell r="J2782" t="str">
            <v>1854</v>
          </cell>
          <cell r="K2782" t="str">
            <v>201602151421097</v>
          </cell>
          <cell r="M2782" t="str">
            <v>新盖中盖高钙片2.5g*36P</v>
          </cell>
        </row>
        <row r="2783">
          <cell r="E2783" t="str">
            <v>0020040220SHYT0005</v>
          </cell>
          <cell r="H2783" t="str">
            <v>惠民县敬文大药房</v>
          </cell>
          <cell r="J2783" t="str">
            <v>1854</v>
          </cell>
          <cell r="K2783" t="str">
            <v>201602151421097</v>
          </cell>
          <cell r="M2783" t="str">
            <v>妇宁栓1.6g×7枚</v>
          </cell>
        </row>
        <row r="2784">
          <cell r="E2784" t="str">
            <v>0020020021ZYLC0011</v>
          </cell>
          <cell r="H2784" t="str">
            <v>惠民县敬文大药房</v>
          </cell>
          <cell r="J2784" t="str">
            <v>1854</v>
          </cell>
          <cell r="K2784" t="str">
            <v>201602151421097</v>
          </cell>
          <cell r="M2784" t="str">
            <v>严迪/罗红霉素分散片150mg*12片</v>
          </cell>
        </row>
        <row r="2785">
          <cell r="E2785" t="str">
            <v>0020050030SJSC0007</v>
          </cell>
          <cell r="H2785" t="str">
            <v>惠民县敬文大药房</v>
          </cell>
          <cell r="J2785" t="str">
            <v>1854</v>
          </cell>
          <cell r="K2785" t="str">
            <v>201602151421097</v>
          </cell>
          <cell r="M2785" t="str">
            <v>菊梅利咽含片1.2g*18片</v>
          </cell>
        </row>
        <row r="2786">
          <cell r="E2786" t="str">
            <v>0020020020ZYLC0003</v>
          </cell>
          <cell r="H2786" t="str">
            <v>无棣汇仁堂药店</v>
          </cell>
          <cell r="J2786" t="str">
            <v>1856</v>
          </cell>
          <cell r="K2786" t="str">
            <v>201602151421097</v>
          </cell>
          <cell r="M2786" t="str">
            <v>泻立停片/颠茄磺苄啶片0.4g：80mg：8mg*12片</v>
          </cell>
        </row>
        <row r="2787">
          <cell r="E2787" t="str">
            <v>0020020020ZYLC0003</v>
          </cell>
          <cell r="H2787" t="str">
            <v>无棣县聚福堂药店连锁有限公司</v>
          </cell>
          <cell r="J2787" t="str">
            <v>1856</v>
          </cell>
          <cell r="K2787" t="str">
            <v>201602151421097</v>
          </cell>
          <cell r="M2787" t="str">
            <v>泻立停片/颠茄磺苄啶片0.4g：80mg：8mg*12片</v>
          </cell>
        </row>
        <row r="2788">
          <cell r="E2788" t="str">
            <v>0020020020ZYLC0003</v>
          </cell>
          <cell r="H2788" t="str">
            <v>滨州市益生园大药房连锁有限公司</v>
          </cell>
          <cell r="J2788" t="str">
            <v>1858</v>
          </cell>
          <cell r="K2788" t="str">
            <v>201602151421097</v>
          </cell>
          <cell r="M2788" t="str">
            <v>泻立停片/颠茄磺苄啶片0.4g：80mg：8mg*12片</v>
          </cell>
        </row>
        <row r="2789">
          <cell r="E2789" t="str">
            <v>0020020021ZYLC0004</v>
          </cell>
          <cell r="H2789" t="str">
            <v>滨州市益生园大药房连锁有限公司</v>
          </cell>
          <cell r="J2789" t="str">
            <v>1858</v>
          </cell>
          <cell r="K2789" t="str">
            <v>201602151421097</v>
          </cell>
          <cell r="M2789" t="str">
            <v>大严迪片/罗红霉素分散片75mg*12片</v>
          </cell>
        </row>
        <row r="2790">
          <cell r="E2790" t="str">
            <v>0020040220SHYT0004</v>
          </cell>
          <cell r="H2790" t="str">
            <v>滨州市益生园大药房连锁有限公司</v>
          </cell>
          <cell r="J2790" t="str">
            <v>1858</v>
          </cell>
          <cell r="K2790" t="str">
            <v>201602151421097</v>
          </cell>
          <cell r="M2790" t="str">
            <v>妇宁栓1.6g*8枚</v>
          </cell>
        </row>
        <row r="2791">
          <cell r="E2791" t="str">
            <v>0020070001ZYZC0383</v>
          </cell>
          <cell r="H2791" t="str">
            <v>滨州市益生园大药房连锁有限公司</v>
          </cell>
          <cell r="J2791" t="str">
            <v>1858</v>
          </cell>
          <cell r="K2791" t="str">
            <v>201602151421097</v>
          </cell>
          <cell r="M2791" t="str">
            <v>哈药牌钙铁锌口服液10ml*10支</v>
          </cell>
        </row>
        <row r="2792">
          <cell r="E2792" t="str">
            <v>0020030040SJET0003</v>
          </cell>
          <cell r="H2792" t="str">
            <v>滨州市益生园大药房连锁有限公司</v>
          </cell>
          <cell r="J2792" t="str">
            <v>1858</v>
          </cell>
          <cell r="K2792" t="str">
            <v>201602151421097</v>
          </cell>
          <cell r="M2792" t="str">
            <v>氨金黄敏颗粒6g*10袋</v>
          </cell>
        </row>
        <row r="2793">
          <cell r="E2793" t="str">
            <v>0020030020ZYLC0010</v>
          </cell>
          <cell r="H2793" t="str">
            <v>滨州市益生园大药房连锁有限公司</v>
          </cell>
          <cell r="J2793" t="str">
            <v>1858</v>
          </cell>
          <cell r="K2793" t="str">
            <v>201602151421097</v>
          </cell>
          <cell r="M2793" t="str">
            <v>乳酸菌素片/为消0.4g*36片</v>
          </cell>
        </row>
        <row r="2794">
          <cell r="E2794" t="str">
            <v>0020030020SJSC0004</v>
          </cell>
          <cell r="H2794" t="str">
            <v>滨州市益生园大药房连锁有限公司</v>
          </cell>
          <cell r="J2794" t="str">
            <v>1858</v>
          </cell>
          <cell r="K2794" t="str">
            <v>201602151421097</v>
          </cell>
          <cell r="M2794" t="str">
            <v>胃必治/复方铝酸铋片50片</v>
          </cell>
        </row>
        <row r="2795">
          <cell r="E2795" t="str">
            <v>0020030020ZYLC0013</v>
          </cell>
          <cell r="H2795" t="str">
            <v>滨州市益生园大药房连锁有限公司</v>
          </cell>
          <cell r="J2795" t="str">
            <v>1858</v>
          </cell>
          <cell r="K2795" t="str">
            <v>201602151421097</v>
          </cell>
          <cell r="M2795" t="str">
            <v>“为消”牌乳酸菌素片0.4g*36片</v>
          </cell>
        </row>
        <row r="2796">
          <cell r="E2796" t="str">
            <v>0020070001ZYLC0001</v>
          </cell>
          <cell r="H2796" t="str">
            <v>滨州市益生园大药房连锁有限公司</v>
          </cell>
          <cell r="J2796" t="str">
            <v>1858</v>
          </cell>
          <cell r="K2796" t="str">
            <v>201602151421097</v>
          </cell>
          <cell r="M2796" t="str">
            <v>哈药六钙锌口服液10ml*12支</v>
          </cell>
        </row>
        <row r="2797">
          <cell r="E2797" t="str">
            <v>0020020020ZYLC0003</v>
          </cell>
          <cell r="H2797" t="str">
            <v>无棣福顺康大药房</v>
          </cell>
          <cell r="J2797" t="str">
            <v>1856</v>
          </cell>
          <cell r="K2797" t="str">
            <v>201602151421097</v>
          </cell>
          <cell r="M2797" t="str">
            <v>泻立停片/颠茄磺苄啶片0.4g：80mg：8mg*12片</v>
          </cell>
        </row>
        <row r="2798">
          <cell r="E2798" t="str">
            <v>0020030020SJSC0004</v>
          </cell>
          <cell r="H2798" t="str">
            <v>北海新区泰和祥药店</v>
          </cell>
          <cell r="J2798" t="str">
            <v>1856</v>
          </cell>
          <cell r="K2798" t="str">
            <v>201602151421097</v>
          </cell>
          <cell r="M2798" t="str">
            <v>胃必治/复方铝酸铋片50片</v>
          </cell>
        </row>
        <row r="2799">
          <cell r="E2799" t="str">
            <v>0020020020ZYLC0003</v>
          </cell>
          <cell r="H2799" t="str">
            <v>无棣万盛堂药店连锁有限公司</v>
          </cell>
          <cell r="J2799" t="str">
            <v>1856</v>
          </cell>
          <cell r="K2799" t="str">
            <v>201602151421097</v>
          </cell>
          <cell r="M2799" t="str">
            <v>泻立停片/颠茄磺苄啶片0.4g：80mg：8mg*12片</v>
          </cell>
        </row>
        <row r="2800">
          <cell r="E2800" t="str">
            <v>0020040070ZYEC0005</v>
          </cell>
          <cell r="H2800" t="str">
            <v>无棣万盛堂药店连锁有限公司</v>
          </cell>
          <cell r="J2800" t="str">
            <v>1856</v>
          </cell>
          <cell r="K2800" t="str">
            <v>201602151421097</v>
          </cell>
          <cell r="M2800" t="str">
            <v>小儿百部止咳糖浆100ml</v>
          </cell>
        </row>
        <row r="2801">
          <cell r="E2801" t="str">
            <v>0020050020SHYT0016</v>
          </cell>
          <cell r="H2801" t="str">
            <v>无棣万盛堂药店连锁有限公司</v>
          </cell>
          <cell r="J2801" t="str">
            <v>1856</v>
          </cell>
          <cell r="K2801" t="str">
            <v>201602151421097</v>
          </cell>
          <cell r="M2801" t="str">
            <v>复方金银花颗粒10g*10袋</v>
          </cell>
        </row>
        <row r="2802">
          <cell r="E2802" t="str">
            <v>0020070000ZYLC0003</v>
          </cell>
          <cell r="H2802" t="str">
            <v>阳信县商店镇台属大药房</v>
          </cell>
          <cell r="J2802" t="str">
            <v>1855</v>
          </cell>
          <cell r="K2802" t="str">
            <v>201602151421097</v>
          </cell>
          <cell r="M2802" t="str">
            <v>新盖中盖牌儿童钙片1.75g*36p</v>
          </cell>
        </row>
        <row r="2803">
          <cell r="E2803" t="str">
            <v>0020070000SJZY0001</v>
          </cell>
          <cell r="H2803" t="str">
            <v>无棣益生堂药店连锁有限公司</v>
          </cell>
          <cell r="J2803" t="str">
            <v>1856</v>
          </cell>
          <cell r="K2803" t="str">
            <v>201602151421097</v>
          </cell>
          <cell r="M2803" t="str">
            <v>葡萄糖酸锌口服液10ML*12支</v>
          </cell>
        </row>
        <row r="2804">
          <cell r="E2804" t="str">
            <v>0020070001ZYZC0383</v>
          </cell>
          <cell r="H2804" t="str">
            <v>无棣益生堂药店连锁有限公司</v>
          </cell>
          <cell r="J2804" t="str">
            <v>1856</v>
          </cell>
          <cell r="K2804" t="str">
            <v>201602151421097</v>
          </cell>
          <cell r="M2804" t="str">
            <v>哈药牌钙铁锌口服液10ml*10支</v>
          </cell>
        </row>
        <row r="2805">
          <cell r="E2805" t="str">
            <v>0020070001ZYZC0383</v>
          </cell>
          <cell r="H2805" t="str">
            <v>无棣益生堂药店连锁有限公司</v>
          </cell>
          <cell r="J2805" t="str">
            <v>1856</v>
          </cell>
          <cell r="K2805" t="str">
            <v>201602151421097</v>
          </cell>
          <cell r="M2805" t="str">
            <v>哈药牌钙铁锌口服液10ml*10支</v>
          </cell>
        </row>
        <row r="2806">
          <cell r="E2806" t="str">
            <v>0020070000ZYLC0003</v>
          </cell>
          <cell r="H2806" t="str">
            <v>无棣益生堂药店连锁有限公司</v>
          </cell>
          <cell r="J2806" t="str">
            <v>1856</v>
          </cell>
          <cell r="K2806" t="str">
            <v>201602151421097</v>
          </cell>
          <cell r="M2806" t="str">
            <v>新盖中盖牌儿童钙片1.75g*36p</v>
          </cell>
        </row>
        <row r="2807">
          <cell r="E2807" t="str">
            <v>0020070001ZYLC0001</v>
          </cell>
          <cell r="H2807" t="str">
            <v>无棣益生堂药店连锁有限公司</v>
          </cell>
          <cell r="J2807" t="str">
            <v>1856</v>
          </cell>
          <cell r="K2807" t="str">
            <v>201602151421097</v>
          </cell>
          <cell r="M2807" t="str">
            <v>哈药六钙锌口服液10ml*12支</v>
          </cell>
        </row>
        <row r="2808">
          <cell r="E2808" t="str">
            <v>0020040220SHYT0005</v>
          </cell>
          <cell r="H2808" t="str">
            <v>无棣益生堂药店连锁有限公司</v>
          </cell>
          <cell r="J2808" t="str">
            <v>1856</v>
          </cell>
          <cell r="K2808" t="str">
            <v>201602151421097</v>
          </cell>
          <cell r="M2808" t="str">
            <v>妇宁栓1.6g×7枚</v>
          </cell>
        </row>
        <row r="2809">
          <cell r="E2809" t="str">
            <v>0020030040ZYLC0001</v>
          </cell>
          <cell r="H2809" t="str">
            <v>惠民县仁春医药有限公司</v>
          </cell>
          <cell r="J2809" t="str">
            <v>1854</v>
          </cell>
          <cell r="K2809" t="str">
            <v>201602151421097</v>
          </cell>
          <cell r="M2809" t="str">
            <v>护彤冲剂/小儿氨酚黄那敏颗粒2g*12袋</v>
          </cell>
        </row>
        <row r="2810">
          <cell r="E2810" t="str">
            <v>0020070000SJZY0001</v>
          </cell>
          <cell r="H2810" t="str">
            <v>惠民县仁春医药有限公司</v>
          </cell>
          <cell r="J2810" t="str">
            <v>1854</v>
          </cell>
          <cell r="K2810" t="str">
            <v>201602151421097</v>
          </cell>
          <cell r="M2810" t="str">
            <v>葡萄糖酸锌口服液10ML*12支</v>
          </cell>
        </row>
        <row r="2811">
          <cell r="E2811" t="str">
            <v>0020070001ZYLC0001</v>
          </cell>
          <cell r="H2811" t="str">
            <v>阳信县商店镇台属大药房</v>
          </cell>
          <cell r="J2811" t="str">
            <v>1855</v>
          </cell>
          <cell r="K2811" t="str">
            <v>201602151421097</v>
          </cell>
          <cell r="M2811" t="str">
            <v>哈药六钙锌口服液10ml*12支</v>
          </cell>
        </row>
        <row r="2812">
          <cell r="E2812" t="str">
            <v>0020020021ZYLC0011</v>
          </cell>
          <cell r="H2812" t="str">
            <v>阳信县商店镇台属大药房</v>
          </cell>
          <cell r="J2812" t="str">
            <v>1855</v>
          </cell>
          <cell r="K2812" t="str">
            <v>201602151421097</v>
          </cell>
          <cell r="M2812" t="str">
            <v>严迪/罗红霉素分散片150mg*12片</v>
          </cell>
        </row>
        <row r="2813">
          <cell r="E2813" t="str">
            <v>0020020020ZYLC0010</v>
          </cell>
          <cell r="H2813" t="str">
            <v>惠民县桑落墅镇弘轩大药房</v>
          </cell>
          <cell r="J2813" t="str">
            <v>1854</v>
          </cell>
          <cell r="K2813" t="str">
            <v>201602151421097</v>
          </cell>
          <cell r="M2813" t="str">
            <v xml:space="preserve">泻利停/颠茄磺苄啶片0.48g*10片 </v>
          </cell>
        </row>
        <row r="2814">
          <cell r="E2814" t="str">
            <v>0020030020SJSC0014</v>
          </cell>
          <cell r="H2814" t="str">
            <v>阳信镇侯家社区卫生室</v>
          </cell>
          <cell r="J2814" t="str">
            <v>1855</v>
          </cell>
          <cell r="K2814" t="str">
            <v>201602151421097</v>
          </cell>
          <cell r="M2814" t="str">
            <v>维D2磷酸氢钙片60片</v>
          </cell>
        </row>
        <row r="2815">
          <cell r="E2815" t="str">
            <v>0020030040SJET0003</v>
          </cell>
          <cell r="H2815" t="str">
            <v>博兴县城东街道办事处国康大药房</v>
          </cell>
          <cell r="J2815" t="str">
            <v>1858</v>
          </cell>
          <cell r="K2815" t="str">
            <v>201602151421097</v>
          </cell>
          <cell r="M2815" t="str">
            <v>氨金黄敏颗粒6g*10袋</v>
          </cell>
        </row>
        <row r="2816">
          <cell r="E2816" t="str">
            <v>0020070000SJZY0001</v>
          </cell>
          <cell r="H2816" t="str">
            <v>博兴县城东街道办事处国康大药房</v>
          </cell>
          <cell r="J2816" t="str">
            <v>1858</v>
          </cell>
          <cell r="K2816" t="str">
            <v>201602151421097</v>
          </cell>
          <cell r="M2816" t="str">
            <v>葡萄糖酸锌口服液10ML*12支</v>
          </cell>
        </row>
        <row r="2817">
          <cell r="E2817" t="str">
            <v>0020050090SJZY0020</v>
          </cell>
          <cell r="H2817" t="str">
            <v>博兴县城东街道办事处国康大药房</v>
          </cell>
          <cell r="J2817" t="str">
            <v>1858</v>
          </cell>
          <cell r="K2817" t="str">
            <v>201602151421097</v>
          </cell>
          <cell r="M2817" t="str">
            <v>双黄连口服液20ml*9支</v>
          </cell>
        </row>
        <row r="2818">
          <cell r="E2818" t="str">
            <v>0020020020ZYLC0010</v>
          </cell>
          <cell r="H2818" t="str">
            <v>阳信宜仁堂诊所</v>
          </cell>
          <cell r="J2818" t="str">
            <v>1855</v>
          </cell>
          <cell r="K2818" t="str">
            <v>201602151421097</v>
          </cell>
          <cell r="M2818" t="str">
            <v xml:space="preserve">泻利停/颠茄磺苄啶片0.48g*10片 </v>
          </cell>
        </row>
        <row r="2819">
          <cell r="E2819" t="str">
            <v>0020030020ZYZC0360</v>
          </cell>
          <cell r="H2819" t="str">
            <v>滨城区市东街道办事处南蔺卫生室</v>
          </cell>
          <cell r="J2819" t="str">
            <v>1853</v>
          </cell>
          <cell r="K2819" t="str">
            <v>201602151421097</v>
          </cell>
          <cell r="M2819" t="str">
            <v>*维生素C咀嚼片/VC片0.1g*30片</v>
          </cell>
        </row>
        <row r="2820">
          <cell r="E2820" t="str">
            <v>0020030040ZYLC0001</v>
          </cell>
          <cell r="H2820" t="str">
            <v>滨州高新区康福大药店</v>
          </cell>
          <cell r="J2820" t="str">
            <v>1853</v>
          </cell>
          <cell r="K2820" t="str">
            <v>201602151421097</v>
          </cell>
          <cell r="M2820" t="str">
            <v>护彤冲剂/小儿氨酚黄那敏颗粒2g*12袋</v>
          </cell>
        </row>
        <row r="2821">
          <cell r="E2821" t="str">
            <v>0020070000SJZY0001</v>
          </cell>
          <cell r="H2821" t="str">
            <v>滨州高新区康福大药店</v>
          </cell>
          <cell r="J2821" t="str">
            <v>1853</v>
          </cell>
          <cell r="K2821" t="str">
            <v>201602151421097</v>
          </cell>
          <cell r="M2821" t="str">
            <v>葡萄糖酸锌口服液10ML*12支</v>
          </cell>
        </row>
        <row r="2822">
          <cell r="E2822" t="str">
            <v>0020070000ZYLC0051</v>
          </cell>
          <cell r="H2822" t="str">
            <v>滨州高新区康福大药店</v>
          </cell>
          <cell r="J2822" t="str">
            <v>1853</v>
          </cell>
          <cell r="K2822" t="str">
            <v>201602151421097</v>
          </cell>
          <cell r="M2822" t="str">
            <v>朴血/乳酸亚铁口服液10ml*12支</v>
          </cell>
        </row>
        <row r="2823">
          <cell r="E2823" t="str">
            <v>0020070000ZYLC0051</v>
          </cell>
          <cell r="H2823" t="str">
            <v>金阳街道张杠社区卫生室</v>
          </cell>
          <cell r="J2823" t="str">
            <v>1855</v>
          </cell>
          <cell r="K2823" t="str">
            <v>201602151421097</v>
          </cell>
          <cell r="M2823" t="str">
            <v>朴血/乳酸亚铁口服液10ml*12支</v>
          </cell>
        </row>
        <row r="2824">
          <cell r="E2824" t="str">
            <v>0020070001ZYLC0001</v>
          </cell>
          <cell r="H2824" t="str">
            <v>金阳街道张杠社区卫生室</v>
          </cell>
          <cell r="J2824" t="str">
            <v>1855</v>
          </cell>
          <cell r="K2824" t="str">
            <v>201602151421097</v>
          </cell>
          <cell r="M2824" t="str">
            <v>哈药六钙锌口服液10ml*12支</v>
          </cell>
        </row>
        <row r="2825">
          <cell r="E2825" t="str">
            <v>0020030020SJSC0004</v>
          </cell>
          <cell r="H2825" t="str">
            <v>沾化县康宁诊所</v>
          </cell>
          <cell r="J2825" t="str">
            <v>1857</v>
          </cell>
          <cell r="K2825" t="str">
            <v>201602151421097</v>
          </cell>
          <cell r="M2825" t="str">
            <v>胃必治/复方铝酸铋片50片</v>
          </cell>
        </row>
        <row r="2826">
          <cell r="E2826" t="str">
            <v>0020020021ZYZC0341</v>
          </cell>
          <cell r="H2826" t="str">
            <v>沾化县康宁诊所</v>
          </cell>
          <cell r="J2826" t="str">
            <v>1857</v>
          </cell>
          <cell r="K2826" t="str">
            <v>201602151421097</v>
          </cell>
          <cell r="M2826" t="str">
            <v>阿莫西林克拉维酸钾7:1分散片（胜艾）0.2285g*12片</v>
          </cell>
        </row>
        <row r="2827">
          <cell r="E2827" t="str">
            <v>0020070000ZYLC0001</v>
          </cell>
          <cell r="H2827" t="str">
            <v>邹平园春堂医药有限公司</v>
          </cell>
          <cell r="J2827" t="str">
            <v>1859</v>
          </cell>
          <cell r="K2827" t="str">
            <v>201602151421097</v>
          </cell>
          <cell r="M2827" t="str">
            <v>新盖中盖高钙片2.5g*36P</v>
          </cell>
        </row>
        <row r="2828">
          <cell r="E2828" t="str">
            <v>0020020030SJMS0024</v>
          </cell>
          <cell r="H2828" t="str">
            <v>杜店蒋秀芬诊所</v>
          </cell>
          <cell r="J2828" t="str">
            <v>1853</v>
          </cell>
          <cell r="K2828" t="str">
            <v>201602151421097</v>
          </cell>
          <cell r="M2828" t="str">
            <v>人工牛黄甲硝唑胶囊/牙疼安10粒*2板</v>
          </cell>
        </row>
        <row r="2829">
          <cell r="E2829" t="str">
            <v>0020030020ZYLC0013</v>
          </cell>
          <cell r="H2829" t="str">
            <v>无棣万盛堂药店连锁有限公司</v>
          </cell>
          <cell r="J2829" t="str">
            <v>1856</v>
          </cell>
          <cell r="K2829" t="str">
            <v>201602151421097</v>
          </cell>
          <cell r="M2829" t="str">
            <v>“为消”牌乳酸菌素片0.4g*36片</v>
          </cell>
        </row>
        <row r="2830">
          <cell r="E2830" t="str">
            <v>0020070001ZYLC0001</v>
          </cell>
          <cell r="H2830" t="str">
            <v>滨州康乐医药连锁有限公司</v>
          </cell>
          <cell r="J2830" t="str">
            <v>1853</v>
          </cell>
          <cell r="K2830" t="str">
            <v>201602151421097</v>
          </cell>
          <cell r="M2830" t="str">
            <v>哈药六钙锌口服液10ml*12支</v>
          </cell>
        </row>
        <row r="2831">
          <cell r="E2831" t="str">
            <v>0020020021ZYLC0011</v>
          </cell>
          <cell r="H2831" t="str">
            <v>博兴县康源大药房有限公司</v>
          </cell>
          <cell r="J2831" t="str">
            <v>1858</v>
          </cell>
          <cell r="K2831" t="str">
            <v>201602151421097</v>
          </cell>
          <cell r="M2831" t="str">
            <v>严迪/罗红霉素分散片150mg*12片</v>
          </cell>
        </row>
        <row r="2832">
          <cell r="E2832" t="str">
            <v>0020020030ZYZC0289</v>
          </cell>
          <cell r="H2832" t="str">
            <v>博兴县康源大药房有限公司</v>
          </cell>
          <cell r="J2832" t="str">
            <v>1858</v>
          </cell>
          <cell r="K2832" t="str">
            <v>201602151421097</v>
          </cell>
          <cell r="M2832" t="str">
            <v>阿莫西林胶囊0.5g*36粒</v>
          </cell>
        </row>
        <row r="2833">
          <cell r="E2833" t="str">
            <v>0020020020ZYLC0010</v>
          </cell>
          <cell r="H2833" t="str">
            <v>博兴县康源大药房有限公司</v>
          </cell>
          <cell r="J2833" t="str">
            <v>1858</v>
          </cell>
          <cell r="K2833" t="str">
            <v>201602151421097</v>
          </cell>
          <cell r="M2833" t="str">
            <v xml:space="preserve">泻利停/颠茄磺苄啶片0.48g*10片 </v>
          </cell>
        </row>
        <row r="2834">
          <cell r="E2834" t="str">
            <v>0020020020ZYZC0473</v>
          </cell>
          <cell r="H2834" t="str">
            <v>何坊街道香翟村卫生室</v>
          </cell>
          <cell r="J2834" t="str">
            <v>1854</v>
          </cell>
          <cell r="K2834" t="str">
            <v>201602151421097</v>
          </cell>
          <cell r="M2834" t="str">
            <v>盐酸环丙沙星片0.25g*12片</v>
          </cell>
        </row>
        <row r="2835">
          <cell r="E2835" t="str">
            <v>0020020020ZYLC0010</v>
          </cell>
          <cell r="H2835" t="str">
            <v>何坊街道香翟村卫生室</v>
          </cell>
          <cell r="J2835" t="str">
            <v>1854</v>
          </cell>
          <cell r="K2835" t="str">
            <v>201602151421097</v>
          </cell>
          <cell r="M2835" t="str">
            <v xml:space="preserve">泻利停/颠茄磺苄啶片0.48g*10片 </v>
          </cell>
        </row>
        <row r="2836">
          <cell r="E2836" t="str">
            <v>0020070000SJZY0001</v>
          </cell>
          <cell r="H2836" t="str">
            <v>滨城安新岐诊所</v>
          </cell>
          <cell r="J2836" t="str">
            <v>1853</v>
          </cell>
          <cell r="K2836" t="str">
            <v>201602151421097</v>
          </cell>
          <cell r="M2836" t="str">
            <v>葡萄糖酸锌口服液10ML*12支</v>
          </cell>
        </row>
        <row r="2837">
          <cell r="E2837" t="str">
            <v>0020070001ZYZC0377</v>
          </cell>
          <cell r="H2837" t="str">
            <v>河流镇丁家村社区卫生室</v>
          </cell>
          <cell r="J2837" t="str">
            <v>1855</v>
          </cell>
          <cell r="K2837" t="str">
            <v>201602151421097</v>
          </cell>
          <cell r="M2837" t="str">
            <v>哈药牌钙铁锌口服液10ml*15支</v>
          </cell>
        </row>
        <row r="2838">
          <cell r="E2838" t="str">
            <v>0020030020ZYLC0013</v>
          </cell>
          <cell r="H2838" t="str">
            <v>冯家庙村卫生室</v>
          </cell>
          <cell r="J2838" t="str">
            <v>1854</v>
          </cell>
          <cell r="K2838" t="str">
            <v>201602151421097</v>
          </cell>
          <cell r="M2838" t="str">
            <v>“为消”牌乳酸菌素片0.4g*36片</v>
          </cell>
        </row>
        <row r="2839">
          <cell r="E2839" t="str">
            <v>0020050090SJZY0020</v>
          </cell>
          <cell r="H2839" t="str">
            <v>滨州市沾化区鲁康医药连锁有限公司</v>
          </cell>
          <cell r="J2839" t="str">
            <v>1857</v>
          </cell>
          <cell r="K2839" t="str">
            <v>201602151421097</v>
          </cell>
          <cell r="M2839" t="str">
            <v>双黄连口服液20ml*9支</v>
          </cell>
        </row>
        <row r="2840">
          <cell r="E2840" t="str">
            <v>0020030040ZYLC0001</v>
          </cell>
          <cell r="H2840" t="str">
            <v>阳信初心医院</v>
          </cell>
          <cell r="J2840" t="str">
            <v>1855</v>
          </cell>
          <cell r="K2840" t="str">
            <v>201602151421097</v>
          </cell>
          <cell r="M2840" t="str">
            <v>护彤冲剂/小儿氨酚黄那敏颗粒2g*12袋</v>
          </cell>
        </row>
        <row r="2841">
          <cell r="E2841" t="str">
            <v>0020020030ZYZC0289</v>
          </cell>
          <cell r="H2841" t="str">
            <v xml:space="preserve">邹平县方正医药有限公司 </v>
          </cell>
          <cell r="J2841" t="str">
            <v>1859</v>
          </cell>
          <cell r="K2841" t="str">
            <v>201602151421097</v>
          </cell>
          <cell r="M2841" t="str">
            <v>阿莫西林胶囊0.5g*36粒</v>
          </cell>
        </row>
        <row r="2842">
          <cell r="E2842" t="str">
            <v>0020030170ZYEC0003</v>
          </cell>
          <cell r="H2842" t="str">
            <v xml:space="preserve">邹平县方正医药有限公司 </v>
          </cell>
          <cell r="J2842" t="str">
            <v>1859</v>
          </cell>
          <cell r="K2842" t="str">
            <v>201602151421097</v>
          </cell>
          <cell r="M2842" t="str">
            <v>蒙脱石散3g*12袋</v>
          </cell>
        </row>
        <row r="2843">
          <cell r="E2843" t="str">
            <v>0020070001ZYLC0001</v>
          </cell>
          <cell r="H2843" t="str">
            <v>滨州恒丰仁和医药连锁有限责任公司</v>
          </cell>
          <cell r="J2843" t="str">
            <v>1853</v>
          </cell>
          <cell r="K2843" t="str">
            <v>201602151421097</v>
          </cell>
          <cell r="M2843" t="str">
            <v>哈药六钙锌口服液10ml*12支</v>
          </cell>
        </row>
        <row r="2844">
          <cell r="E2844" t="str">
            <v>0020020020ZYLC0010</v>
          </cell>
          <cell r="H2844" t="str">
            <v>滨州恒丰仁和医药连锁有限责任公司</v>
          </cell>
          <cell r="J2844" t="str">
            <v>1853</v>
          </cell>
          <cell r="K2844" t="str">
            <v>201602151421097</v>
          </cell>
          <cell r="M2844" t="str">
            <v xml:space="preserve">泻利停/颠茄磺苄啶片0.48g*10片 </v>
          </cell>
        </row>
        <row r="2845">
          <cell r="E2845" t="str">
            <v>0020050001SHYT0023</v>
          </cell>
          <cell r="H2845" t="str">
            <v>水落坡镇天主教堂卫生室</v>
          </cell>
          <cell r="J2845" t="str">
            <v>1855</v>
          </cell>
          <cell r="K2845" t="str">
            <v>201602151421097</v>
          </cell>
          <cell r="M2845" t="str">
            <v>保和丸9g*10丸</v>
          </cell>
        </row>
        <row r="2846">
          <cell r="E2846" t="str">
            <v>0020040070ZYEC0005</v>
          </cell>
          <cell r="H2846" t="str">
            <v>大洋集团诊所</v>
          </cell>
          <cell r="J2846" t="str">
            <v>1856</v>
          </cell>
          <cell r="K2846" t="str">
            <v>201602151421097</v>
          </cell>
          <cell r="M2846" t="str">
            <v>小儿百部止咳糖浆100ml</v>
          </cell>
        </row>
        <row r="2847">
          <cell r="E2847" t="str">
            <v>0020050030SJSC0007</v>
          </cell>
          <cell r="H2847" t="str">
            <v>大洋集团诊所</v>
          </cell>
          <cell r="J2847" t="str">
            <v>1856</v>
          </cell>
          <cell r="K2847" t="str">
            <v>201602151421097</v>
          </cell>
          <cell r="M2847" t="str">
            <v>菊梅利咽含片1.2g*18片</v>
          </cell>
        </row>
        <row r="2848">
          <cell r="E2848" t="str">
            <v>0020070001ZYLC0001</v>
          </cell>
          <cell r="H2848" t="str">
            <v>信诚街道接官亭村第一卫生室</v>
          </cell>
          <cell r="J2848" t="str">
            <v>1855</v>
          </cell>
          <cell r="K2848" t="str">
            <v>201602151421097</v>
          </cell>
          <cell r="M2848" t="str">
            <v>哈药六钙锌口服液10ml*12支</v>
          </cell>
        </row>
        <row r="2849">
          <cell r="E2849" t="str">
            <v>0020070000SJZY0001</v>
          </cell>
          <cell r="H2849" t="str">
            <v>信诚街道接官亭村第一卫生室</v>
          </cell>
          <cell r="J2849" t="str">
            <v>1855</v>
          </cell>
          <cell r="K2849" t="str">
            <v>201602151421097</v>
          </cell>
          <cell r="M2849" t="str">
            <v>葡萄糖酸锌口服液10ML*12支</v>
          </cell>
        </row>
        <row r="2850">
          <cell r="E2850" t="str">
            <v>0020070000SJZY0001</v>
          </cell>
          <cell r="H2850" t="str">
            <v>无棣县埕口镇万豪药店</v>
          </cell>
          <cell r="J2850" t="str">
            <v>1856</v>
          </cell>
          <cell r="K2850" t="str">
            <v>201602151421097</v>
          </cell>
          <cell r="M2850" t="str">
            <v>葡萄糖酸锌口服液10ML*12支</v>
          </cell>
        </row>
        <row r="2851">
          <cell r="E2851" t="str">
            <v>0020070000SJZY0001</v>
          </cell>
          <cell r="H2851" t="str">
            <v>沾化国瑞医药连锁有限责任公司</v>
          </cell>
          <cell r="J2851" t="str">
            <v>1857</v>
          </cell>
          <cell r="K2851" t="str">
            <v>201602151421097</v>
          </cell>
          <cell r="M2851" t="str">
            <v>葡萄糖酸锌口服液10ML*12支</v>
          </cell>
        </row>
        <row r="2852">
          <cell r="E2852" t="str">
            <v>0020040030SJSC0009</v>
          </cell>
          <cell r="H2852" t="str">
            <v>欣康诊所</v>
          </cell>
          <cell r="J2852" t="str">
            <v>1857</v>
          </cell>
          <cell r="K2852" t="str">
            <v>201602151421097</v>
          </cell>
          <cell r="M2852" t="str">
            <v>护肝片0.36g*100片</v>
          </cell>
        </row>
        <row r="2853">
          <cell r="E2853" t="str">
            <v>0020070000SJZY0001</v>
          </cell>
          <cell r="H2853" t="str">
            <v>欣康诊所</v>
          </cell>
          <cell r="J2853" t="str">
            <v>1857</v>
          </cell>
          <cell r="K2853" t="str">
            <v>201602151421097</v>
          </cell>
          <cell r="M2853" t="str">
            <v>葡萄糖酸锌口服液10ML*12支</v>
          </cell>
        </row>
        <row r="2854">
          <cell r="E2854" t="str">
            <v>0020070001ZYLC0001</v>
          </cell>
          <cell r="H2854" t="str">
            <v>阳信县益寿康大药房有限公司</v>
          </cell>
          <cell r="J2854" t="str">
            <v>1855</v>
          </cell>
          <cell r="K2854" t="str">
            <v>201602151421097</v>
          </cell>
          <cell r="M2854" t="str">
            <v>哈药六钙锌口服液10ml*12支</v>
          </cell>
        </row>
        <row r="2855">
          <cell r="E2855" t="str">
            <v>0020030020SJSC0004</v>
          </cell>
          <cell r="H2855" t="str">
            <v>博兴县庞家镇民生大药店旗舰店</v>
          </cell>
          <cell r="J2855" t="str">
            <v>1858</v>
          </cell>
          <cell r="K2855" t="str">
            <v>201602151421097</v>
          </cell>
          <cell r="M2855" t="str">
            <v>胃必治/复方铝酸铋片50片</v>
          </cell>
        </row>
        <row r="2856">
          <cell r="E2856" t="str">
            <v>0020070001ZYLC0001</v>
          </cell>
          <cell r="H2856" t="str">
            <v>阳信药材公司诊所</v>
          </cell>
          <cell r="J2856" t="str">
            <v>1855</v>
          </cell>
          <cell r="K2856" t="str">
            <v>201602151421097</v>
          </cell>
          <cell r="M2856" t="str">
            <v>哈药六钙锌口服液10ml*12支</v>
          </cell>
        </row>
        <row r="2857">
          <cell r="E2857" t="str">
            <v>0020020021ZYLC0004</v>
          </cell>
          <cell r="H2857" t="str">
            <v>博兴博奥华城中西医诊所</v>
          </cell>
          <cell r="J2857" t="str">
            <v>1858</v>
          </cell>
          <cell r="K2857" t="str">
            <v>201602151421097</v>
          </cell>
          <cell r="M2857" t="str">
            <v>大严迪片/罗红霉素分散片75mg*12片</v>
          </cell>
        </row>
        <row r="2858">
          <cell r="E2858" t="str">
            <v>0020050090ZYEC0004</v>
          </cell>
          <cell r="H2858" t="str">
            <v>博兴博奥华城中西医诊所</v>
          </cell>
          <cell r="J2858" t="str">
            <v>1858</v>
          </cell>
          <cell r="K2858" t="str">
            <v>201602151421097</v>
          </cell>
          <cell r="M2858" t="str">
            <v>刺五加脑灵液100ml</v>
          </cell>
        </row>
        <row r="2859">
          <cell r="E2859" t="str">
            <v>0020070000ZYLC0001</v>
          </cell>
          <cell r="H2859" t="str">
            <v>惠民县春英大药房</v>
          </cell>
          <cell r="J2859" t="str">
            <v>1854</v>
          </cell>
          <cell r="K2859" t="str">
            <v>201602151421097</v>
          </cell>
          <cell r="M2859" t="str">
            <v>新盖中盖高钙片2.5g*36P</v>
          </cell>
        </row>
        <row r="2860">
          <cell r="E2860" t="str">
            <v>0020050090SJZY0020</v>
          </cell>
          <cell r="H2860" t="str">
            <v>信诚街道接官亭村第一卫生室</v>
          </cell>
          <cell r="J2860" t="str">
            <v>1855</v>
          </cell>
          <cell r="K2860" t="str">
            <v>201602151421097</v>
          </cell>
          <cell r="M2860" t="str">
            <v>双黄连口服液20ml*9支</v>
          </cell>
        </row>
        <row r="2861">
          <cell r="E2861" t="str">
            <v>0020030020ZYLC0013</v>
          </cell>
          <cell r="H2861" t="str">
            <v>惠民仁和堂诊所</v>
          </cell>
          <cell r="J2861" t="str">
            <v>1854</v>
          </cell>
          <cell r="K2861" t="str">
            <v>201602151421097</v>
          </cell>
          <cell r="M2861" t="str">
            <v>“为消”牌乳酸菌素片0.4g*36片</v>
          </cell>
        </row>
        <row r="2862">
          <cell r="E2862" t="str">
            <v>0020070000SJZY0001</v>
          </cell>
          <cell r="H2862" t="str">
            <v>山东滨州万寿堂医药有限公司万寿堂大药房</v>
          </cell>
          <cell r="J2862" t="str">
            <v>1853</v>
          </cell>
          <cell r="K2862" t="str">
            <v>201602151421097</v>
          </cell>
          <cell r="M2862" t="str">
            <v>葡萄糖酸锌口服液10ML*12支</v>
          </cell>
        </row>
        <row r="2863">
          <cell r="E2863" t="str">
            <v>0020070000ZYLC0001</v>
          </cell>
          <cell r="H2863" t="str">
            <v>阳信康复中心诊所</v>
          </cell>
          <cell r="J2863" t="str">
            <v>1855</v>
          </cell>
          <cell r="K2863" t="str">
            <v>201602151421097</v>
          </cell>
          <cell r="M2863" t="str">
            <v>新盖中盖高钙片2.5g*36P</v>
          </cell>
        </row>
        <row r="2864">
          <cell r="E2864" t="str">
            <v>0020020021ZYLC0004</v>
          </cell>
          <cell r="H2864" t="str">
            <v>滨州康乐医药连锁有限公司</v>
          </cell>
          <cell r="J2864" t="str">
            <v>1853</v>
          </cell>
          <cell r="K2864" t="str">
            <v>201602151421097</v>
          </cell>
          <cell r="M2864" t="str">
            <v>大严迪片/罗红霉素分散片75mg*12片</v>
          </cell>
        </row>
        <row r="2865">
          <cell r="E2865" t="str">
            <v>0020020020ZYLC0010</v>
          </cell>
          <cell r="H2865" t="str">
            <v>滨州康乐医药连锁有限公司</v>
          </cell>
          <cell r="J2865" t="str">
            <v>1853</v>
          </cell>
          <cell r="K2865" t="str">
            <v>201602151421097</v>
          </cell>
          <cell r="M2865" t="str">
            <v xml:space="preserve">泻利停/颠茄磺苄啶片0.48g*10片 </v>
          </cell>
        </row>
        <row r="2866">
          <cell r="E2866" t="str">
            <v>0020020021ZYLC0004</v>
          </cell>
          <cell r="H2866" t="str">
            <v>滨城区市中办事处万全社区卫生服务站</v>
          </cell>
          <cell r="J2866" t="str">
            <v>1853</v>
          </cell>
          <cell r="K2866" t="str">
            <v>201602151421097</v>
          </cell>
          <cell r="M2866" t="str">
            <v>大严迪片/罗红霉素分散片75mg*12片</v>
          </cell>
        </row>
        <row r="2867">
          <cell r="E2867" t="str">
            <v>0020070000SJZY0001</v>
          </cell>
          <cell r="H2867" t="str">
            <v>滨城区市中办事处万全社区卫生服务站</v>
          </cell>
          <cell r="J2867" t="str">
            <v>1853</v>
          </cell>
          <cell r="K2867" t="str">
            <v>201602151421097</v>
          </cell>
          <cell r="M2867" t="str">
            <v>葡萄糖酸锌口服液10ML*12支</v>
          </cell>
        </row>
        <row r="2868">
          <cell r="E2868" t="str">
            <v>0020020020ZYLC0010</v>
          </cell>
          <cell r="H2868" t="str">
            <v>滨城区市中办事处万全社区卫生服务站</v>
          </cell>
          <cell r="J2868" t="str">
            <v>1853</v>
          </cell>
          <cell r="K2868" t="str">
            <v>201602151421097</v>
          </cell>
          <cell r="M2868" t="str">
            <v xml:space="preserve">泻利停/颠茄磺苄啶片0.48g*10片 </v>
          </cell>
        </row>
        <row r="2869">
          <cell r="E2869" t="str">
            <v>0020070000SJZY0001</v>
          </cell>
          <cell r="H2869" t="str">
            <v>博兴县仁益大药房</v>
          </cell>
          <cell r="J2869" t="str">
            <v>1858</v>
          </cell>
          <cell r="K2869" t="str">
            <v>201602151421097</v>
          </cell>
          <cell r="M2869" t="str">
            <v>葡萄糖酸锌口服液10ML*12支</v>
          </cell>
        </row>
        <row r="2870">
          <cell r="E2870" t="str">
            <v>0020020021ZYLC0005</v>
          </cell>
          <cell r="H2870" t="str">
            <v>惠民董永阁诊所</v>
          </cell>
          <cell r="J2870" t="str">
            <v>1854</v>
          </cell>
          <cell r="K2870" t="str">
            <v>201602151421097</v>
          </cell>
          <cell r="M2870" t="str">
            <v>小儿严迪片/罗红霉素分散片50mg*12片</v>
          </cell>
        </row>
        <row r="2871">
          <cell r="E2871" t="str">
            <v>0020070000SJZY0001</v>
          </cell>
          <cell r="H2871" t="str">
            <v>邹平仁济堂医药有限公司</v>
          </cell>
          <cell r="J2871" t="str">
            <v>1859</v>
          </cell>
          <cell r="K2871" t="str">
            <v>201602151421097</v>
          </cell>
          <cell r="M2871" t="str">
            <v>葡萄糖酸锌口服液10ML*12支</v>
          </cell>
        </row>
        <row r="2872">
          <cell r="E2872" t="str">
            <v>0020070000ZYLC0001</v>
          </cell>
          <cell r="H2872" t="str">
            <v>流坡坞镇褚家社区卫生室</v>
          </cell>
          <cell r="J2872" t="str">
            <v>1855</v>
          </cell>
          <cell r="K2872" t="str">
            <v>201602151421097</v>
          </cell>
          <cell r="M2872" t="str">
            <v>新盖中盖高钙片2.5g*36P</v>
          </cell>
        </row>
        <row r="2873">
          <cell r="E2873" t="str">
            <v>0020070000SJZY0001</v>
          </cell>
          <cell r="H2873" t="str">
            <v>滨城区市东街道办事处南蔺卫生室</v>
          </cell>
          <cell r="J2873" t="str">
            <v>1853</v>
          </cell>
          <cell r="K2873" t="str">
            <v>201602151421097</v>
          </cell>
          <cell r="M2873" t="str">
            <v>葡萄糖酸锌口服液10ML*12支</v>
          </cell>
        </row>
        <row r="2874">
          <cell r="E2874" t="str">
            <v>0020070000SJZY0001</v>
          </cell>
          <cell r="H2874" t="str">
            <v>阳信荣军医院</v>
          </cell>
          <cell r="J2874" t="str">
            <v>1855</v>
          </cell>
          <cell r="K2874" t="str">
            <v>201602151421097</v>
          </cell>
          <cell r="M2874" t="str">
            <v>葡萄糖酸锌口服液10ML*12支</v>
          </cell>
        </row>
        <row r="2875">
          <cell r="E2875" t="str">
            <v>0020030020SJSC0004</v>
          </cell>
          <cell r="H2875" t="str">
            <v>金阳街道蔡王社区卫生室</v>
          </cell>
          <cell r="J2875" t="str">
            <v>1855</v>
          </cell>
          <cell r="K2875" t="str">
            <v>201602151421097</v>
          </cell>
          <cell r="M2875" t="str">
            <v>胃必治/复方铝酸铋片50片</v>
          </cell>
        </row>
        <row r="2876">
          <cell r="E2876" t="str">
            <v>0020070001ZYLC0001</v>
          </cell>
          <cell r="H2876" t="str">
            <v>商店镇王朝正社区卫生室</v>
          </cell>
          <cell r="J2876" t="str">
            <v>1855</v>
          </cell>
          <cell r="K2876" t="str">
            <v>201602151421097</v>
          </cell>
          <cell r="M2876" t="str">
            <v>哈药六钙锌口服液10ml*12支</v>
          </cell>
        </row>
        <row r="2877">
          <cell r="E2877" t="str">
            <v>0020070000SJZY0001</v>
          </cell>
          <cell r="H2877" t="str">
            <v>滨城曹淑玲诊所</v>
          </cell>
          <cell r="J2877" t="str">
            <v>1853</v>
          </cell>
          <cell r="K2877" t="str">
            <v>201602151421097</v>
          </cell>
          <cell r="M2877" t="str">
            <v>葡萄糖酸锌口服液10ML*12支</v>
          </cell>
        </row>
        <row r="2878">
          <cell r="E2878" t="str">
            <v>0020070000SJZY0001</v>
          </cell>
          <cell r="H2878" t="str">
            <v>惠民县广军康宁大药房有限公司</v>
          </cell>
          <cell r="J2878" t="str">
            <v>1854</v>
          </cell>
          <cell r="K2878" t="str">
            <v>201602151421097</v>
          </cell>
          <cell r="M2878" t="str">
            <v>葡萄糖酸锌口服液10ML*12支</v>
          </cell>
        </row>
        <row r="2879">
          <cell r="E2879" t="str">
            <v>0020070000ZYLC0051</v>
          </cell>
          <cell r="H2879" t="str">
            <v>阳信县商店镇台属大药房</v>
          </cell>
          <cell r="J2879" t="str">
            <v>1855</v>
          </cell>
          <cell r="K2879" t="str">
            <v>201602151421097</v>
          </cell>
          <cell r="M2879" t="str">
            <v>朴血/乳酸亚铁口服液10ml*12支</v>
          </cell>
        </row>
        <row r="2880">
          <cell r="E2880" t="str">
            <v>0020020020ZYLC0010</v>
          </cell>
          <cell r="H2880" t="str">
            <v>阳信县商店镇台属大药房</v>
          </cell>
          <cell r="J2880" t="str">
            <v>1855</v>
          </cell>
          <cell r="K2880" t="str">
            <v>201602151421097</v>
          </cell>
          <cell r="M2880" t="str">
            <v xml:space="preserve">泻利停/颠茄磺苄啶片0.48g*10片 </v>
          </cell>
        </row>
        <row r="2881">
          <cell r="E2881" t="str">
            <v>0020050001SHYT0037</v>
          </cell>
          <cell r="H2881" t="str">
            <v>阳信县天天平价医药连锁有限公司</v>
          </cell>
          <cell r="J2881" t="str">
            <v>1855</v>
          </cell>
          <cell r="K2881" t="str">
            <v>201602151421097</v>
          </cell>
          <cell r="M2881" t="str">
            <v>艾附暖宫丸9g*10丸</v>
          </cell>
        </row>
        <row r="2882">
          <cell r="E2882" t="str">
            <v>0020070001ZYLC0001</v>
          </cell>
          <cell r="H2882" t="str">
            <v>翟王镇粉刘中心卫生室</v>
          </cell>
          <cell r="J2882" t="str">
            <v>1855</v>
          </cell>
          <cell r="K2882" t="str">
            <v>201602151421097</v>
          </cell>
          <cell r="M2882" t="str">
            <v>哈药六钙锌口服液10ml*12支</v>
          </cell>
        </row>
        <row r="2883">
          <cell r="E2883" t="str">
            <v>0020070000ZYLC0003</v>
          </cell>
          <cell r="H2883" t="str">
            <v>翟王镇粉刘中心卫生室</v>
          </cell>
          <cell r="J2883" t="str">
            <v>1855</v>
          </cell>
          <cell r="K2883" t="str">
            <v>201602151421097</v>
          </cell>
          <cell r="M2883" t="str">
            <v>新盖中盖牌儿童钙片1.75g*36p</v>
          </cell>
        </row>
        <row r="2884">
          <cell r="E2884" t="str">
            <v>0020020020ZYLC0010</v>
          </cell>
          <cell r="H2884" t="str">
            <v>翟王镇粉刘中心卫生室</v>
          </cell>
          <cell r="J2884" t="str">
            <v>1855</v>
          </cell>
          <cell r="K2884" t="str">
            <v>201602151421097</v>
          </cell>
          <cell r="M2884" t="str">
            <v xml:space="preserve">泻利停/颠茄磺苄啶片0.48g*10片 </v>
          </cell>
        </row>
        <row r="2885">
          <cell r="E2885" t="str">
            <v>0020070000ZYLC0001</v>
          </cell>
          <cell r="H2885" t="str">
            <v>翟王镇粉刘中心卫生室</v>
          </cell>
          <cell r="J2885" t="str">
            <v>1855</v>
          </cell>
          <cell r="K2885" t="str">
            <v>201602151421097</v>
          </cell>
          <cell r="M2885" t="str">
            <v>新盖中盖高钙片2.5g*36P</v>
          </cell>
        </row>
        <row r="2886">
          <cell r="E2886" t="str">
            <v>0020070000SJZY0001</v>
          </cell>
          <cell r="H2886" t="str">
            <v>滨州恒丰仁和医药连锁有限责任公司</v>
          </cell>
          <cell r="J2886" t="str">
            <v>1853</v>
          </cell>
          <cell r="K2886" t="str">
            <v>201602151421097</v>
          </cell>
          <cell r="M2886" t="str">
            <v>葡萄糖酸锌口服液10ML*12支</v>
          </cell>
        </row>
        <row r="2887">
          <cell r="E2887" t="str">
            <v>0020050030SJSC0007</v>
          </cell>
          <cell r="H2887" t="str">
            <v>惠民县仁春医药有限公司</v>
          </cell>
          <cell r="J2887" t="str">
            <v>1854</v>
          </cell>
          <cell r="K2887" t="str">
            <v>201602151421097</v>
          </cell>
          <cell r="M2887" t="str">
            <v>菊梅利咽含片1.2g*18片</v>
          </cell>
        </row>
        <row r="2888">
          <cell r="E2888" t="str">
            <v>0020020030ZYZC0231</v>
          </cell>
          <cell r="H2888" t="str">
            <v>惠民县仁春医药有限公司</v>
          </cell>
          <cell r="J2888" t="str">
            <v>1854</v>
          </cell>
          <cell r="K2888" t="str">
            <v>201602151421097</v>
          </cell>
          <cell r="M2888" t="str">
            <v>盐酸特拉唑嗪胶囊2mg*10粒</v>
          </cell>
        </row>
        <row r="2889">
          <cell r="E2889" t="str">
            <v>0020030040SJET0003</v>
          </cell>
          <cell r="H2889" t="str">
            <v>惠民县仁春医药有限公司</v>
          </cell>
          <cell r="J2889" t="str">
            <v>1854</v>
          </cell>
          <cell r="K2889" t="str">
            <v>201602151421097</v>
          </cell>
          <cell r="M2889" t="str">
            <v>氨金黄敏颗粒6g*10袋</v>
          </cell>
        </row>
        <row r="2890">
          <cell r="E2890" t="str">
            <v>0020050030SJSC0007</v>
          </cell>
          <cell r="H2890" t="str">
            <v>无棣益生堂药店连锁有限公司</v>
          </cell>
          <cell r="J2890" t="str">
            <v>1856</v>
          </cell>
          <cell r="K2890" t="str">
            <v>201602151421097</v>
          </cell>
          <cell r="M2890" t="str">
            <v>菊梅利咽含片1.2g*18片</v>
          </cell>
        </row>
        <row r="2891">
          <cell r="E2891" t="str">
            <v>0020020021ZYLC0011</v>
          </cell>
          <cell r="H2891" t="str">
            <v>无棣益生堂药店连锁有限公司</v>
          </cell>
          <cell r="J2891" t="str">
            <v>1856</v>
          </cell>
          <cell r="K2891" t="str">
            <v>201602151421097</v>
          </cell>
          <cell r="M2891" t="str">
            <v>严迪/罗红霉素分散片150mg*12片</v>
          </cell>
        </row>
        <row r="2892">
          <cell r="E2892" t="str">
            <v>0020020021ZYLC0015</v>
          </cell>
          <cell r="H2892" t="str">
            <v>洋湖乡花赵社区卫生室</v>
          </cell>
          <cell r="J2892" t="str">
            <v>1855</v>
          </cell>
          <cell r="K2892" t="str">
            <v>201602151421097</v>
          </cell>
          <cell r="M2892" t="str">
            <v>克拉霉素分散片/长迪0.125g*24粒</v>
          </cell>
        </row>
        <row r="2893">
          <cell r="E2893" t="str">
            <v>0020020030ZYZC0231</v>
          </cell>
          <cell r="H2893" t="str">
            <v>洋湖乡花赵社区卫生室</v>
          </cell>
          <cell r="J2893" t="str">
            <v>1855</v>
          </cell>
          <cell r="K2893" t="str">
            <v>201602151421097</v>
          </cell>
          <cell r="M2893" t="str">
            <v>盐酸特拉唑嗪胶囊2mg*10粒</v>
          </cell>
        </row>
        <row r="2894">
          <cell r="E2894" t="str">
            <v>0020050030SJSC0007</v>
          </cell>
          <cell r="H2894" t="str">
            <v>洋湖乡花赵社区卫生室</v>
          </cell>
          <cell r="J2894" t="str">
            <v>1855</v>
          </cell>
          <cell r="K2894" t="str">
            <v>201602151421097</v>
          </cell>
          <cell r="M2894" t="str">
            <v>菊梅利咽含片1.2g*18片</v>
          </cell>
        </row>
        <row r="2895">
          <cell r="E2895" t="str">
            <v>0020020021ZYLC0004</v>
          </cell>
          <cell r="H2895" t="str">
            <v>博兴县仁益大药房</v>
          </cell>
          <cell r="J2895" t="str">
            <v>1854</v>
          </cell>
          <cell r="K2895" t="str">
            <v>201602151421097</v>
          </cell>
          <cell r="M2895" t="str">
            <v>大严迪片/罗红霉素分散片75mg*12片</v>
          </cell>
        </row>
        <row r="2896">
          <cell r="E2896" t="str">
            <v>0020030020ZYLC0013</v>
          </cell>
          <cell r="H2896" t="str">
            <v>阳信县百姓大药房医药连锁有限公司</v>
          </cell>
          <cell r="J2896" t="str">
            <v>1855</v>
          </cell>
          <cell r="K2896" t="str">
            <v>201602151421097</v>
          </cell>
          <cell r="M2896" t="str">
            <v>“为消”牌乳酸菌素片0.4g*36片</v>
          </cell>
        </row>
        <row r="2897">
          <cell r="E2897" t="str">
            <v>0020070000ZYLC0003</v>
          </cell>
          <cell r="H2897" t="str">
            <v>阳信县百姓大药房医药连锁有限公司</v>
          </cell>
          <cell r="J2897" t="str">
            <v>1855</v>
          </cell>
          <cell r="K2897" t="str">
            <v>201602151421097</v>
          </cell>
          <cell r="M2897" t="str">
            <v>新盖中盖牌儿童钙片1.75g*36p</v>
          </cell>
        </row>
        <row r="2898">
          <cell r="E2898" t="str">
            <v>0020070000ZYLC0001</v>
          </cell>
          <cell r="H2898" t="str">
            <v>阳信县百姓大药房医药连锁有限公司</v>
          </cell>
          <cell r="J2898" t="str">
            <v>1855</v>
          </cell>
          <cell r="K2898" t="str">
            <v>201602151421097</v>
          </cell>
          <cell r="M2898" t="str">
            <v>新盖中盖高钙片2.5g*36P</v>
          </cell>
        </row>
        <row r="2899">
          <cell r="E2899" t="str">
            <v>0020030040ZYLC0001</v>
          </cell>
          <cell r="H2899" t="str">
            <v>阳信县百姓大药房医药连锁有限公司</v>
          </cell>
          <cell r="J2899" t="str">
            <v>1855</v>
          </cell>
          <cell r="K2899" t="str">
            <v>201602151421097</v>
          </cell>
          <cell r="M2899" t="str">
            <v>护彤冲剂/小儿氨酚黄那敏颗粒2g*12袋</v>
          </cell>
        </row>
        <row r="2900">
          <cell r="E2900" t="str">
            <v>0020070000SJZY0001</v>
          </cell>
          <cell r="H2900" t="str">
            <v>阳信县百姓大药房医药连锁有限公司</v>
          </cell>
          <cell r="J2900" t="str">
            <v>1855</v>
          </cell>
          <cell r="K2900" t="str">
            <v>201602151421097</v>
          </cell>
          <cell r="M2900" t="str">
            <v>葡萄糖酸锌口服液10ML*12支</v>
          </cell>
        </row>
        <row r="2901">
          <cell r="E2901" t="str">
            <v>0020030020ZYLC0010</v>
          </cell>
          <cell r="H2901" t="str">
            <v>阳信县百姓大药房医药连锁有限公司</v>
          </cell>
          <cell r="J2901" t="str">
            <v>1855</v>
          </cell>
          <cell r="K2901" t="str">
            <v>201602151421097</v>
          </cell>
          <cell r="M2901" t="str">
            <v>乳酸菌素片/为消0.4g*36片</v>
          </cell>
        </row>
        <row r="2902">
          <cell r="E2902" t="str">
            <v>0020020020ZYLC0010</v>
          </cell>
          <cell r="H2902" t="str">
            <v>阳信县百姓大药房医药连锁有限公司</v>
          </cell>
          <cell r="J2902" t="str">
            <v>1855</v>
          </cell>
          <cell r="K2902" t="str">
            <v>201602151421097</v>
          </cell>
          <cell r="M2902" t="str">
            <v xml:space="preserve">泻利停/颠茄磺苄啶片0.48g*10片 </v>
          </cell>
        </row>
        <row r="2903">
          <cell r="E2903" t="str">
            <v>0020030020SJSC0014</v>
          </cell>
          <cell r="H2903" t="str">
            <v>博兴县济生堂大药房旗舰店</v>
          </cell>
          <cell r="J2903" t="str">
            <v>1858</v>
          </cell>
          <cell r="K2903" t="str">
            <v>201602151421097</v>
          </cell>
          <cell r="M2903" t="str">
            <v>维D2磷酸氢钙片60片</v>
          </cell>
        </row>
        <row r="2904">
          <cell r="E2904" t="str">
            <v>0020070001ZYZC0383</v>
          </cell>
          <cell r="H2904" t="str">
            <v>博兴县济生堂大药房旗舰店</v>
          </cell>
          <cell r="J2904" t="str">
            <v>1858</v>
          </cell>
          <cell r="K2904" t="str">
            <v>201602151421097</v>
          </cell>
          <cell r="M2904" t="str">
            <v>哈药牌钙铁锌口服液10ml*10支</v>
          </cell>
        </row>
        <row r="2905">
          <cell r="E2905" t="str">
            <v>0020070001ZYZC0383</v>
          </cell>
          <cell r="H2905" t="str">
            <v>博兴县济生堂大药房旗舰店</v>
          </cell>
          <cell r="J2905" t="str">
            <v>1858</v>
          </cell>
          <cell r="K2905" t="str">
            <v>201602151421097</v>
          </cell>
          <cell r="M2905" t="str">
            <v>哈药牌钙铁锌口服液10ml*10支</v>
          </cell>
        </row>
        <row r="2906">
          <cell r="E2906" t="str">
            <v>0020070001ZYLC0001</v>
          </cell>
          <cell r="H2906" t="str">
            <v>河流镇白家社区卫生室</v>
          </cell>
          <cell r="J2906" t="str">
            <v>1855</v>
          </cell>
          <cell r="K2906" t="str">
            <v>201602151421097</v>
          </cell>
          <cell r="M2906" t="str">
            <v>哈药六钙锌口服液10ml*12支</v>
          </cell>
        </row>
        <row r="2907">
          <cell r="E2907" t="str">
            <v>0020070000SJZY0001</v>
          </cell>
          <cell r="H2907" t="str">
            <v>北海新区泰和祥药店</v>
          </cell>
          <cell r="J2907" t="str">
            <v>1856</v>
          </cell>
          <cell r="K2907" t="str">
            <v>201602151421097</v>
          </cell>
          <cell r="M2907" t="str">
            <v>葡萄糖酸锌口服液10ML*12支</v>
          </cell>
        </row>
        <row r="2908">
          <cell r="E2908" t="str">
            <v>0020070000SJZY0001</v>
          </cell>
          <cell r="H2908" t="str">
            <v>水落坡乡长庄社区卫生室</v>
          </cell>
          <cell r="J2908" t="str">
            <v>1855</v>
          </cell>
          <cell r="K2908" t="str">
            <v>201602151421097</v>
          </cell>
          <cell r="M2908" t="str">
            <v>葡萄糖酸锌口服液10ML*12支</v>
          </cell>
        </row>
        <row r="2909">
          <cell r="E2909" t="str">
            <v>0020070000SJZY0001</v>
          </cell>
          <cell r="H2909" t="str">
            <v>滨州市沾化区泊头镇卫生院</v>
          </cell>
          <cell r="J2909" t="str">
            <v>1857</v>
          </cell>
          <cell r="K2909" t="str">
            <v>201602151421097</v>
          </cell>
          <cell r="M2909" t="str">
            <v>葡萄糖酸锌口服液10ML*12支</v>
          </cell>
        </row>
        <row r="2910">
          <cell r="E2910" t="str">
            <v>0020020030SJMS0024</v>
          </cell>
          <cell r="H2910" t="str">
            <v>惠民县仁春医药有限公司</v>
          </cell>
          <cell r="J2910" t="str">
            <v>1854</v>
          </cell>
          <cell r="K2910" t="str">
            <v>201602151421097</v>
          </cell>
          <cell r="M2910" t="str">
            <v>人工牛黄甲硝唑胶囊/牙疼安10粒*2板</v>
          </cell>
        </row>
        <row r="2911">
          <cell r="E2911" t="str">
            <v>0020020021ZYLC0015</v>
          </cell>
          <cell r="H2911" t="str">
            <v>惠民县仁春医药有限公司</v>
          </cell>
          <cell r="J2911" t="str">
            <v>1854</v>
          </cell>
          <cell r="K2911" t="str">
            <v>201602151421097</v>
          </cell>
          <cell r="M2911" t="str">
            <v>克拉霉素分散片/长迪0.125g*24粒</v>
          </cell>
        </row>
        <row r="2912">
          <cell r="E2912" t="str">
            <v>0020030020ZYLC0010</v>
          </cell>
          <cell r="H2912" t="str">
            <v>水落坡乡郭马社区卫生室</v>
          </cell>
          <cell r="J2912" t="str">
            <v>1855</v>
          </cell>
          <cell r="K2912" t="str">
            <v>201602151421097</v>
          </cell>
          <cell r="M2912" t="str">
            <v>乳酸菌素片/为消0.4g*36片</v>
          </cell>
        </row>
        <row r="2913">
          <cell r="E2913" t="str">
            <v>0020070000SJZY0001</v>
          </cell>
          <cell r="H2913" t="str">
            <v>水落坡乡郭马社区卫生室</v>
          </cell>
          <cell r="J2913" t="str">
            <v>1855</v>
          </cell>
          <cell r="K2913" t="str">
            <v>201602151421097</v>
          </cell>
          <cell r="M2913" t="str">
            <v>葡萄糖酸锌口服液10ML*12支</v>
          </cell>
        </row>
        <row r="2914">
          <cell r="E2914" t="str">
            <v>0020020021ZYLC0015</v>
          </cell>
          <cell r="H2914" t="str">
            <v>阳信镇行宫庙村卫生室</v>
          </cell>
          <cell r="J2914" t="str">
            <v>1855</v>
          </cell>
          <cell r="K2914" t="str">
            <v>201602151421097</v>
          </cell>
          <cell r="M2914" t="str">
            <v>克拉霉素分散片/长迪0.125g*24粒</v>
          </cell>
        </row>
        <row r="2915">
          <cell r="E2915" t="str">
            <v>0020050001SHYT0037</v>
          </cell>
          <cell r="H2915" t="str">
            <v>沾化国瑞医药连锁有限责任公司</v>
          </cell>
          <cell r="J2915" t="str">
            <v>1857</v>
          </cell>
          <cell r="K2915" t="str">
            <v>201602151421097</v>
          </cell>
          <cell r="M2915" t="str">
            <v>艾附暖宫丸9g*10丸</v>
          </cell>
        </row>
        <row r="2916">
          <cell r="E2916" t="str">
            <v>0020040030SJSC0009</v>
          </cell>
          <cell r="H2916" t="str">
            <v>滨州市沾化区泊头镇卫生院</v>
          </cell>
          <cell r="J2916" t="str">
            <v>1857</v>
          </cell>
          <cell r="K2916" t="str">
            <v>201602151421097</v>
          </cell>
          <cell r="M2916" t="str">
            <v>护肝片0.36g*100片</v>
          </cell>
        </row>
        <row r="2917">
          <cell r="E2917" t="str">
            <v>0020030020SJSC0014</v>
          </cell>
          <cell r="H2917" t="str">
            <v>沾化静康诊所</v>
          </cell>
          <cell r="J2917" t="str">
            <v>1857</v>
          </cell>
          <cell r="K2917" t="str">
            <v>201602151421097</v>
          </cell>
          <cell r="M2917" t="str">
            <v>维D2磷酸氢钙片60片</v>
          </cell>
        </row>
        <row r="2918">
          <cell r="E2918" t="str">
            <v>0020030040ZYLC0001</v>
          </cell>
          <cell r="H2918" t="str">
            <v>阳信镇行宫庙社区卫生室</v>
          </cell>
          <cell r="J2918" t="str">
            <v>1855</v>
          </cell>
          <cell r="K2918" t="str">
            <v>201602151421097</v>
          </cell>
          <cell r="M2918" t="str">
            <v>护彤冲剂/小儿氨酚黄那敏颗粒2g*12袋</v>
          </cell>
        </row>
        <row r="2919">
          <cell r="E2919" t="str">
            <v>0020030020SJSC0014</v>
          </cell>
          <cell r="H2919" t="str">
            <v>高新小营爱强诊所</v>
          </cell>
          <cell r="J2919" t="str">
            <v>1853</v>
          </cell>
          <cell r="K2919" t="str">
            <v>201602151421097</v>
          </cell>
          <cell r="M2919" t="str">
            <v>维D2磷酸氢钙片60片</v>
          </cell>
        </row>
        <row r="2920">
          <cell r="E2920" t="str">
            <v>0020050090SJZY0001</v>
          </cell>
          <cell r="H2920" t="str">
            <v>阳信县百姓大药房医药连锁有限公司</v>
          </cell>
          <cell r="J2920" t="str">
            <v>1855</v>
          </cell>
          <cell r="K2920" t="str">
            <v>201602151421097</v>
          </cell>
          <cell r="M2920" t="str">
            <v>双黄连口服液10ml*10支</v>
          </cell>
        </row>
        <row r="2921">
          <cell r="E2921" t="str">
            <v>0020030001SJZY0006</v>
          </cell>
          <cell r="H2921" t="str">
            <v>阳信县百姓大药房医药连锁有限公司</v>
          </cell>
          <cell r="J2921" t="str">
            <v>1855</v>
          </cell>
          <cell r="K2921" t="str">
            <v>201602151421097</v>
          </cell>
          <cell r="M2921" t="str">
            <v>葡萄糖酸钙口服溶液（含糖）10ml*12支</v>
          </cell>
        </row>
        <row r="2922">
          <cell r="E2922" t="str">
            <v>0020020020ZYLC0010</v>
          </cell>
          <cell r="H2922" t="str">
            <v>滨州市康之元大药房医药有限公司</v>
          </cell>
          <cell r="J2922" t="str">
            <v>1853</v>
          </cell>
          <cell r="K2922" t="str">
            <v>201602151421097</v>
          </cell>
          <cell r="M2922" t="str">
            <v xml:space="preserve">泻利停/颠茄磺苄啶片0.48g*10片 </v>
          </cell>
        </row>
        <row r="2923">
          <cell r="E2923" t="str">
            <v>0020030040ZYLC0001</v>
          </cell>
          <cell r="H2923" t="str">
            <v>博兴县德康大药店</v>
          </cell>
          <cell r="J2923" t="str">
            <v>1858</v>
          </cell>
          <cell r="K2923" t="str">
            <v>201602151421097</v>
          </cell>
          <cell r="M2923" t="str">
            <v>护彤冲剂/小儿氨酚黄那敏颗粒2g*12袋</v>
          </cell>
        </row>
        <row r="2924">
          <cell r="E2924" t="str">
            <v>0020070000SJZY0001</v>
          </cell>
          <cell r="H2924" t="str">
            <v>博兴县德仁堂大药房连锁有限公司</v>
          </cell>
          <cell r="J2924" t="str">
            <v>1858</v>
          </cell>
          <cell r="K2924" t="str">
            <v>201602151421097</v>
          </cell>
          <cell r="M2924" t="str">
            <v>葡萄糖酸锌口服液10ML*12支</v>
          </cell>
        </row>
        <row r="2925">
          <cell r="E2925" t="str">
            <v>0020070001ZYZC0383</v>
          </cell>
          <cell r="H2925" t="str">
            <v>滨城区彭李街道办事处张课第一卫生室</v>
          </cell>
          <cell r="J2925" t="str">
            <v>1853</v>
          </cell>
          <cell r="K2925" t="str">
            <v>201602151421097</v>
          </cell>
          <cell r="M2925" t="str">
            <v>哈药牌钙铁锌口服液10ml*10支</v>
          </cell>
        </row>
        <row r="2926">
          <cell r="E2926" t="str">
            <v>0020030040ZYLC0001</v>
          </cell>
          <cell r="H2926" t="str">
            <v>阳信荣军医院</v>
          </cell>
          <cell r="J2926" t="str">
            <v>1855</v>
          </cell>
          <cell r="K2926" t="str">
            <v>201602151421097</v>
          </cell>
          <cell r="M2926" t="str">
            <v>护彤冲剂/小儿氨酚黄那敏颗粒2g*12袋</v>
          </cell>
        </row>
        <row r="2927">
          <cell r="E2927" t="str">
            <v>0020020021ZYLC0011</v>
          </cell>
          <cell r="H2927" t="str">
            <v>阳信荣军医院</v>
          </cell>
          <cell r="J2927" t="str">
            <v>1855</v>
          </cell>
          <cell r="K2927" t="str">
            <v>201602151421097</v>
          </cell>
          <cell r="M2927" t="str">
            <v>严迪/罗红霉素分散片150mg*12片</v>
          </cell>
        </row>
        <row r="2928">
          <cell r="E2928" t="str">
            <v>0020030001SJZY0006</v>
          </cell>
          <cell r="H2928" t="str">
            <v>苏氏诊所</v>
          </cell>
          <cell r="J2928" t="str">
            <v>1856</v>
          </cell>
          <cell r="K2928" t="str">
            <v>201602151421097</v>
          </cell>
          <cell r="M2928" t="str">
            <v>葡萄糖酸钙口服溶液（含糖）10ml*12支</v>
          </cell>
        </row>
        <row r="2929">
          <cell r="E2929" t="str">
            <v>0020030040ZYLC0001</v>
          </cell>
          <cell r="H2929" t="str">
            <v>滨州市沾化区下河乡卫生院</v>
          </cell>
          <cell r="J2929" t="str">
            <v>1857</v>
          </cell>
          <cell r="K2929" t="str">
            <v>201602151421097</v>
          </cell>
          <cell r="M2929" t="str">
            <v>护彤冲剂/小儿氨酚黄那敏颗粒2g*12袋</v>
          </cell>
        </row>
        <row r="2930">
          <cell r="E2930" t="str">
            <v>0020030001SJZY0006</v>
          </cell>
          <cell r="H2930" t="str">
            <v>滨城安新岐诊所</v>
          </cell>
          <cell r="J2930" t="str">
            <v>1853</v>
          </cell>
          <cell r="K2930" t="str">
            <v>201602151421097</v>
          </cell>
          <cell r="M2930" t="str">
            <v>葡萄糖酸钙口服溶液（含糖）10ml*12支</v>
          </cell>
        </row>
        <row r="2931">
          <cell r="E2931" t="str">
            <v>0020050090SJZY0001</v>
          </cell>
          <cell r="H2931" t="str">
            <v>阳信县河流镇餐具厂卫生所</v>
          </cell>
          <cell r="J2931" t="str">
            <v>1855</v>
          </cell>
          <cell r="K2931" t="str">
            <v>201602151421097</v>
          </cell>
          <cell r="M2931" t="str">
            <v>双黄连口服液10ml*10支</v>
          </cell>
        </row>
        <row r="2932">
          <cell r="E2932" t="str">
            <v>0020070000ZYLC0051</v>
          </cell>
          <cell r="H2932" t="str">
            <v>滨城区市中办事处万全社区卫生服务站</v>
          </cell>
          <cell r="J2932" t="str">
            <v>1853</v>
          </cell>
          <cell r="K2932" t="str">
            <v>201602151421097</v>
          </cell>
          <cell r="M2932" t="str">
            <v>朴血/乳酸亚铁口服液10ml*12支</v>
          </cell>
        </row>
        <row r="2933">
          <cell r="E2933" t="str">
            <v>0020030170ZYEC0003</v>
          </cell>
          <cell r="H2933" t="str">
            <v>滨州市益生园大药房连锁有限公司</v>
          </cell>
          <cell r="J2933" t="str">
            <v>1858</v>
          </cell>
          <cell r="K2933" t="str">
            <v>201602151421097</v>
          </cell>
          <cell r="M2933" t="str">
            <v>蒙脱石散3g*12袋</v>
          </cell>
        </row>
        <row r="2934">
          <cell r="E2934" t="str">
            <v>0020030001SJZY0006</v>
          </cell>
          <cell r="H2934" t="str">
            <v>流坡坞镇褚家社区卫生室</v>
          </cell>
          <cell r="J2934" t="str">
            <v>1855</v>
          </cell>
          <cell r="K2934" t="str">
            <v>201602151421097</v>
          </cell>
          <cell r="M2934" t="str">
            <v>葡萄糖酸钙口服溶液（含糖）10ml*12支</v>
          </cell>
        </row>
        <row r="2935">
          <cell r="E2935" t="str">
            <v>0020020021ZYZC0341</v>
          </cell>
          <cell r="H2935" t="str">
            <v>黄山办乔木新村卫生室</v>
          </cell>
          <cell r="J2935" t="str">
            <v>1859</v>
          </cell>
          <cell r="K2935" t="str">
            <v>201602151421097</v>
          </cell>
          <cell r="M2935" t="str">
            <v>阿莫西林克拉维酸钾7:1分散片（胜艾）0.2285g*12片</v>
          </cell>
        </row>
        <row r="2936">
          <cell r="E2936" t="str">
            <v>0020050090SJZY0001</v>
          </cell>
          <cell r="H2936" t="str">
            <v xml:space="preserve">邹平县方正医药有限公司 </v>
          </cell>
          <cell r="J2936" t="str">
            <v>1859</v>
          </cell>
          <cell r="K2936" t="str">
            <v>201602151421097</v>
          </cell>
          <cell r="M2936" t="str">
            <v>双黄连口服液10ml*10支</v>
          </cell>
        </row>
        <row r="2937">
          <cell r="E2937" t="str">
            <v>0020030001SJZY0006</v>
          </cell>
          <cell r="H2937" t="str">
            <v xml:space="preserve">邹平县方正医药有限公司 </v>
          </cell>
          <cell r="J2937" t="str">
            <v>1859</v>
          </cell>
          <cell r="K2937" t="str">
            <v>201602151421097</v>
          </cell>
          <cell r="M2937" t="str">
            <v>葡萄糖酸钙口服溶液（含糖）10ml*12支</v>
          </cell>
        </row>
        <row r="2938">
          <cell r="E2938" t="str">
            <v>0020030040ZYLC0001</v>
          </cell>
          <cell r="H2938" t="str">
            <v>阳信县仁和堂医药连锁有限公司</v>
          </cell>
          <cell r="J2938" t="str">
            <v>1855</v>
          </cell>
          <cell r="K2938" t="str">
            <v>201602151421097</v>
          </cell>
          <cell r="M2938" t="str">
            <v>护彤冲剂/小儿氨酚黄那敏颗粒2g*12袋</v>
          </cell>
        </row>
        <row r="2939">
          <cell r="E2939" t="str">
            <v>0020030001SJZY0006</v>
          </cell>
          <cell r="H2939" t="str">
            <v>滨城韩小亮中医诊所</v>
          </cell>
          <cell r="J2939" t="str">
            <v>1853</v>
          </cell>
          <cell r="K2939" t="str">
            <v>201602151421097</v>
          </cell>
          <cell r="M2939" t="str">
            <v>葡萄糖酸钙口服溶液（含糖）10ml*12支</v>
          </cell>
        </row>
        <row r="2940">
          <cell r="E2940" t="str">
            <v>0020020020ZYLC0010</v>
          </cell>
          <cell r="H2940" t="str">
            <v xml:space="preserve">惠民县李庄镇民健大药房 </v>
          </cell>
          <cell r="J2940" t="str">
            <v>1854</v>
          </cell>
          <cell r="K2940" t="str">
            <v>201602151421097</v>
          </cell>
          <cell r="M2940" t="str">
            <v xml:space="preserve">泻利停/颠茄磺苄啶片0.48g*10片 </v>
          </cell>
        </row>
        <row r="2941">
          <cell r="E2941" t="str">
            <v>0020050090SJZY0001</v>
          </cell>
          <cell r="H2941" t="str">
            <v>滨州鲁恒眼科医院</v>
          </cell>
          <cell r="J2941" t="str">
            <v>1853</v>
          </cell>
          <cell r="K2941" t="str">
            <v>201602151421097</v>
          </cell>
          <cell r="M2941" t="str">
            <v>双黄连口服液10ml*10支</v>
          </cell>
        </row>
        <row r="2942">
          <cell r="E2942" t="str">
            <v>0020020020ZYLC0010</v>
          </cell>
          <cell r="H2942" t="str">
            <v>金阳街道张杠社区卫生室</v>
          </cell>
          <cell r="J2942" t="str">
            <v>1855</v>
          </cell>
          <cell r="K2942" t="str">
            <v>201602151421097</v>
          </cell>
          <cell r="M2942" t="str">
            <v xml:space="preserve">泻利停/颠茄磺苄啶片0.48g*10片 </v>
          </cell>
        </row>
        <row r="2943">
          <cell r="E2943" t="str">
            <v>0020050020SHYT0016</v>
          </cell>
          <cell r="H2943" t="str">
            <v>商店镇王朝正社区卫生室</v>
          </cell>
          <cell r="J2943" t="str">
            <v>1855</v>
          </cell>
          <cell r="K2943" t="str">
            <v>201602151421097</v>
          </cell>
          <cell r="M2943" t="str">
            <v>复方金银花颗粒10g*10袋</v>
          </cell>
        </row>
        <row r="2944">
          <cell r="E2944" t="str">
            <v>0020030001SJZY0006</v>
          </cell>
          <cell r="H2944" t="str">
            <v>惠民仁和堂诊所</v>
          </cell>
          <cell r="J2944" t="str">
            <v>1854</v>
          </cell>
          <cell r="K2944" t="str">
            <v>201602151421097</v>
          </cell>
          <cell r="M2944" t="str">
            <v>葡萄糖酸钙口服溶液（含糖）10ml*12支</v>
          </cell>
        </row>
        <row r="2945">
          <cell r="E2945" t="str">
            <v>0020030020SJSC0025</v>
          </cell>
          <cell r="H2945" t="str">
            <v>桑落墅镇魏家村卫生室</v>
          </cell>
          <cell r="J2945" t="str">
            <v>1854</v>
          </cell>
          <cell r="K2945" t="str">
            <v>201602151421097</v>
          </cell>
          <cell r="M2945" t="str">
            <v>复方氨酚烷胺片12片</v>
          </cell>
        </row>
        <row r="2946">
          <cell r="E2946" t="str">
            <v>0020070001ZYZC0383</v>
          </cell>
          <cell r="H2946" t="str">
            <v>惠民仁和堂诊所</v>
          </cell>
          <cell r="J2946" t="str">
            <v>1854</v>
          </cell>
          <cell r="K2946" t="str">
            <v>201602151421097</v>
          </cell>
          <cell r="M2946" t="str">
            <v>哈药牌钙铁锌口服液10ml*10支</v>
          </cell>
        </row>
        <row r="2947">
          <cell r="E2947" t="str">
            <v>0020030040SJET0003</v>
          </cell>
          <cell r="H2947" t="str">
            <v>水落坡乡郭马社区卫生室</v>
          </cell>
          <cell r="J2947" t="str">
            <v>1855</v>
          </cell>
          <cell r="K2947" t="str">
            <v>201602151421097</v>
          </cell>
          <cell r="M2947" t="str">
            <v>氨金黄敏颗粒6g*10袋</v>
          </cell>
        </row>
        <row r="2948">
          <cell r="E2948" t="str">
            <v>0020020030ZYZC0264</v>
          </cell>
          <cell r="H2948" t="str">
            <v>孙武村寿俊卫生室</v>
          </cell>
          <cell r="J2948" t="str">
            <v>1854</v>
          </cell>
          <cell r="K2948" t="str">
            <v>201602151421097</v>
          </cell>
          <cell r="M2948" t="str">
            <v>阿莫西林胶囊0.5g*20粒</v>
          </cell>
        </row>
        <row r="2949">
          <cell r="E2949" t="str">
            <v>0020030020SJSC0004</v>
          </cell>
          <cell r="H2949" t="str">
            <v>滨州市沾化区泊头镇卫生院</v>
          </cell>
          <cell r="J2949" t="str">
            <v>1857</v>
          </cell>
          <cell r="K2949" t="str">
            <v>201602151421097</v>
          </cell>
          <cell r="M2949" t="str">
            <v>胃必治/复方铝酸铋片50片</v>
          </cell>
        </row>
        <row r="2950">
          <cell r="E2950" t="str">
            <v>0020030020SJSC0004</v>
          </cell>
          <cell r="H2950" t="str">
            <v>阳信县商店镇台属大药房</v>
          </cell>
          <cell r="J2950" t="str">
            <v>1855</v>
          </cell>
          <cell r="K2950" t="str">
            <v>201602151421097</v>
          </cell>
          <cell r="M2950" t="str">
            <v>胃必治/复方铝酸铋片50片</v>
          </cell>
        </row>
        <row r="2951">
          <cell r="E2951" t="str">
            <v>0020030001SJZY0006</v>
          </cell>
          <cell r="H2951" t="str">
            <v>博兴县盛和堂大药店</v>
          </cell>
          <cell r="J2951" t="str">
            <v>1858</v>
          </cell>
          <cell r="K2951" t="str">
            <v>201602151421097</v>
          </cell>
          <cell r="M2951" t="str">
            <v>葡萄糖酸钙口服溶液（含糖）10ml*12支</v>
          </cell>
        </row>
        <row r="2952">
          <cell r="E2952" t="str">
            <v>0020030020ZYLC0010</v>
          </cell>
          <cell r="H2952" t="str">
            <v>无棣县小泊头镇郑王村社区卫生室</v>
          </cell>
          <cell r="J2952" t="str">
            <v>1856</v>
          </cell>
          <cell r="K2952" t="str">
            <v>201602151421097</v>
          </cell>
          <cell r="M2952" t="str">
            <v>乳酸菌素片/为消0.4g*36片</v>
          </cell>
        </row>
        <row r="2953">
          <cell r="E2953" t="str">
            <v>0020070000ZYLC0051</v>
          </cell>
          <cell r="H2953" t="str">
            <v>滨州康乐医药连锁有限公司</v>
          </cell>
          <cell r="J2953" t="str">
            <v>1853</v>
          </cell>
          <cell r="K2953" t="str">
            <v>201602151421097</v>
          </cell>
          <cell r="M2953" t="str">
            <v>朴血/乳酸亚铁口服液10ml*12支</v>
          </cell>
        </row>
        <row r="2954">
          <cell r="E2954" t="str">
            <v>0020020021ZYLC0005</v>
          </cell>
          <cell r="H2954" t="str">
            <v>博兴县德仁堂大药房连锁有限公司</v>
          </cell>
          <cell r="J2954" t="str">
            <v>1858</v>
          </cell>
          <cell r="K2954" t="str">
            <v>201602151421097</v>
          </cell>
          <cell r="M2954" t="str">
            <v>小儿严迪片/罗红霉素分散片50mg*12片</v>
          </cell>
        </row>
        <row r="2955">
          <cell r="E2955" t="str">
            <v>0020030020ZYLC0013</v>
          </cell>
          <cell r="H2955" t="str">
            <v>博兴县德仁堂大药房连锁有限公司</v>
          </cell>
          <cell r="J2955" t="str">
            <v>1858</v>
          </cell>
          <cell r="K2955" t="str">
            <v>201602151421097</v>
          </cell>
          <cell r="M2955" t="str">
            <v>“为消”牌乳酸菌素片0.4g*36片</v>
          </cell>
        </row>
        <row r="2956">
          <cell r="E2956" t="str">
            <v>0020030001SJZY0006</v>
          </cell>
          <cell r="H2956" t="str">
            <v>孙武街道李仲条村卫生室</v>
          </cell>
          <cell r="J2956" t="str">
            <v>1854</v>
          </cell>
          <cell r="K2956" t="str">
            <v>201602151421097</v>
          </cell>
          <cell r="M2956" t="str">
            <v>葡萄糖酸钙口服溶液（含糖）10ml*12支</v>
          </cell>
        </row>
        <row r="2957">
          <cell r="E2957" t="str">
            <v>0020030020SJSC0014</v>
          </cell>
          <cell r="H2957" t="str">
            <v>滨州市修正堂医药有限公司</v>
          </cell>
          <cell r="J2957" t="str">
            <v>1853</v>
          </cell>
          <cell r="K2957" t="str">
            <v>201602151421097</v>
          </cell>
          <cell r="M2957" t="str">
            <v>维D2磷酸氢钙片60片</v>
          </cell>
        </row>
        <row r="2958">
          <cell r="E2958" t="str">
            <v>0020070000ZYLC0003</v>
          </cell>
          <cell r="H2958" t="str">
            <v>无棣康棣医药连锁有限公司</v>
          </cell>
          <cell r="J2958" t="str">
            <v>1856</v>
          </cell>
          <cell r="K2958" t="str">
            <v>201602151421097</v>
          </cell>
          <cell r="M2958" t="str">
            <v>新盖中盖牌儿童钙片1.75g*36p</v>
          </cell>
        </row>
        <row r="2959">
          <cell r="E2959" t="str">
            <v>0020030001SJZY0006</v>
          </cell>
          <cell r="H2959" t="str">
            <v>无棣康棣医药连锁有限公司</v>
          </cell>
          <cell r="J2959" t="str">
            <v>1856</v>
          </cell>
          <cell r="K2959" t="str">
            <v>201602151421097</v>
          </cell>
          <cell r="M2959" t="str">
            <v>葡萄糖酸钙口服溶液（含糖）10ml*12支</v>
          </cell>
        </row>
        <row r="2960">
          <cell r="E2960" t="str">
            <v>0020030001SJZY0006</v>
          </cell>
          <cell r="H2960" t="str">
            <v>阳信镇段赵村卫生室</v>
          </cell>
          <cell r="J2960" t="str">
            <v>1855</v>
          </cell>
          <cell r="K2960" t="str">
            <v>201602151421097</v>
          </cell>
          <cell r="M2960" t="str">
            <v>葡萄糖酸钙口服溶液（含糖）10ml*12支</v>
          </cell>
        </row>
        <row r="2961">
          <cell r="E2961" t="str">
            <v>0020070001ZYZC0383</v>
          </cell>
          <cell r="H2961" t="str">
            <v>高新办明珠新村卫生室</v>
          </cell>
          <cell r="J2961" t="str">
            <v>1859</v>
          </cell>
          <cell r="K2961" t="str">
            <v>201602151421097</v>
          </cell>
          <cell r="M2961" t="str">
            <v>哈药牌钙铁锌口服液10ml*10支</v>
          </cell>
        </row>
        <row r="2962">
          <cell r="E2962" t="str">
            <v>0020030001SJZY0006</v>
          </cell>
          <cell r="H2962" t="str">
            <v>邹平仁济堂医药有限公司</v>
          </cell>
          <cell r="J2962" t="str">
            <v>1859</v>
          </cell>
          <cell r="K2962" t="str">
            <v>201602151421097</v>
          </cell>
          <cell r="M2962" t="str">
            <v>葡萄糖酸钙口服溶液（含糖）10ml*12支</v>
          </cell>
        </row>
        <row r="2963">
          <cell r="E2963" t="str">
            <v>0020020020SJMS0008</v>
          </cell>
          <cell r="H2963" t="str">
            <v>邹平仁济堂医药有限公司</v>
          </cell>
          <cell r="J2963" t="str">
            <v>1859</v>
          </cell>
          <cell r="K2963" t="str">
            <v>201602151421097</v>
          </cell>
          <cell r="M2963" t="str">
            <v>拉西地平片/三精司乐平片4mg*15片</v>
          </cell>
        </row>
        <row r="2964">
          <cell r="E2964" t="str">
            <v>0020030020ZYLC0013</v>
          </cell>
          <cell r="H2964" t="str">
            <v>何坊街道王官村卫生室</v>
          </cell>
          <cell r="J2964" t="str">
            <v>1854</v>
          </cell>
          <cell r="K2964" t="str">
            <v>201602151421097</v>
          </cell>
          <cell r="M2964" t="str">
            <v>“为消”牌乳酸菌素片0.4g*36片</v>
          </cell>
        </row>
        <row r="2965">
          <cell r="E2965" t="str">
            <v>0020030020ZYLC0010</v>
          </cell>
          <cell r="H2965" t="str">
            <v>惠民县众可万寿堂大药房连锁有限公司</v>
          </cell>
          <cell r="J2965" t="str">
            <v>1854</v>
          </cell>
          <cell r="K2965" t="str">
            <v>201602151421097</v>
          </cell>
          <cell r="M2965" t="str">
            <v>乳酸菌素片/为消0.4g*36片</v>
          </cell>
        </row>
        <row r="2966">
          <cell r="E2966" t="str">
            <v>0020020021ZYLC0011</v>
          </cell>
          <cell r="H2966" t="str">
            <v>流坡坞镇北董社区卫生室</v>
          </cell>
          <cell r="J2966" t="str">
            <v>1855</v>
          </cell>
          <cell r="K2966" t="str">
            <v>201602151421097</v>
          </cell>
          <cell r="M2966" t="str">
            <v>严迪/罗红霉素分散片150mg*12片</v>
          </cell>
        </row>
        <row r="2967">
          <cell r="E2967" t="str">
            <v>0020030001SJZY0006</v>
          </cell>
          <cell r="H2967" t="str">
            <v>滨城区市西街道办事处兴民社区卫生服务站</v>
          </cell>
          <cell r="J2967" t="str">
            <v>1853</v>
          </cell>
          <cell r="K2967" t="str">
            <v>201602151421097</v>
          </cell>
          <cell r="M2967" t="str">
            <v>葡萄糖酸钙口服溶液（含糖）10ml*12支</v>
          </cell>
        </row>
        <row r="2968">
          <cell r="E2968" t="str">
            <v>0020070000ZYLC0001</v>
          </cell>
          <cell r="H2968" t="str">
            <v>滨城区市西街道办事处兴民社区卫生服务站</v>
          </cell>
          <cell r="J2968" t="str">
            <v>1853</v>
          </cell>
          <cell r="K2968" t="str">
            <v>201602151421097</v>
          </cell>
          <cell r="M2968" t="str">
            <v>新盖中盖高钙片2.5g*36P</v>
          </cell>
        </row>
        <row r="2969">
          <cell r="E2969" t="str">
            <v>0020030001SJZY0006</v>
          </cell>
          <cell r="H2969" t="str">
            <v>翟王镇于张社区卫生室</v>
          </cell>
          <cell r="J2969" t="str">
            <v>1855</v>
          </cell>
          <cell r="K2969" t="str">
            <v>201602151421097</v>
          </cell>
          <cell r="M2969" t="str">
            <v>葡萄糖酸钙口服溶液（含糖）10ml*12支</v>
          </cell>
        </row>
        <row r="2970">
          <cell r="E2970" t="str">
            <v>0020070000ZYLC0001</v>
          </cell>
          <cell r="H2970" t="str">
            <v>滨城韩小亮中医诊所</v>
          </cell>
          <cell r="J2970" t="str">
            <v>1853</v>
          </cell>
          <cell r="K2970" t="str">
            <v>201602151421097</v>
          </cell>
          <cell r="M2970" t="str">
            <v>新盖中盖高钙片2.5g*36P</v>
          </cell>
        </row>
        <row r="2971">
          <cell r="E2971" t="str">
            <v>0020070001ZYLC0001</v>
          </cell>
          <cell r="H2971" t="str">
            <v>翟王镇穆家社区卫生室</v>
          </cell>
          <cell r="J2971" t="str">
            <v>1855</v>
          </cell>
          <cell r="K2971" t="str">
            <v>201602151421097</v>
          </cell>
          <cell r="M2971" t="str">
            <v>哈药六钙锌口服液10ml*12支</v>
          </cell>
        </row>
        <row r="2972">
          <cell r="E2972" t="str">
            <v>0020070000SJZY0001</v>
          </cell>
          <cell r="H2972" t="str">
            <v>翟王镇穆家社区卫生室</v>
          </cell>
          <cell r="J2972" t="str">
            <v>1855</v>
          </cell>
          <cell r="K2972" t="str">
            <v>201602151421097</v>
          </cell>
          <cell r="M2972" t="str">
            <v>葡萄糖酸锌口服液10ML*12支</v>
          </cell>
        </row>
        <row r="2973">
          <cell r="E2973" t="str">
            <v>0020040030SHYT0002</v>
          </cell>
          <cell r="H2973" t="str">
            <v>翟王镇穆家社区卫生室</v>
          </cell>
          <cell r="J2973" t="str">
            <v>1855</v>
          </cell>
          <cell r="K2973" t="str">
            <v>201602151421097</v>
          </cell>
          <cell r="M2973" t="str">
            <v>牛黄消炎片0.12g*24片</v>
          </cell>
        </row>
        <row r="2974">
          <cell r="E2974" t="str">
            <v>0020030001SJZY0006</v>
          </cell>
          <cell r="H2974" t="str">
            <v>翟王镇穆家社区卫生室</v>
          </cell>
          <cell r="J2974" t="str">
            <v>1855</v>
          </cell>
          <cell r="K2974" t="str">
            <v>201602151421097</v>
          </cell>
          <cell r="M2974" t="str">
            <v>葡萄糖酸钙口服溶液（含糖）10ml*12支</v>
          </cell>
        </row>
        <row r="2975">
          <cell r="E2975" t="str">
            <v>0020070000SJZY0001</v>
          </cell>
          <cell r="H2975" t="str">
            <v>滨城区市西街道办事处社区卫生服务站</v>
          </cell>
          <cell r="J2975" t="str">
            <v>1853</v>
          </cell>
          <cell r="K2975" t="str">
            <v>201602151421097</v>
          </cell>
          <cell r="M2975" t="str">
            <v>葡萄糖酸锌口服液10ML*12支</v>
          </cell>
        </row>
        <row r="2976">
          <cell r="E2976" t="str">
            <v>0020020030ZYZC0264</v>
          </cell>
          <cell r="H2976" t="str">
            <v>滨州市修正堂医药有限公司</v>
          </cell>
          <cell r="J2976" t="str">
            <v>1853</v>
          </cell>
          <cell r="K2976" t="str">
            <v>201602151421097</v>
          </cell>
          <cell r="M2976" t="str">
            <v>阿莫西林胶囊0.5g*20粒</v>
          </cell>
        </row>
        <row r="2977">
          <cell r="E2977" t="str">
            <v>0020070000ZYLC0051</v>
          </cell>
          <cell r="H2977" t="str">
            <v>阳信尔康诊所</v>
          </cell>
          <cell r="J2977" t="str">
            <v>1855</v>
          </cell>
          <cell r="K2977" t="str">
            <v>201602151421097</v>
          </cell>
          <cell r="M2977" t="str">
            <v>朴血/乳酸亚铁口服液10ml*12支</v>
          </cell>
        </row>
        <row r="2978">
          <cell r="E2978" t="str">
            <v>0020070000SJZY0001</v>
          </cell>
          <cell r="H2978" t="str">
            <v>滨州康杰大药房有限责任公司建翔店</v>
          </cell>
          <cell r="J2978" t="str">
            <v>1853</v>
          </cell>
          <cell r="K2978" t="str">
            <v>201602151421097</v>
          </cell>
          <cell r="M2978" t="str">
            <v>葡萄糖酸锌口服液10ML*12支</v>
          </cell>
        </row>
        <row r="2979">
          <cell r="E2979" t="str">
            <v>0020030001SJZY0006</v>
          </cell>
          <cell r="H2979" t="str">
            <v>滨州康杰大药房有限责任公司建翔店</v>
          </cell>
          <cell r="J2979" t="str">
            <v>1853</v>
          </cell>
          <cell r="K2979" t="str">
            <v>201602151421097</v>
          </cell>
          <cell r="M2979" t="str">
            <v>葡萄糖酸钙口服溶液（含糖）10ml*12支</v>
          </cell>
        </row>
        <row r="2980">
          <cell r="E2980" t="str">
            <v>0020030020ZYZC0360</v>
          </cell>
          <cell r="H2980" t="str">
            <v>滨州市修正堂医药有限公司</v>
          </cell>
          <cell r="J2980" t="str">
            <v>1853</v>
          </cell>
          <cell r="K2980" t="str">
            <v>201602151421097</v>
          </cell>
          <cell r="M2980" t="str">
            <v>*维生素C咀嚼片/VC片0.1g*30片</v>
          </cell>
        </row>
        <row r="2981">
          <cell r="E2981" t="str">
            <v>0020030020ZYZC0360</v>
          </cell>
          <cell r="H2981" t="str">
            <v>滨州市滨城区彭李街道办事处阳光社区卫生服务站</v>
          </cell>
          <cell r="J2981" t="str">
            <v>1853</v>
          </cell>
          <cell r="K2981" t="str">
            <v>201602151421097</v>
          </cell>
          <cell r="M2981" t="str">
            <v>*维生素C咀嚼片/VC片0.1g*30片</v>
          </cell>
        </row>
        <row r="2982">
          <cell r="E2982" t="str">
            <v>0020030020SJSC0025</v>
          </cell>
          <cell r="H2982" t="str">
            <v>阳信县仁和堂医药连锁有限公司</v>
          </cell>
          <cell r="J2982" t="str">
            <v>1855</v>
          </cell>
          <cell r="K2982" t="str">
            <v>201602151421097</v>
          </cell>
          <cell r="M2982" t="str">
            <v>复方氨酚烷胺片12片</v>
          </cell>
        </row>
        <row r="2983">
          <cell r="E2983" t="str">
            <v>0020020021ZYLC0012</v>
          </cell>
          <cell r="H2983" t="str">
            <v>阳信县仁和堂医药连锁有限公司</v>
          </cell>
          <cell r="J2983" t="str">
            <v>1855</v>
          </cell>
          <cell r="K2983" t="str">
            <v>201602151421097</v>
          </cell>
          <cell r="M2983" t="str">
            <v>阿奇霉素分散片0.25*6</v>
          </cell>
        </row>
        <row r="2984">
          <cell r="E2984" t="str">
            <v>0020040220SHYT0005</v>
          </cell>
          <cell r="H2984" t="str">
            <v>阳信县仁和堂医药连锁有限公司</v>
          </cell>
          <cell r="J2984" t="str">
            <v>1855</v>
          </cell>
          <cell r="K2984" t="str">
            <v>201602151421097</v>
          </cell>
          <cell r="M2984" t="str">
            <v>妇宁栓1.6g×7枚</v>
          </cell>
        </row>
        <row r="2985">
          <cell r="E2985" t="str">
            <v>0020020020ZYZC0498</v>
          </cell>
          <cell r="H2985" t="str">
            <v>惠民县康复大药堂</v>
          </cell>
          <cell r="J2985" t="str">
            <v>1854</v>
          </cell>
          <cell r="K2985" t="str">
            <v>201602151421097</v>
          </cell>
          <cell r="M2985" t="str">
            <v>盐酸左氧氟沙星片0.1g*24片</v>
          </cell>
        </row>
        <row r="2986">
          <cell r="E2986" t="str">
            <v>0020020040ZYZC0304</v>
          </cell>
          <cell r="H2986" t="str">
            <v>惠民县康复大药堂</v>
          </cell>
          <cell r="J2986" t="str">
            <v>1854</v>
          </cell>
          <cell r="K2986" t="str">
            <v>201602151421097</v>
          </cell>
          <cell r="M2986" t="str">
            <v>阿莫西林颗粒0.125g*12袋</v>
          </cell>
        </row>
        <row r="2987">
          <cell r="E2987" t="str">
            <v>0020100000ZYLC0012</v>
          </cell>
          <cell r="H2987" t="str">
            <v>惠民县宝芝林医药连锁有限公司</v>
          </cell>
          <cell r="J2987" t="str">
            <v>1854</v>
          </cell>
          <cell r="K2987" t="str">
            <v>201602151421097</v>
          </cell>
          <cell r="M2987" t="str">
            <v>退热贴40mm*110mm*2贴</v>
          </cell>
        </row>
        <row r="2988">
          <cell r="E2988" t="str">
            <v>0020040220SHYT0005</v>
          </cell>
          <cell r="H2988" t="str">
            <v>惠民县春英大药房</v>
          </cell>
          <cell r="J2988" t="str">
            <v>1854</v>
          </cell>
          <cell r="K2988" t="str">
            <v>201602151421097</v>
          </cell>
          <cell r="M2988" t="str">
            <v>妇宁栓1.6g×7枚</v>
          </cell>
        </row>
        <row r="2989">
          <cell r="E2989" t="str">
            <v>0020030020SJSC0025</v>
          </cell>
          <cell r="H2989" t="str">
            <v>惠民县众可万寿堂大药房连锁有限公司</v>
          </cell>
          <cell r="J2989" t="str">
            <v>1854</v>
          </cell>
          <cell r="K2989" t="str">
            <v>201602151421097</v>
          </cell>
          <cell r="M2989" t="str">
            <v>复方氨酚烷胺片12片</v>
          </cell>
        </row>
        <row r="2990">
          <cell r="E2990" t="str">
            <v>0020040220SHYT0005</v>
          </cell>
          <cell r="H2990" t="str">
            <v>信诚街道接官亭村第一卫生室</v>
          </cell>
          <cell r="J2990" t="str">
            <v>1855</v>
          </cell>
          <cell r="K2990" t="str">
            <v>201602151421097</v>
          </cell>
          <cell r="M2990" t="str">
            <v>妇宁栓1.6g×7枚</v>
          </cell>
        </row>
        <row r="2991">
          <cell r="E2991" t="str">
            <v>0020050020SHYT0016</v>
          </cell>
          <cell r="H2991" t="str">
            <v>信诚街道接官亭村第一卫生室</v>
          </cell>
          <cell r="J2991" t="str">
            <v>1855</v>
          </cell>
          <cell r="K2991" t="str">
            <v>201602151421097</v>
          </cell>
          <cell r="M2991" t="str">
            <v>复方金银花颗粒10g*10袋</v>
          </cell>
        </row>
        <row r="2992">
          <cell r="E2992" t="str">
            <v>0020050020SHYT0016</v>
          </cell>
          <cell r="H2992" t="str">
            <v>阳信县商店镇台属大药房</v>
          </cell>
          <cell r="J2992" t="str">
            <v>1855</v>
          </cell>
          <cell r="K2992" t="str">
            <v>201602151421097</v>
          </cell>
          <cell r="M2992" t="str">
            <v>复方金银花颗粒10g*10袋</v>
          </cell>
        </row>
        <row r="2993">
          <cell r="E2993" t="str">
            <v>0020020020ZYZC0498</v>
          </cell>
          <cell r="H2993" t="str">
            <v>滨城区市西街道办事处社区卫生服务站</v>
          </cell>
          <cell r="J2993" t="str">
            <v>1853</v>
          </cell>
          <cell r="K2993" t="str">
            <v>201602151421097</v>
          </cell>
          <cell r="M2993" t="str">
            <v>盐酸左氧氟沙星片0.1g*24片</v>
          </cell>
        </row>
        <row r="2994">
          <cell r="E2994" t="str">
            <v>0020030020SJSC0025</v>
          </cell>
          <cell r="H2994" t="str">
            <v>滨州市滨城区彭李街道办事处黄河社区卫生服务站</v>
          </cell>
          <cell r="J2994" t="str">
            <v>1853</v>
          </cell>
          <cell r="K2994" t="str">
            <v>201602151421097</v>
          </cell>
          <cell r="M2994" t="str">
            <v>复方氨酚烷胺片12片</v>
          </cell>
        </row>
        <row r="2995">
          <cell r="E2995" t="str">
            <v>0020070000SJZY0001</v>
          </cell>
          <cell r="H2995" t="str">
            <v>滨州市万全医药保健品连锁有限公司</v>
          </cell>
          <cell r="J2995" t="str">
            <v>1853</v>
          </cell>
          <cell r="K2995" t="str">
            <v>201602151421097</v>
          </cell>
          <cell r="M2995" t="str">
            <v>葡萄糖酸锌口服液10ML*12支</v>
          </cell>
        </row>
        <row r="2996">
          <cell r="E2996" t="str">
            <v>0020030001SJZY0006</v>
          </cell>
          <cell r="H2996" t="str">
            <v>滨州市万全医药保健品连锁有限公司</v>
          </cell>
          <cell r="J2996" t="str">
            <v>1853</v>
          </cell>
          <cell r="K2996" t="str">
            <v>201602151421097</v>
          </cell>
          <cell r="M2996" t="str">
            <v>葡萄糖酸钙口服溶液（含糖）10ml*12支</v>
          </cell>
        </row>
        <row r="2997">
          <cell r="E2997" t="str">
            <v>0020030040ZYLC0001</v>
          </cell>
          <cell r="H2997" t="str">
            <v>滨州市万全医药保健品连锁有限公司</v>
          </cell>
          <cell r="J2997" t="str">
            <v>1853</v>
          </cell>
          <cell r="K2997" t="str">
            <v>201602151421097</v>
          </cell>
          <cell r="M2997" t="str">
            <v>护彤冲剂/小儿氨酚黄那敏颗粒2g*12袋</v>
          </cell>
        </row>
        <row r="2998">
          <cell r="E2998" t="str">
            <v>0020020040ZYZC0304</v>
          </cell>
          <cell r="H2998" t="str">
            <v>滨城万寿堂医院</v>
          </cell>
          <cell r="J2998" t="str">
            <v>1853</v>
          </cell>
          <cell r="K2998" t="str">
            <v>201602151421097</v>
          </cell>
          <cell r="M2998" t="str">
            <v>阿莫西林颗粒0.125g*12袋</v>
          </cell>
        </row>
        <row r="2999">
          <cell r="E2999" t="str">
            <v>0020030020SJSC0025</v>
          </cell>
          <cell r="H2999" t="str">
            <v>滨州高新区康寿堂医药有限公司</v>
          </cell>
          <cell r="J2999" t="str">
            <v>1853</v>
          </cell>
          <cell r="K2999" t="str">
            <v>201602151421097</v>
          </cell>
          <cell r="M2999" t="str">
            <v>复方氨酚烷胺片12片</v>
          </cell>
        </row>
        <row r="3000">
          <cell r="E3000" t="str">
            <v>0020020040ZYZC0304</v>
          </cell>
          <cell r="H3000" t="str">
            <v>博兴县城东街道办事处国康大药房</v>
          </cell>
          <cell r="J3000" t="str">
            <v>1858</v>
          </cell>
          <cell r="K3000" t="str">
            <v>201602151421097</v>
          </cell>
          <cell r="M3000" t="str">
            <v>阿莫西林颗粒0.125g*12袋</v>
          </cell>
        </row>
        <row r="3001">
          <cell r="E3001" t="str">
            <v>0020030020SJSC0025</v>
          </cell>
          <cell r="H3001" t="str">
            <v>滨城刘虎中医诊所</v>
          </cell>
          <cell r="J3001" t="str">
            <v>1853</v>
          </cell>
          <cell r="K3001" t="str">
            <v>201602151421097</v>
          </cell>
          <cell r="M3001" t="str">
            <v>复方氨酚烷胺片12片</v>
          </cell>
        </row>
        <row r="3002">
          <cell r="E3002" t="str">
            <v>0020020021ZYLC0012</v>
          </cell>
          <cell r="H3002" t="str">
            <v>滨州康乐医药连锁有限公司</v>
          </cell>
          <cell r="J3002" t="str">
            <v>1853</v>
          </cell>
          <cell r="K3002" t="str">
            <v>201602151421097</v>
          </cell>
          <cell r="M3002" t="str">
            <v>阿奇霉素分散片0.25*6</v>
          </cell>
        </row>
        <row r="3003">
          <cell r="E3003" t="str">
            <v>0020050020SHYT0016</v>
          </cell>
          <cell r="H3003" t="str">
            <v>博兴县德仁堂大药房连锁有限公司</v>
          </cell>
          <cell r="J3003" t="str">
            <v>1858</v>
          </cell>
          <cell r="K3003" t="str">
            <v>201602151421097</v>
          </cell>
          <cell r="M3003" t="str">
            <v>复方金银花颗粒10g*10袋</v>
          </cell>
        </row>
        <row r="3004">
          <cell r="E3004" t="str">
            <v>0020040220SHYT0005</v>
          </cell>
          <cell r="H3004" t="str">
            <v>博兴县德仁堂大药房连锁有限公司</v>
          </cell>
          <cell r="J3004" t="str">
            <v>1858</v>
          </cell>
          <cell r="K3004" t="str">
            <v>201602151421097</v>
          </cell>
          <cell r="M3004" t="str">
            <v>妇宁栓1.6g×7枚</v>
          </cell>
        </row>
        <row r="3005">
          <cell r="E3005" t="str">
            <v>0020100000ZYLC0012</v>
          </cell>
          <cell r="H3005" t="str">
            <v>沾化国瑞医药连锁有限责任公司</v>
          </cell>
          <cell r="J3005" t="str">
            <v>1857</v>
          </cell>
          <cell r="K3005" t="str">
            <v>201602151421097</v>
          </cell>
          <cell r="M3005" t="str">
            <v>退热贴40mm*110mm*2贴</v>
          </cell>
        </row>
        <row r="3006">
          <cell r="E3006" t="str">
            <v>0020030020SJSC0025</v>
          </cell>
          <cell r="H3006" t="str">
            <v>沾化国瑞医药连锁有限责任公司</v>
          </cell>
          <cell r="J3006" t="str">
            <v>1857</v>
          </cell>
          <cell r="K3006" t="str">
            <v>201602151421097</v>
          </cell>
          <cell r="M3006" t="str">
            <v>复方氨酚烷胺片12片</v>
          </cell>
        </row>
        <row r="3007">
          <cell r="E3007" t="str">
            <v>0020030020SJSC0025</v>
          </cell>
          <cell r="H3007" t="str">
            <v>滨州市沾化区泊头镇卫生院</v>
          </cell>
          <cell r="J3007" t="str">
            <v>1857</v>
          </cell>
          <cell r="K3007" t="str">
            <v>201602151421097</v>
          </cell>
          <cell r="M3007" t="str">
            <v>复方氨酚烷胺片12片</v>
          </cell>
        </row>
        <row r="3008">
          <cell r="E3008" t="str">
            <v>0020020040ZYZC0304</v>
          </cell>
          <cell r="H3008" t="str">
            <v>阳信县百姓大药房医药连锁有限公司</v>
          </cell>
          <cell r="J3008" t="str">
            <v>1855</v>
          </cell>
          <cell r="K3008" t="str">
            <v>201602151421097</v>
          </cell>
          <cell r="M3008" t="str">
            <v>阿莫西林颗粒0.125g*12袋</v>
          </cell>
        </row>
        <row r="3009">
          <cell r="E3009" t="str">
            <v>0020020040ZYZC0304</v>
          </cell>
          <cell r="H3009" t="str">
            <v>滨州市修正堂医药有限公司</v>
          </cell>
          <cell r="J3009" t="str">
            <v>1853</v>
          </cell>
          <cell r="K3009" t="str">
            <v>201602151421097</v>
          </cell>
          <cell r="M3009" t="str">
            <v>阿莫西林颗粒0.125g*12袋</v>
          </cell>
        </row>
        <row r="3010">
          <cell r="E3010" t="str">
            <v>0020020021ZYLC0012</v>
          </cell>
          <cell r="H3010" t="str">
            <v>滨州市修正堂医药有限公司</v>
          </cell>
          <cell r="J3010" t="str">
            <v>1853</v>
          </cell>
          <cell r="K3010" t="str">
            <v>201602151421097</v>
          </cell>
          <cell r="M3010" t="str">
            <v>阿奇霉素分散片0.25*6</v>
          </cell>
        </row>
        <row r="3011">
          <cell r="E3011" t="str">
            <v>0020020040ZYZC0304</v>
          </cell>
          <cell r="H3011" t="str">
            <v>滨州市滨源医药连锁有限公司</v>
          </cell>
          <cell r="J3011" t="str">
            <v>1853</v>
          </cell>
          <cell r="K3011" t="str">
            <v>201602151421097</v>
          </cell>
          <cell r="M3011" t="str">
            <v>阿莫西林颗粒0.125g*12袋</v>
          </cell>
        </row>
        <row r="3012">
          <cell r="E3012" t="str">
            <v>0020020021ZYLC0012</v>
          </cell>
          <cell r="H3012" t="str">
            <v>阳信县商店镇瑞康平民药店</v>
          </cell>
          <cell r="J3012" t="str">
            <v>1855</v>
          </cell>
          <cell r="K3012" t="str">
            <v>201602151421097</v>
          </cell>
          <cell r="M3012" t="str">
            <v>阿奇霉素分散片0.25*6</v>
          </cell>
        </row>
        <row r="3013">
          <cell r="E3013" t="str">
            <v>0020020020ZYZC0498</v>
          </cell>
          <cell r="H3013" t="str">
            <v>阳信县商店镇瑞康平民药店</v>
          </cell>
          <cell r="J3013" t="str">
            <v>1855</v>
          </cell>
          <cell r="K3013" t="str">
            <v>201602151421097</v>
          </cell>
          <cell r="M3013" t="str">
            <v>盐酸左氧氟沙星片0.1g*24片</v>
          </cell>
        </row>
        <row r="3014">
          <cell r="E3014" t="str">
            <v>0020100000ZYLC0012</v>
          </cell>
          <cell r="H3014" t="str">
            <v>阳信县商店镇瑞康平民药店</v>
          </cell>
          <cell r="J3014" t="str">
            <v>1855</v>
          </cell>
          <cell r="K3014" t="str">
            <v>201602151421097</v>
          </cell>
          <cell r="M3014" t="str">
            <v>退热贴40mm*110mm*2贴</v>
          </cell>
        </row>
        <row r="3015">
          <cell r="E3015" t="str">
            <v>0020070000SJZY0001</v>
          </cell>
          <cell r="H3015" t="str">
            <v>惠民县桑落墅镇弘轩大药房</v>
          </cell>
          <cell r="J3015" t="str">
            <v>1854</v>
          </cell>
          <cell r="K3015" t="str">
            <v>201602151421097</v>
          </cell>
          <cell r="M3015" t="str">
            <v>葡萄糖酸锌口服液10ML*12支</v>
          </cell>
        </row>
        <row r="3016">
          <cell r="E3016" t="str">
            <v>0020070000ZYLC0003</v>
          </cell>
          <cell r="H3016" t="str">
            <v>惠民县桑落墅镇弘轩大药房</v>
          </cell>
          <cell r="J3016" t="str">
            <v>1854</v>
          </cell>
          <cell r="K3016" t="str">
            <v>201602151421097</v>
          </cell>
          <cell r="M3016" t="str">
            <v>新盖中盖牌儿童钙片1.75g*36p</v>
          </cell>
        </row>
        <row r="3017">
          <cell r="E3017" t="str">
            <v>0020070000ZYLC0001</v>
          </cell>
          <cell r="H3017" t="str">
            <v>惠民县桑落墅镇弘轩大药房</v>
          </cell>
          <cell r="J3017" t="str">
            <v>1854</v>
          </cell>
          <cell r="K3017" t="str">
            <v>201602151421097</v>
          </cell>
          <cell r="M3017" t="str">
            <v>新盖中盖高钙片2.5g*36P</v>
          </cell>
        </row>
        <row r="3018">
          <cell r="E3018" t="str">
            <v>0020050020SHYT0016</v>
          </cell>
          <cell r="H3018" t="str">
            <v>滨州市万全医药保健品连锁有限公司</v>
          </cell>
          <cell r="J3018" t="str">
            <v>1853</v>
          </cell>
          <cell r="K3018" t="str">
            <v>201602151421097</v>
          </cell>
          <cell r="M3018" t="str">
            <v>复方金银花颗粒10g*10袋</v>
          </cell>
        </row>
        <row r="3019">
          <cell r="E3019" t="str">
            <v>0020020021ZYLC0012</v>
          </cell>
          <cell r="H3019" t="str">
            <v>无棣县埕口镇万豪药店</v>
          </cell>
          <cell r="J3019" t="str">
            <v>1856</v>
          </cell>
          <cell r="K3019" t="str">
            <v>201602151421097</v>
          </cell>
          <cell r="M3019" t="str">
            <v>阿奇霉素分散片0.25*6</v>
          </cell>
        </row>
        <row r="3020">
          <cell r="E3020" t="str">
            <v>0020070001ZYLC0001</v>
          </cell>
          <cell r="H3020" t="str">
            <v>沾化国瑞医药连锁有限责任公司</v>
          </cell>
          <cell r="J3020" t="str">
            <v>1857</v>
          </cell>
          <cell r="K3020" t="str">
            <v>201602151421097</v>
          </cell>
          <cell r="M3020" t="str">
            <v>哈药六钙锌口服液10ml*12支</v>
          </cell>
        </row>
        <row r="3021">
          <cell r="E3021" t="str">
            <v>0020070000ZYLC0051</v>
          </cell>
          <cell r="H3021" t="str">
            <v>沾化济生堂大药房连锁有限公司</v>
          </cell>
          <cell r="J3021" t="str">
            <v>1857</v>
          </cell>
          <cell r="K3021" t="str">
            <v>201602151421097</v>
          </cell>
          <cell r="M3021" t="str">
            <v>朴血/乳酸亚铁口服液10ml*12支</v>
          </cell>
        </row>
        <row r="3022">
          <cell r="E3022" t="str">
            <v>0020030001SJZY0006</v>
          </cell>
          <cell r="H3022" t="str">
            <v>水落坡乡长庄社区卫生室</v>
          </cell>
          <cell r="J3022" t="str">
            <v>1855</v>
          </cell>
          <cell r="K3022" t="str">
            <v>201602151421097</v>
          </cell>
          <cell r="M3022" t="str">
            <v>葡萄糖酸钙口服溶液（含糖）10ml*12支</v>
          </cell>
        </row>
        <row r="3023">
          <cell r="E3023" t="str">
            <v>0020070000ZYLC0001</v>
          </cell>
          <cell r="H3023" t="str">
            <v>惠民县众可万寿堂大药房连锁有限公司</v>
          </cell>
          <cell r="J3023" t="str">
            <v>1854</v>
          </cell>
          <cell r="K3023" t="str">
            <v>201602151421097</v>
          </cell>
          <cell r="M3023" t="str">
            <v>新盖中盖高钙片2.5g*36P</v>
          </cell>
        </row>
        <row r="3024">
          <cell r="E3024" t="str">
            <v>0020030020SJSC0004</v>
          </cell>
          <cell r="H3024" t="str">
            <v>惠民县众可万寿堂大药房连锁有限公司</v>
          </cell>
          <cell r="J3024" t="str">
            <v>1854</v>
          </cell>
          <cell r="K3024" t="str">
            <v>201602151421097</v>
          </cell>
          <cell r="M3024" t="str">
            <v>胃必治/复方铝酸铋片50片</v>
          </cell>
        </row>
        <row r="3025">
          <cell r="E3025" t="str">
            <v>0020070000ZYLC0051</v>
          </cell>
          <cell r="H3025" t="str">
            <v>滨城区三河湖镇高庙村卫生室</v>
          </cell>
          <cell r="J3025" t="str">
            <v>1853</v>
          </cell>
          <cell r="K3025" t="str">
            <v>201602151421097</v>
          </cell>
          <cell r="M3025" t="str">
            <v>朴血/乳酸亚铁口服液10ml*12支</v>
          </cell>
        </row>
        <row r="3026">
          <cell r="E3026" t="str">
            <v>0020070000ZYLC0051</v>
          </cell>
          <cell r="H3026" t="str">
            <v>信诚街道接官亭村第一卫生室</v>
          </cell>
          <cell r="J3026" t="str">
            <v>1855</v>
          </cell>
          <cell r="K3026" t="str">
            <v>201602151421097</v>
          </cell>
          <cell r="M3026" t="str">
            <v>朴血/乳酸亚铁口服液10ml*12支</v>
          </cell>
        </row>
        <row r="3027">
          <cell r="E3027" t="str">
            <v>0020070000ZYLC0001</v>
          </cell>
          <cell r="H3027" t="str">
            <v>博兴县陈户镇福百仁大药房</v>
          </cell>
          <cell r="J3027" t="str">
            <v>1858</v>
          </cell>
          <cell r="K3027" t="str">
            <v>201602151421097</v>
          </cell>
          <cell r="M3027" t="str">
            <v>新盖中盖高钙片2.5g*36P</v>
          </cell>
        </row>
        <row r="3028">
          <cell r="E3028" t="str">
            <v>0020020030ZYZC0264</v>
          </cell>
          <cell r="H3028" t="str">
            <v>孙武街道马虎村卫生室</v>
          </cell>
          <cell r="J3028" t="str">
            <v>1854</v>
          </cell>
          <cell r="K3028" t="str">
            <v>201602151421097</v>
          </cell>
          <cell r="M3028" t="str">
            <v>阿莫西林胶囊0.5g*20粒</v>
          </cell>
        </row>
        <row r="3029">
          <cell r="E3029" t="str">
            <v>0020070000ZYLC0001</v>
          </cell>
          <cell r="H3029" t="str">
            <v>阳信药材公司诊所</v>
          </cell>
          <cell r="J3029" t="str">
            <v>1855</v>
          </cell>
          <cell r="K3029" t="str">
            <v>201602151421097</v>
          </cell>
          <cell r="M3029" t="str">
            <v>新盖中盖高钙片2.5g*36P</v>
          </cell>
        </row>
        <row r="3030">
          <cell r="E3030" t="str">
            <v>0020030040ZYZC0307</v>
          </cell>
          <cell r="H3030" t="str">
            <v>商店镇商店第一社区卫生室</v>
          </cell>
          <cell r="J3030" t="str">
            <v>1855</v>
          </cell>
          <cell r="K3030" t="str">
            <v>201602151421097</v>
          </cell>
          <cell r="M3030" t="str">
            <v>富马酸亚铁颗粒2g*6袋</v>
          </cell>
        </row>
        <row r="3031">
          <cell r="E3031" t="str">
            <v>0020030020SJSC0014</v>
          </cell>
          <cell r="H3031" t="str">
            <v>河流镇西孟社区卫生室</v>
          </cell>
          <cell r="J3031" t="str">
            <v>1855</v>
          </cell>
          <cell r="K3031" t="str">
            <v>201602151421097</v>
          </cell>
          <cell r="M3031" t="str">
            <v>维D2磷酸氢钙片60片</v>
          </cell>
        </row>
        <row r="3032">
          <cell r="E3032" t="str">
            <v>0020020021ZYLC0011</v>
          </cell>
          <cell r="H3032" t="str">
            <v>河流镇西孟社区卫生室</v>
          </cell>
          <cell r="J3032" t="str">
            <v>1855</v>
          </cell>
          <cell r="K3032" t="str">
            <v>201602151421097</v>
          </cell>
          <cell r="M3032" t="str">
            <v>严迪/罗红霉素分散片150mg*12片</v>
          </cell>
        </row>
        <row r="3033">
          <cell r="E3033" t="str">
            <v>0020020030ZYLC0003</v>
          </cell>
          <cell r="H3033" t="str">
            <v>高新办国际商贸城卫生室</v>
          </cell>
          <cell r="J3033" t="str">
            <v>1859</v>
          </cell>
          <cell r="K3033" t="str">
            <v>201602151421097</v>
          </cell>
          <cell r="M3033" t="str">
            <v>厄贝沙坦胶囊75mg*12粒</v>
          </cell>
        </row>
        <row r="3034">
          <cell r="E3034" t="str">
            <v>0020020030ZYZC0263</v>
          </cell>
          <cell r="H3034" t="str">
            <v>高新办国际商贸城卫生室</v>
          </cell>
          <cell r="J3034" t="str">
            <v>1859</v>
          </cell>
          <cell r="K3034" t="str">
            <v>201602151421097</v>
          </cell>
          <cell r="M3034" t="str">
            <v>盐酸依托必利胶囊50mg*20粒</v>
          </cell>
        </row>
        <row r="3035">
          <cell r="E3035" t="str">
            <v>0020020020SJMS0008</v>
          </cell>
          <cell r="H3035" t="str">
            <v>滨州康杰大药房有限责任公司</v>
          </cell>
          <cell r="J3035" t="str">
            <v>1853</v>
          </cell>
          <cell r="K3035" t="str">
            <v>201602151421097</v>
          </cell>
          <cell r="M3035" t="str">
            <v>拉西地平片/三精司乐平片4mg*15片</v>
          </cell>
        </row>
        <row r="3036">
          <cell r="E3036" t="str">
            <v>0020070000ZYLC0001</v>
          </cell>
          <cell r="H3036" t="str">
            <v>滨州市修正堂医药有限公司</v>
          </cell>
          <cell r="J3036" t="str">
            <v>1853</v>
          </cell>
          <cell r="K3036" t="str">
            <v>201602151421097</v>
          </cell>
          <cell r="M3036" t="str">
            <v>新盖中盖高钙片2.5g*36P</v>
          </cell>
        </row>
        <row r="3037">
          <cell r="E3037" t="str">
            <v>0020020020ZYLC0010</v>
          </cell>
          <cell r="H3037" t="str">
            <v>圣济堂医药连锁有限公司</v>
          </cell>
          <cell r="J3037" t="str">
            <v>1853</v>
          </cell>
          <cell r="K3037" t="str">
            <v>201602151421097</v>
          </cell>
          <cell r="M3037" t="str">
            <v xml:space="preserve">泻利停/颠茄磺苄啶片0.48g*10片 </v>
          </cell>
        </row>
        <row r="3038">
          <cell r="E3038" t="str">
            <v>0020070001ZYLC0001</v>
          </cell>
          <cell r="H3038" t="str">
            <v>滨州市滨城区市西街道办事处利民社区第二卫生服务站</v>
          </cell>
          <cell r="J3038" t="str">
            <v>1853</v>
          </cell>
          <cell r="K3038" t="str">
            <v>201602151421097</v>
          </cell>
          <cell r="M3038" t="str">
            <v>哈药六钙锌口服液10ml*12支</v>
          </cell>
        </row>
        <row r="3039">
          <cell r="E3039" t="str">
            <v>0020070000ZYLC0001</v>
          </cell>
          <cell r="H3039" t="str">
            <v>滨州市滨城区市西街道办事处利民社区第二卫生服务站</v>
          </cell>
          <cell r="J3039" t="str">
            <v>1853</v>
          </cell>
          <cell r="K3039" t="str">
            <v>201602151421097</v>
          </cell>
          <cell r="M3039" t="str">
            <v>新盖中盖高钙片2.5g*36P</v>
          </cell>
        </row>
        <row r="3040">
          <cell r="E3040" t="str">
            <v>0020020021ZYLC0010</v>
          </cell>
          <cell r="H3040" t="str">
            <v>滨城安新岐诊所</v>
          </cell>
          <cell r="J3040" t="str">
            <v>1853</v>
          </cell>
          <cell r="K3040" t="str">
            <v>201602151421097</v>
          </cell>
          <cell r="M3040" t="str">
            <v>克拉霉素分散片0.125g*12片</v>
          </cell>
        </row>
        <row r="3041">
          <cell r="E3041" t="str">
            <v>0020030001SJZY0006</v>
          </cell>
          <cell r="H3041" t="str">
            <v>滨城区市东街道办事处南蔺卫生室</v>
          </cell>
          <cell r="J3041" t="str">
            <v>1853</v>
          </cell>
          <cell r="K3041" t="str">
            <v>201602151421097</v>
          </cell>
          <cell r="M3041" t="str">
            <v>葡萄糖酸钙口服溶液（含糖）10ml*12支</v>
          </cell>
        </row>
        <row r="3042">
          <cell r="E3042" t="str">
            <v>0020070000SJZY0001</v>
          </cell>
          <cell r="H3042" t="str">
            <v>滨州市益生园大药房连锁有限公司</v>
          </cell>
          <cell r="J3042" t="str">
            <v>1858</v>
          </cell>
          <cell r="K3042" t="str">
            <v>201602151421097</v>
          </cell>
          <cell r="M3042" t="str">
            <v>葡萄糖酸锌口服液10ML*12支</v>
          </cell>
        </row>
        <row r="3043">
          <cell r="E3043" t="str">
            <v>0020050090SJZY0001</v>
          </cell>
          <cell r="H3043" t="str">
            <v>滨州市益生园大药房连锁有限公司</v>
          </cell>
          <cell r="J3043" t="str">
            <v>1858</v>
          </cell>
          <cell r="K3043" t="str">
            <v>201602151421097</v>
          </cell>
          <cell r="M3043" t="str">
            <v>双黄连口服液10ml*10支</v>
          </cell>
        </row>
        <row r="3044">
          <cell r="E3044" t="str">
            <v>0020070000ZYLC0001</v>
          </cell>
          <cell r="H3044" t="str">
            <v>滨州市益生园大药房连锁有限公司</v>
          </cell>
          <cell r="J3044" t="str">
            <v>1858</v>
          </cell>
          <cell r="K3044" t="str">
            <v>201602151421097</v>
          </cell>
          <cell r="M3044" t="str">
            <v>新盖中盖高钙片2.5g*36P</v>
          </cell>
        </row>
        <row r="3045">
          <cell r="E3045" t="str">
            <v>0020030040ZYZC0307</v>
          </cell>
          <cell r="H3045" t="str">
            <v>滨城区市中街道办事处高杜卫生室</v>
          </cell>
          <cell r="J3045" t="str">
            <v>1853</v>
          </cell>
          <cell r="K3045" t="str">
            <v>201602151421097</v>
          </cell>
          <cell r="M3045" t="str">
            <v>富马酸亚铁颗粒2g*6袋</v>
          </cell>
        </row>
        <row r="3046">
          <cell r="E3046" t="str">
            <v>0020070000ZYLC0051</v>
          </cell>
          <cell r="H3046" t="str">
            <v>邹平仁济堂医药有限公司</v>
          </cell>
          <cell r="J3046" t="str">
            <v>1859</v>
          </cell>
          <cell r="K3046" t="str">
            <v>201602151421097</v>
          </cell>
          <cell r="M3046" t="str">
            <v>朴血/乳酸亚铁口服液10ml*12支</v>
          </cell>
        </row>
        <row r="3047">
          <cell r="E3047" t="str">
            <v>0020070001ZYZC0369</v>
          </cell>
          <cell r="H3047" t="str">
            <v>邹平仁济堂医药有限公司</v>
          </cell>
          <cell r="J3047" t="str">
            <v>1859</v>
          </cell>
          <cell r="K3047" t="str">
            <v>201602151421097</v>
          </cell>
          <cell r="M3047" t="str">
            <v>哈药牌钙铁锌口服液10ml*12支</v>
          </cell>
        </row>
        <row r="3048">
          <cell r="E3048" t="str">
            <v>0020040070ZYEC0005</v>
          </cell>
          <cell r="H3048" t="str">
            <v xml:space="preserve">邹平县方正医药有限公司 </v>
          </cell>
          <cell r="J3048" t="str">
            <v>1859</v>
          </cell>
          <cell r="K3048" t="str">
            <v>201602151421097</v>
          </cell>
          <cell r="M3048" t="str">
            <v>小儿百部止咳糖浆100ml</v>
          </cell>
        </row>
        <row r="3049">
          <cell r="E3049" t="str">
            <v>0020020030SJMS0024</v>
          </cell>
          <cell r="H3049" t="str">
            <v xml:space="preserve">邹平县方正医药有限公司 </v>
          </cell>
          <cell r="J3049" t="str">
            <v>1859</v>
          </cell>
          <cell r="K3049" t="str">
            <v>201602151421097</v>
          </cell>
          <cell r="M3049" t="str">
            <v>人工牛黄甲硝唑胶囊/牙疼安10粒*2板</v>
          </cell>
        </row>
        <row r="3050">
          <cell r="E3050" t="str">
            <v>0020070000SJZY0001</v>
          </cell>
          <cell r="H3050" t="str">
            <v xml:space="preserve">惠民县李庄镇民健大药房 </v>
          </cell>
          <cell r="J3050" t="str">
            <v>1854</v>
          </cell>
          <cell r="K3050" t="str">
            <v>201602151421097</v>
          </cell>
          <cell r="M3050" t="str">
            <v>葡萄糖酸锌口服液10ML*12支</v>
          </cell>
        </row>
        <row r="3051">
          <cell r="E3051" t="str">
            <v>0020070000ZYLC0051</v>
          </cell>
          <cell r="H3051" t="str">
            <v>阳信镇前陈社区卫生室</v>
          </cell>
          <cell r="J3051" t="str">
            <v>1855</v>
          </cell>
          <cell r="K3051" t="str">
            <v>201602151421097</v>
          </cell>
          <cell r="M3051" t="str">
            <v>朴血/乳酸亚铁口服液10ml*12支</v>
          </cell>
        </row>
        <row r="3052">
          <cell r="E3052" t="str">
            <v>0020070001ZYLC0001</v>
          </cell>
          <cell r="H3052" t="str">
            <v>阳信镇前陈社区卫生室</v>
          </cell>
          <cell r="J3052" t="str">
            <v>1855</v>
          </cell>
          <cell r="K3052" t="str">
            <v>201602151421097</v>
          </cell>
          <cell r="M3052" t="str">
            <v>哈药六钙锌口服液10ml*12支</v>
          </cell>
        </row>
        <row r="3053">
          <cell r="E3053" t="str">
            <v>0020070000ZYLC0001</v>
          </cell>
          <cell r="H3053" t="str">
            <v>阳信镇前陈社区卫生室</v>
          </cell>
          <cell r="J3053" t="str">
            <v>1855</v>
          </cell>
          <cell r="K3053" t="str">
            <v>201602151421097</v>
          </cell>
          <cell r="M3053" t="str">
            <v>新盖中盖高钙片2.5g*36P</v>
          </cell>
        </row>
        <row r="3054">
          <cell r="E3054" t="str">
            <v>0020020013ZYZC0491</v>
          </cell>
          <cell r="H3054" t="str">
            <v>洋湖乡西冯社区卫生室</v>
          </cell>
          <cell r="J3054" t="str">
            <v>1855</v>
          </cell>
          <cell r="K3054" t="str">
            <v>201602151421097</v>
          </cell>
          <cell r="M3054" t="str">
            <v>阿奇针/注射用乳糖酸阿奇霉素针0.25g</v>
          </cell>
        </row>
        <row r="3055">
          <cell r="E3055" t="str">
            <v>0020030020SJSC0004</v>
          </cell>
          <cell r="H3055" t="str">
            <v>惠民县寿康大药房有限责任公司</v>
          </cell>
          <cell r="J3055" t="str">
            <v>1854</v>
          </cell>
          <cell r="K3055" t="str">
            <v>201602151421097</v>
          </cell>
          <cell r="M3055" t="str">
            <v>胃必治/复方铝酸铋片50片</v>
          </cell>
        </row>
        <row r="3056">
          <cell r="E3056" t="str">
            <v>0020020021ZYLC0011</v>
          </cell>
          <cell r="H3056" t="str">
            <v>流坡坞镇红门堂村卫生室</v>
          </cell>
          <cell r="J3056" t="str">
            <v>1855</v>
          </cell>
          <cell r="K3056" t="str">
            <v>201602151421097</v>
          </cell>
          <cell r="M3056" t="str">
            <v>严迪/罗红霉素分散片150mg*12片</v>
          </cell>
        </row>
        <row r="3057">
          <cell r="E3057" t="str">
            <v>0020030020SJSC0014</v>
          </cell>
          <cell r="H3057" t="str">
            <v>洋湖乡张扬社区卫生室</v>
          </cell>
          <cell r="J3057" t="str">
            <v>1855</v>
          </cell>
          <cell r="K3057" t="str">
            <v>201602151421097</v>
          </cell>
          <cell r="M3057" t="str">
            <v>维D2磷酸氢钙片60片</v>
          </cell>
        </row>
        <row r="3058">
          <cell r="E3058" t="str">
            <v>0020070000ZYLC0003</v>
          </cell>
          <cell r="H3058" t="str">
            <v>阳信县百姓大药房医药连锁有限公司</v>
          </cell>
          <cell r="J3058" t="str">
            <v>1855</v>
          </cell>
          <cell r="K3058" t="str">
            <v>201602151421097</v>
          </cell>
          <cell r="M3058" t="str">
            <v>新盖中盖牌儿童钙片1.75g*36p</v>
          </cell>
        </row>
        <row r="3059">
          <cell r="E3059" t="str">
            <v>0020070000ZYLC0051</v>
          </cell>
          <cell r="H3059" t="str">
            <v>阳信县百姓大药房医药连锁有限公司</v>
          </cell>
          <cell r="J3059" t="str">
            <v>1855</v>
          </cell>
          <cell r="K3059" t="str">
            <v>201602151421097</v>
          </cell>
          <cell r="M3059" t="str">
            <v>朴血/乳酸亚铁口服液10ml*12支</v>
          </cell>
        </row>
        <row r="3060">
          <cell r="E3060" t="str">
            <v>0020030020SJSC0004</v>
          </cell>
          <cell r="H3060" t="str">
            <v>阳信县百姓大药房医药连锁有限公司</v>
          </cell>
          <cell r="J3060" t="str">
            <v>1855</v>
          </cell>
          <cell r="K3060" t="str">
            <v>201602151421097</v>
          </cell>
          <cell r="M3060" t="str">
            <v>胃必治/复方铝酸铋片50片</v>
          </cell>
        </row>
        <row r="3061">
          <cell r="E3061" t="str">
            <v>0020030040SHYT0010</v>
          </cell>
          <cell r="H3061" t="str">
            <v>阳信县百姓大药房医药连锁有限公司</v>
          </cell>
          <cell r="J3061" t="str">
            <v>1855</v>
          </cell>
          <cell r="K3061" t="str">
            <v>201602151421097</v>
          </cell>
          <cell r="M3061" t="str">
            <v>布洛芬颗粒0.2g*12袋</v>
          </cell>
        </row>
        <row r="3062">
          <cell r="E3062" t="str">
            <v>0020070001ZYLC0001</v>
          </cell>
          <cell r="H3062" t="str">
            <v>流坡坞镇窦家社区卫生室</v>
          </cell>
          <cell r="J3062" t="str">
            <v>1855</v>
          </cell>
          <cell r="K3062" t="str">
            <v>201602151421097</v>
          </cell>
          <cell r="M3062" t="str">
            <v>哈药六钙锌口服液10ml*12支</v>
          </cell>
        </row>
        <row r="3063">
          <cell r="E3063" t="str">
            <v>0020070001ZYZC0369</v>
          </cell>
          <cell r="H3063" t="str">
            <v>大洋集团诊所</v>
          </cell>
          <cell r="J3063" t="str">
            <v>1856</v>
          </cell>
          <cell r="K3063" t="str">
            <v>201602151421097</v>
          </cell>
          <cell r="M3063" t="str">
            <v>哈药牌钙铁锌口服液10ml*12支</v>
          </cell>
        </row>
        <row r="3064">
          <cell r="E3064" t="str">
            <v>0020070000ZYLC0051</v>
          </cell>
          <cell r="H3064" t="str">
            <v>大洋集团诊所</v>
          </cell>
          <cell r="J3064" t="str">
            <v>1856</v>
          </cell>
          <cell r="K3064" t="str">
            <v>201602151421097</v>
          </cell>
          <cell r="M3064" t="str">
            <v>朴血/乳酸亚铁口服液10ml*12支</v>
          </cell>
        </row>
        <row r="3065">
          <cell r="E3065" t="str">
            <v>0020030020ZYLC0013</v>
          </cell>
          <cell r="H3065" t="str">
            <v>洋湖乡洋湖村卫生室</v>
          </cell>
          <cell r="J3065" t="str">
            <v>1855</v>
          </cell>
          <cell r="K3065" t="str">
            <v>201602151421097</v>
          </cell>
          <cell r="M3065" t="str">
            <v>“为消”牌乳酸菌素片0.4g*36片</v>
          </cell>
        </row>
        <row r="3066">
          <cell r="E3066" t="str">
            <v>0020020030ZYZC0289</v>
          </cell>
          <cell r="H3066" t="str">
            <v>连锁50店</v>
          </cell>
          <cell r="J3066" t="str">
            <v>1859</v>
          </cell>
          <cell r="K3066" t="str">
            <v>201602151421097</v>
          </cell>
          <cell r="M3066" t="str">
            <v>阿莫西林胶囊0.5g*36粒</v>
          </cell>
        </row>
        <row r="3067">
          <cell r="E3067" t="str">
            <v>0020020030ZYZC0289</v>
          </cell>
          <cell r="H3067" t="str">
            <v>连锁11店</v>
          </cell>
          <cell r="J3067" t="str">
            <v>1859</v>
          </cell>
          <cell r="K3067" t="str">
            <v>201602151421097</v>
          </cell>
          <cell r="M3067" t="str">
            <v>阿莫西林胶囊0.5g*36粒</v>
          </cell>
        </row>
        <row r="3068">
          <cell r="E3068" t="str">
            <v>0020020030ZYZC0289</v>
          </cell>
          <cell r="H3068" t="str">
            <v>连锁5店</v>
          </cell>
          <cell r="J3068" t="str">
            <v>1859</v>
          </cell>
          <cell r="K3068" t="str">
            <v>201602151421097</v>
          </cell>
          <cell r="M3068" t="str">
            <v>阿莫西林胶囊0.5g*36粒</v>
          </cell>
        </row>
        <row r="3069">
          <cell r="E3069" t="str">
            <v>0020020030ZYZC0289</v>
          </cell>
          <cell r="H3069" t="str">
            <v>连锁42店</v>
          </cell>
          <cell r="J3069" t="str">
            <v>1859</v>
          </cell>
          <cell r="K3069" t="str">
            <v>201602151421097</v>
          </cell>
          <cell r="M3069" t="str">
            <v>阿莫西林胶囊0.5g*36粒</v>
          </cell>
        </row>
        <row r="3070">
          <cell r="E3070" t="str">
            <v>0020020030ZYZC0289</v>
          </cell>
          <cell r="H3070" t="str">
            <v>滨11店</v>
          </cell>
          <cell r="J3070" t="str">
            <v>1853</v>
          </cell>
          <cell r="K3070" t="str">
            <v>201602151421097</v>
          </cell>
          <cell r="M3070" t="str">
            <v>阿莫西林胶囊0.5g*36粒</v>
          </cell>
        </row>
        <row r="3071">
          <cell r="E3071" t="str">
            <v>0020020030ZYZC0289</v>
          </cell>
          <cell r="H3071" t="str">
            <v>连锁27店</v>
          </cell>
          <cell r="J3071" t="str">
            <v>1859</v>
          </cell>
          <cell r="K3071" t="str">
            <v>201602151421097</v>
          </cell>
          <cell r="M3071" t="str">
            <v>阿莫西林胶囊0.5g*36粒</v>
          </cell>
        </row>
        <row r="3072">
          <cell r="E3072" t="str">
            <v>0020020030ZYZC0289</v>
          </cell>
          <cell r="H3072" t="str">
            <v>连锁52店</v>
          </cell>
          <cell r="J3072" t="str">
            <v>1859</v>
          </cell>
          <cell r="K3072" t="str">
            <v>201602151421097</v>
          </cell>
          <cell r="M3072" t="str">
            <v>阿莫西林胶囊0.5g*36粒</v>
          </cell>
        </row>
        <row r="3073">
          <cell r="E3073" t="str">
            <v>0020020030ZYZC0289</v>
          </cell>
          <cell r="H3073" t="str">
            <v>滨17店</v>
          </cell>
          <cell r="J3073" t="str">
            <v>1853</v>
          </cell>
          <cell r="K3073" t="str">
            <v>201602151421097</v>
          </cell>
          <cell r="M3073" t="str">
            <v>阿莫西林胶囊0.5g*36粒</v>
          </cell>
        </row>
        <row r="3074">
          <cell r="E3074" t="str">
            <v>0020020030ZYZC0289</v>
          </cell>
          <cell r="H3074" t="str">
            <v>连锁22店</v>
          </cell>
          <cell r="J3074" t="str">
            <v>1859</v>
          </cell>
          <cell r="K3074" t="str">
            <v>201602151421097</v>
          </cell>
          <cell r="M3074" t="str">
            <v>阿莫西林胶囊0.5g*36粒</v>
          </cell>
        </row>
        <row r="3075">
          <cell r="E3075" t="str">
            <v>0020020030ZYZC0289</v>
          </cell>
          <cell r="H3075" t="str">
            <v>连锁6店</v>
          </cell>
          <cell r="J3075" t="str">
            <v>1859</v>
          </cell>
          <cell r="K3075" t="str">
            <v>201602151421097</v>
          </cell>
          <cell r="M3075" t="str">
            <v>阿莫西林胶囊0.5g*36粒</v>
          </cell>
        </row>
        <row r="3076">
          <cell r="E3076" t="str">
            <v>0020020030ZYZC0289</v>
          </cell>
          <cell r="H3076" t="str">
            <v>连锁45店</v>
          </cell>
          <cell r="J3076" t="str">
            <v>1859</v>
          </cell>
          <cell r="K3076" t="str">
            <v>201602151421097</v>
          </cell>
          <cell r="M3076" t="str">
            <v>阿莫西林胶囊0.5g*36粒</v>
          </cell>
        </row>
        <row r="3077">
          <cell r="E3077" t="str">
            <v>0020020030ZYZC0289</v>
          </cell>
          <cell r="H3077" t="str">
            <v>连锁31店</v>
          </cell>
          <cell r="J3077" t="str">
            <v>1859</v>
          </cell>
          <cell r="K3077" t="str">
            <v>201602151421097</v>
          </cell>
          <cell r="M3077" t="str">
            <v>阿莫西林胶囊0.5g*36粒</v>
          </cell>
        </row>
        <row r="3078">
          <cell r="E3078" t="str">
            <v>0020020030ZYZC0289</v>
          </cell>
          <cell r="H3078" t="str">
            <v>中心店</v>
          </cell>
          <cell r="J3078" t="str">
            <v>1859</v>
          </cell>
          <cell r="K3078" t="str">
            <v>201602151421097</v>
          </cell>
          <cell r="M3078" t="str">
            <v>阿莫西林胶囊0.5g*36粒</v>
          </cell>
        </row>
        <row r="3079">
          <cell r="E3079" t="str">
            <v>0020020030ZYZC0289</v>
          </cell>
          <cell r="H3079" t="str">
            <v>连锁49店</v>
          </cell>
          <cell r="J3079" t="str">
            <v>1859</v>
          </cell>
          <cell r="K3079" t="str">
            <v>201602151421097</v>
          </cell>
          <cell r="M3079" t="str">
            <v>阿莫西林胶囊0.5g*36粒</v>
          </cell>
        </row>
        <row r="3080">
          <cell r="E3080" t="str">
            <v>0020020030ZYZC0289</v>
          </cell>
          <cell r="H3080" t="str">
            <v>连锁25店</v>
          </cell>
          <cell r="J3080" t="str">
            <v>1859</v>
          </cell>
          <cell r="K3080" t="str">
            <v>201602151421097</v>
          </cell>
          <cell r="M3080" t="str">
            <v>阿莫西林胶囊0.5g*36粒</v>
          </cell>
        </row>
        <row r="3081">
          <cell r="E3081" t="str">
            <v>0020020030ZYZC0289</v>
          </cell>
          <cell r="H3081" t="str">
            <v>连锁33店</v>
          </cell>
          <cell r="J3081" t="str">
            <v>1859</v>
          </cell>
          <cell r="K3081" t="str">
            <v>201602151421097</v>
          </cell>
          <cell r="M3081" t="str">
            <v>阿莫西林胶囊0.5g*36粒</v>
          </cell>
        </row>
        <row r="3082">
          <cell r="E3082" t="str">
            <v>0020020030ZYZC0289</v>
          </cell>
          <cell r="H3082" t="str">
            <v>连锁15店</v>
          </cell>
          <cell r="J3082" t="str">
            <v>1859</v>
          </cell>
          <cell r="K3082" t="str">
            <v>201602151421097</v>
          </cell>
          <cell r="M3082" t="str">
            <v>阿莫西林胶囊0.5g*36粒</v>
          </cell>
        </row>
        <row r="3083">
          <cell r="E3083" t="str">
            <v>0020020030ZYZC0289</v>
          </cell>
          <cell r="H3083" t="str">
            <v>连锁17店</v>
          </cell>
          <cell r="J3083" t="str">
            <v>1859</v>
          </cell>
          <cell r="K3083" t="str">
            <v>201602151421097</v>
          </cell>
          <cell r="M3083" t="str">
            <v>阿莫西林胶囊0.5g*36粒</v>
          </cell>
        </row>
        <row r="3084">
          <cell r="E3084" t="str">
            <v>0020020030ZYZC0289</v>
          </cell>
          <cell r="H3084" t="str">
            <v>连锁41店</v>
          </cell>
          <cell r="J3084" t="str">
            <v>1859</v>
          </cell>
          <cell r="K3084" t="str">
            <v>201602151421097</v>
          </cell>
          <cell r="M3084" t="str">
            <v>阿莫西林胶囊0.5g*36粒</v>
          </cell>
        </row>
        <row r="3085">
          <cell r="E3085" t="str">
            <v>0020020030ZYZC0289</v>
          </cell>
          <cell r="H3085" t="str">
            <v>连锁38店</v>
          </cell>
          <cell r="J3085" t="str">
            <v>1859</v>
          </cell>
          <cell r="K3085" t="str">
            <v>201602151421097</v>
          </cell>
          <cell r="M3085" t="str">
            <v>阿莫西林胶囊0.5g*36粒</v>
          </cell>
        </row>
        <row r="3086">
          <cell r="E3086" t="str">
            <v>0020030040SJET0003</v>
          </cell>
          <cell r="H3086" t="str">
            <v>连锁51店</v>
          </cell>
          <cell r="J3086" t="str">
            <v>1859</v>
          </cell>
          <cell r="K3086" t="str">
            <v>201602151421097</v>
          </cell>
          <cell r="M3086" t="str">
            <v>氨金黄敏颗粒6g*10袋/盒</v>
          </cell>
        </row>
        <row r="3087">
          <cell r="E3087" t="str">
            <v>0020030040SJET0003</v>
          </cell>
          <cell r="H3087" t="str">
            <v>连锁2店</v>
          </cell>
          <cell r="J3087" t="str">
            <v>1859</v>
          </cell>
          <cell r="K3087" t="str">
            <v>201602151421097</v>
          </cell>
          <cell r="M3087" t="str">
            <v>氨金黄敏颗粒6g*10袋/盒</v>
          </cell>
        </row>
        <row r="3088">
          <cell r="E3088" t="str">
            <v>0020030040SJET0003</v>
          </cell>
          <cell r="H3088" t="str">
            <v>连锁15店</v>
          </cell>
          <cell r="J3088" t="str">
            <v>1859</v>
          </cell>
          <cell r="K3088" t="str">
            <v>201602151421097</v>
          </cell>
          <cell r="M3088" t="str">
            <v>氨金黄敏颗粒6g*10袋/盒</v>
          </cell>
        </row>
        <row r="3089">
          <cell r="E3089" t="str">
            <v>0020030040SJET0003</v>
          </cell>
          <cell r="H3089" t="str">
            <v>连锁11店</v>
          </cell>
          <cell r="J3089" t="str">
            <v>1859</v>
          </cell>
          <cell r="K3089" t="str">
            <v>201602151421097</v>
          </cell>
          <cell r="M3089" t="str">
            <v>氨金黄敏颗粒6g*10袋/盒</v>
          </cell>
        </row>
        <row r="3090">
          <cell r="E3090" t="str">
            <v>0020030040SJET0003</v>
          </cell>
          <cell r="H3090" t="str">
            <v>连锁3店</v>
          </cell>
          <cell r="J3090" t="str">
            <v>1859</v>
          </cell>
          <cell r="K3090" t="str">
            <v>201602151421097</v>
          </cell>
          <cell r="M3090" t="str">
            <v>氨金黄敏颗粒6g*10袋/盒</v>
          </cell>
        </row>
        <row r="3091">
          <cell r="E3091" t="str">
            <v>0020030040SJET0003</v>
          </cell>
          <cell r="H3091" t="str">
            <v>连锁36店</v>
          </cell>
          <cell r="J3091" t="str">
            <v>1859</v>
          </cell>
          <cell r="K3091" t="str">
            <v>201602151421097</v>
          </cell>
          <cell r="M3091" t="str">
            <v>氨金黄敏颗粒6g*10袋/盒</v>
          </cell>
        </row>
        <row r="3092">
          <cell r="E3092" t="str">
            <v>0020030040SJET0003</v>
          </cell>
          <cell r="H3092" t="str">
            <v>连锁43店</v>
          </cell>
          <cell r="J3092" t="str">
            <v>1859</v>
          </cell>
          <cell r="K3092" t="str">
            <v>201602151421097</v>
          </cell>
          <cell r="M3092" t="str">
            <v>氨金黄敏颗粒6g*10袋/盒</v>
          </cell>
        </row>
        <row r="3093">
          <cell r="E3093" t="str">
            <v>0020030040SJET0003</v>
          </cell>
          <cell r="H3093" t="str">
            <v>连锁21店</v>
          </cell>
          <cell r="J3093" t="str">
            <v>1859</v>
          </cell>
          <cell r="K3093" t="str">
            <v>201602151421097</v>
          </cell>
          <cell r="M3093" t="str">
            <v>氨金黄敏颗粒6g*10袋/盒</v>
          </cell>
        </row>
        <row r="3094">
          <cell r="E3094" t="str">
            <v>0020030040SJET0003</v>
          </cell>
          <cell r="H3094" t="str">
            <v>连锁14店</v>
          </cell>
          <cell r="J3094" t="str">
            <v>1859</v>
          </cell>
          <cell r="K3094" t="str">
            <v>201602151421097</v>
          </cell>
          <cell r="M3094" t="str">
            <v>氨金黄敏颗粒6g*10袋/盒</v>
          </cell>
        </row>
        <row r="3095">
          <cell r="E3095" t="str">
            <v>0020030040SJET0003</v>
          </cell>
          <cell r="H3095" t="str">
            <v>中心店</v>
          </cell>
          <cell r="J3095" t="str">
            <v>1859</v>
          </cell>
          <cell r="K3095" t="str">
            <v>201602151421097</v>
          </cell>
          <cell r="M3095" t="str">
            <v>氨金黄敏颗粒6g*10袋/盒</v>
          </cell>
        </row>
        <row r="3096">
          <cell r="E3096" t="str">
            <v>0020030040SJET0003</v>
          </cell>
          <cell r="H3096" t="str">
            <v>连锁22店</v>
          </cell>
          <cell r="J3096" t="str">
            <v>1859</v>
          </cell>
          <cell r="K3096" t="str">
            <v>201602151421097</v>
          </cell>
          <cell r="M3096" t="str">
            <v>氨金黄敏颗粒6g*10袋/盒</v>
          </cell>
        </row>
        <row r="3097">
          <cell r="E3097" t="str">
            <v>0020030040SJET0003</v>
          </cell>
          <cell r="H3097" t="str">
            <v>连锁26店</v>
          </cell>
          <cell r="J3097" t="str">
            <v>1859</v>
          </cell>
          <cell r="K3097" t="str">
            <v>201602151421097</v>
          </cell>
          <cell r="M3097" t="str">
            <v>氨金黄敏颗粒6g*10袋/盒</v>
          </cell>
        </row>
        <row r="3098">
          <cell r="E3098" t="str">
            <v>0020030040SJET0003</v>
          </cell>
          <cell r="H3098" t="str">
            <v>连锁50店</v>
          </cell>
          <cell r="J3098" t="str">
            <v>1859</v>
          </cell>
          <cell r="K3098" t="str">
            <v>201602151421097</v>
          </cell>
          <cell r="M3098" t="str">
            <v>氨金黄敏颗粒6g*10袋/盒</v>
          </cell>
        </row>
        <row r="3099">
          <cell r="E3099" t="str">
            <v>0020030040SJET0003</v>
          </cell>
          <cell r="H3099" t="str">
            <v>连锁31店</v>
          </cell>
          <cell r="J3099" t="str">
            <v>1859</v>
          </cell>
          <cell r="K3099" t="str">
            <v>201602151421097</v>
          </cell>
          <cell r="M3099" t="str">
            <v>氨金黄敏颗粒6g*10袋/盒</v>
          </cell>
        </row>
        <row r="3100">
          <cell r="E3100" t="str">
            <v>0020020021ZYLC0010</v>
          </cell>
          <cell r="H3100" t="str">
            <v>连锁40店</v>
          </cell>
          <cell r="J3100" t="str">
            <v>1859</v>
          </cell>
          <cell r="K3100" t="str">
            <v>201602151421097</v>
          </cell>
          <cell r="M3100" t="str">
            <v>长迪*克拉霉素分散片12片</v>
          </cell>
        </row>
        <row r="3101">
          <cell r="E3101" t="str">
            <v>0020020021ZYLC0010</v>
          </cell>
          <cell r="H3101" t="str">
            <v>连锁3店</v>
          </cell>
          <cell r="J3101" t="str">
            <v>1859</v>
          </cell>
          <cell r="K3101" t="str">
            <v>201602151421097</v>
          </cell>
          <cell r="M3101" t="str">
            <v>长迪*克拉霉素分散片12片</v>
          </cell>
        </row>
        <row r="3102">
          <cell r="E3102" t="str">
            <v>0020020021ZYLC0010</v>
          </cell>
          <cell r="H3102" t="str">
            <v>连锁34店</v>
          </cell>
          <cell r="J3102" t="str">
            <v>1859</v>
          </cell>
          <cell r="K3102" t="str">
            <v>201602151421097</v>
          </cell>
          <cell r="M3102" t="str">
            <v>长迪*克拉霉素分散片12片</v>
          </cell>
        </row>
        <row r="3103">
          <cell r="E3103" t="str">
            <v>0020020021ZYLC0010</v>
          </cell>
          <cell r="H3103" t="str">
            <v>连锁5店</v>
          </cell>
          <cell r="J3103" t="str">
            <v>1859</v>
          </cell>
          <cell r="K3103" t="str">
            <v>201602151421097</v>
          </cell>
          <cell r="M3103" t="str">
            <v>长迪*克拉霉素分散片12片</v>
          </cell>
        </row>
        <row r="3104">
          <cell r="E3104" t="str">
            <v>0020020021ZYLC0010</v>
          </cell>
          <cell r="H3104" t="str">
            <v>连锁7店</v>
          </cell>
          <cell r="J3104" t="str">
            <v>1859</v>
          </cell>
          <cell r="K3104" t="str">
            <v>201602151421097</v>
          </cell>
          <cell r="M3104" t="str">
            <v>长迪*克拉霉素分散片12片</v>
          </cell>
        </row>
        <row r="3105">
          <cell r="E3105" t="str">
            <v>0020020021ZYLC0010</v>
          </cell>
          <cell r="H3105" t="str">
            <v>连锁35店</v>
          </cell>
          <cell r="J3105" t="str">
            <v>1859</v>
          </cell>
          <cell r="K3105" t="str">
            <v>201602151421097</v>
          </cell>
          <cell r="M3105" t="str">
            <v>长迪*克拉霉素分散片12片</v>
          </cell>
        </row>
        <row r="3106">
          <cell r="E3106" t="str">
            <v>0020020021ZYLC0010</v>
          </cell>
          <cell r="H3106" t="str">
            <v>连锁43店</v>
          </cell>
          <cell r="J3106" t="str">
            <v>1859</v>
          </cell>
          <cell r="K3106" t="str">
            <v>201602151421097</v>
          </cell>
          <cell r="M3106" t="str">
            <v>长迪*克拉霉素分散片12片</v>
          </cell>
        </row>
        <row r="3107">
          <cell r="E3107" t="str">
            <v>0020020021ZYLC0010</v>
          </cell>
          <cell r="H3107" t="str">
            <v>连锁13店</v>
          </cell>
          <cell r="J3107" t="str">
            <v>1859</v>
          </cell>
          <cell r="K3107" t="str">
            <v>201602151421097</v>
          </cell>
          <cell r="M3107" t="str">
            <v>长迪*克拉霉素分散片12片</v>
          </cell>
        </row>
        <row r="3108">
          <cell r="E3108" t="str">
            <v>0020020021ZYLC0010</v>
          </cell>
          <cell r="H3108" t="str">
            <v>连锁31店</v>
          </cell>
          <cell r="J3108" t="str">
            <v>1859</v>
          </cell>
          <cell r="K3108" t="str">
            <v>201602151421097</v>
          </cell>
          <cell r="M3108" t="str">
            <v>长迪*克拉霉素分散片12片</v>
          </cell>
        </row>
        <row r="3109">
          <cell r="E3109" t="str">
            <v>0020020021ZYLC0010</v>
          </cell>
          <cell r="H3109" t="str">
            <v>连锁19店</v>
          </cell>
          <cell r="J3109" t="str">
            <v>1859</v>
          </cell>
          <cell r="K3109" t="str">
            <v>201602151421097</v>
          </cell>
          <cell r="M3109" t="str">
            <v>长迪*克拉霉素分散片12片</v>
          </cell>
        </row>
        <row r="3110">
          <cell r="E3110" t="str">
            <v>0020020021ZYLC0010</v>
          </cell>
          <cell r="H3110" t="str">
            <v>连锁15店</v>
          </cell>
          <cell r="J3110" t="str">
            <v>1859</v>
          </cell>
          <cell r="K3110" t="str">
            <v>201602151421097</v>
          </cell>
          <cell r="M3110" t="str">
            <v>长迪*克拉霉素分散片12片</v>
          </cell>
        </row>
        <row r="3111">
          <cell r="E3111" t="str">
            <v>0020020021ZYLC0010</v>
          </cell>
          <cell r="H3111" t="str">
            <v>连锁22店</v>
          </cell>
          <cell r="J3111" t="str">
            <v>1859</v>
          </cell>
          <cell r="K3111" t="str">
            <v>201602151421097</v>
          </cell>
          <cell r="M3111" t="str">
            <v>长迪*克拉霉素分散片12片</v>
          </cell>
        </row>
        <row r="3112">
          <cell r="E3112" t="str">
            <v>0020020021ZYLC0010</v>
          </cell>
          <cell r="H3112" t="str">
            <v>连锁12店</v>
          </cell>
          <cell r="J3112" t="str">
            <v>1859</v>
          </cell>
          <cell r="K3112" t="str">
            <v>201602151421097</v>
          </cell>
          <cell r="M3112" t="str">
            <v>长迪*克拉霉素分散片12片</v>
          </cell>
        </row>
        <row r="3113">
          <cell r="E3113" t="str">
            <v>0020020021ZYLC0010</v>
          </cell>
          <cell r="H3113" t="str">
            <v>连锁26店</v>
          </cell>
          <cell r="J3113" t="str">
            <v>1859</v>
          </cell>
          <cell r="K3113" t="str">
            <v>201602151421097</v>
          </cell>
          <cell r="M3113" t="str">
            <v>长迪*克拉霉素分散片12片</v>
          </cell>
        </row>
        <row r="3114">
          <cell r="E3114" t="str">
            <v>0020040220SHYT0004</v>
          </cell>
          <cell r="H3114" t="str">
            <v>连锁51店</v>
          </cell>
          <cell r="J3114" t="str">
            <v>1859</v>
          </cell>
          <cell r="K3114" t="str">
            <v>201602151421097</v>
          </cell>
          <cell r="M3114" t="str">
            <v>妇宁栓1.6g*8粒</v>
          </cell>
        </row>
        <row r="3115">
          <cell r="E3115" t="str">
            <v>0020040220SHYT0004</v>
          </cell>
          <cell r="H3115" t="str">
            <v>连锁22店</v>
          </cell>
          <cell r="J3115" t="str">
            <v>1859</v>
          </cell>
          <cell r="K3115" t="str">
            <v>201602151421097</v>
          </cell>
          <cell r="M3115" t="str">
            <v>妇宁栓1.6g*8粒</v>
          </cell>
        </row>
        <row r="3116">
          <cell r="E3116" t="str">
            <v>0020040220SHYT0004</v>
          </cell>
          <cell r="H3116" t="str">
            <v>连锁2店</v>
          </cell>
          <cell r="J3116" t="str">
            <v>1859</v>
          </cell>
          <cell r="K3116" t="str">
            <v>201602151421097</v>
          </cell>
          <cell r="M3116" t="str">
            <v>妇宁栓1.6g*8粒</v>
          </cell>
        </row>
        <row r="3117">
          <cell r="E3117" t="str">
            <v>0020040220SHYT0004</v>
          </cell>
          <cell r="H3117" t="str">
            <v>连锁3店</v>
          </cell>
          <cell r="J3117" t="str">
            <v>1859</v>
          </cell>
          <cell r="K3117" t="str">
            <v>201602151421097</v>
          </cell>
          <cell r="M3117" t="str">
            <v>妇宁栓1.6g*8粒</v>
          </cell>
        </row>
        <row r="3118">
          <cell r="E3118" t="str">
            <v>0020040220SHYT0004</v>
          </cell>
          <cell r="H3118" t="str">
            <v>连锁39店</v>
          </cell>
          <cell r="J3118" t="str">
            <v>1859</v>
          </cell>
          <cell r="K3118" t="str">
            <v>201602151421097</v>
          </cell>
          <cell r="M3118" t="str">
            <v>妇宁栓1.6g*8粒</v>
          </cell>
        </row>
        <row r="3119">
          <cell r="E3119" t="str">
            <v>0020040220SHYT0004</v>
          </cell>
          <cell r="H3119" t="str">
            <v>连锁18店</v>
          </cell>
          <cell r="J3119" t="str">
            <v>1859</v>
          </cell>
          <cell r="K3119" t="str">
            <v>201602151421097</v>
          </cell>
          <cell r="M3119" t="str">
            <v>妇宁栓1.6g*8粒</v>
          </cell>
        </row>
        <row r="3120">
          <cell r="E3120" t="str">
            <v>0020040220SHYT0004</v>
          </cell>
          <cell r="H3120" t="str">
            <v>连锁13店</v>
          </cell>
          <cell r="J3120" t="str">
            <v>1859</v>
          </cell>
          <cell r="K3120" t="str">
            <v>201602151421097</v>
          </cell>
          <cell r="M3120" t="str">
            <v>妇宁栓1.6g*8粒</v>
          </cell>
        </row>
        <row r="3121">
          <cell r="E3121" t="str">
            <v>0020040220SHYT0004</v>
          </cell>
          <cell r="H3121" t="str">
            <v>连锁30店</v>
          </cell>
          <cell r="J3121" t="str">
            <v>1859</v>
          </cell>
          <cell r="K3121" t="str">
            <v>201602151421097</v>
          </cell>
          <cell r="M3121" t="str">
            <v>妇宁栓1.6g*8粒</v>
          </cell>
        </row>
        <row r="3122">
          <cell r="E3122" t="str">
            <v>0020040220SHYT0004</v>
          </cell>
          <cell r="H3122" t="str">
            <v>连锁49店</v>
          </cell>
          <cell r="J3122" t="str">
            <v>1859</v>
          </cell>
          <cell r="K3122" t="str">
            <v>201602151421097</v>
          </cell>
          <cell r="M3122" t="str">
            <v>妇宁栓1.6g*8粒</v>
          </cell>
        </row>
        <row r="3123">
          <cell r="E3123" t="str">
            <v>0020030020SJSC0025</v>
          </cell>
          <cell r="H3123" t="str">
            <v>连锁38店</v>
          </cell>
          <cell r="J3123" t="str">
            <v>1859</v>
          </cell>
          <cell r="K3123" t="str">
            <v>201602151421097</v>
          </cell>
          <cell r="M3123" t="str">
            <v>复方氨酚烷胺片12片</v>
          </cell>
        </row>
        <row r="3124">
          <cell r="E3124" t="str">
            <v>0020030020SJSC0025</v>
          </cell>
          <cell r="H3124" t="str">
            <v>滨6店</v>
          </cell>
          <cell r="J3124" t="str">
            <v>1853</v>
          </cell>
          <cell r="K3124" t="str">
            <v>201602151421097</v>
          </cell>
          <cell r="M3124" t="str">
            <v>复方氨酚烷胺片12片</v>
          </cell>
        </row>
        <row r="3125">
          <cell r="E3125" t="str">
            <v>0020030020SJSC0025</v>
          </cell>
          <cell r="H3125" t="str">
            <v>连锁22店</v>
          </cell>
          <cell r="J3125" t="str">
            <v>1859</v>
          </cell>
          <cell r="K3125" t="str">
            <v>201602151421097</v>
          </cell>
          <cell r="M3125" t="str">
            <v>复方氨酚烷胺片12片</v>
          </cell>
        </row>
        <row r="3126">
          <cell r="E3126" t="str">
            <v>0020030020SJSC0025</v>
          </cell>
          <cell r="H3126" t="str">
            <v>连锁29店</v>
          </cell>
          <cell r="J3126" t="str">
            <v>1859</v>
          </cell>
          <cell r="K3126" t="str">
            <v>201602151421097</v>
          </cell>
          <cell r="M3126" t="str">
            <v>复方氨酚烷胺片12片</v>
          </cell>
        </row>
        <row r="3127">
          <cell r="E3127" t="str">
            <v>0020030020SJSC0025</v>
          </cell>
          <cell r="H3127" t="str">
            <v>连锁50店</v>
          </cell>
          <cell r="J3127" t="str">
            <v>1859</v>
          </cell>
          <cell r="K3127" t="str">
            <v>201602151421097</v>
          </cell>
          <cell r="M3127" t="str">
            <v>复方氨酚烷胺片12片</v>
          </cell>
        </row>
        <row r="3128">
          <cell r="E3128" t="str">
            <v>0020030020SJSC0025</v>
          </cell>
          <cell r="H3128" t="str">
            <v>连锁47店</v>
          </cell>
          <cell r="J3128" t="str">
            <v>1859</v>
          </cell>
          <cell r="K3128" t="str">
            <v>201602151421097</v>
          </cell>
          <cell r="M3128" t="str">
            <v>复方氨酚烷胺片12片</v>
          </cell>
        </row>
        <row r="3129">
          <cell r="E3129" t="str">
            <v>0020030020SJSC0025</v>
          </cell>
          <cell r="H3129" t="str">
            <v>连锁41店</v>
          </cell>
          <cell r="J3129" t="str">
            <v>1859</v>
          </cell>
          <cell r="K3129" t="str">
            <v>201602151421097</v>
          </cell>
          <cell r="M3129" t="str">
            <v>复方氨酚烷胺片12片</v>
          </cell>
        </row>
        <row r="3130">
          <cell r="E3130" t="str">
            <v>0020070000ZYLC0052</v>
          </cell>
          <cell r="H3130" t="str">
            <v>连锁38店</v>
          </cell>
          <cell r="J3130" t="str">
            <v>1859</v>
          </cell>
          <cell r="K3130" t="str">
            <v>201602151421097</v>
          </cell>
          <cell r="M3130" t="str">
            <v>钙加锌口服液10ml*12支</v>
          </cell>
        </row>
        <row r="3131">
          <cell r="E3131" t="str">
            <v>0020070000ZYLC0052</v>
          </cell>
          <cell r="H3131" t="str">
            <v>连锁22店</v>
          </cell>
          <cell r="J3131" t="str">
            <v>1859</v>
          </cell>
          <cell r="K3131" t="str">
            <v>201602151421097</v>
          </cell>
          <cell r="M3131" t="str">
            <v>钙加锌口服液10ml*12支</v>
          </cell>
        </row>
        <row r="3132">
          <cell r="E3132" t="str">
            <v>0020070000ZYLC0052</v>
          </cell>
          <cell r="H3132" t="str">
            <v>连锁40店</v>
          </cell>
          <cell r="J3132" t="str">
            <v>1859</v>
          </cell>
          <cell r="K3132" t="str">
            <v>201602151421097</v>
          </cell>
          <cell r="M3132" t="str">
            <v>钙加锌口服液10ml*12支</v>
          </cell>
        </row>
        <row r="3133">
          <cell r="E3133" t="str">
            <v>0020070000ZYLC0052</v>
          </cell>
          <cell r="H3133" t="str">
            <v>滨15店</v>
          </cell>
          <cell r="J3133" t="str">
            <v>1853</v>
          </cell>
          <cell r="K3133" t="str">
            <v>201602151421097</v>
          </cell>
          <cell r="M3133" t="str">
            <v>钙加锌口服液10ml*12支</v>
          </cell>
        </row>
        <row r="3134">
          <cell r="E3134" t="str">
            <v>0020070000ZYLC0052</v>
          </cell>
          <cell r="H3134" t="str">
            <v>连锁26店</v>
          </cell>
          <cell r="J3134" t="str">
            <v>1859</v>
          </cell>
          <cell r="K3134" t="str">
            <v>201602151421097</v>
          </cell>
          <cell r="M3134" t="str">
            <v>钙加锌口服液10ml*12支</v>
          </cell>
        </row>
        <row r="3135">
          <cell r="E3135" t="str">
            <v>0020070000ZYLC0052</v>
          </cell>
          <cell r="H3135" t="str">
            <v>连锁6店</v>
          </cell>
          <cell r="J3135" t="str">
            <v>1859</v>
          </cell>
          <cell r="K3135" t="str">
            <v>201602151421097</v>
          </cell>
          <cell r="M3135" t="str">
            <v>钙加锌口服液10ml*12支</v>
          </cell>
        </row>
        <row r="3136">
          <cell r="E3136" t="str">
            <v>0020070000ZYLC0052</v>
          </cell>
          <cell r="H3136" t="str">
            <v>连锁15店</v>
          </cell>
          <cell r="J3136" t="str">
            <v>1859</v>
          </cell>
          <cell r="K3136" t="str">
            <v>201602151421097</v>
          </cell>
          <cell r="M3136" t="str">
            <v>钙加锌口服液10ml*12支</v>
          </cell>
        </row>
        <row r="3137">
          <cell r="E3137" t="str">
            <v>0020070000ZYLC0052</v>
          </cell>
          <cell r="H3137" t="str">
            <v>连锁45店</v>
          </cell>
          <cell r="J3137" t="str">
            <v>1859</v>
          </cell>
          <cell r="K3137" t="str">
            <v>201602151421097</v>
          </cell>
          <cell r="M3137" t="str">
            <v>钙加锌口服液10ml*12支</v>
          </cell>
        </row>
        <row r="3138">
          <cell r="E3138" t="str">
            <v>0020070000ZYLC0052</v>
          </cell>
          <cell r="H3138" t="str">
            <v>连锁49店</v>
          </cell>
          <cell r="J3138" t="str">
            <v>1859</v>
          </cell>
          <cell r="K3138" t="str">
            <v>201602151421097</v>
          </cell>
          <cell r="M3138" t="str">
            <v>钙加锌口服液10ml*12支</v>
          </cell>
        </row>
        <row r="3139">
          <cell r="E3139" t="str">
            <v>0020070000ZYLC0052</v>
          </cell>
          <cell r="H3139" t="str">
            <v>连锁23店</v>
          </cell>
          <cell r="J3139" t="str">
            <v>1859</v>
          </cell>
          <cell r="K3139" t="str">
            <v>201602151421097</v>
          </cell>
          <cell r="M3139" t="str">
            <v>钙加锌口服液10ml*12支</v>
          </cell>
        </row>
        <row r="3140">
          <cell r="E3140" t="str">
            <v>0020070000ZYLC0052</v>
          </cell>
          <cell r="H3140" t="str">
            <v>连锁3店</v>
          </cell>
          <cell r="J3140" t="str">
            <v>1859</v>
          </cell>
          <cell r="K3140" t="str">
            <v>201602151421097</v>
          </cell>
          <cell r="M3140" t="str">
            <v>钙加锌口服液10ml*12支</v>
          </cell>
        </row>
        <row r="3141">
          <cell r="E3141" t="str">
            <v>0020070000ZYLC0052</v>
          </cell>
          <cell r="H3141" t="str">
            <v>滨16店</v>
          </cell>
          <cell r="J3141" t="str">
            <v>1853</v>
          </cell>
          <cell r="K3141" t="str">
            <v>201602151421097</v>
          </cell>
          <cell r="M3141" t="str">
            <v>钙加锌口服液10ml*12支</v>
          </cell>
        </row>
        <row r="3142">
          <cell r="E3142" t="str">
            <v>0020070000ZYLC0052</v>
          </cell>
          <cell r="H3142" t="str">
            <v>连锁50店</v>
          </cell>
          <cell r="J3142" t="str">
            <v>1859</v>
          </cell>
          <cell r="K3142" t="str">
            <v>201602151421097</v>
          </cell>
          <cell r="M3142" t="str">
            <v>钙加锌口服液10ml*12支</v>
          </cell>
        </row>
        <row r="3143">
          <cell r="E3143" t="str">
            <v>0020070000ZYLC0001</v>
          </cell>
          <cell r="H3143" t="str">
            <v>连锁2店</v>
          </cell>
          <cell r="J3143" t="str">
            <v>1859</v>
          </cell>
          <cell r="K3143" t="str">
            <v>201602151421097</v>
          </cell>
          <cell r="M3143" t="str">
            <v>高钙片36片</v>
          </cell>
        </row>
        <row r="3144">
          <cell r="E3144" t="str">
            <v>0020070000ZYLC0001</v>
          </cell>
          <cell r="H3144" t="str">
            <v>滨6店</v>
          </cell>
          <cell r="J3144" t="str">
            <v>1853</v>
          </cell>
          <cell r="K3144" t="str">
            <v>201602151421097</v>
          </cell>
          <cell r="M3144" t="str">
            <v>高钙片36片</v>
          </cell>
        </row>
        <row r="3145">
          <cell r="E3145" t="str">
            <v>0020070000ZYLC0001</v>
          </cell>
          <cell r="H3145" t="str">
            <v>连锁26店</v>
          </cell>
          <cell r="J3145" t="str">
            <v>1859</v>
          </cell>
          <cell r="K3145" t="str">
            <v>201602151421097</v>
          </cell>
          <cell r="M3145" t="str">
            <v>高钙片36片</v>
          </cell>
        </row>
        <row r="3146">
          <cell r="E3146" t="str">
            <v>0020070000ZYLC0001</v>
          </cell>
          <cell r="H3146" t="str">
            <v>连锁50店</v>
          </cell>
          <cell r="J3146" t="str">
            <v>1859</v>
          </cell>
          <cell r="K3146" t="str">
            <v>201602151421097</v>
          </cell>
          <cell r="M3146" t="str">
            <v>高钙片36片</v>
          </cell>
        </row>
        <row r="3147">
          <cell r="E3147" t="str">
            <v>0020070000ZYLC0001</v>
          </cell>
          <cell r="H3147" t="str">
            <v>连锁35店</v>
          </cell>
          <cell r="J3147" t="str">
            <v>1859</v>
          </cell>
          <cell r="K3147" t="str">
            <v>201602151421097</v>
          </cell>
          <cell r="M3147" t="str">
            <v>高钙片36片</v>
          </cell>
        </row>
        <row r="3148">
          <cell r="E3148" t="str">
            <v>0020070000ZYLC0001</v>
          </cell>
          <cell r="H3148" t="str">
            <v>滨1店</v>
          </cell>
          <cell r="J3148" t="str">
            <v>1853</v>
          </cell>
          <cell r="K3148" t="str">
            <v>201602151421097</v>
          </cell>
          <cell r="M3148" t="str">
            <v>高钙片36片</v>
          </cell>
        </row>
        <row r="3149">
          <cell r="E3149" t="str">
            <v>0020070000ZYLC0001</v>
          </cell>
          <cell r="H3149" t="str">
            <v>连锁31店</v>
          </cell>
          <cell r="J3149" t="str">
            <v>1859</v>
          </cell>
          <cell r="K3149" t="str">
            <v>201602151421097</v>
          </cell>
          <cell r="M3149" t="str">
            <v>高钙片36片</v>
          </cell>
        </row>
        <row r="3150">
          <cell r="E3150" t="str">
            <v>0020070000ZYLC0001</v>
          </cell>
          <cell r="H3150" t="str">
            <v>连锁25店</v>
          </cell>
          <cell r="J3150" t="str">
            <v>1859</v>
          </cell>
          <cell r="K3150" t="str">
            <v>201602151421097</v>
          </cell>
          <cell r="M3150" t="str">
            <v>高钙片36片</v>
          </cell>
        </row>
        <row r="3151">
          <cell r="E3151" t="str">
            <v>0020070000ZYLC0001</v>
          </cell>
          <cell r="H3151" t="str">
            <v>连锁17店</v>
          </cell>
          <cell r="J3151" t="str">
            <v>1859</v>
          </cell>
          <cell r="K3151" t="str">
            <v>201602151421097</v>
          </cell>
          <cell r="M3151" t="str">
            <v>高钙片36片</v>
          </cell>
        </row>
        <row r="3152">
          <cell r="E3152" t="str">
            <v>0020070000ZYLC0001</v>
          </cell>
          <cell r="H3152" t="str">
            <v>连锁6店</v>
          </cell>
          <cell r="J3152" t="str">
            <v>1859</v>
          </cell>
          <cell r="K3152" t="str">
            <v>201602151421097</v>
          </cell>
          <cell r="M3152" t="str">
            <v>高钙片36片</v>
          </cell>
        </row>
        <row r="3153">
          <cell r="E3153" t="str">
            <v>0020070000ZYLC0001</v>
          </cell>
          <cell r="H3153" t="str">
            <v>连锁36店</v>
          </cell>
          <cell r="J3153" t="str">
            <v>1859</v>
          </cell>
          <cell r="K3153" t="str">
            <v>201602151421097</v>
          </cell>
          <cell r="M3153" t="str">
            <v>高钙片36片</v>
          </cell>
        </row>
        <row r="3154">
          <cell r="E3154" t="str">
            <v>0020070000ZYLC0001</v>
          </cell>
          <cell r="H3154" t="str">
            <v>连锁34店</v>
          </cell>
          <cell r="J3154" t="str">
            <v>1859</v>
          </cell>
          <cell r="K3154" t="str">
            <v>201602151421097</v>
          </cell>
          <cell r="M3154" t="str">
            <v>高钙片36片</v>
          </cell>
        </row>
        <row r="3155">
          <cell r="E3155" t="str">
            <v>0020070000ZYLC0001</v>
          </cell>
          <cell r="H3155" t="str">
            <v>连锁29店</v>
          </cell>
          <cell r="J3155" t="str">
            <v>1859</v>
          </cell>
          <cell r="K3155" t="str">
            <v>201602151421097</v>
          </cell>
          <cell r="M3155" t="str">
            <v>高钙片36片</v>
          </cell>
        </row>
        <row r="3156">
          <cell r="E3156" t="str">
            <v>0020070000ZYLC0001</v>
          </cell>
          <cell r="H3156" t="str">
            <v>滨17店</v>
          </cell>
          <cell r="J3156" t="str">
            <v>1853</v>
          </cell>
          <cell r="K3156" t="str">
            <v>201602151421097</v>
          </cell>
          <cell r="M3156" t="str">
            <v>高钙片36片</v>
          </cell>
        </row>
        <row r="3157">
          <cell r="E3157" t="str">
            <v>0020070000ZYLC0001</v>
          </cell>
          <cell r="H3157" t="str">
            <v>连锁43店</v>
          </cell>
          <cell r="J3157" t="str">
            <v>1859</v>
          </cell>
          <cell r="K3157" t="str">
            <v>201602151421097</v>
          </cell>
          <cell r="M3157" t="str">
            <v>高钙片36片</v>
          </cell>
        </row>
        <row r="3158">
          <cell r="E3158" t="str">
            <v>0020070000ZYLC0001</v>
          </cell>
          <cell r="H3158" t="str">
            <v>连锁1店</v>
          </cell>
          <cell r="J3158" t="str">
            <v>1859</v>
          </cell>
          <cell r="K3158" t="str">
            <v>201602151421097</v>
          </cell>
          <cell r="M3158" t="str">
            <v>高钙片36片</v>
          </cell>
        </row>
        <row r="3159">
          <cell r="E3159" t="str">
            <v>0020070000ZYLC0001</v>
          </cell>
          <cell r="H3159" t="str">
            <v>连锁30店</v>
          </cell>
          <cell r="J3159" t="str">
            <v>1859</v>
          </cell>
          <cell r="K3159" t="str">
            <v>201602151421097</v>
          </cell>
          <cell r="M3159" t="str">
            <v>高钙片36片</v>
          </cell>
        </row>
        <row r="3160">
          <cell r="E3160" t="str">
            <v>0020070000ZYLC0001</v>
          </cell>
          <cell r="H3160" t="str">
            <v>连锁7店</v>
          </cell>
          <cell r="J3160" t="str">
            <v>1859</v>
          </cell>
          <cell r="K3160" t="str">
            <v>201602151421097</v>
          </cell>
          <cell r="M3160" t="str">
            <v>高钙片36片</v>
          </cell>
        </row>
        <row r="3161">
          <cell r="E3161" t="str">
            <v>0020070000ZYLC0001</v>
          </cell>
          <cell r="H3161" t="str">
            <v>滨11店</v>
          </cell>
          <cell r="J3161" t="str">
            <v>1853</v>
          </cell>
          <cell r="K3161" t="str">
            <v>201602151421097</v>
          </cell>
          <cell r="M3161" t="str">
            <v>高钙片36片</v>
          </cell>
        </row>
        <row r="3162">
          <cell r="E3162" t="str">
            <v>0020070000ZYLC0001</v>
          </cell>
          <cell r="H3162" t="str">
            <v>连锁3店</v>
          </cell>
          <cell r="J3162" t="str">
            <v>1859</v>
          </cell>
          <cell r="K3162" t="str">
            <v>201602151421097</v>
          </cell>
          <cell r="M3162" t="str">
            <v>高钙片36片</v>
          </cell>
        </row>
        <row r="3163">
          <cell r="E3163" t="str">
            <v>0020070000ZYLC0001</v>
          </cell>
          <cell r="H3163" t="str">
            <v>连锁42店</v>
          </cell>
          <cell r="J3163" t="str">
            <v>1859</v>
          </cell>
          <cell r="K3163" t="str">
            <v>201602151421097</v>
          </cell>
          <cell r="M3163" t="str">
            <v>高钙片36片</v>
          </cell>
        </row>
        <row r="3164">
          <cell r="E3164" t="str">
            <v>0020070001ZYZC0369</v>
          </cell>
          <cell r="H3164" t="str">
            <v>连锁7店</v>
          </cell>
          <cell r="J3164" t="str">
            <v>1859</v>
          </cell>
          <cell r="K3164" t="str">
            <v>201602151421097</v>
          </cell>
          <cell r="M3164" t="str">
            <v>哈药*钙铁锌口服液10ml*12支</v>
          </cell>
        </row>
        <row r="3165">
          <cell r="E3165" t="str">
            <v>0020070001ZYZC0369</v>
          </cell>
          <cell r="H3165" t="str">
            <v>连锁31店</v>
          </cell>
          <cell r="J3165" t="str">
            <v>1859</v>
          </cell>
          <cell r="K3165" t="str">
            <v>201602151421097</v>
          </cell>
          <cell r="M3165" t="str">
            <v>哈药*钙铁锌口服液10ml*12支</v>
          </cell>
        </row>
        <row r="3166">
          <cell r="E3166" t="str">
            <v>0020070001ZYZC0369</v>
          </cell>
          <cell r="H3166" t="str">
            <v>连锁46店</v>
          </cell>
          <cell r="J3166" t="str">
            <v>1859</v>
          </cell>
          <cell r="K3166" t="str">
            <v>201602151421097</v>
          </cell>
          <cell r="M3166" t="str">
            <v>哈药*钙铁锌口服液10ml*12支</v>
          </cell>
        </row>
        <row r="3167">
          <cell r="E3167" t="str">
            <v>0020070001ZYZC0369</v>
          </cell>
          <cell r="H3167" t="str">
            <v>滨16店</v>
          </cell>
          <cell r="J3167" t="str">
            <v>1853</v>
          </cell>
          <cell r="K3167" t="str">
            <v>201602151421097</v>
          </cell>
          <cell r="M3167" t="str">
            <v>哈药*钙铁锌口服液10ml*12支</v>
          </cell>
        </row>
        <row r="3168">
          <cell r="E3168" t="str">
            <v>0020070001ZYZC0369</v>
          </cell>
          <cell r="H3168" t="str">
            <v>连锁30店</v>
          </cell>
          <cell r="J3168" t="str">
            <v>1859</v>
          </cell>
          <cell r="K3168" t="str">
            <v>201602151421097</v>
          </cell>
          <cell r="M3168" t="str">
            <v>哈药*钙铁锌口服液10ml*12支</v>
          </cell>
        </row>
        <row r="3169">
          <cell r="E3169" t="str">
            <v>0020070001ZYZC0369</v>
          </cell>
          <cell r="H3169" t="str">
            <v>连锁37店</v>
          </cell>
          <cell r="J3169" t="str">
            <v>1859</v>
          </cell>
          <cell r="K3169" t="str">
            <v>201602151421097</v>
          </cell>
          <cell r="M3169" t="str">
            <v>哈药*钙铁锌口服液10ml*12支</v>
          </cell>
        </row>
        <row r="3170">
          <cell r="E3170" t="str">
            <v>0020070001ZYZC0369</v>
          </cell>
          <cell r="H3170" t="str">
            <v>连锁48店</v>
          </cell>
          <cell r="J3170" t="str">
            <v>1859</v>
          </cell>
          <cell r="K3170" t="str">
            <v>201602151421097</v>
          </cell>
          <cell r="M3170" t="str">
            <v>哈药*钙铁锌口服液10ml*12支</v>
          </cell>
        </row>
        <row r="3171">
          <cell r="E3171" t="str">
            <v>0020070001ZYZC0369</v>
          </cell>
          <cell r="H3171" t="str">
            <v>连锁8店</v>
          </cell>
          <cell r="J3171" t="str">
            <v>1859</v>
          </cell>
          <cell r="K3171" t="str">
            <v>201602151421097</v>
          </cell>
          <cell r="M3171" t="str">
            <v>哈药*钙铁锌口服液10ml*12支</v>
          </cell>
        </row>
        <row r="3172">
          <cell r="E3172" t="str">
            <v>0020070001ZYZC0369</v>
          </cell>
          <cell r="H3172" t="str">
            <v>连锁22店</v>
          </cell>
          <cell r="J3172" t="str">
            <v>1859</v>
          </cell>
          <cell r="K3172" t="str">
            <v>201602151421097</v>
          </cell>
          <cell r="M3172" t="str">
            <v>哈药*钙铁锌口服液10ml*12支</v>
          </cell>
        </row>
        <row r="3173">
          <cell r="E3173" t="str">
            <v>0020070001ZYZC0369</v>
          </cell>
          <cell r="H3173" t="str">
            <v>连锁33店</v>
          </cell>
          <cell r="J3173" t="str">
            <v>1859</v>
          </cell>
          <cell r="K3173" t="str">
            <v>201602151421097</v>
          </cell>
          <cell r="M3173" t="str">
            <v>哈药*钙铁锌口服液10ml*12支</v>
          </cell>
        </row>
        <row r="3174">
          <cell r="E3174" t="str">
            <v>0020070001ZYZC0369</v>
          </cell>
          <cell r="H3174" t="str">
            <v>连锁32店</v>
          </cell>
          <cell r="J3174" t="str">
            <v>1859</v>
          </cell>
          <cell r="K3174" t="str">
            <v>201602151421097</v>
          </cell>
          <cell r="M3174" t="str">
            <v>哈药*钙铁锌口服液10ml*12支</v>
          </cell>
        </row>
        <row r="3175">
          <cell r="E3175" t="str">
            <v>0020070001ZYZC0369</v>
          </cell>
          <cell r="H3175" t="str">
            <v>连锁18店</v>
          </cell>
          <cell r="J3175" t="str">
            <v>1859</v>
          </cell>
          <cell r="K3175" t="str">
            <v>201602151421097</v>
          </cell>
          <cell r="M3175" t="str">
            <v>哈药*钙铁锌口服液10ml*12支</v>
          </cell>
        </row>
        <row r="3176">
          <cell r="E3176" t="str">
            <v>0020070001ZYZC0369</v>
          </cell>
          <cell r="H3176" t="str">
            <v>连锁3店</v>
          </cell>
          <cell r="J3176" t="str">
            <v>1859</v>
          </cell>
          <cell r="K3176" t="str">
            <v>201602151421097</v>
          </cell>
          <cell r="M3176" t="str">
            <v>哈药*钙铁锌口服液10ml*12支</v>
          </cell>
        </row>
        <row r="3177">
          <cell r="E3177" t="str">
            <v>0020030040ZYLC0001</v>
          </cell>
          <cell r="H3177" t="str">
            <v>连锁15店</v>
          </cell>
          <cell r="J3177" t="str">
            <v>1859</v>
          </cell>
          <cell r="K3177" t="str">
            <v>201602151421097</v>
          </cell>
          <cell r="M3177" t="str">
            <v>护彤*小儿氨酚黄那敏颗粒12袋</v>
          </cell>
        </row>
        <row r="3178">
          <cell r="E3178" t="str">
            <v>0020030040ZYLC0001</v>
          </cell>
          <cell r="H3178" t="str">
            <v>连锁16店</v>
          </cell>
          <cell r="J3178" t="str">
            <v>1859</v>
          </cell>
          <cell r="K3178" t="str">
            <v>201602151421097</v>
          </cell>
          <cell r="M3178" t="str">
            <v>护彤*小儿氨酚黄那敏颗粒12袋</v>
          </cell>
        </row>
        <row r="3179">
          <cell r="E3179" t="str">
            <v>0020030040ZYLC0001</v>
          </cell>
          <cell r="H3179" t="str">
            <v>连锁43店</v>
          </cell>
          <cell r="J3179" t="str">
            <v>1859</v>
          </cell>
          <cell r="K3179" t="str">
            <v>201602151421097</v>
          </cell>
          <cell r="M3179" t="str">
            <v>护彤*小儿氨酚黄那敏颗粒12袋</v>
          </cell>
        </row>
        <row r="3180">
          <cell r="E3180" t="str">
            <v>0020030040ZYLC0001</v>
          </cell>
          <cell r="H3180" t="str">
            <v>连锁41店</v>
          </cell>
          <cell r="J3180" t="str">
            <v>1859</v>
          </cell>
          <cell r="K3180" t="str">
            <v>201602151421097</v>
          </cell>
          <cell r="M3180" t="str">
            <v>护彤*小儿氨酚黄那敏颗粒12袋</v>
          </cell>
        </row>
        <row r="3181">
          <cell r="E3181" t="str">
            <v>0020030040ZYLC0001</v>
          </cell>
          <cell r="H3181" t="str">
            <v>连锁18店</v>
          </cell>
          <cell r="J3181" t="str">
            <v>1859</v>
          </cell>
          <cell r="K3181" t="str">
            <v>201602151421097</v>
          </cell>
          <cell r="M3181" t="str">
            <v>护彤*小儿氨酚黄那敏颗粒12袋</v>
          </cell>
        </row>
        <row r="3182">
          <cell r="E3182" t="str">
            <v>0020030040ZYLC0001</v>
          </cell>
          <cell r="H3182" t="str">
            <v>连锁12店</v>
          </cell>
          <cell r="J3182" t="str">
            <v>1859</v>
          </cell>
          <cell r="K3182" t="str">
            <v>201602151421097</v>
          </cell>
          <cell r="M3182" t="str">
            <v>护彤*小儿氨酚黄那敏颗粒12袋</v>
          </cell>
        </row>
        <row r="3183">
          <cell r="E3183" t="str">
            <v>0020030040ZYLC0001</v>
          </cell>
          <cell r="H3183" t="str">
            <v>连锁33店</v>
          </cell>
          <cell r="J3183" t="str">
            <v>1859</v>
          </cell>
          <cell r="K3183" t="str">
            <v>201602151421097</v>
          </cell>
          <cell r="M3183" t="str">
            <v>护彤*小儿氨酚黄那敏颗粒12袋</v>
          </cell>
        </row>
        <row r="3184">
          <cell r="E3184" t="str">
            <v>0020030040ZYLC0001</v>
          </cell>
          <cell r="H3184" t="str">
            <v>连锁28店</v>
          </cell>
          <cell r="J3184" t="str">
            <v>1859</v>
          </cell>
          <cell r="K3184" t="str">
            <v>201602151421097</v>
          </cell>
          <cell r="M3184" t="str">
            <v>护彤*小儿氨酚黄那敏颗粒12袋</v>
          </cell>
        </row>
        <row r="3185">
          <cell r="E3185" t="str">
            <v>0020030040ZYLC0001</v>
          </cell>
          <cell r="H3185" t="str">
            <v>连锁7店</v>
          </cell>
          <cell r="J3185" t="str">
            <v>1859</v>
          </cell>
          <cell r="K3185" t="str">
            <v>201602151421097</v>
          </cell>
          <cell r="M3185" t="str">
            <v>护彤*小儿氨酚黄那敏颗粒12袋</v>
          </cell>
        </row>
        <row r="3186">
          <cell r="E3186" t="str">
            <v>0020030040ZYLC0001</v>
          </cell>
          <cell r="H3186" t="str">
            <v>滨11店</v>
          </cell>
          <cell r="J3186" t="str">
            <v>1853</v>
          </cell>
          <cell r="K3186" t="str">
            <v>201602151421097</v>
          </cell>
          <cell r="M3186" t="str">
            <v>护彤*小儿氨酚黄那敏颗粒12袋</v>
          </cell>
        </row>
        <row r="3187">
          <cell r="E3187" t="str">
            <v>0020030040ZYLC0001</v>
          </cell>
          <cell r="H3187" t="str">
            <v>连锁6店</v>
          </cell>
          <cell r="J3187" t="str">
            <v>1859</v>
          </cell>
          <cell r="K3187" t="str">
            <v>201602151421097</v>
          </cell>
          <cell r="M3187" t="str">
            <v>护彤*小儿氨酚黄那敏颗粒12袋</v>
          </cell>
        </row>
        <row r="3188">
          <cell r="E3188" t="str">
            <v>0020030040ZYLC0001</v>
          </cell>
          <cell r="H3188" t="str">
            <v>连锁21店</v>
          </cell>
          <cell r="J3188" t="str">
            <v>1859</v>
          </cell>
          <cell r="K3188" t="str">
            <v>201602151421097</v>
          </cell>
          <cell r="M3188" t="str">
            <v>护彤*小儿氨酚黄那敏颗粒12袋</v>
          </cell>
        </row>
        <row r="3189">
          <cell r="E3189" t="str">
            <v>0020030040ZYLC0001</v>
          </cell>
          <cell r="H3189" t="str">
            <v>连锁22店</v>
          </cell>
          <cell r="J3189" t="str">
            <v>1859</v>
          </cell>
          <cell r="K3189" t="str">
            <v>201602151421097</v>
          </cell>
          <cell r="M3189" t="str">
            <v>护彤*小儿氨酚黄那敏颗粒12袋</v>
          </cell>
        </row>
        <row r="3190">
          <cell r="E3190" t="str">
            <v>0020030040ZYLC0001</v>
          </cell>
          <cell r="H3190" t="str">
            <v>连锁3店</v>
          </cell>
          <cell r="J3190" t="str">
            <v>1859</v>
          </cell>
          <cell r="K3190" t="str">
            <v>201602151421097</v>
          </cell>
          <cell r="M3190" t="str">
            <v>护彤*小儿氨酚黄那敏颗粒12袋</v>
          </cell>
        </row>
        <row r="3191">
          <cell r="E3191" t="str">
            <v>0020020021ZYLC0005</v>
          </cell>
          <cell r="H3191" t="str">
            <v>连锁22店</v>
          </cell>
          <cell r="J3191" t="str">
            <v>1859</v>
          </cell>
          <cell r="K3191" t="str">
            <v>201602151421097</v>
          </cell>
          <cell r="M3191" t="str">
            <v>罗红霉素分散片-小严迪12片/盒</v>
          </cell>
        </row>
        <row r="3192">
          <cell r="E3192" t="str">
            <v>0020020021ZYLC0005</v>
          </cell>
          <cell r="H3192" t="str">
            <v>连锁49店</v>
          </cell>
          <cell r="J3192" t="str">
            <v>1859</v>
          </cell>
          <cell r="K3192" t="str">
            <v>201602151421097</v>
          </cell>
          <cell r="M3192" t="str">
            <v>罗红霉素分散片-小严迪12片/盒</v>
          </cell>
        </row>
        <row r="3193">
          <cell r="E3193" t="str">
            <v>0020020021ZYLC0005</v>
          </cell>
          <cell r="H3193" t="str">
            <v>连锁6店</v>
          </cell>
          <cell r="J3193" t="str">
            <v>1859</v>
          </cell>
          <cell r="K3193" t="str">
            <v>201602151421097</v>
          </cell>
          <cell r="M3193" t="str">
            <v>罗红霉素分散片-小严迪12片/盒</v>
          </cell>
        </row>
        <row r="3194">
          <cell r="E3194" t="str">
            <v>0020020021ZYLC0005</v>
          </cell>
          <cell r="H3194" t="str">
            <v>连锁30店</v>
          </cell>
          <cell r="J3194" t="str">
            <v>1859</v>
          </cell>
          <cell r="K3194" t="str">
            <v>201602151421097</v>
          </cell>
          <cell r="M3194" t="str">
            <v>罗红霉素分散片-小严迪12片/盒</v>
          </cell>
        </row>
        <row r="3195">
          <cell r="E3195" t="str">
            <v>0020020021ZYLC0005</v>
          </cell>
          <cell r="H3195" t="str">
            <v>连锁37店</v>
          </cell>
          <cell r="J3195" t="str">
            <v>1859</v>
          </cell>
          <cell r="K3195" t="str">
            <v>201602151421097</v>
          </cell>
          <cell r="M3195" t="str">
            <v>罗红霉素分散片-小严迪12片/盒</v>
          </cell>
        </row>
        <row r="3196">
          <cell r="E3196" t="str">
            <v>0020030170ZYEC0003</v>
          </cell>
          <cell r="H3196" t="str">
            <v>连锁26店</v>
          </cell>
          <cell r="J3196" t="str">
            <v>1859</v>
          </cell>
          <cell r="K3196" t="str">
            <v>201602151421097</v>
          </cell>
          <cell r="M3196" t="str">
            <v>蒙脱石散*泻利停3克*12袋</v>
          </cell>
        </row>
        <row r="3197">
          <cell r="E3197" t="str">
            <v>0020030170ZYEC0003</v>
          </cell>
          <cell r="H3197" t="str">
            <v>连锁13店</v>
          </cell>
          <cell r="J3197" t="str">
            <v>1859</v>
          </cell>
          <cell r="K3197" t="str">
            <v>201602151421097</v>
          </cell>
          <cell r="M3197" t="str">
            <v>蒙脱石散*泻利停3克*12袋</v>
          </cell>
        </row>
        <row r="3198">
          <cell r="E3198" t="str">
            <v>0020030170ZYEC0003</v>
          </cell>
          <cell r="H3198" t="str">
            <v>连锁6店</v>
          </cell>
          <cell r="J3198" t="str">
            <v>1859</v>
          </cell>
          <cell r="K3198" t="str">
            <v>201602151421097</v>
          </cell>
          <cell r="M3198" t="str">
            <v>蒙脱石散*泻利停3克*12袋</v>
          </cell>
        </row>
        <row r="3199">
          <cell r="E3199" t="str">
            <v>0020030170ZYEC0003</v>
          </cell>
          <cell r="H3199" t="str">
            <v>连锁37店</v>
          </cell>
          <cell r="J3199" t="str">
            <v>1859</v>
          </cell>
          <cell r="K3199" t="str">
            <v>201602151421097</v>
          </cell>
          <cell r="M3199" t="str">
            <v>蒙脱石散*泻利停3克*12袋</v>
          </cell>
        </row>
        <row r="3200">
          <cell r="E3200" t="str">
            <v>0020030170ZYEC0003</v>
          </cell>
          <cell r="H3200" t="str">
            <v>连锁15店</v>
          </cell>
          <cell r="J3200" t="str">
            <v>1859</v>
          </cell>
          <cell r="K3200" t="str">
            <v>201602151421097</v>
          </cell>
          <cell r="M3200" t="str">
            <v>蒙脱石散*泻利停3克*12袋</v>
          </cell>
        </row>
        <row r="3201">
          <cell r="E3201" t="str">
            <v>0020030170ZYEC0003</v>
          </cell>
          <cell r="H3201" t="str">
            <v>连锁22店</v>
          </cell>
          <cell r="J3201" t="str">
            <v>1859</v>
          </cell>
          <cell r="K3201" t="str">
            <v>201602151421097</v>
          </cell>
          <cell r="M3201" t="str">
            <v>蒙脱石散*泻利停3克*12袋</v>
          </cell>
        </row>
        <row r="3202">
          <cell r="E3202" t="str">
            <v>0020030170ZYEC0003</v>
          </cell>
          <cell r="H3202" t="str">
            <v>连锁12店</v>
          </cell>
          <cell r="J3202" t="str">
            <v>1859</v>
          </cell>
          <cell r="K3202" t="str">
            <v>201602151421097</v>
          </cell>
          <cell r="M3202" t="str">
            <v>蒙脱石散*泻利停3克*12袋</v>
          </cell>
        </row>
        <row r="3203">
          <cell r="E3203" t="str">
            <v>0020030170ZYEC0003</v>
          </cell>
          <cell r="H3203" t="str">
            <v>连锁5店</v>
          </cell>
          <cell r="J3203" t="str">
            <v>1859</v>
          </cell>
          <cell r="K3203" t="str">
            <v>201602151421097</v>
          </cell>
          <cell r="M3203" t="str">
            <v>蒙脱石散*泻利停3克*12袋</v>
          </cell>
        </row>
        <row r="3204">
          <cell r="E3204" t="str">
            <v>0020030170ZYEC0003</v>
          </cell>
          <cell r="H3204" t="str">
            <v>连锁14店</v>
          </cell>
          <cell r="J3204" t="str">
            <v>1859</v>
          </cell>
          <cell r="K3204" t="str">
            <v>201602151421097</v>
          </cell>
          <cell r="M3204" t="str">
            <v>蒙脱石散*泻利停3克*12袋</v>
          </cell>
        </row>
        <row r="3205">
          <cell r="E3205" t="str">
            <v>0020030170ZYEC0003</v>
          </cell>
          <cell r="H3205" t="str">
            <v>连锁30店</v>
          </cell>
          <cell r="J3205" t="str">
            <v>1859</v>
          </cell>
          <cell r="K3205" t="str">
            <v>201602151421097</v>
          </cell>
          <cell r="M3205" t="str">
            <v>蒙脱石散*泻利停3克*12袋</v>
          </cell>
        </row>
        <row r="3206">
          <cell r="E3206" t="str">
            <v>0020030001SJZY0006</v>
          </cell>
          <cell r="H3206" t="str">
            <v>连锁15店</v>
          </cell>
          <cell r="J3206" t="str">
            <v>1859</v>
          </cell>
          <cell r="K3206" t="str">
            <v>201602151421097</v>
          </cell>
          <cell r="M3206" t="str">
            <v>葡萄糖酸钙口服液12支/盒</v>
          </cell>
        </row>
        <row r="3207">
          <cell r="E3207" t="str">
            <v>0020030001SJZY0006</v>
          </cell>
          <cell r="H3207" t="str">
            <v>连锁34店</v>
          </cell>
          <cell r="J3207" t="str">
            <v>1859</v>
          </cell>
          <cell r="K3207" t="str">
            <v>201602151421097</v>
          </cell>
          <cell r="M3207" t="str">
            <v>葡萄糖酸钙口服液12支/盒</v>
          </cell>
        </row>
        <row r="3208">
          <cell r="E3208" t="str">
            <v>0020030001SJZY0006</v>
          </cell>
          <cell r="H3208" t="str">
            <v>连锁50店</v>
          </cell>
          <cell r="J3208" t="str">
            <v>1859</v>
          </cell>
          <cell r="K3208" t="str">
            <v>201602151421097</v>
          </cell>
          <cell r="M3208" t="str">
            <v>葡萄糖酸钙口服液12支/盒</v>
          </cell>
        </row>
        <row r="3209">
          <cell r="E3209" t="str">
            <v>0020030001SJZY0006</v>
          </cell>
          <cell r="H3209" t="str">
            <v>连锁13店</v>
          </cell>
          <cell r="J3209" t="str">
            <v>1859</v>
          </cell>
          <cell r="K3209" t="str">
            <v>201602151421097</v>
          </cell>
          <cell r="M3209" t="str">
            <v>葡萄糖酸钙口服液12支/盒</v>
          </cell>
        </row>
        <row r="3210">
          <cell r="E3210" t="str">
            <v>0020030001SJZY0006</v>
          </cell>
          <cell r="H3210" t="str">
            <v>滨16店</v>
          </cell>
          <cell r="J3210" t="str">
            <v>1853</v>
          </cell>
          <cell r="K3210" t="str">
            <v>201602151421097</v>
          </cell>
          <cell r="M3210" t="str">
            <v>葡萄糖酸钙口服液12支/盒</v>
          </cell>
        </row>
        <row r="3211">
          <cell r="E3211" t="str">
            <v>0020030001SJZY0006</v>
          </cell>
          <cell r="H3211" t="str">
            <v>连锁35店</v>
          </cell>
          <cell r="J3211" t="str">
            <v>1859</v>
          </cell>
          <cell r="K3211" t="str">
            <v>201602151421097</v>
          </cell>
          <cell r="M3211" t="str">
            <v>葡萄糖酸钙口服液12支/盒</v>
          </cell>
        </row>
        <row r="3212">
          <cell r="E3212" t="str">
            <v>0020030001SJZY0006</v>
          </cell>
          <cell r="H3212" t="str">
            <v>连锁43店</v>
          </cell>
          <cell r="J3212" t="str">
            <v>1859</v>
          </cell>
          <cell r="K3212" t="str">
            <v>201602151421097</v>
          </cell>
          <cell r="M3212" t="str">
            <v>葡萄糖酸钙口服液12支/盒</v>
          </cell>
        </row>
        <row r="3213">
          <cell r="E3213" t="str">
            <v>0020030001SJZY0006</v>
          </cell>
          <cell r="H3213" t="str">
            <v>连锁42店</v>
          </cell>
          <cell r="J3213" t="str">
            <v>1859</v>
          </cell>
          <cell r="K3213" t="str">
            <v>201602151421097</v>
          </cell>
          <cell r="M3213" t="str">
            <v>葡萄糖酸钙口服液12支/盒</v>
          </cell>
        </row>
        <row r="3214">
          <cell r="E3214" t="str">
            <v>0020030001SJZY0006</v>
          </cell>
          <cell r="H3214" t="str">
            <v>连锁16店</v>
          </cell>
          <cell r="J3214" t="str">
            <v>1859</v>
          </cell>
          <cell r="K3214" t="str">
            <v>201602151421097</v>
          </cell>
          <cell r="M3214" t="str">
            <v>葡萄糖酸钙口服液12支/盒</v>
          </cell>
        </row>
        <row r="3215">
          <cell r="E3215" t="str">
            <v>0020030001SJZY0006</v>
          </cell>
          <cell r="H3215" t="str">
            <v>连锁9店</v>
          </cell>
          <cell r="J3215" t="str">
            <v>1859</v>
          </cell>
          <cell r="K3215" t="str">
            <v>201602151421097</v>
          </cell>
          <cell r="M3215" t="str">
            <v>葡萄糖酸钙口服液12支/盒</v>
          </cell>
        </row>
        <row r="3216">
          <cell r="E3216" t="str">
            <v>0020030001SJZY0006</v>
          </cell>
          <cell r="H3216" t="str">
            <v>滨旗舰店</v>
          </cell>
          <cell r="J3216" t="str">
            <v>1853</v>
          </cell>
          <cell r="K3216" t="str">
            <v>201602151421097</v>
          </cell>
          <cell r="M3216" t="str">
            <v>葡萄糖酸钙口服液12支/盒</v>
          </cell>
        </row>
        <row r="3217">
          <cell r="E3217" t="str">
            <v>0020030001SJZY0006</v>
          </cell>
          <cell r="H3217" t="str">
            <v>连锁28店</v>
          </cell>
          <cell r="J3217" t="str">
            <v>1859</v>
          </cell>
          <cell r="K3217" t="str">
            <v>201602151421097</v>
          </cell>
          <cell r="M3217" t="str">
            <v>葡萄糖酸钙口服液12支/盒</v>
          </cell>
        </row>
        <row r="3218">
          <cell r="E3218" t="str">
            <v>0020030001SJZY0006</v>
          </cell>
          <cell r="H3218" t="str">
            <v>连锁38店</v>
          </cell>
          <cell r="J3218" t="str">
            <v>1859</v>
          </cell>
          <cell r="K3218" t="str">
            <v>201602151421097</v>
          </cell>
          <cell r="M3218" t="str">
            <v>葡萄糖酸钙口服液12支/盒</v>
          </cell>
        </row>
        <row r="3219">
          <cell r="E3219" t="str">
            <v>0020030001SJZY0006</v>
          </cell>
          <cell r="H3219" t="str">
            <v>连锁12店</v>
          </cell>
          <cell r="J3219" t="str">
            <v>1859</v>
          </cell>
          <cell r="K3219" t="str">
            <v>201602151421097</v>
          </cell>
          <cell r="M3219" t="str">
            <v>葡萄糖酸钙口服液12支/盒</v>
          </cell>
        </row>
        <row r="3220">
          <cell r="E3220" t="str">
            <v>0020030001SJZY0006</v>
          </cell>
          <cell r="H3220" t="str">
            <v>中心店</v>
          </cell>
          <cell r="J3220" t="str">
            <v>1859</v>
          </cell>
          <cell r="K3220" t="str">
            <v>201602151421097</v>
          </cell>
          <cell r="M3220" t="str">
            <v>葡萄糖酸钙口服液12支/盒</v>
          </cell>
        </row>
        <row r="3221">
          <cell r="E3221" t="str">
            <v>0020070000SJZY0001</v>
          </cell>
          <cell r="H3221" t="str">
            <v>连锁43店</v>
          </cell>
          <cell r="J3221" t="str">
            <v>1859</v>
          </cell>
          <cell r="K3221" t="str">
            <v>201602151421097</v>
          </cell>
          <cell r="M3221" t="str">
            <v>葡萄糖酸锌口服液12支/盒</v>
          </cell>
        </row>
        <row r="3222">
          <cell r="E3222" t="str">
            <v>0020070000SJZY0001</v>
          </cell>
          <cell r="H3222" t="str">
            <v>连锁22店</v>
          </cell>
          <cell r="J3222" t="str">
            <v>1859</v>
          </cell>
          <cell r="K3222" t="str">
            <v>201602151421097</v>
          </cell>
          <cell r="M3222" t="str">
            <v>葡萄糖酸锌口服液12支/盒</v>
          </cell>
        </row>
        <row r="3223">
          <cell r="E3223" t="str">
            <v>0020070000SJZY0001</v>
          </cell>
          <cell r="H3223" t="str">
            <v>连锁17店</v>
          </cell>
          <cell r="J3223" t="str">
            <v>1859</v>
          </cell>
          <cell r="K3223" t="str">
            <v>201602151421097</v>
          </cell>
          <cell r="M3223" t="str">
            <v>葡萄糖酸锌口服液12支/盒</v>
          </cell>
        </row>
        <row r="3224">
          <cell r="E3224" t="str">
            <v>0020070000SJZY0001</v>
          </cell>
          <cell r="H3224" t="str">
            <v>连锁21店</v>
          </cell>
          <cell r="J3224" t="str">
            <v>1859</v>
          </cell>
          <cell r="K3224" t="str">
            <v>201602151421097</v>
          </cell>
          <cell r="M3224" t="str">
            <v>葡萄糖酸锌口服液12支/盒</v>
          </cell>
        </row>
        <row r="3225">
          <cell r="E3225" t="str">
            <v>0020070000SJZY0001</v>
          </cell>
          <cell r="H3225" t="str">
            <v>连锁6店</v>
          </cell>
          <cell r="J3225" t="str">
            <v>1859</v>
          </cell>
          <cell r="K3225" t="str">
            <v>201602151421097</v>
          </cell>
          <cell r="M3225" t="str">
            <v>葡萄糖酸锌口服液12支/盒</v>
          </cell>
        </row>
        <row r="3226">
          <cell r="E3226" t="str">
            <v>0020070000SJZY0001</v>
          </cell>
          <cell r="H3226" t="str">
            <v>连锁18店</v>
          </cell>
          <cell r="J3226" t="str">
            <v>1859</v>
          </cell>
          <cell r="K3226" t="str">
            <v>201602151421097</v>
          </cell>
          <cell r="M3226" t="str">
            <v>葡萄糖酸锌口服液12支/盒</v>
          </cell>
        </row>
        <row r="3227">
          <cell r="E3227" t="str">
            <v>0020070000SJZY0001</v>
          </cell>
          <cell r="H3227" t="str">
            <v>连锁46店</v>
          </cell>
          <cell r="J3227" t="str">
            <v>1859</v>
          </cell>
          <cell r="K3227" t="str">
            <v>201602151421097</v>
          </cell>
          <cell r="M3227" t="str">
            <v>葡萄糖酸锌口服液12支/盒</v>
          </cell>
        </row>
        <row r="3228">
          <cell r="E3228" t="str">
            <v>0020070000SJZY0001</v>
          </cell>
          <cell r="H3228" t="str">
            <v>连锁42店</v>
          </cell>
          <cell r="J3228" t="str">
            <v>1859</v>
          </cell>
          <cell r="K3228" t="str">
            <v>201602151421097</v>
          </cell>
          <cell r="M3228" t="str">
            <v>葡萄糖酸锌口服液12支/盒</v>
          </cell>
        </row>
        <row r="3229">
          <cell r="E3229" t="str">
            <v>0020070000SJZY0001</v>
          </cell>
          <cell r="H3229" t="str">
            <v>连锁28店</v>
          </cell>
          <cell r="J3229" t="str">
            <v>1859</v>
          </cell>
          <cell r="K3229" t="str">
            <v>201602151421097</v>
          </cell>
          <cell r="M3229" t="str">
            <v>葡萄糖酸锌口服液12支/盒</v>
          </cell>
        </row>
        <row r="3230">
          <cell r="E3230" t="str">
            <v>0020070000SJZY0001</v>
          </cell>
          <cell r="H3230" t="str">
            <v>连锁7店</v>
          </cell>
          <cell r="J3230" t="str">
            <v>1859</v>
          </cell>
          <cell r="K3230" t="str">
            <v>201602151421097</v>
          </cell>
          <cell r="M3230" t="str">
            <v>葡萄糖酸锌口服液12支/盒</v>
          </cell>
        </row>
        <row r="3231">
          <cell r="E3231" t="str">
            <v>0020070000SJZY0001</v>
          </cell>
          <cell r="H3231" t="str">
            <v>连锁49店</v>
          </cell>
          <cell r="J3231" t="str">
            <v>1859</v>
          </cell>
          <cell r="K3231" t="str">
            <v>201602151421097</v>
          </cell>
          <cell r="M3231" t="str">
            <v>葡萄糖酸锌口服液12支/盒</v>
          </cell>
        </row>
        <row r="3232">
          <cell r="E3232" t="str">
            <v>0020070000SJZY0001</v>
          </cell>
          <cell r="H3232" t="str">
            <v>连锁39店</v>
          </cell>
          <cell r="J3232" t="str">
            <v>1859</v>
          </cell>
          <cell r="K3232" t="str">
            <v>201602151421097</v>
          </cell>
          <cell r="M3232" t="str">
            <v>葡萄糖酸锌口服液12支/盒</v>
          </cell>
        </row>
        <row r="3233">
          <cell r="E3233" t="str">
            <v>0020070000SJZY0001</v>
          </cell>
          <cell r="H3233" t="str">
            <v>连锁37店</v>
          </cell>
          <cell r="J3233" t="str">
            <v>1859</v>
          </cell>
          <cell r="K3233" t="str">
            <v>201602151421097</v>
          </cell>
          <cell r="M3233" t="str">
            <v>葡萄糖酸锌口服液12支/盒</v>
          </cell>
        </row>
        <row r="3234">
          <cell r="E3234" t="str">
            <v>0020070000SJZY0001</v>
          </cell>
          <cell r="H3234" t="str">
            <v>连锁26店</v>
          </cell>
          <cell r="J3234" t="str">
            <v>1859</v>
          </cell>
          <cell r="K3234" t="str">
            <v>201602151421097</v>
          </cell>
          <cell r="M3234" t="str">
            <v>葡萄糖酸锌口服液12支/盒</v>
          </cell>
        </row>
        <row r="3235">
          <cell r="E3235" t="str">
            <v>0020070000SJZY0001</v>
          </cell>
          <cell r="H3235" t="str">
            <v>滨3店</v>
          </cell>
          <cell r="J3235" t="str">
            <v>1853</v>
          </cell>
          <cell r="K3235" t="str">
            <v>201602151421097</v>
          </cell>
          <cell r="M3235" t="str">
            <v>葡萄糖酸锌口服液12支/盒</v>
          </cell>
        </row>
        <row r="3236">
          <cell r="E3236" t="str">
            <v>0020070000SJZY0001</v>
          </cell>
          <cell r="H3236" t="str">
            <v>滨16店</v>
          </cell>
          <cell r="J3236" t="str">
            <v>1853</v>
          </cell>
          <cell r="K3236" t="str">
            <v>201602151421097</v>
          </cell>
          <cell r="M3236" t="str">
            <v>葡萄糖酸锌口服液12支/盒</v>
          </cell>
        </row>
        <row r="3237">
          <cell r="E3237" t="str">
            <v>0020070000SJZY0001</v>
          </cell>
          <cell r="H3237" t="str">
            <v>滨旗舰店</v>
          </cell>
          <cell r="J3237" t="str">
            <v>1853</v>
          </cell>
          <cell r="K3237" t="str">
            <v>201602151421097</v>
          </cell>
          <cell r="M3237" t="str">
            <v>葡萄糖酸锌口服液12支/盒</v>
          </cell>
        </row>
        <row r="3238">
          <cell r="E3238" t="str">
            <v>0020070000SJZY0001</v>
          </cell>
          <cell r="H3238" t="str">
            <v>滨15店</v>
          </cell>
          <cell r="J3238" t="str">
            <v>1853</v>
          </cell>
          <cell r="K3238" t="str">
            <v>201602151421097</v>
          </cell>
          <cell r="M3238" t="str">
            <v>葡萄糖酸锌口服液12支/盒</v>
          </cell>
        </row>
        <row r="3239">
          <cell r="E3239" t="str">
            <v>0020070000SJZY0001</v>
          </cell>
          <cell r="H3239" t="str">
            <v>连锁12店</v>
          </cell>
          <cell r="J3239" t="str">
            <v>1859</v>
          </cell>
          <cell r="K3239" t="str">
            <v>201602151421097</v>
          </cell>
          <cell r="M3239" t="str">
            <v>葡萄糖酸锌口服液12支/盒</v>
          </cell>
        </row>
        <row r="3240">
          <cell r="E3240" t="str">
            <v>0020070000SJZY0001</v>
          </cell>
          <cell r="H3240" t="str">
            <v>连锁38店</v>
          </cell>
          <cell r="J3240" t="str">
            <v>1859</v>
          </cell>
          <cell r="K3240" t="str">
            <v>201602151421097</v>
          </cell>
          <cell r="M3240" t="str">
            <v>葡萄糖酸锌口服液12支/盒</v>
          </cell>
        </row>
        <row r="3241">
          <cell r="E3241" t="str">
            <v>0020070000SJZY0001</v>
          </cell>
          <cell r="H3241" t="str">
            <v>连锁23店</v>
          </cell>
          <cell r="J3241" t="str">
            <v>1859</v>
          </cell>
          <cell r="K3241" t="str">
            <v>201602151421097</v>
          </cell>
          <cell r="M3241" t="str">
            <v>葡萄糖酸锌口服液12支/盒</v>
          </cell>
        </row>
        <row r="3242">
          <cell r="E3242" t="str">
            <v>0020070000SJZY0001</v>
          </cell>
          <cell r="H3242" t="str">
            <v>连锁2店</v>
          </cell>
          <cell r="J3242" t="str">
            <v>1859</v>
          </cell>
          <cell r="K3242" t="str">
            <v>201602151421097</v>
          </cell>
          <cell r="M3242" t="str">
            <v>葡萄糖酸锌口服液12支/盒</v>
          </cell>
        </row>
        <row r="3243">
          <cell r="E3243" t="str">
            <v>0020070000SJZY0001</v>
          </cell>
          <cell r="H3243" t="str">
            <v>连锁40店</v>
          </cell>
          <cell r="J3243" t="str">
            <v>1859</v>
          </cell>
          <cell r="K3243" t="str">
            <v>201602151421097</v>
          </cell>
          <cell r="M3243" t="str">
            <v>葡萄糖酸锌口服液12支/盒</v>
          </cell>
        </row>
        <row r="3244">
          <cell r="E3244" t="str">
            <v>0020070000SJZY0001</v>
          </cell>
          <cell r="H3244" t="str">
            <v>连锁1店</v>
          </cell>
          <cell r="J3244" t="str">
            <v>1859</v>
          </cell>
          <cell r="K3244" t="str">
            <v>201602151421097</v>
          </cell>
          <cell r="M3244" t="str">
            <v>葡萄糖酸锌口服液12支/盒</v>
          </cell>
        </row>
        <row r="3245">
          <cell r="E3245" t="str">
            <v>0020070000SJZY0001</v>
          </cell>
          <cell r="H3245" t="str">
            <v>连锁9店</v>
          </cell>
          <cell r="J3245" t="str">
            <v>1859</v>
          </cell>
          <cell r="K3245" t="str">
            <v>201602151421097</v>
          </cell>
          <cell r="M3245" t="str">
            <v>葡萄糖酸锌口服液12支/盒</v>
          </cell>
        </row>
        <row r="3246">
          <cell r="E3246" t="str">
            <v>0020070000SJZY0001</v>
          </cell>
          <cell r="H3246" t="str">
            <v>连锁32店</v>
          </cell>
          <cell r="J3246" t="str">
            <v>1859</v>
          </cell>
          <cell r="K3246" t="str">
            <v>201602151421097</v>
          </cell>
          <cell r="M3246" t="str">
            <v>葡萄糖酸锌口服液12支/盒</v>
          </cell>
        </row>
        <row r="3247">
          <cell r="E3247" t="str">
            <v>0020070000SJZY0001</v>
          </cell>
          <cell r="H3247" t="str">
            <v>滨17店</v>
          </cell>
          <cell r="J3247" t="str">
            <v>1853</v>
          </cell>
          <cell r="K3247" t="str">
            <v>201602151421097</v>
          </cell>
          <cell r="M3247" t="str">
            <v>葡萄糖酸锌口服液12支/盒</v>
          </cell>
        </row>
        <row r="3248">
          <cell r="E3248" t="str">
            <v>0020070000SJZY0001</v>
          </cell>
          <cell r="H3248" t="str">
            <v>连锁36店</v>
          </cell>
          <cell r="J3248" t="str">
            <v>1859</v>
          </cell>
          <cell r="K3248" t="str">
            <v>201602151421097</v>
          </cell>
          <cell r="M3248" t="str">
            <v>葡萄糖酸锌口服液12支/盒</v>
          </cell>
        </row>
        <row r="3249">
          <cell r="E3249" t="str">
            <v>0020070000ZYLC0051</v>
          </cell>
          <cell r="H3249" t="str">
            <v>连锁6店</v>
          </cell>
          <cell r="J3249" t="str">
            <v>1859</v>
          </cell>
          <cell r="K3249" t="str">
            <v>201602151421097</v>
          </cell>
          <cell r="M3249" t="str">
            <v>朴雪乳酸亚铁口服液10ml*12支</v>
          </cell>
        </row>
        <row r="3250">
          <cell r="E3250" t="str">
            <v>0020070000ZYLC0051</v>
          </cell>
          <cell r="H3250" t="str">
            <v>连锁22店</v>
          </cell>
          <cell r="J3250" t="str">
            <v>1859</v>
          </cell>
          <cell r="K3250" t="str">
            <v>201602151421097</v>
          </cell>
          <cell r="M3250" t="str">
            <v>朴雪乳酸亚铁口服液10ml*12支</v>
          </cell>
        </row>
        <row r="3251">
          <cell r="E3251" t="str">
            <v>0020070000ZYLC0051</v>
          </cell>
          <cell r="H3251" t="str">
            <v>连锁19店</v>
          </cell>
          <cell r="J3251" t="str">
            <v>1859</v>
          </cell>
          <cell r="K3251" t="str">
            <v>201602151421097</v>
          </cell>
          <cell r="M3251" t="str">
            <v>朴雪乳酸亚铁口服液10ml*12支</v>
          </cell>
        </row>
        <row r="3252">
          <cell r="E3252" t="str">
            <v>0020070000ZYLC0051</v>
          </cell>
          <cell r="H3252" t="str">
            <v>连锁30店</v>
          </cell>
          <cell r="J3252" t="str">
            <v>1859</v>
          </cell>
          <cell r="K3252" t="str">
            <v>201602151421097</v>
          </cell>
          <cell r="M3252" t="str">
            <v>朴雪乳酸亚铁口服液10ml*12支</v>
          </cell>
        </row>
        <row r="3253">
          <cell r="E3253" t="str">
            <v>0020070000ZYLC0051</v>
          </cell>
          <cell r="H3253" t="str">
            <v>连锁11店</v>
          </cell>
          <cell r="J3253" t="str">
            <v>1859</v>
          </cell>
          <cell r="K3253" t="str">
            <v>201602151421097</v>
          </cell>
          <cell r="M3253" t="str">
            <v>朴雪乳酸亚铁口服液10ml*12支</v>
          </cell>
        </row>
        <row r="3254">
          <cell r="E3254" t="str">
            <v>0020070000ZYLC0051</v>
          </cell>
          <cell r="H3254" t="str">
            <v>连锁3店</v>
          </cell>
          <cell r="J3254" t="str">
            <v>1859</v>
          </cell>
          <cell r="K3254" t="str">
            <v>201602151421097</v>
          </cell>
          <cell r="M3254" t="str">
            <v>朴雪乳酸亚铁口服液10ml*12支</v>
          </cell>
        </row>
        <row r="3255">
          <cell r="E3255" t="str">
            <v>0020020030SJMS0024</v>
          </cell>
          <cell r="H3255" t="str">
            <v>连锁52店</v>
          </cell>
          <cell r="J3255" t="str">
            <v>1859</v>
          </cell>
          <cell r="K3255" t="str">
            <v>201602151421097</v>
          </cell>
          <cell r="M3255" t="str">
            <v>人工牛黄甲硝唑胶囊20粒</v>
          </cell>
        </row>
        <row r="3256">
          <cell r="E3256" t="str">
            <v>0020020030SJMS0024</v>
          </cell>
          <cell r="H3256" t="str">
            <v>连锁20店</v>
          </cell>
          <cell r="J3256" t="str">
            <v>1859</v>
          </cell>
          <cell r="K3256" t="str">
            <v>201602151421097</v>
          </cell>
          <cell r="M3256" t="str">
            <v>人工牛黄甲硝唑胶囊20粒</v>
          </cell>
        </row>
        <row r="3257">
          <cell r="E3257" t="str">
            <v>0020020030SJMS0024</v>
          </cell>
          <cell r="H3257" t="str">
            <v>连锁4店</v>
          </cell>
          <cell r="J3257" t="str">
            <v>1859</v>
          </cell>
          <cell r="K3257" t="str">
            <v>201602151421097</v>
          </cell>
          <cell r="M3257" t="str">
            <v>人工牛黄甲硝唑胶囊20粒</v>
          </cell>
        </row>
        <row r="3258">
          <cell r="E3258" t="str">
            <v>0020020030SJMS0024</v>
          </cell>
          <cell r="H3258" t="str">
            <v>连锁29店</v>
          </cell>
          <cell r="J3258" t="str">
            <v>1859</v>
          </cell>
          <cell r="K3258" t="str">
            <v>201602151421097</v>
          </cell>
          <cell r="M3258" t="str">
            <v>人工牛黄甲硝唑胶囊20粒</v>
          </cell>
        </row>
        <row r="3259">
          <cell r="E3259" t="str">
            <v>0020020030SJMS0024</v>
          </cell>
          <cell r="H3259" t="str">
            <v>连锁6店</v>
          </cell>
          <cell r="J3259" t="str">
            <v>1859</v>
          </cell>
          <cell r="K3259" t="str">
            <v>201602151421097</v>
          </cell>
          <cell r="M3259" t="str">
            <v>人工牛黄甲硝唑胶囊20粒</v>
          </cell>
        </row>
        <row r="3260">
          <cell r="E3260" t="str">
            <v>0020020030SJMS0024</v>
          </cell>
          <cell r="H3260" t="str">
            <v>连锁51店</v>
          </cell>
          <cell r="J3260" t="str">
            <v>1859</v>
          </cell>
          <cell r="K3260" t="str">
            <v>201602151421097</v>
          </cell>
          <cell r="M3260" t="str">
            <v>人工牛黄甲硝唑胶囊20粒</v>
          </cell>
        </row>
        <row r="3261">
          <cell r="E3261" t="str">
            <v>0020020030SJMS0024</v>
          </cell>
          <cell r="H3261" t="str">
            <v>连锁41店</v>
          </cell>
          <cell r="J3261" t="str">
            <v>1859</v>
          </cell>
          <cell r="K3261" t="str">
            <v>201602151421097</v>
          </cell>
          <cell r="M3261" t="str">
            <v>人工牛黄甲硝唑胶囊20粒</v>
          </cell>
        </row>
        <row r="3262">
          <cell r="E3262" t="str">
            <v>0020020030SJMS0024</v>
          </cell>
          <cell r="H3262" t="str">
            <v>连锁38店</v>
          </cell>
          <cell r="J3262" t="str">
            <v>1859</v>
          </cell>
          <cell r="K3262" t="str">
            <v>201602151421097</v>
          </cell>
          <cell r="M3262" t="str">
            <v>人工牛黄甲硝唑胶囊20粒</v>
          </cell>
        </row>
        <row r="3263">
          <cell r="E3263" t="str">
            <v>0020020030SJMS0024</v>
          </cell>
          <cell r="H3263" t="str">
            <v>连锁40店</v>
          </cell>
          <cell r="J3263" t="str">
            <v>1859</v>
          </cell>
          <cell r="K3263" t="str">
            <v>201602151421097</v>
          </cell>
          <cell r="M3263" t="str">
            <v>人工牛黄甲硝唑胶囊20粒</v>
          </cell>
        </row>
        <row r="3264">
          <cell r="E3264" t="str">
            <v>0020020030SJMS0024</v>
          </cell>
          <cell r="H3264" t="str">
            <v>连锁46店</v>
          </cell>
          <cell r="J3264" t="str">
            <v>1859</v>
          </cell>
          <cell r="K3264" t="str">
            <v>201602151421097</v>
          </cell>
          <cell r="M3264" t="str">
            <v>人工牛黄甲硝唑胶囊20粒</v>
          </cell>
        </row>
        <row r="3265">
          <cell r="E3265" t="str">
            <v>0020020030SJMS0024</v>
          </cell>
          <cell r="H3265" t="str">
            <v>滨15店</v>
          </cell>
          <cell r="J3265" t="str">
            <v>1853</v>
          </cell>
          <cell r="K3265" t="str">
            <v>201602151421097</v>
          </cell>
          <cell r="M3265" t="str">
            <v>人工牛黄甲硝唑胶囊20粒</v>
          </cell>
        </row>
        <row r="3266">
          <cell r="E3266" t="str">
            <v>0020020030SJMS0024</v>
          </cell>
          <cell r="H3266" t="str">
            <v>连锁18店</v>
          </cell>
          <cell r="J3266" t="str">
            <v>1859</v>
          </cell>
          <cell r="K3266" t="str">
            <v>201602151421097</v>
          </cell>
          <cell r="M3266" t="str">
            <v>人工牛黄甲硝唑胶囊20粒</v>
          </cell>
        </row>
        <row r="3267">
          <cell r="E3267" t="str">
            <v>0020020030SJMS0024</v>
          </cell>
          <cell r="H3267" t="str">
            <v>连锁47店</v>
          </cell>
          <cell r="J3267" t="str">
            <v>1859</v>
          </cell>
          <cell r="K3267" t="str">
            <v>201602151421097</v>
          </cell>
          <cell r="M3267" t="str">
            <v>人工牛黄甲硝唑胶囊20粒</v>
          </cell>
        </row>
        <row r="3268">
          <cell r="E3268" t="str">
            <v>0020020021ZYZC0341</v>
          </cell>
          <cell r="H3268" t="str">
            <v>连锁51店</v>
          </cell>
          <cell r="J3268" t="str">
            <v>1859</v>
          </cell>
          <cell r="K3268" t="str">
            <v>201602151421097</v>
          </cell>
          <cell r="M3268" t="str">
            <v>胜艾*阿莫西林克拉维酸钾分散片0.2285g*12pian</v>
          </cell>
        </row>
        <row r="3269">
          <cell r="E3269" t="str">
            <v>0020020021ZYZC0341</v>
          </cell>
          <cell r="H3269" t="str">
            <v>连锁1店</v>
          </cell>
          <cell r="J3269" t="str">
            <v>1859</v>
          </cell>
          <cell r="K3269" t="str">
            <v>201602151421097</v>
          </cell>
          <cell r="M3269" t="str">
            <v>胜艾*阿莫西林克拉维酸钾分散片0.2285g*12pian</v>
          </cell>
        </row>
        <row r="3270">
          <cell r="E3270" t="str">
            <v>0020020021ZYZC0341</v>
          </cell>
          <cell r="H3270" t="str">
            <v>连锁22店</v>
          </cell>
          <cell r="J3270" t="str">
            <v>1859</v>
          </cell>
          <cell r="K3270" t="str">
            <v>201602151421097</v>
          </cell>
          <cell r="M3270" t="str">
            <v>胜艾*阿莫西林克拉维酸钾分散片0.2285g*12pian</v>
          </cell>
        </row>
        <row r="3271">
          <cell r="E3271" t="str">
            <v>0020020021ZYZC0341</v>
          </cell>
          <cell r="H3271" t="str">
            <v>连锁37店</v>
          </cell>
          <cell r="J3271" t="str">
            <v>1859</v>
          </cell>
          <cell r="K3271" t="str">
            <v>201602151421097</v>
          </cell>
          <cell r="M3271" t="str">
            <v>胜艾*阿莫西林克拉维酸钾分散片0.2285g*12pian</v>
          </cell>
        </row>
        <row r="3272">
          <cell r="E3272" t="str">
            <v>0020020021ZYZC0341</v>
          </cell>
          <cell r="H3272" t="str">
            <v>连锁30店</v>
          </cell>
          <cell r="J3272" t="str">
            <v>1859</v>
          </cell>
          <cell r="K3272" t="str">
            <v>201602151421097</v>
          </cell>
          <cell r="M3272" t="str">
            <v>胜艾*阿莫西林克拉维酸钾分散片0.2285g*12pian</v>
          </cell>
        </row>
        <row r="3273">
          <cell r="E3273" t="str">
            <v>0020020021ZYZC0341</v>
          </cell>
          <cell r="H3273" t="str">
            <v>连锁43店</v>
          </cell>
          <cell r="J3273" t="str">
            <v>1859</v>
          </cell>
          <cell r="K3273" t="str">
            <v>201602151421097</v>
          </cell>
          <cell r="M3273" t="str">
            <v>胜艾*阿莫西林克拉维酸钾分散片0.2285g*12pian</v>
          </cell>
        </row>
        <row r="3274">
          <cell r="E3274" t="str">
            <v>0020020021ZYZC0341</v>
          </cell>
          <cell r="H3274" t="str">
            <v>连锁8店</v>
          </cell>
          <cell r="J3274" t="str">
            <v>1859</v>
          </cell>
          <cell r="K3274" t="str">
            <v>201602151421097</v>
          </cell>
          <cell r="M3274" t="str">
            <v>胜艾*阿莫西林克拉维酸钾分散片0.2285g*12pian</v>
          </cell>
        </row>
        <row r="3275">
          <cell r="E3275" t="str">
            <v>0020050090SJZY0001</v>
          </cell>
          <cell r="H3275" t="str">
            <v>连锁18店</v>
          </cell>
          <cell r="J3275" t="str">
            <v>1859</v>
          </cell>
          <cell r="K3275" t="str">
            <v>201602151421097</v>
          </cell>
          <cell r="M3275" t="str">
            <v>双黄连口服液10ml*10</v>
          </cell>
        </row>
        <row r="3276">
          <cell r="E3276" t="str">
            <v>0020050090SJZY0001</v>
          </cell>
          <cell r="H3276" t="str">
            <v>连锁39店</v>
          </cell>
          <cell r="J3276" t="str">
            <v>1859</v>
          </cell>
          <cell r="K3276" t="str">
            <v>201602151421097</v>
          </cell>
          <cell r="M3276" t="str">
            <v>双黄连口服液10ml*10</v>
          </cell>
        </row>
        <row r="3277">
          <cell r="E3277" t="str">
            <v>0020050090SJZY0001</v>
          </cell>
          <cell r="H3277" t="str">
            <v>滨3店</v>
          </cell>
          <cell r="J3277" t="str">
            <v>1853</v>
          </cell>
          <cell r="K3277" t="str">
            <v>201602151421097</v>
          </cell>
          <cell r="M3277" t="str">
            <v>双黄连口服液10ml*10</v>
          </cell>
        </row>
        <row r="3278">
          <cell r="E3278" t="str">
            <v>0020050090SJZY0001</v>
          </cell>
          <cell r="H3278" t="str">
            <v>连锁35店</v>
          </cell>
          <cell r="J3278" t="str">
            <v>1859</v>
          </cell>
          <cell r="K3278" t="str">
            <v>201602151421097</v>
          </cell>
          <cell r="M3278" t="str">
            <v>双黄连口服液10ml*10</v>
          </cell>
        </row>
        <row r="3279">
          <cell r="E3279" t="str">
            <v>0020050090SJZY0001</v>
          </cell>
          <cell r="H3279" t="str">
            <v>连锁32店</v>
          </cell>
          <cell r="J3279" t="str">
            <v>1859</v>
          </cell>
          <cell r="K3279" t="str">
            <v>201602151421097</v>
          </cell>
          <cell r="M3279" t="str">
            <v>双黄连口服液10ml*10</v>
          </cell>
        </row>
        <row r="3280">
          <cell r="E3280" t="str">
            <v>0020050090SJZY0001</v>
          </cell>
          <cell r="H3280" t="str">
            <v>连锁17店</v>
          </cell>
          <cell r="J3280" t="str">
            <v>1859</v>
          </cell>
          <cell r="K3280" t="str">
            <v>201602151421097</v>
          </cell>
          <cell r="M3280" t="str">
            <v>双黄连口服液10ml*10</v>
          </cell>
        </row>
        <row r="3281">
          <cell r="E3281" t="str">
            <v>0020050090SJZY0001</v>
          </cell>
          <cell r="H3281" t="str">
            <v>连锁42店</v>
          </cell>
          <cell r="J3281" t="str">
            <v>1859</v>
          </cell>
          <cell r="K3281" t="str">
            <v>201602151421097</v>
          </cell>
          <cell r="M3281" t="str">
            <v>双黄连口服液10ml*10</v>
          </cell>
        </row>
        <row r="3282">
          <cell r="E3282" t="str">
            <v>0020050090SJZY0001</v>
          </cell>
          <cell r="H3282" t="str">
            <v>滨15店</v>
          </cell>
          <cell r="J3282" t="str">
            <v>1853</v>
          </cell>
          <cell r="K3282" t="str">
            <v>201602151421097</v>
          </cell>
          <cell r="M3282" t="str">
            <v>双黄连口服液10ml*10</v>
          </cell>
        </row>
        <row r="3283">
          <cell r="E3283" t="str">
            <v>0020050090SJZY0001</v>
          </cell>
          <cell r="H3283" t="str">
            <v>连锁28店</v>
          </cell>
          <cell r="J3283" t="str">
            <v>1859</v>
          </cell>
          <cell r="K3283" t="str">
            <v>201602151421097</v>
          </cell>
          <cell r="M3283" t="str">
            <v>双黄连口服液10ml*10</v>
          </cell>
        </row>
        <row r="3284">
          <cell r="E3284" t="str">
            <v>0020050090SJZY0001</v>
          </cell>
          <cell r="H3284" t="str">
            <v>连锁7店</v>
          </cell>
          <cell r="J3284" t="str">
            <v>1859</v>
          </cell>
          <cell r="K3284" t="str">
            <v>201602151421097</v>
          </cell>
          <cell r="M3284" t="str">
            <v>双黄连口服液10ml*10</v>
          </cell>
        </row>
        <row r="3285">
          <cell r="E3285" t="str">
            <v>0020050090SJZY0001</v>
          </cell>
          <cell r="H3285" t="str">
            <v>连锁36店</v>
          </cell>
          <cell r="J3285" t="str">
            <v>1859</v>
          </cell>
          <cell r="K3285" t="str">
            <v>201602151421097</v>
          </cell>
          <cell r="M3285" t="str">
            <v>双黄连口服液10ml*10</v>
          </cell>
        </row>
        <row r="3286">
          <cell r="E3286" t="str">
            <v>0020050090SJZY0001</v>
          </cell>
          <cell r="H3286" t="str">
            <v>连锁38店</v>
          </cell>
          <cell r="J3286" t="str">
            <v>1859</v>
          </cell>
          <cell r="K3286" t="str">
            <v>201602151421097</v>
          </cell>
          <cell r="M3286" t="str">
            <v>双黄连口服液10ml*10</v>
          </cell>
        </row>
        <row r="3287">
          <cell r="E3287" t="str">
            <v>0020050090SJZY0001</v>
          </cell>
          <cell r="H3287" t="str">
            <v>连锁33店</v>
          </cell>
          <cell r="J3287" t="str">
            <v>1859</v>
          </cell>
          <cell r="K3287" t="str">
            <v>201602151421097</v>
          </cell>
          <cell r="M3287" t="str">
            <v>双黄连口服液10ml*10</v>
          </cell>
        </row>
        <row r="3288">
          <cell r="E3288" t="str">
            <v>0020050090SJZY0001</v>
          </cell>
          <cell r="H3288" t="str">
            <v>连锁23店</v>
          </cell>
          <cell r="J3288" t="str">
            <v>1859</v>
          </cell>
          <cell r="K3288" t="str">
            <v>201602151421097</v>
          </cell>
          <cell r="M3288" t="str">
            <v>双黄连口服液10ml*10</v>
          </cell>
        </row>
        <row r="3289">
          <cell r="E3289" t="str">
            <v>0020050090SJZY0001</v>
          </cell>
          <cell r="H3289" t="str">
            <v>滨17店</v>
          </cell>
          <cell r="J3289" t="str">
            <v>1853</v>
          </cell>
          <cell r="K3289" t="str">
            <v>201602151421097</v>
          </cell>
          <cell r="M3289" t="str">
            <v>双黄连口服液10ml*10</v>
          </cell>
        </row>
        <row r="3290">
          <cell r="E3290" t="str">
            <v>0020050090SJZY0001</v>
          </cell>
          <cell r="H3290" t="str">
            <v>连锁27店</v>
          </cell>
          <cell r="J3290" t="str">
            <v>1859</v>
          </cell>
          <cell r="K3290" t="str">
            <v>201602151421097</v>
          </cell>
          <cell r="M3290" t="str">
            <v>双黄连口服液10ml*10</v>
          </cell>
        </row>
        <row r="3291">
          <cell r="E3291" t="str">
            <v>0020030020ZYZC0360</v>
          </cell>
          <cell r="H3291" t="str">
            <v>连锁22店</v>
          </cell>
          <cell r="J3291" t="str">
            <v>1859</v>
          </cell>
          <cell r="K3291" t="str">
            <v>201602151421097</v>
          </cell>
          <cell r="M3291" t="str">
            <v>维生素c咀嚼片0.1g*30片</v>
          </cell>
        </row>
        <row r="3292">
          <cell r="E3292" t="str">
            <v>0020030020ZYZC0360</v>
          </cell>
          <cell r="H3292" t="str">
            <v>连锁3店</v>
          </cell>
          <cell r="J3292" t="str">
            <v>1859</v>
          </cell>
          <cell r="K3292" t="str">
            <v>201602151421097</v>
          </cell>
          <cell r="M3292" t="str">
            <v>维生素c咀嚼片0.1g*30片</v>
          </cell>
        </row>
        <row r="3293">
          <cell r="E3293" t="str">
            <v>0020030020ZYZC0360</v>
          </cell>
          <cell r="H3293" t="str">
            <v>连锁30店</v>
          </cell>
          <cell r="J3293" t="str">
            <v>1859</v>
          </cell>
          <cell r="K3293" t="str">
            <v>201602151421097</v>
          </cell>
          <cell r="M3293" t="str">
            <v>维生素c咀嚼片0.1g*30片</v>
          </cell>
        </row>
        <row r="3294">
          <cell r="E3294" t="str">
            <v>0020030032ZYZC0300</v>
          </cell>
          <cell r="H3294" t="str">
            <v>连锁22店</v>
          </cell>
          <cell r="J3294" t="str">
            <v>1859</v>
          </cell>
          <cell r="K3294" t="str">
            <v>201602151421097</v>
          </cell>
          <cell r="M3294" t="str">
            <v>维生素E软胶囊100mg*30粒</v>
          </cell>
        </row>
        <row r="3295">
          <cell r="E3295" t="str">
            <v>0020030032ZYZC0300</v>
          </cell>
          <cell r="H3295" t="str">
            <v>连锁12店</v>
          </cell>
          <cell r="J3295" t="str">
            <v>1859</v>
          </cell>
          <cell r="K3295" t="str">
            <v>201602151421097</v>
          </cell>
          <cell r="M3295" t="str">
            <v>维生素E软胶囊100mg*30粒</v>
          </cell>
        </row>
        <row r="3296">
          <cell r="E3296" t="str">
            <v>0020030032ZYZC0300</v>
          </cell>
          <cell r="H3296" t="str">
            <v>连锁6店</v>
          </cell>
          <cell r="J3296" t="str">
            <v>1859</v>
          </cell>
          <cell r="K3296" t="str">
            <v>201602151421097</v>
          </cell>
          <cell r="M3296" t="str">
            <v>维生素E软胶囊100mg*30粒</v>
          </cell>
        </row>
        <row r="3297">
          <cell r="E3297" t="str">
            <v>0020030032ZYZC0300</v>
          </cell>
          <cell r="H3297" t="str">
            <v>连锁32店</v>
          </cell>
          <cell r="J3297" t="str">
            <v>1859</v>
          </cell>
          <cell r="K3297" t="str">
            <v>201602151421097</v>
          </cell>
          <cell r="M3297" t="str">
            <v>维生素E软胶囊100mg*30粒</v>
          </cell>
        </row>
        <row r="3298">
          <cell r="E3298" t="str">
            <v>0020030032ZYZC0300</v>
          </cell>
          <cell r="H3298" t="str">
            <v>连锁30店</v>
          </cell>
          <cell r="J3298" t="str">
            <v>1859</v>
          </cell>
          <cell r="K3298" t="str">
            <v>201602151421097</v>
          </cell>
          <cell r="M3298" t="str">
            <v>维生素E软胶囊100mg*30粒</v>
          </cell>
        </row>
        <row r="3299">
          <cell r="E3299" t="str">
            <v>0020030032ZYZC0300</v>
          </cell>
          <cell r="H3299" t="str">
            <v>滨16店</v>
          </cell>
          <cell r="J3299" t="str">
            <v>1853</v>
          </cell>
          <cell r="K3299" t="str">
            <v>201602151421097</v>
          </cell>
          <cell r="M3299" t="str">
            <v>维生素E软胶囊100mg*30粒</v>
          </cell>
        </row>
        <row r="3300">
          <cell r="E3300" t="str">
            <v>0020030032ZYZC0300</v>
          </cell>
          <cell r="H3300" t="str">
            <v>连锁3店</v>
          </cell>
          <cell r="J3300" t="str">
            <v>1859</v>
          </cell>
          <cell r="K3300" t="str">
            <v>201602151421097</v>
          </cell>
          <cell r="M3300" t="str">
            <v>维生素E软胶囊100mg*30粒</v>
          </cell>
        </row>
        <row r="3301">
          <cell r="E3301" t="str">
            <v>0020030032ZYZC0300</v>
          </cell>
          <cell r="H3301" t="str">
            <v>连锁17店</v>
          </cell>
          <cell r="J3301" t="str">
            <v>1859</v>
          </cell>
          <cell r="K3301" t="str">
            <v>201602151421097</v>
          </cell>
          <cell r="M3301" t="str">
            <v>维生素E软胶囊100mg*30粒</v>
          </cell>
        </row>
        <row r="3302">
          <cell r="E3302" t="str">
            <v>0020030020SJSC0004</v>
          </cell>
          <cell r="H3302" t="str">
            <v>连锁15店</v>
          </cell>
          <cell r="J3302" t="str">
            <v>1859</v>
          </cell>
          <cell r="K3302" t="str">
            <v>201602151421097</v>
          </cell>
          <cell r="M3302" t="str">
            <v>胃必治*复方铝酸铋片50片</v>
          </cell>
        </row>
        <row r="3303">
          <cell r="E3303" t="str">
            <v>0020030020SJSC0004</v>
          </cell>
          <cell r="H3303" t="str">
            <v>连锁22店</v>
          </cell>
          <cell r="J3303" t="str">
            <v>1859</v>
          </cell>
          <cell r="K3303" t="str">
            <v>201602151421097</v>
          </cell>
          <cell r="M3303" t="str">
            <v>胃必治*复方铝酸铋片50片</v>
          </cell>
        </row>
        <row r="3304">
          <cell r="E3304" t="str">
            <v>0020030020SJSC0004</v>
          </cell>
          <cell r="H3304" t="str">
            <v>连锁2店</v>
          </cell>
          <cell r="J3304" t="str">
            <v>1859</v>
          </cell>
          <cell r="K3304" t="str">
            <v>201602151421097</v>
          </cell>
          <cell r="M3304" t="str">
            <v>胃必治*复方铝酸铋片50片</v>
          </cell>
        </row>
        <row r="3305">
          <cell r="E3305" t="str">
            <v>0020030020SJSC0004</v>
          </cell>
          <cell r="H3305" t="str">
            <v>连锁26店</v>
          </cell>
          <cell r="J3305" t="str">
            <v>1859</v>
          </cell>
          <cell r="K3305" t="str">
            <v>201602151421097</v>
          </cell>
          <cell r="M3305" t="str">
            <v>胃必治*复方铝酸铋片50片</v>
          </cell>
        </row>
        <row r="3306">
          <cell r="E3306" t="str">
            <v>0020030020SJSC0004</v>
          </cell>
          <cell r="H3306" t="str">
            <v>连锁11店</v>
          </cell>
          <cell r="J3306" t="str">
            <v>1859</v>
          </cell>
          <cell r="K3306" t="str">
            <v>201602151421097</v>
          </cell>
          <cell r="M3306" t="str">
            <v>胃必治*复方铝酸铋片50片</v>
          </cell>
        </row>
        <row r="3307">
          <cell r="E3307" t="str">
            <v>0020030020SJSC0004</v>
          </cell>
          <cell r="H3307" t="str">
            <v>连锁17店</v>
          </cell>
          <cell r="J3307" t="str">
            <v>1859</v>
          </cell>
          <cell r="K3307" t="str">
            <v>201602151421097</v>
          </cell>
          <cell r="M3307" t="str">
            <v>胃必治*复方铝酸铋片50片</v>
          </cell>
        </row>
        <row r="3308">
          <cell r="E3308" t="str">
            <v>0020030020SJSC0004</v>
          </cell>
          <cell r="H3308" t="str">
            <v>连锁12店</v>
          </cell>
          <cell r="J3308" t="str">
            <v>1859</v>
          </cell>
          <cell r="K3308" t="str">
            <v>201602151421097</v>
          </cell>
          <cell r="M3308" t="str">
            <v>胃必治*复方铝酸铋片50片</v>
          </cell>
        </row>
        <row r="3309">
          <cell r="E3309" t="str">
            <v>0020030020SJSC0004</v>
          </cell>
          <cell r="H3309" t="str">
            <v>连锁13店</v>
          </cell>
          <cell r="J3309" t="str">
            <v>1859</v>
          </cell>
          <cell r="K3309" t="str">
            <v>201602151421097</v>
          </cell>
          <cell r="M3309" t="str">
            <v>胃必治*复方铝酸铋片50片</v>
          </cell>
        </row>
        <row r="3310">
          <cell r="E3310" t="str">
            <v>0020030020SJSC0004</v>
          </cell>
          <cell r="H3310" t="str">
            <v>连锁3店</v>
          </cell>
          <cell r="J3310" t="str">
            <v>1859</v>
          </cell>
          <cell r="K3310" t="str">
            <v>201602151421097</v>
          </cell>
          <cell r="M3310" t="str">
            <v>胃必治*复方铝酸铋片50片</v>
          </cell>
        </row>
        <row r="3311">
          <cell r="E3311" t="str">
            <v>0020030020SJSC0004</v>
          </cell>
          <cell r="H3311" t="str">
            <v>连锁8店</v>
          </cell>
          <cell r="J3311" t="str">
            <v>1859</v>
          </cell>
          <cell r="K3311" t="str">
            <v>201602151421097</v>
          </cell>
          <cell r="M3311" t="str">
            <v>胃必治*复方铝酸铋片50片</v>
          </cell>
        </row>
        <row r="3312">
          <cell r="E3312" t="str">
            <v>0020040070ZYEC0005</v>
          </cell>
          <cell r="H3312" t="str">
            <v>连锁51店</v>
          </cell>
          <cell r="J3312" t="str">
            <v>1859</v>
          </cell>
          <cell r="K3312" t="str">
            <v>201602151421097</v>
          </cell>
          <cell r="M3312" t="str">
            <v>小儿百部止咳糖浆100ml</v>
          </cell>
        </row>
        <row r="3313">
          <cell r="E3313" t="str">
            <v>0020040070ZYEC0005</v>
          </cell>
          <cell r="H3313" t="str">
            <v>连锁50店</v>
          </cell>
          <cell r="J3313" t="str">
            <v>1859</v>
          </cell>
          <cell r="K3313" t="str">
            <v>201602151421097</v>
          </cell>
          <cell r="M3313" t="str">
            <v>小儿百部止咳糖浆100ml</v>
          </cell>
        </row>
        <row r="3314">
          <cell r="E3314" t="str">
            <v>0020040070ZYEC0005</v>
          </cell>
          <cell r="H3314" t="str">
            <v>连锁37店</v>
          </cell>
          <cell r="J3314" t="str">
            <v>1859</v>
          </cell>
          <cell r="K3314" t="str">
            <v>201602151421097</v>
          </cell>
          <cell r="M3314" t="str">
            <v>小儿百部止咳糖浆100ml</v>
          </cell>
        </row>
        <row r="3315">
          <cell r="E3315" t="str">
            <v>0020040070ZYEC0005</v>
          </cell>
          <cell r="H3315" t="str">
            <v>连锁11店</v>
          </cell>
          <cell r="J3315" t="str">
            <v>1859</v>
          </cell>
          <cell r="K3315" t="str">
            <v>201602151421097</v>
          </cell>
          <cell r="M3315" t="str">
            <v>小儿百部止咳糖浆100ml</v>
          </cell>
        </row>
        <row r="3316">
          <cell r="E3316" t="str">
            <v>0020040070ZYEC0005</v>
          </cell>
          <cell r="H3316" t="str">
            <v>连锁41店</v>
          </cell>
          <cell r="J3316" t="str">
            <v>1859</v>
          </cell>
          <cell r="K3316" t="str">
            <v>201602151421097</v>
          </cell>
          <cell r="M3316" t="str">
            <v>小儿百部止咳糖浆100ml</v>
          </cell>
        </row>
        <row r="3317">
          <cell r="E3317" t="str">
            <v>0020040070ZYEC0005</v>
          </cell>
          <cell r="H3317" t="str">
            <v>连锁22店</v>
          </cell>
          <cell r="J3317" t="str">
            <v>1859</v>
          </cell>
          <cell r="K3317" t="str">
            <v>201602151421097</v>
          </cell>
          <cell r="M3317" t="str">
            <v>小儿百部止咳糖浆100ml</v>
          </cell>
        </row>
        <row r="3318">
          <cell r="E3318" t="str">
            <v>0020040070ZYEC0005</v>
          </cell>
          <cell r="H3318" t="str">
            <v>连锁1店</v>
          </cell>
          <cell r="J3318" t="str">
            <v>1859</v>
          </cell>
          <cell r="K3318" t="str">
            <v>201602151421097</v>
          </cell>
          <cell r="M3318" t="str">
            <v>小儿百部止咳糖浆100ml</v>
          </cell>
        </row>
        <row r="3319">
          <cell r="E3319" t="str">
            <v>0020040070ZYEC0005</v>
          </cell>
          <cell r="H3319" t="str">
            <v>连锁2店</v>
          </cell>
          <cell r="J3319" t="str">
            <v>1859</v>
          </cell>
          <cell r="K3319" t="str">
            <v>201602151421097</v>
          </cell>
          <cell r="M3319" t="str">
            <v>小儿百部止咳糖浆100ml</v>
          </cell>
        </row>
        <row r="3320">
          <cell r="E3320" t="str">
            <v>0020040070ZYEC0005</v>
          </cell>
          <cell r="H3320" t="str">
            <v>中心店</v>
          </cell>
          <cell r="J3320" t="str">
            <v>1859</v>
          </cell>
          <cell r="K3320" t="str">
            <v>201602151421097</v>
          </cell>
          <cell r="M3320" t="str">
            <v>小儿百部止咳糖浆100ml</v>
          </cell>
        </row>
        <row r="3321">
          <cell r="E3321" t="str">
            <v>0020040070ZYEC0005</v>
          </cell>
          <cell r="H3321" t="str">
            <v>连锁39店</v>
          </cell>
          <cell r="J3321" t="str">
            <v>1859</v>
          </cell>
          <cell r="K3321" t="str">
            <v>201602151421097</v>
          </cell>
          <cell r="M3321" t="str">
            <v>小儿百部止咳糖浆100ml</v>
          </cell>
        </row>
        <row r="3322">
          <cell r="E3322" t="str">
            <v>0020040070ZYEC0005</v>
          </cell>
          <cell r="H3322" t="str">
            <v>连锁10店</v>
          </cell>
          <cell r="J3322" t="str">
            <v>1859</v>
          </cell>
          <cell r="K3322" t="str">
            <v>201602151421097</v>
          </cell>
          <cell r="M3322" t="str">
            <v>小儿百部止咳糖浆100ml</v>
          </cell>
        </row>
        <row r="3323">
          <cell r="E3323" t="str">
            <v>0020020020ZYLC0010</v>
          </cell>
          <cell r="H3323" t="str">
            <v>连锁52店</v>
          </cell>
          <cell r="J3323" t="str">
            <v>1859</v>
          </cell>
          <cell r="K3323" t="str">
            <v>201602151421097</v>
          </cell>
          <cell r="M3323" t="str">
            <v>泻利停*颠茄磺苄啶片10片</v>
          </cell>
        </row>
        <row r="3324">
          <cell r="E3324" t="str">
            <v>0020020020ZYLC0010</v>
          </cell>
          <cell r="H3324" t="str">
            <v>连锁20店</v>
          </cell>
          <cell r="J3324" t="str">
            <v>1859</v>
          </cell>
          <cell r="K3324" t="str">
            <v>201602151421097</v>
          </cell>
          <cell r="M3324" t="str">
            <v>泻利停*颠茄磺苄啶片10片</v>
          </cell>
        </row>
        <row r="3325">
          <cell r="E3325" t="str">
            <v>0020020020ZYLC0010</v>
          </cell>
          <cell r="H3325" t="str">
            <v>连锁16店</v>
          </cell>
          <cell r="J3325" t="str">
            <v>1859</v>
          </cell>
          <cell r="K3325" t="str">
            <v>201602151421097</v>
          </cell>
          <cell r="M3325" t="str">
            <v>泻利停*颠茄磺苄啶片10片</v>
          </cell>
        </row>
        <row r="3326">
          <cell r="E3326" t="str">
            <v>0020020020ZYLC0010</v>
          </cell>
          <cell r="H3326" t="str">
            <v>连锁11店</v>
          </cell>
          <cell r="J3326" t="str">
            <v>1859</v>
          </cell>
          <cell r="K3326" t="str">
            <v>201602151421097</v>
          </cell>
          <cell r="M3326" t="str">
            <v>泻利停*颠茄磺苄啶片10片</v>
          </cell>
        </row>
        <row r="3327">
          <cell r="E3327" t="str">
            <v>0020020020ZYLC0003</v>
          </cell>
          <cell r="H3327" t="str">
            <v>连锁52店</v>
          </cell>
          <cell r="J3327" t="str">
            <v>1859</v>
          </cell>
          <cell r="K3327" t="str">
            <v>201602151421097</v>
          </cell>
          <cell r="M3327" t="str">
            <v>泻利停*颠茄磺苄啶片12片</v>
          </cell>
        </row>
        <row r="3328">
          <cell r="E3328" t="str">
            <v>0020020020ZYLC0003</v>
          </cell>
          <cell r="H3328" t="str">
            <v>连锁20店</v>
          </cell>
          <cell r="J3328" t="str">
            <v>1859</v>
          </cell>
          <cell r="K3328" t="str">
            <v>201602151421097</v>
          </cell>
          <cell r="M3328" t="str">
            <v>泻利停*颠茄磺苄啶片12片</v>
          </cell>
        </row>
        <row r="3329">
          <cell r="E3329" t="str">
            <v>0020020020ZYLC0003</v>
          </cell>
          <cell r="H3329" t="str">
            <v>连锁51店</v>
          </cell>
          <cell r="J3329" t="str">
            <v>1859</v>
          </cell>
          <cell r="K3329" t="str">
            <v>201602151421097</v>
          </cell>
          <cell r="M3329" t="str">
            <v>泻利停*颠茄磺苄啶片12片</v>
          </cell>
        </row>
        <row r="3330">
          <cell r="E3330" t="str">
            <v>0020020020ZYLC0003</v>
          </cell>
          <cell r="H3330" t="str">
            <v>中心店</v>
          </cell>
          <cell r="J3330" t="str">
            <v>1859</v>
          </cell>
          <cell r="K3330" t="str">
            <v>201602151421097</v>
          </cell>
          <cell r="M3330" t="str">
            <v>泻利停*颠茄磺苄啶片12片</v>
          </cell>
        </row>
        <row r="3331">
          <cell r="E3331" t="str">
            <v>0020020020ZYLC0003</v>
          </cell>
          <cell r="H3331" t="str">
            <v>连锁49店</v>
          </cell>
          <cell r="J3331" t="str">
            <v>1859</v>
          </cell>
          <cell r="K3331" t="str">
            <v>201602151421097</v>
          </cell>
          <cell r="M3331" t="str">
            <v>泻利停*颠茄磺苄啶片12片</v>
          </cell>
        </row>
        <row r="3332">
          <cell r="E3332" t="str">
            <v>0020020020ZYLC0010</v>
          </cell>
          <cell r="H3332" t="str">
            <v>连锁22店</v>
          </cell>
          <cell r="J3332" t="str">
            <v>1859</v>
          </cell>
          <cell r="K3332" t="str">
            <v>201602151421097</v>
          </cell>
          <cell r="M3332" t="str">
            <v>泻利停*颠茄磺苄啶片10片</v>
          </cell>
        </row>
        <row r="3333">
          <cell r="E3333" t="str">
            <v>0020020020ZYLC0010</v>
          </cell>
          <cell r="H3333" t="str">
            <v>连锁34店</v>
          </cell>
          <cell r="J3333" t="str">
            <v>1859</v>
          </cell>
          <cell r="K3333" t="str">
            <v>201602151421097</v>
          </cell>
          <cell r="M3333" t="str">
            <v>泻利停*颠茄磺苄啶片10片</v>
          </cell>
        </row>
        <row r="3334">
          <cell r="E3334" t="str">
            <v>0020020020ZYLC0010</v>
          </cell>
          <cell r="H3334" t="str">
            <v>连锁8店</v>
          </cell>
          <cell r="J3334" t="str">
            <v>1859</v>
          </cell>
          <cell r="K3334" t="str">
            <v>201602151421097</v>
          </cell>
          <cell r="M3334" t="str">
            <v>泻利停*颠茄磺苄啶片10片</v>
          </cell>
        </row>
        <row r="3335">
          <cell r="E3335" t="str">
            <v>0020020020ZYLC0003</v>
          </cell>
          <cell r="H3335" t="str">
            <v>连锁2店</v>
          </cell>
          <cell r="J3335" t="str">
            <v>1859</v>
          </cell>
          <cell r="K3335" t="str">
            <v>201602151421097</v>
          </cell>
          <cell r="M3335" t="str">
            <v>泻利停*颠茄磺苄啶片12片</v>
          </cell>
        </row>
        <row r="3336">
          <cell r="E3336" t="str">
            <v>0020020020ZYLC0003</v>
          </cell>
          <cell r="H3336" t="str">
            <v>连锁14店</v>
          </cell>
          <cell r="J3336" t="str">
            <v>1859</v>
          </cell>
          <cell r="K3336" t="str">
            <v>201602151421097</v>
          </cell>
          <cell r="M3336" t="str">
            <v>泻利停*颠茄磺苄啶片12片</v>
          </cell>
        </row>
        <row r="3337">
          <cell r="E3337" t="str">
            <v>0020020020ZYLC0003</v>
          </cell>
          <cell r="H3337" t="str">
            <v>连锁17店</v>
          </cell>
          <cell r="J3337" t="str">
            <v>1859</v>
          </cell>
          <cell r="K3337" t="str">
            <v>201602151421097</v>
          </cell>
          <cell r="M3337" t="str">
            <v>泻利停*颠茄磺苄啶片12片</v>
          </cell>
        </row>
        <row r="3338">
          <cell r="E3338" t="str">
            <v>0020020020ZYLC0003</v>
          </cell>
          <cell r="H3338" t="str">
            <v>连锁7店</v>
          </cell>
          <cell r="J3338" t="str">
            <v>1859</v>
          </cell>
          <cell r="K3338" t="str">
            <v>201602151421097</v>
          </cell>
          <cell r="M3338" t="str">
            <v>泻利停*颠茄磺苄啶片12片</v>
          </cell>
        </row>
        <row r="3339">
          <cell r="E3339" t="str">
            <v>0020020020ZYLC0010</v>
          </cell>
          <cell r="H3339" t="str">
            <v>滨1店</v>
          </cell>
          <cell r="J3339" t="str">
            <v>1853</v>
          </cell>
          <cell r="K3339" t="str">
            <v>201602151421097</v>
          </cell>
          <cell r="M3339" t="str">
            <v>泻利停*颠茄磺苄啶片10片</v>
          </cell>
        </row>
        <row r="3340">
          <cell r="E3340" t="str">
            <v>0020020020ZYLC0010</v>
          </cell>
          <cell r="H3340" t="str">
            <v>连锁6店</v>
          </cell>
          <cell r="J3340" t="str">
            <v>1859</v>
          </cell>
          <cell r="K3340" t="str">
            <v>201602151421097</v>
          </cell>
          <cell r="M3340" t="str">
            <v>泻利停*颠茄磺苄啶片10片</v>
          </cell>
        </row>
        <row r="3341">
          <cell r="E3341" t="str">
            <v>0020020020ZYLC0010</v>
          </cell>
          <cell r="H3341" t="str">
            <v>连锁25店</v>
          </cell>
          <cell r="J3341" t="str">
            <v>1859</v>
          </cell>
          <cell r="K3341" t="str">
            <v>201602151421097</v>
          </cell>
          <cell r="M3341" t="str">
            <v>泻利停*颠茄磺苄啶片10片</v>
          </cell>
        </row>
        <row r="3342">
          <cell r="E3342" t="str">
            <v>0020020020ZYLC0003</v>
          </cell>
          <cell r="H3342" t="str">
            <v>连锁22店</v>
          </cell>
          <cell r="J3342" t="str">
            <v>1859</v>
          </cell>
          <cell r="K3342" t="str">
            <v>201602151421097</v>
          </cell>
          <cell r="M3342" t="str">
            <v>泻利停*颠茄磺苄啶片12片</v>
          </cell>
        </row>
        <row r="3343">
          <cell r="E3343" t="str">
            <v>0020020020ZYLC0003</v>
          </cell>
          <cell r="H3343" t="str">
            <v>连锁12店</v>
          </cell>
          <cell r="J3343" t="str">
            <v>1859</v>
          </cell>
          <cell r="K3343" t="str">
            <v>201602151421097</v>
          </cell>
          <cell r="M3343" t="str">
            <v>泻利停*颠茄磺苄啶片12片</v>
          </cell>
        </row>
        <row r="3344">
          <cell r="E3344" t="str">
            <v>0020020020ZYLC0010</v>
          </cell>
          <cell r="H3344" t="str">
            <v>连锁32店</v>
          </cell>
          <cell r="J3344" t="str">
            <v>1859</v>
          </cell>
          <cell r="K3344" t="str">
            <v>201602151421097</v>
          </cell>
          <cell r="M3344" t="str">
            <v>泻利停*颠茄磺苄啶片10片</v>
          </cell>
        </row>
        <row r="3345">
          <cell r="E3345" t="str">
            <v>0020020020ZYLC0010</v>
          </cell>
          <cell r="H3345" t="str">
            <v>滨16店</v>
          </cell>
          <cell r="J3345" t="str">
            <v>1853</v>
          </cell>
          <cell r="K3345" t="str">
            <v>201602151421097</v>
          </cell>
          <cell r="M3345" t="str">
            <v>泻利停*颠茄磺苄啶片10片</v>
          </cell>
        </row>
        <row r="3346">
          <cell r="E3346" t="str">
            <v>0020020020ZYLC0010</v>
          </cell>
          <cell r="H3346" t="str">
            <v>连锁29店</v>
          </cell>
          <cell r="J3346" t="str">
            <v>1859</v>
          </cell>
          <cell r="K3346" t="str">
            <v>201602151421097</v>
          </cell>
          <cell r="M3346" t="str">
            <v>泻利停*颠茄磺苄啶片10片</v>
          </cell>
        </row>
        <row r="3347">
          <cell r="E3347" t="str">
            <v>0020020020ZYLC0010</v>
          </cell>
          <cell r="H3347" t="str">
            <v>连锁5店</v>
          </cell>
          <cell r="J3347" t="str">
            <v>1859</v>
          </cell>
          <cell r="K3347" t="str">
            <v>201602151421097</v>
          </cell>
          <cell r="M3347" t="str">
            <v>泻利停*颠茄磺苄啶片10片</v>
          </cell>
        </row>
        <row r="3348">
          <cell r="E3348" t="str">
            <v>0020020020ZYLC0010</v>
          </cell>
          <cell r="H3348" t="str">
            <v>连锁14店</v>
          </cell>
          <cell r="J3348" t="str">
            <v>1859</v>
          </cell>
          <cell r="K3348" t="str">
            <v>201602151421097</v>
          </cell>
          <cell r="M3348" t="str">
            <v>泻利停*颠茄磺苄啶片10片</v>
          </cell>
        </row>
        <row r="3349">
          <cell r="E3349" t="str">
            <v>0020020020ZYLC0010</v>
          </cell>
          <cell r="H3349" t="str">
            <v>连锁2店</v>
          </cell>
          <cell r="J3349" t="str">
            <v>1859</v>
          </cell>
          <cell r="K3349" t="str">
            <v>201602151421097</v>
          </cell>
          <cell r="M3349" t="str">
            <v>泻利停*颠茄磺苄啶片10片</v>
          </cell>
        </row>
        <row r="3350">
          <cell r="E3350" t="str">
            <v>0020020020ZYLC0003</v>
          </cell>
          <cell r="H3350" t="str">
            <v>连锁50店</v>
          </cell>
          <cell r="J3350" t="str">
            <v>1859</v>
          </cell>
          <cell r="K3350" t="str">
            <v>201602151421097</v>
          </cell>
          <cell r="M3350" t="str">
            <v>泻利停*颠茄磺苄啶片12片</v>
          </cell>
        </row>
        <row r="3351">
          <cell r="E3351" t="str">
            <v>0020020020ZYLC0010</v>
          </cell>
          <cell r="H3351" t="str">
            <v>连锁35店</v>
          </cell>
          <cell r="J3351" t="str">
            <v>1859</v>
          </cell>
          <cell r="K3351" t="str">
            <v>201602151421097</v>
          </cell>
          <cell r="M3351" t="str">
            <v>泻利停*颠茄磺苄啶片10片</v>
          </cell>
        </row>
        <row r="3352">
          <cell r="E3352" t="str">
            <v>0020020020ZYLC0003</v>
          </cell>
          <cell r="H3352" t="str">
            <v>连锁33店</v>
          </cell>
          <cell r="J3352" t="str">
            <v>1859</v>
          </cell>
          <cell r="K3352" t="str">
            <v>201602151421097</v>
          </cell>
          <cell r="M3352" t="str">
            <v>泻利停*颠茄磺苄啶片12片</v>
          </cell>
        </row>
        <row r="3353">
          <cell r="E3353" t="str">
            <v>0020020020ZYLC0003</v>
          </cell>
          <cell r="H3353" t="str">
            <v>连锁31店</v>
          </cell>
          <cell r="J3353" t="str">
            <v>1859</v>
          </cell>
          <cell r="K3353" t="str">
            <v>201602151421097</v>
          </cell>
          <cell r="M3353" t="str">
            <v>泻利停*颠茄磺苄啶片12片</v>
          </cell>
        </row>
        <row r="3354">
          <cell r="E3354" t="str">
            <v>0020020020ZYLC0003</v>
          </cell>
          <cell r="H3354" t="str">
            <v>连锁5店</v>
          </cell>
          <cell r="J3354" t="str">
            <v>1859</v>
          </cell>
          <cell r="K3354" t="str">
            <v>201602151421097</v>
          </cell>
          <cell r="M3354" t="str">
            <v>泻利停*颠茄磺苄啶片12片</v>
          </cell>
        </row>
        <row r="3355">
          <cell r="E3355" t="str">
            <v>0020020020ZYLC0010</v>
          </cell>
          <cell r="H3355" t="str">
            <v>连锁9店</v>
          </cell>
          <cell r="J3355" t="str">
            <v>1859</v>
          </cell>
          <cell r="K3355" t="str">
            <v>201602151421097</v>
          </cell>
          <cell r="M3355" t="str">
            <v>泻利停*颠茄磺苄啶片10片</v>
          </cell>
        </row>
        <row r="3356">
          <cell r="E3356" t="str">
            <v>0020020020ZYLC0010</v>
          </cell>
          <cell r="H3356" t="str">
            <v>连锁21店</v>
          </cell>
          <cell r="J3356" t="str">
            <v>1859</v>
          </cell>
          <cell r="K3356" t="str">
            <v>201602151421097</v>
          </cell>
          <cell r="M3356" t="str">
            <v>泻利停*颠茄磺苄啶片10片</v>
          </cell>
        </row>
        <row r="3357">
          <cell r="E3357" t="str">
            <v>0020020020ZYLC0003</v>
          </cell>
          <cell r="H3357" t="str">
            <v>滨旗舰店</v>
          </cell>
          <cell r="J3357" t="str">
            <v>1853</v>
          </cell>
          <cell r="K3357" t="str">
            <v>201602151421097</v>
          </cell>
          <cell r="M3357" t="str">
            <v>泻利停*颠茄磺苄啶片12片</v>
          </cell>
        </row>
        <row r="3358">
          <cell r="E3358" t="str">
            <v>0020020020ZYLC0003</v>
          </cell>
          <cell r="H3358" t="str">
            <v>滨1店</v>
          </cell>
          <cell r="J3358" t="str">
            <v>1853</v>
          </cell>
          <cell r="K3358" t="str">
            <v>201602151421097</v>
          </cell>
          <cell r="M3358" t="str">
            <v>泻利停*颠茄磺苄啶片12片</v>
          </cell>
        </row>
        <row r="3359">
          <cell r="E3359" t="str">
            <v>0020020020ZYLC0010</v>
          </cell>
          <cell r="H3359" t="str">
            <v>连锁45店</v>
          </cell>
          <cell r="J3359" t="str">
            <v>1859</v>
          </cell>
          <cell r="K3359" t="str">
            <v>201602151421097</v>
          </cell>
          <cell r="M3359" t="str">
            <v>泻利停*颠茄磺苄啶片10片</v>
          </cell>
        </row>
        <row r="3360">
          <cell r="E3360" t="str">
            <v>0020020020ZYLC0010</v>
          </cell>
          <cell r="H3360" t="str">
            <v>连锁47店</v>
          </cell>
          <cell r="J3360" t="str">
            <v>1859</v>
          </cell>
          <cell r="K3360" t="str">
            <v>201602151421097</v>
          </cell>
          <cell r="M3360" t="str">
            <v>泻利停*颠茄磺苄啶片10片</v>
          </cell>
        </row>
        <row r="3361">
          <cell r="E3361" t="str">
            <v>0020020020ZYLC0010</v>
          </cell>
          <cell r="H3361" t="str">
            <v>中心店</v>
          </cell>
          <cell r="J3361" t="str">
            <v>1859</v>
          </cell>
          <cell r="K3361" t="str">
            <v>201602151421097</v>
          </cell>
          <cell r="M3361" t="str">
            <v>泻利停*颠茄磺苄啶片10片</v>
          </cell>
        </row>
        <row r="3362">
          <cell r="E3362" t="str">
            <v>0020020020ZYLC0010</v>
          </cell>
          <cell r="H3362" t="str">
            <v>连锁49店</v>
          </cell>
          <cell r="J3362" t="str">
            <v>1859</v>
          </cell>
          <cell r="K3362" t="str">
            <v>201602151421097</v>
          </cell>
          <cell r="M3362" t="str">
            <v>泻利停*颠茄磺苄啶片10片</v>
          </cell>
        </row>
        <row r="3363">
          <cell r="E3363" t="str">
            <v>0020020020ZYLC0010</v>
          </cell>
          <cell r="H3363" t="str">
            <v>连锁43店</v>
          </cell>
          <cell r="J3363" t="str">
            <v>1859</v>
          </cell>
          <cell r="K3363" t="str">
            <v>201602151421097</v>
          </cell>
          <cell r="M3363" t="str">
            <v>泻利停*颠茄磺苄啶片10片</v>
          </cell>
        </row>
        <row r="3364">
          <cell r="E3364" t="str">
            <v>0020020020ZYLC0010</v>
          </cell>
          <cell r="H3364" t="str">
            <v>连锁17店</v>
          </cell>
          <cell r="J3364" t="str">
            <v>1859</v>
          </cell>
          <cell r="K3364" t="str">
            <v>201602151421097</v>
          </cell>
          <cell r="M3364" t="str">
            <v>泻利停*颠茄磺苄啶片10片</v>
          </cell>
        </row>
        <row r="3365">
          <cell r="E3365" t="str">
            <v>0020020020ZYLC0010</v>
          </cell>
          <cell r="H3365" t="str">
            <v>连锁23店</v>
          </cell>
          <cell r="J3365" t="str">
            <v>1859</v>
          </cell>
          <cell r="K3365" t="str">
            <v>201602151421097</v>
          </cell>
          <cell r="M3365" t="str">
            <v>泻利停*颠茄磺苄啶片10片</v>
          </cell>
        </row>
        <row r="3366">
          <cell r="E3366" t="str">
            <v>0020020020ZYLC0010</v>
          </cell>
          <cell r="H3366" t="str">
            <v>滨15店</v>
          </cell>
          <cell r="J3366" t="str">
            <v>1853</v>
          </cell>
          <cell r="K3366" t="str">
            <v>201602151421097</v>
          </cell>
          <cell r="M3366" t="str">
            <v>泻利停*颠茄磺苄啶片10片</v>
          </cell>
        </row>
        <row r="3367">
          <cell r="E3367" t="str">
            <v>0020020020ZYLC0010</v>
          </cell>
          <cell r="H3367" t="str">
            <v>连锁12店</v>
          </cell>
          <cell r="J3367" t="str">
            <v>1859</v>
          </cell>
          <cell r="K3367" t="str">
            <v>201602151421097</v>
          </cell>
          <cell r="M3367" t="str">
            <v>泻利停*颠茄磺苄啶片10片</v>
          </cell>
        </row>
        <row r="3368">
          <cell r="E3368" t="str">
            <v>0020020020ZYLC0003</v>
          </cell>
          <cell r="H3368" t="str">
            <v>连锁9店</v>
          </cell>
          <cell r="J3368" t="str">
            <v>1859</v>
          </cell>
          <cell r="K3368" t="str">
            <v>201602151421097</v>
          </cell>
          <cell r="M3368" t="str">
            <v>泻利停*颠茄磺苄啶片12片</v>
          </cell>
        </row>
        <row r="3369">
          <cell r="E3369" t="str">
            <v>0020020020ZYLC0010</v>
          </cell>
          <cell r="H3369" t="str">
            <v>连锁51店</v>
          </cell>
          <cell r="J3369" t="str">
            <v>1859</v>
          </cell>
          <cell r="K3369" t="str">
            <v>201602151421097</v>
          </cell>
          <cell r="M3369" t="str">
            <v>泻利停*颠茄磺苄啶片10片</v>
          </cell>
        </row>
        <row r="3370">
          <cell r="E3370" t="str">
            <v>0020040001SHYT0018</v>
          </cell>
          <cell r="H3370" t="str">
            <v>中心店</v>
          </cell>
          <cell r="J3370" t="str">
            <v>1859</v>
          </cell>
          <cell r="K3370" t="str">
            <v>201602151421097</v>
          </cell>
          <cell r="M3370" t="str">
            <v>血府逐瘀丸9g*10丸</v>
          </cell>
        </row>
        <row r="3371">
          <cell r="E3371" t="str">
            <v>0020040001SHYT0018</v>
          </cell>
          <cell r="H3371" t="str">
            <v>连锁2店</v>
          </cell>
          <cell r="J3371" t="str">
            <v>1859</v>
          </cell>
          <cell r="K3371" t="str">
            <v>201602151421097</v>
          </cell>
          <cell r="M3371" t="str">
            <v>血府逐瘀丸9g*10丸</v>
          </cell>
        </row>
        <row r="3372">
          <cell r="E3372" t="str">
            <v>0020040001SHYT0018</v>
          </cell>
          <cell r="H3372" t="str">
            <v>连锁34店</v>
          </cell>
          <cell r="J3372" t="str">
            <v>1859</v>
          </cell>
          <cell r="K3372" t="str">
            <v>201602151421097</v>
          </cell>
          <cell r="M3372" t="str">
            <v>血府逐瘀丸9g*10丸</v>
          </cell>
        </row>
        <row r="3373">
          <cell r="E3373" t="str">
            <v>0020040001SHYT0018</v>
          </cell>
          <cell r="H3373" t="str">
            <v>连锁6店</v>
          </cell>
          <cell r="J3373" t="str">
            <v>1859</v>
          </cell>
          <cell r="K3373" t="str">
            <v>201602151421097</v>
          </cell>
          <cell r="M3373" t="str">
            <v>血府逐瘀丸9g*10丸</v>
          </cell>
        </row>
        <row r="3374">
          <cell r="E3374" t="str">
            <v>0020040001SHYT0018</v>
          </cell>
          <cell r="H3374" t="str">
            <v>连锁22店</v>
          </cell>
          <cell r="J3374" t="str">
            <v>1859</v>
          </cell>
          <cell r="K3374" t="str">
            <v>201602151421097</v>
          </cell>
          <cell r="M3374" t="str">
            <v>血府逐瘀丸9g*10丸</v>
          </cell>
        </row>
        <row r="3375">
          <cell r="E3375" t="str">
            <v>0020040001SHYT0018</v>
          </cell>
          <cell r="H3375" t="str">
            <v>连锁11店</v>
          </cell>
          <cell r="J3375" t="str">
            <v>1859</v>
          </cell>
          <cell r="K3375" t="str">
            <v>201602151421097</v>
          </cell>
          <cell r="M3375" t="str">
            <v>血府逐瘀丸9g*10丸</v>
          </cell>
        </row>
        <row r="3376">
          <cell r="E3376" t="str">
            <v>0020040001SHYT0018</v>
          </cell>
          <cell r="H3376" t="str">
            <v>连锁52店</v>
          </cell>
          <cell r="J3376" t="str">
            <v>1859</v>
          </cell>
          <cell r="K3376" t="str">
            <v>201602151421097</v>
          </cell>
          <cell r="M3376" t="str">
            <v>血府逐瘀丸9g*10丸</v>
          </cell>
        </row>
        <row r="3377">
          <cell r="E3377" t="str">
            <v>0020040001SHYT0018</v>
          </cell>
          <cell r="H3377" t="str">
            <v>连锁10店</v>
          </cell>
          <cell r="J3377" t="str">
            <v>1859</v>
          </cell>
          <cell r="K3377" t="str">
            <v>201602151421097</v>
          </cell>
          <cell r="M3377" t="str">
            <v>血府逐瘀丸9g*10丸</v>
          </cell>
        </row>
        <row r="3378">
          <cell r="E3378" t="str">
            <v>0020040001SHYT0018</v>
          </cell>
          <cell r="H3378" t="str">
            <v>连锁37店</v>
          </cell>
          <cell r="J3378" t="str">
            <v>1859</v>
          </cell>
          <cell r="K3378" t="str">
            <v>201602151421097</v>
          </cell>
          <cell r="M3378" t="str">
            <v>血府逐瘀丸9g*10丸</v>
          </cell>
        </row>
        <row r="3379">
          <cell r="E3379" t="str">
            <v>0020040001SHYT0018</v>
          </cell>
          <cell r="H3379" t="str">
            <v>连锁13店</v>
          </cell>
          <cell r="J3379" t="str">
            <v>1859</v>
          </cell>
          <cell r="K3379" t="str">
            <v>201602151421097</v>
          </cell>
          <cell r="M3379" t="str">
            <v>血府逐瘀丸9g*10丸</v>
          </cell>
        </row>
        <row r="3380">
          <cell r="E3380" t="str">
            <v>0020040001SHYT0018</v>
          </cell>
          <cell r="H3380" t="str">
            <v>连锁12店</v>
          </cell>
          <cell r="J3380" t="str">
            <v>1859</v>
          </cell>
          <cell r="K3380" t="str">
            <v>201602151421097</v>
          </cell>
          <cell r="M3380" t="str">
            <v>血府逐瘀丸9g*10丸</v>
          </cell>
        </row>
        <row r="3381">
          <cell r="E3381" t="str">
            <v>0020040001SHYT0018</v>
          </cell>
          <cell r="H3381" t="str">
            <v>连锁4店</v>
          </cell>
          <cell r="J3381" t="str">
            <v>1859</v>
          </cell>
          <cell r="K3381" t="str">
            <v>201602151421097</v>
          </cell>
          <cell r="M3381" t="str">
            <v>血府逐瘀丸9g*10丸</v>
          </cell>
        </row>
        <row r="3382">
          <cell r="E3382" t="str">
            <v>0020040001SHYT0018</v>
          </cell>
          <cell r="H3382" t="str">
            <v>连锁18店</v>
          </cell>
          <cell r="J3382" t="str">
            <v>1859</v>
          </cell>
          <cell r="K3382" t="str">
            <v>201602151421097</v>
          </cell>
          <cell r="M3382" t="str">
            <v>血府逐瘀丸9g*10丸</v>
          </cell>
        </row>
        <row r="3383">
          <cell r="E3383" t="str">
            <v>0020040001SHYT0018</v>
          </cell>
          <cell r="H3383" t="str">
            <v>连锁31店</v>
          </cell>
          <cell r="J3383" t="str">
            <v>1859</v>
          </cell>
          <cell r="K3383" t="str">
            <v>201602151421097</v>
          </cell>
          <cell r="M3383" t="str">
            <v>血府逐瘀丸9g*10丸</v>
          </cell>
        </row>
        <row r="3384">
          <cell r="E3384" t="str">
            <v>0020040001SHYT0018</v>
          </cell>
          <cell r="H3384" t="str">
            <v>连锁42店</v>
          </cell>
          <cell r="J3384" t="str">
            <v>1859</v>
          </cell>
          <cell r="K3384" t="str">
            <v>201602151421097</v>
          </cell>
          <cell r="M3384" t="str">
            <v>血府逐瘀丸9g*10丸</v>
          </cell>
        </row>
        <row r="3385">
          <cell r="E3385" t="str">
            <v>0020020021ZYLC0004</v>
          </cell>
          <cell r="H3385" t="str">
            <v>连锁13店</v>
          </cell>
          <cell r="J3385" t="str">
            <v>1859</v>
          </cell>
          <cell r="K3385" t="str">
            <v>201602151421097</v>
          </cell>
          <cell r="M3385" t="str">
            <v>严迪*罗红霉素分散片75mg*12</v>
          </cell>
        </row>
        <row r="3386">
          <cell r="E3386" t="str">
            <v>0020020021ZYLC0004</v>
          </cell>
          <cell r="H3386" t="str">
            <v>连锁3店</v>
          </cell>
          <cell r="J3386" t="str">
            <v>1859</v>
          </cell>
          <cell r="K3386" t="str">
            <v>201602151421097</v>
          </cell>
          <cell r="M3386" t="str">
            <v>严迪*罗红霉素分散片75mg*12</v>
          </cell>
        </row>
        <row r="3387">
          <cell r="E3387" t="str">
            <v>0020020021ZYLC0004</v>
          </cell>
          <cell r="H3387" t="str">
            <v>滨11店</v>
          </cell>
          <cell r="J3387" t="str">
            <v>1853</v>
          </cell>
          <cell r="K3387" t="str">
            <v>201602151421097</v>
          </cell>
          <cell r="M3387" t="str">
            <v>严迪*罗红霉素分散片75mg*12</v>
          </cell>
        </row>
        <row r="3388">
          <cell r="E3388" t="str">
            <v>0020020021ZYLC0004</v>
          </cell>
          <cell r="H3388" t="str">
            <v>连锁30店</v>
          </cell>
          <cell r="J3388" t="str">
            <v>1859</v>
          </cell>
          <cell r="K3388" t="str">
            <v>201602151421097</v>
          </cell>
          <cell r="M3388" t="str">
            <v>严迪*罗红霉素分散片75mg*12</v>
          </cell>
        </row>
        <row r="3389">
          <cell r="E3389" t="str">
            <v>0020020021ZYLC0004</v>
          </cell>
          <cell r="H3389" t="str">
            <v>连锁49店</v>
          </cell>
          <cell r="J3389" t="str">
            <v>1859</v>
          </cell>
          <cell r="K3389" t="str">
            <v>201602151421097</v>
          </cell>
          <cell r="M3389" t="str">
            <v>严迪*罗红霉素分散片75mg*12</v>
          </cell>
        </row>
        <row r="3390">
          <cell r="E3390" t="str">
            <v>0020020021ZYLC0004</v>
          </cell>
          <cell r="H3390" t="str">
            <v>连锁38店</v>
          </cell>
          <cell r="J3390" t="str">
            <v>1859</v>
          </cell>
          <cell r="K3390" t="str">
            <v>201602151421097</v>
          </cell>
          <cell r="M3390" t="str">
            <v>严迪*罗红霉素分散片75mg*12</v>
          </cell>
        </row>
        <row r="3391">
          <cell r="E3391" t="str">
            <v>0020020021ZYLC0004</v>
          </cell>
          <cell r="H3391" t="str">
            <v>连锁16店</v>
          </cell>
          <cell r="J3391" t="str">
            <v>1859</v>
          </cell>
          <cell r="K3391" t="str">
            <v>201602151421097</v>
          </cell>
          <cell r="M3391" t="str">
            <v>严迪*罗红霉素分散片75mg*12</v>
          </cell>
        </row>
        <row r="3392">
          <cell r="E3392" t="str">
            <v>0020020021ZYLC0004</v>
          </cell>
          <cell r="H3392" t="str">
            <v>连锁33店</v>
          </cell>
          <cell r="J3392" t="str">
            <v>1859</v>
          </cell>
          <cell r="K3392" t="str">
            <v>201602151421097</v>
          </cell>
          <cell r="M3392" t="str">
            <v>严迪*罗红霉素分散片75mg*12</v>
          </cell>
        </row>
        <row r="3393">
          <cell r="E3393" t="str">
            <v>0020020021ZYLC0004</v>
          </cell>
          <cell r="H3393" t="str">
            <v>连锁1店</v>
          </cell>
          <cell r="J3393" t="str">
            <v>1859</v>
          </cell>
          <cell r="K3393" t="str">
            <v>201602151421097</v>
          </cell>
          <cell r="M3393" t="str">
            <v>严迪*罗红霉素分散片75mg*12</v>
          </cell>
        </row>
        <row r="3394">
          <cell r="E3394" t="str">
            <v>0020030040ZYLC0001</v>
          </cell>
          <cell r="H3394" t="str">
            <v>济生堂清华园店</v>
          </cell>
          <cell r="J3394" t="str">
            <v>1857</v>
          </cell>
          <cell r="K3394" t="str">
            <v>201602151421097</v>
          </cell>
          <cell r="M3394" t="str">
            <v>小儿氨酚黄那敏颗粒 护彤 2g*12袋</v>
          </cell>
        </row>
        <row r="3395">
          <cell r="E3395" t="str">
            <v>0020030040ZYLC0001</v>
          </cell>
          <cell r="H3395" t="str">
            <v>济生堂昌盛店</v>
          </cell>
          <cell r="J3395" t="str">
            <v>1857</v>
          </cell>
          <cell r="K3395" t="str">
            <v>201602151421097</v>
          </cell>
          <cell r="M3395" t="str">
            <v>小儿氨酚黄那敏颗粒 护彤 2g*12袋</v>
          </cell>
        </row>
        <row r="3396">
          <cell r="E3396" t="str">
            <v>0020030040ZYLC0001</v>
          </cell>
          <cell r="H3396" t="str">
            <v>济生堂济仁堂店</v>
          </cell>
          <cell r="J3396" t="str">
            <v>1857</v>
          </cell>
          <cell r="K3396" t="str">
            <v>201602151421097</v>
          </cell>
          <cell r="M3396" t="str">
            <v>小儿氨酚黄那敏颗粒 护彤 2g*12袋</v>
          </cell>
        </row>
        <row r="3397">
          <cell r="E3397" t="str">
            <v>0020030040ZYLC0001</v>
          </cell>
          <cell r="H3397" t="str">
            <v>济生堂富国店</v>
          </cell>
          <cell r="J3397" t="str">
            <v>1857</v>
          </cell>
          <cell r="K3397" t="str">
            <v>201602151421097</v>
          </cell>
          <cell r="M3397" t="str">
            <v>小儿氨酚黄那敏颗粒 护彤 2g*12袋</v>
          </cell>
        </row>
        <row r="3398">
          <cell r="E3398" t="str">
            <v>0020030040ZYLC0001</v>
          </cell>
          <cell r="H3398" t="str">
            <v>济生堂新华店</v>
          </cell>
          <cell r="J3398" t="str">
            <v>1857</v>
          </cell>
          <cell r="K3398" t="str">
            <v>201602151421097</v>
          </cell>
          <cell r="M3398" t="str">
            <v>小儿氨酚黄那敏颗粒 护彤 2g*12袋</v>
          </cell>
        </row>
        <row r="3399">
          <cell r="E3399" t="str">
            <v>0020030040ZYLC0001</v>
          </cell>
          <cell r="H3399" t="str">
            <v>济生堂下洼店</v>
          </cell>
          <cell r="J3399" t="str">
            <v>1857</v>
          </cell>
          <cell r="K3399" t="str">
            <v>201602151421097</v>
          </cell>
          <cell r="M3399" t="str">
            <v>小儿氨酚黄那敏颗粒 护彤 2g*12袋</v>
          </cell>
        </row>
        <row r="3400">
          <cell r="E3400" t="str">
            <v>0020030040ZYLC0001</v>
          </cell>
          <cell r="H3400" t="str">
            <v>济生堂金海店</v>
          </cell>
          <cell r="J3400" t="str">
            <v>1857</v>
          </cell>
          <cell r="K3400" t="str">
            <v>201602151421097</v>
          </cell>
          <cell r="M3400" t="str">
            <v>小儿氨酚黄那敏颗粒 护彤 2g*12袋</v>
          </cell>
        </row>
        <row r="3401">
          <cell r="E3401" t="str">
            <v>0020030040ZYLC0001</v>
          </cell>
          <cell r="H3401" t="str">
            <v>济生堂富城店</v>
          </cell>
          <cell r="J3401" t="str">
            <v>1857</v>
          </cell>
          <cell r="K3401" t="str">
            <v>201602151421097</v>
          </cell>
          <cell r="M3401" t="str">
            <v>小儿氨酚黄那敏颗粒 护彤 2g*12袋</v>
          </cell>
        </row>
        <row r="3402">
          <cell r="E3402" t="str">
            <v>0020030040ZYLC0001</v>
          </cell>
          <cell r="H3402" t="str">
            <v>济生堂同济店</v>
          </cell>
          <cell r="J3402" t="str">
            <v>1857</v>
          </cell>
          <cell r="K3402" t="str">
            <v>201602151421097</v>
          </cell>
          <cell r="M3402" t="str">
            <v>小儿氨酚黄那敏颗粒 护彤 2g*12袋</v>
          </cell>
        </row>
        <row r="3403">
          <cell r="E3403" t="str">
            <v>0020030040ZYLC0001</v>
          </cell>
          <cell r="H3403" t="str">
            <v>济生堂新华店</v>
          </cell>
          <cell r="J3403" t="str">
            <v>1857</v>
          </cell>
          <cell r="K3403" t="str">
            <v>201602151421097</v>
          </cell>
          <cell r="M3403" t="str">
            <v>小儿氨酚黄那敏颗粒 护彤 2g*12袋</v>
          </cell>
        </row>
        <row r="3404">
          <cell r="E3404" t="str">
            <v>0020030040ZYLC0001</v>
          </cell>
          <cell r="H3404" t="str">
            <v>济生堂影院店</v>
          </cell>
          <cell r="J3404" t="str">
            <v>1857</v>
          </cell>
          <cell r="K3404" t="str">
            <v>201602151421097</v>
          </cell>
          <cell r="M3404" t="str">
            <v>小儿氨酚黄那敏颗粒 护彤 2g*12袋</v>
          </cell>
        </row>
        <row r="3405">
          <cell r="E3405" t="str">
            <v>0020030040ZYLC0001</v>
          </cell>
          <cell r="H3405" t="str">
            <v>济生堂冯家二店</v>
          </cell>
          <cell r="J3405" t="str">
            <v>1857</v>
          </cell>
          <cell r="K3405" t="str">
            <v>201602151421097</v>
          </cell>
          <cell r="M3405" t="str">
            <v>小儿氨酚黄那敏颗粒 护彤 2g*12袋</v>
          </cell>
        </row>
        <row r="3406">
          <cell r="E3406" t="str">
            <v>0020050090SJZY0001</v>
          </cell>
          <cell r="H3406" t="str">
            <v>济生堂广场店</v>
          </cell>
          <cell r="J3406" t="str">
            <v>1857</v>
          </cell>
          <cell r="K3406" t="str">
            <v>201602151421097</v>
          </cell>
          <cell r="M3406" t="str">
            <v>双黄连口服液10ml*10支</v>
          </cell>
        </row>
        <row r="3407">
          <cell r="E3407" t="str">
            <v>0020050090SJZY0001</v>
          </cell>
          <cell r="H3407" t="str">
            <v>济生堂富城店</v>
          </cell>
          <cell r="J3407" t="str">
            <v>1857</v>
          </cell>
          <cell r="K3407" t="str">
            <v>201602151421097</v>
          </cell>
          <cell r="M3407" t="str">
            <v>双黄连口服液10ml*10支</v>
          </cell>
        </row>
        <row r="3408">
          <cell r="E3408" t="str">
            <v>0020050090SJZY0001</v>
          </cell>
          <cell r="H3408" t="str">
            <v>济生堂新华店</v>
          </cell>
          <cell r="J3408" t="str">
            <v>1857</v>
          </cell>
          <cell r="K3408" t="str">
            <v>201602151421097</v>
          </cell>
          <cell r="M3408" t="str">
            <v>双黄连口服液10ml*10支</v>
          </cell>
        </row>
        <row r="3409">
          <cell r="E3409" t="str">
            <v>0020050090SJZY0001</v>
          </cell>
          <cell r="H3409" t="str">
            <v>济生堂昌盛店</v>
          </cell>
          <cell r="J3409" t="str">
            <v>1857</v>
          </cell>
          <cell r="K3409" t="str">
            <v>201602151421097</v>
          </cell>
          <cell r="M3409" t="str">
            <v>双黄连口服液10ml*10支</v>
          </cell>
        </row>
        <row r="3410">
          <cell r="E3410" t="str">
            <v>0020050090SJZY0001</v>
          </cell>
          <cell r="H3410" t="str">
            <v>济生堂金海店</v>
          </cell>
          <cell r="J3410" t="str">
            <v>1857</v>
          </cell>
          <cell r="K3410" t="str">
            <v>201602151421097</v>
          </cell>
          <cell r="M3410" t="str">
            <v>双黄连口服液10ml*10支</v>
          </cell>
        </row>
        <row r="3411">
          <cell r="E3411" t="str">
            <v>0020050090SJZY0001</v>
          </cell>
          <cell r="H3411" t="str">
            <v>济生堂龙居店</v>
          </cell>
          <cell r="J3411" t="str">
            <v>1857</v>
          </cell>
          <cell r="K3411" t="str">
            <v>201602151421097</v>
          </cell>
          <cell r="M3411" t="str">
            <v>双黄连口服液10ml*10支</v>
          </cell>
        </row>
        <row r="3412">
          <cell r="E3412" t="str">
            <v>0020050090SJZY0001</v>
          </cell>
          <cell r="H3412" t="str">
            <v>济生堂金康店</v>
          </cell>
          <cell r="J3412" t="str">
            <v>1857</v>
          </cell>
          <cell r="K3412" t="str">
            <v>201602151421097</v>
          </cell>
          <cell r="M3412" t="str">
            <v>双黄连口服液10ml*10支</v>
          </cell>
        </row>
        <row r="3413">
          <cell r="E3413" t="str">
            <v>0020050090SJZY0001</v>
          </cell>
          <cell r="H3413" t="str">
            <v>济生堂富国店</v>
          </cell>
          <cell r="J3413" t="str">
            <v>1857</v>
          </cell>
          <cell r="K3413" t="str">
            <v>201602151421097</v>
          </cell>
          <cell r="M3413" t="str">
            <v>双黄连口服液10ml*10支</v>
          </cell>
        </row>
        <row r="3414">
          <cell r="E3414" t="str">
            <v>0020050090SJZY0001</v>
          </cell>
          <cell r="H3414" t="str">
            <v>济生堂明珠店</v>
          </cell>
          <cell r="J3414" t="str">
            <v>1857</v>
          </cell>
          <cell r="K3414" t="str">
            <v>201602151421097</v>
          </cell>
          <cell r="M3414" t="str">
            <v>双黄连口服液10ml*10支</v>
          </cell>
        </row>
        <row r="3415">
          <cell r="E3415" t="str">
            <v>0020020020ZYLC0010</v>
          </cell>
          <cell r="H3415" t="str">
            <v>济生堂富源店</v>
          </cell>
          <cell r="J3415" t="str">
            <v>1857</v>
          </cell>
          <cell r="K3415" t="str">
            <v>201602151421097</v>
          </cell>
          <cell r="M3415" t="str">
            <v>颠茄磺苄啶片   泻痢停10片/瓶</v>
          </cell>
        </row>
        <row r="3416">
          <cell r="E3416" t="str">
            <v>0020070000ZYLC0052</v>
          </cell>
          <cell r="H3416" t="str">
            <v>济生堂中心店</v>
          </cell>
          <cell r="J3416" t="str">
            <v>1857</v>
          </cell>
          <cell r="K3416" t="str">
            <v>201602151421097</v>
          </cell>
          <cell r="M3416" t="str">
            <v>钙加锌口服液12支</v>
          </cell>
        </row>
        <row r="3417">
          <cell r="E3417" t="str">
            <v>0020070000ZYLC0052</v>
          </cell>
          <cell r="H3417" t="str">
            <v>济生堂富桥店</v>
          </cell>
          <cell r="J3417" t="str">
            <v>1857</v>
          </cell>
          <cell r="K3417" t="str">
            <v>201602151421097</v>
          </cell>
          <cell r="M3417" t="str">
            <v>钙加锌口服液12支</v>
          </cell>
        </row>
        <row r="3418">
          <cell r="E3418" t="str">
            <v>0020070000ZYLC0052</v>
          </cell>
          <cell r="H3418" t="str">
            <v>济生堂富城店</v>
          </cell>
          <cell r="J3418" t="str">
            <v>1857</v>
          </cell>
          <cell r="K3418" t="str">
            <v>201602151421097</v>
          </cell>
          <cell r="M3418" t="str">
            <v>钙加锌口服液12支</v>
          </cell>
        </row>
        <row r="3419">
          <cell r="E3419" t="str">
            <v>0020070000ZYLC0052</v>
          </cell>
          <cell r="H3419" t="str">
            <v>济生堂清华园店</v>
          </cell>
          <cell r="J3419" t="str">
            <v>1857</v>
          </cell>
          <cell r="K3419" t="str">
            <v>201602151421097</v>
          </cell>
          <cell r="M3419" t="str">
            <v>钙加锌口服液12支</v>
          </cell>
        </row>
        <row r="3420">
          <cell r="E3420" t="str">
            <v>0020070000ZYLC0052</v>
          </cell>
          <cell r="H3420" t="str">
            <v>济生堂龙居店</v>
          </cell>
          <cell r="J3420" t="str">
            <v>1857</v>
          </cell>
          <cell r="K3420" t="str">
            <v>201602151421097</v>
          </cell>
          <cell r="M3420" t="str">
            <v>钙加锌口服液12支</v>
          </cell>
        </row>
        <row r="3421">
          <cell r="E3421" t="str">
            <v>0020070000ZYLC0052</v>
          </cell>
          <cell r="H3421" t="str">
            <v>济生堂冯家二店</v>
          </cell>
          <cell r="J3421" t="str">
            <v>1857</v>
          </cell>
          <cell r="K3421" t="str">
            <v>201602151421097</v>
          </cell>
          <cell r="M3421" t="str">
            <v>钙加锌口服液12支</v>
          </cell>
        </row>
        <row r="3422">
          <cell r="E3422" t="str">
            <v>0020070000ZYLC0052</v>
          </cell>
          <cell r="H3422" t="str">
            <v>济生堂冯家店</v>
          </cell>
          <cell r="J3422" t="str">
            <v>1857</v>
          </cell>
          <cell r="K3422" t="str">
            <v>201602151421097</v>
          </cell>
          <cell r="M3422" t="str">
            <v>钙加锌口服液12支</v>
          </cell>
        </row>
        <row r="3423">
          <cell r="E3423" t="str">
            <v>0020020021ZYLC0012</v>
          </cell>
          <cell r="H3423" t="str">
            <v>济生堂富城店</v>
          </cell>
          <cell r="J3423" t="str">
            <v>1857</v>
          </cell>
          <cell r="K3423" t="str">
            <v>201602151421097</v>
          </cell>
          <cell r="M3423" t="str">
            <v>阿奇霉素分散片 三精0.25g*6片</v>
          </cell>
        </row>
        <row r="3424">
          <cell r="E3424" t="str">
            <v>0020020021ZYLC0012</v>
          </cell>
          <cell r="H3424" t="str">
            <v>济生堂中心店</v>
          </cell>
          <cell r="J3424" t="str">
            <v>1857</v>
          </cell>
          <cell r="K3424" t="str">
            <v>201602151421097</v>
          </cell>
          <cell r="M3424" t="str">
            <v>阿奇霉素分散片 三精0.25g*6片</v>
          </cell>
        </row>
        <row r="3425">
          <cell r="E3425" t="str">
            <v>0020020021ZYLC0004</v>
          </cell>
          <cell r="H3425" t="str">
            <v>济生堂中心店</v>
          </cell>
          <cell r="J3425" t="str">
            <v>1857</v>
          </cell>
          <cell r="K3425" t="str">
            <v>201602151421097</v>
          </cell>
          <cell r="M3425" t="str">
            <v>罗红霉素分散片 严迪75mg*12片</v>
          </cell>
        </row>
        <row r="3426">
          <cell r="E3426" t="str">
            <v>0020020021ZYLC0004</v>
          </cell>
          <cell r="H3426" t="str">
            <v>济生堂下洼店</v>
          </cell>
          <cell r="J3426" t="str">
            <v>1857</v>
          </cell>
          <cell r="K3426" t="str">
            <v>201602151421097</v>
          </cell>
          <cell r="M3426" t="str">
            <v>罗红霉素分散片 严迪75mg*12片</v>
          </cell>
        </row>
        <row r="3427">
          <cell r="E3427" t="str">
            <v>0020020021ZYLC0004</v>
          </cell>
          <cell r="H3427" t="str">
            <v>济生堂富国店</v>
          </cell>
          <cell r="J3427" t="str">
            <v>1857</v>
          </cell>
          <cell r="K3427" t="str">
            <v>201602151421097</v>
          </cell>
          <cell r="M3427" t="str">
            <v>罗红霉素分散片 严迪75mg*12片</v>
          </cell>
        </row>
        <row r="3428">
          <cell r="E3428" t="str">
            <v>0020020021ZYLC0004</v>
          </cell>
          <cell r="H3428" t="str">
            <v>济生堂冯家二店</v>
          </cell>
          <cell r="J3428" t="str">
            <v>1857</v>
          </cell>
          <cell r="K3428" t="str">
            <v>201602151421097</v>
          </cell>
          <cell r="M3428" t="str">
            <v>罗红霉素分散片 严迪75mg*12片</v>
          </cell>
        </row>
        <row r="3429">
          <cell r="E3429" t="str">
            <v>0020020021ZYLC0004</v>
          </cell>
          <cell r="H3429" t="str">
            <v>济生堂同济店</v>
          </cell>
          <cell r="J3429" t="str">
            <v>1857</v>
          </cell>
          <cell r="K3429" t="str">
            <v>201602151421097</v>
          </cell>
          <cell r="M3429" t="str">
            <v>罗红霉素分散片 严迪75mg*12片</v>
          </cell>
        </row>
        <row r="3430">
          <cell r="E3430" t="str">
            <v>0020020021ZYLC0004</v>
          </cell>
          <cell r="H3430" t="str">
            <v>济生堂富桥店</v>
          </cell>
          <cell r="J3430" t="str">
            <v>1857</v>
          </cell>
          <cell r="K3430" t="str">
            <v>201602151421097</v>
          </cell>
          <cell r="M3430" t="str">
            <v>罗红霉素分散片 严迪75mg*12片</v>
          </cell>
        </row>
        <row r="3431">
          <cell r="E3431" t="str">
            <v>0020020021ZYLC0004</v>
          </cell>
          <cell r="H3431" t="str">
            <v>济生堂影院店</v>
          </cell>
          <cell r="J3431" t="str">
            <v>1857</v>
          </cell>
          <cell r="K3431" t="str">
            <v>201602151421097</v>
          </cell>
          <cell r="M3431" t="str">
            <v>罗红霉素分散片 严迪75mg*12片</v>
          </cell>
        </row>
        <row r="3432">
          <cell r="E3432" t="str">
            <v>0020020021ZYLC0004</v>
          </cell>
          <cell r="H3432" t="str">
            <v>济生堂冯家店</v>
          </cell>
          <cell r="J3432" t="str">
            <v>1857</v>
          </cell>
          <cell r="K3432" t="str">
            <v>201602151421097</v>
          </cell>
          <cell r="M3432" t="str">
            <v>罗红霉素分散片 严迪75mg*12片</v>
          </cell>
        </row>
        <row r="3433">
          <cell r="E3433" t="str">
            <v>0020020021ZYLC0004</v>
          </cell>
          <cell r="H3433" t="str">
            <v>济生堂富国店</v>
          </cell>
          <cell r="J3433" t="str">
            <v>1857</v>
          </cell>
          <cell r="K3433" t="str">
            <v>201602151421097</v>
          </cell>
          <cell r="M3433" t="str">
            <v>罗红霉素分散片 严迪75mg*12片</v>
          </cell>
        </row>
        <row r="3434">
          <cell r="E3434" t="str">
            <v>0020070000ZYLC0001</v>
          </cell>
          <cell r="H3434" t="str">
            <v>济生堂冯家二店</v>
          </cell>
          <cell r="J3434" t="str">
            <v>1857</v>
          </cell>
          <cell r="K3434" t="str">
            <v>201602151421097</v>
          </cell>
          <cell r="M3434" t="str">
            <v>新盖中盖高钙片36片</v>
          </cell>
        </row>
        <row r="3435">
          <cell r="E3435" t="str">
            <v>0020070000ZYLC0001</v>
          </cell>
          <cell r="H3435" t="str">
            <v>济生堂昌盛店</v>
          </cell>
          <cell r="J3435" t="str">
            <v>1857</v>
          </cell>
          <cell r="K3435" t="str">
            <v>201602151421097</v>
          </cell>
          <cell r="M3435" t="str">
            <v>新盖中盖高钙片36片</v>
          </cell>
        </row>
        <row r="3436">
          <cell r="E3436" t="str">
            <v>0020070000ZYLC0001</v>
          </cell>
          <cell r="H3436" t="str">
            <v>济生堂新合作店</v>
          </cell>
          <cell r="J3436" t="str">
            <v>1857</v>
          </cell>
          <cell r="K3436" t="str">
            <v>201602151421097</v>
          </cell>
          <cell r="M3436" t="str">
            <v>新盖中盖高钙片36片</v>
          </cell>
        </row>
        <row r="3437">
          <cell r="E3437" t="str">
            <v>0020070000ZYLC0001</v>
          </cell>
          <cell r="H3437" t="str">
            <v>济生堂环宇店</v>
          </cell>
          <cell r="J3437" t="str">
            <v>1857</v>
          </cell>
          <cell r="K3437" t="str">
            <v>201602151421097</v>
          </cell>
          <cell r="M3437" t="str">
            <v>新盖中盖高钙片36片</v>
          </cell>
        </row>
        <row r="3438">
          <cell r="E3438" t="str">
            <v>0020070000ZYLC0001</v>
          </cell>
          <cell r="H3438" t="str">
            <v>济生堂金海店</v>
          </cell>
          <cell r="J3438" t="str">
            <v>1857</v>
          </cell>
          <cell r="K3438" t="str">
            <v>201602151421097</v>
          </cell>
          <cell r="M3438" t="str">
            <v>新盖中盖高钙片36片</v>
          </cell>
        </row>
        <row r="3439">
          <cell r="E3439" t="str">
            <v>0020070000ZYLC0001</v>
          </cell>
          <cell r="H3439" t="str">
            <v>济生堂富国店</v>
          </cell>
          <cell r="J3439" t="str">
            <v>1857</v>
          </cell>
          <cell r="K3439" t="str">
            <v>201602151421097</v>
          </cell>
          <cell r="M3439" t="str">
            <v>新盖中盖高钙片36片</v>
          </cell>
        </row>
        <row r="3440">
          <cell r="E3440" t="str">
            <v>0020070000SJZY0001</v>
          </cell>
          <cell r="H3440" t="str">
            <v>济生堂富桥店</v>
          </cell>
          <cell r="J3440" t="str">
            <v>1857</v>
          </cell>
          <cell r="K3440" t="str">
            <v>201602151421097</v>
          </cell>
          <cell r="M3440" t="str">
            <v>葡萄糖酸锌口服液 三精12支</v>
          </cell>
        </row>
        <row r="3441">
          <cell r="E3441" t="str">
            <v>0020070000SJZY0001</v>
          </cell>
          <cell r="H3441" t="str">
            <v>济生堂影院店</v>
          </cell>
          <cell r="J3441" t="str">
            <v>1857</v>
          </cell>
          <cell r="K3441" t="str">
            <v>201602151421097</v>
          </cell>
          <cell r="M3441" t="str">
            <v>葡萄糖酸锌口服液 三精12支</v>
          </cell>
        </row>
        <row r="3442">
          <cell r="E3442" t="str">
            <v>0020070000SJZY0001</v>
          </cell>
          <cell r="H3442" t="str">
            <v>济生堂富城店</v>
          </cell>
          <cell r="J3442" t="str">
            <v>1857</v>
          </cell>
          <cell r="K3442" t="str">
            <v>201602151421097</v>
          </cell>
          <cell r="M3442" t="str">
            <v>葡萄糖酸锌口服液 三精12支</v>
          </cell>
        </row>
        <row r="3443">
          <cell r="E3443" t="str">
            <v>0020070000SJZY0001</v>
          </cell>
          <cell r="H3443" t="str">
            <v>济生堂同济店</v>
          </cell>
          <cell r="J3443" t="str">
            <v>1857</v>
          </cell>
          <cell r="K3443" t="str">
            <v>201602151421097</v>
          </cell>
          <cell r="M3443" t="str">
            <v>葡萄糖酸锌口服液 三精12支</v>
          </cell>
        </row>
        <row r="3444">
          <cell r="E3444" t="str">
            <v>0020070000SJZY0001</v>
          </cell>
          <cell r="H3444" t="str">
            <v>济生堂新华店</v>
          </cell>
          <cell r="J3444" t="str">
            <v>1857</v>
          </cell>
          <cell r="K3444" t="str">
            <v>201602151421097</v>
          </cell>
          <cell r="M3444" t="str">
            <v>葡萄糖酸锌口服液 三精12支</v>
          </cell>
        </row>
        <row r="3445">
          <cell r="E3445" t="str">
            <v>0020070000SJZY0001</v>
          </cell>
          <cell r="H3445" t="str">
            <v>济生堂体育场店</v>
          </cell>
          <cell r="J3445" t="str">
            <v>1857</v>
          </cell>
          <cell r="K3445" t="str">
            <v>201602151421097</v>
          </cell>
          <cell r="M3445" t="str">
            <v>葡萄糖酸锌口服液 三精12支</v>
          </cell>
        </row>
        <row r="3446">
          <cell r="E3446" t="str">
            <v>0020070000SJZY0001</v>
          </cell>
          <cell r="H3446" t="str">
            <v>济生堂金海店</v>
          </cell>
          <cell r="J3446" t="str">
            <v>1857</v>
          </cell>
          <cell r="K3446" t="str">
            <v>201602151421097</v>
          </cell>
          <cell r="M3446" t="str">
            <v>葡萄糖酸锌口服液 三精12支</v>
          </cell>
        </row>
        <row r="3447">
          <cell r="E3447" t="str">
            <v>0020070000SJZY0001</v>
          </cell>
          <cell r="H3447" t="str">
            <v>济生堂永丰店</v>
          </cell>
          <cell r="J3447" t="str">
            <v>1857</v>
          </cell>
          <cell r="K3447" t="str">
            <v>201602151421097</v>
          </cell>
          <cell r="M3447" t="str">
            <v>葡萄糖酸锌口服液 三精12支</v>
          </cell>
        </row>
        <row r="3448">
          <cell r="E3448" t="str">
            <v>0020070000SJZY0001</v>
          </cell>
          <cell r="H3448" t="str">
            <v>济生堂广场店</v>
          </cell>
          <cell r="J3448" t="str">
            <v>1857</v>
          </cell>
          <cell r="K3448" t="str">
            <v>201602151421097</v>
          </cell>
          <cell r="M3448" t="str">
            <v>葡萄糖酸锌口服液 三精12支</v>
          </cell>
        </row>
        <row r="3449">
          <cell r="E3449" t="str">
            <v>0020070000SJZY0001</v>
          </cell>
          <cell r="H3449" t="str">
            <v>济生堂富国店</v>
          </cell>
          <cell r="J3449" t="str">
            <v>1857</v>
          </cell>
          <cell r="K3449" t="str">
            <v>201602151421097</v>
          </cell>
          <cell r="M3449" t="str">
            <v>葡萄糖酸锌口服液 三精12支</v>
          </cell>
        </row>
        <row r="3450">
          <cell r="E3450" t="str">
            <v>0020070000SJZY0001</v>
          </cell>
          <cell r="H3450" t="str">
            <v>济生堂龙居店</v>
          </cell>
          <cell r="J3450" t="str">
            <v>1857</v>
          </cell>
          <cell r="K3450" t="str">
            <v>201602151421097</v>
          </cell>
          <cell r="M3450" t="str">
            <v>葡萄糖酸锌口服液 三精12支</v>
          </cell>
        </row>
        <row r="3451">
          <cell r="E3451" t="str">
            <v>0020070000SJZY0001</v>
          </cell>
          <cell r="H3451" t="str">
            <v>济生堂昌盛店</v>
          </cell>
          <cell r="J3451" t="str">
            <v>1857</v>
          </cell>
          <cell r="K3451" t="str">
            <v>201602151421097</v>
          </cell>
          <cell r="M3451" t="str">
            <v>葡萄糖酸锌口服液 三精12支</v>
          </cell>
        </row>
        <row r="3452">
          <cell r="E3452" t="str">
            <v>0020070000SJZY0001</v>
          </cell>
          <cell r="H3452" t="str">
            <v>济生堂中心店</v>
          </cell>
          <cell r="J3452" t="str">
            <v>1857</v>
          </cell>
          <cell r="K3452" t="str">
            <v>201602151421097</v>
          </cell>
          <cell r="M3452" t="str">
            <v>葡萄糖酸锌口服液 三精12支</v>
          </cell>
        </row>
        <row r="3453">
          <cell r="E3453" t="str">
            <v>0020070000SJZY0001</v>
          </cell>
          <cell r="H3453" t="str">
            <v>济生堂下洼店</v>
          </cell>
          <cell r="J3453" t="str">
            <v>1857</v>
          </cell>
          <cell r="K3453" t="str">
            <v>201602151421097</v>
          </cell>
          <cell r="M3453" t="str">
            <v>葡萄糖酸锌口服液 三精12支</v>
          </cell>
        </row>
        <row r="3454">
          <cell r="E3454" t="str">
            <v>0020070000SJZY0001</v>
          </cell>
          <cell r="H3454" t="str">
            <v>济生堂清华园店</v>
          </cell>
          <cell r="J3454" t="str">
            <v>1857</v>
          </cell>
          <cell r="K3454" t="str">
            <v>201602151421097</v>
          </cell>
          <cell r="M3454" t="str">
            <v>葡萄糖酸锌口服液 三精12支</v>
          </cell>
        </row>
        <row r="3455">
          <cell r="E3455" t="str">
            <v>0020070000SJZY0001</v>
          </cell>
          <cell r="H3455" t="str">
            <v>济生堂济仁堂店</v>
          </cell>
          <cell r="J3455" t="str">
            <v>1857</v>
          </cell>
          <cell r="K3455" t="str">
            <v>201602151421097</v>
          </cell>
          <cell r="M3455" t="str">
            <v>葡萄糖酸锌口服液 三精12支</v>
          </cell>
        </row>
        <row r="3456">
          <cell r="E3456" t="str">
            <v>0020070000SJZY0001</v>
          </cell>
          <cell r="H3456" t="str">
            <v>济生堂冯家店</v>
          </cell>
          <cell r="J3456" t="str">
            <v>1857</v>
          </cell>
          <cell r="K3456" t="str">
            <v>201602151421097</v>
          </cell>
          <cell r="M3456" t="str">
            <v>葡萄糖酸锌口服液 三精12支</v>
          </cell>
        </row>
        <row r="3457">
          <cell r="E3457" t="str">
            <v>0020070000SJZY0001</v>
          </cell>
          <cell r="H3457" t="str">
            <v>济生堂环宇店</v>
          </cell>
          <cell r="J3457" t="str">
            <v>1857</v>
          </cell>
          <cell r="K3457" t="str">
            <v>201602151421097</v>
          </cell>
          <cell r="M3457" t="str">
            <v>葡萄糖酸锌口服液 三精12支</v>
          </cell>
        </row>
        <row r="3458">
          <cell r="E3458" t="str">
            <v>0020070000SJZY0001</v>
          </cell>
          <cell r="H3458" t="str">
            <v>济生堂金康店</v>
          </cell>
          <cell r="J3458" t="str">
            <v>1857</v>
          </cell>
          <cell r="K3458" t="str">
            <v>201602151421097</v>
          </cell>
          <cell r="M3458" t="str">
            <v>葡萄糖酸锌口服液 三精12支</v>
          </cell>
        </row>
        <row r="3459">
          <cell r="E3459" t="str">
            <v>0020070000SJZY0001</v>
          </cell>
          <cell r="H3459" t="str">
            <v>济生堂王见南店</v>
          </cell>
          <cell r="J3459" t="str">
            <v>1857</v>
          </cell>
          <cell r="K3459" t="str">
            <v>201602151421097</v>
          </cell>
          <cell r="M3459" t="str">
            <v>葡萄糖酸锌口服液 三精12支</v>
          </cell>
        </row>
        <row r="3460">
          <cell r="E3460" t="str">
            <v>0020070000SJZY0001</v>
          </cell>
          <cell r="H3460" t="str">
            <v>济生堂冯家二店</v>
          </cell>
          <cell r="J3460" t="str">
            <v>1857</v>
          </cell>
          <cell r="K3460" t="str">
            <v>201602151421097</v>
          </cell>
          <cell r="M3460" t="str">
            <v>葡萄糖酸锌口服液 三精12支</v>
          </cell>
        </row>
        <row r="3461">
          <cell r="E3461" t="str">
            <v>0020070000ZYLC0051</v>
          </cell>
          <cell r="H3461" t="str">
            <v>济生堂永丰店</v>
          </cell>
          <cell r="J3461" t="str">
            <v>1857</v>
          </cell>
          <cell r="K3461" t="str">
            <v>201602151421097</v>
          </cell>
          <cell r="M3461" t="str">
            <v>乳酸亚铁口服液（朴雪）12支</v>
          </cell>
        </row>
        <row r="3462">
          <cell r="E3462" t="str">
            <v>0020070000ZYLC0051</v>
          </cell>
          <cell r="H3462" t="str">
            <v>济生堂影院店</v>
          </cell>
          <cell r="J3462" t="str">
            <v>1857</v>
          </cell>
          <cell r="K3462" t="str">
            <v>201602151421097</v>
          </cell>
          <cell r="M3462" t="str">
            <v>乳酸亚铁口服液（朴雪）12支</v>
          </cell>
        </row>
        <row r="3463">
          <cell r="E3463" t="str">
            <v>0020070000ZYLC0051</v>
          </cell>
          <cell r="H3463" t="str">
            <v>济生堂广场店</v>
          </cell>
          <cell r="J3463" t="str">
            <v>1857</v>
          </cell>
          <cell r="K3463" t="str">
            <v>201602151421097</v>
          </cell>
          <cell r="M3463" t="str">
            <v>乳酸亚铁口服液（朴雪）12支</v>
          </cell>
        </row>
        <row r="3464">
          <cell r="E3464" t="str">
            <v>0020070000ZYLC0051</v>
          </cell>
          <cell r="H3464" t="str">
            <v>济生堂同济店</v>
          </cell>
          <cell r="J3464" t="str">
            <v>1857</v>
          </cell>
          <cell r="K3464" t="str">
            <v>201602151421097</v>
          </cell>
          <cell r="M3464" t="str">
            <v>乳酸亚铁口服液（朴雪）12支</v>
          </cell>
        </row>
        <row r="3465">
          <cell r="E3465" t="str">
            <v>0020070000ZYLC0051</v>
          </cell>
          <cell r="H3465" t="str">
            <v>济生堂中心店</v>
          </cell>
          <cell r="J3465" t="str">
            <v>1857</v>
          </cell>
          <cell r="K3465" t="str">
            <v>201602151421097</v>
          </cell>
          <cell r="M3465" t="str">
            <v>乳酸亚铁口服液（朴雪）12支</v>
          </cell>
        </row>
        <row r="3466">
          <cell r="E3466" t="str">
            <v>0020040070ZYEC0005</v>
          </cell>
          <cell r="H3466" t="str">
            <v>济生堂永丰店</v>
          </cell>
          <cell r="J3466" t="str">
            <v>1857</v>
          </cell>
          <cell r="K3466" t="str">
            <v>201602151421097</v>
          </cell>
          <cell r="M3466" t="str">
            <v>小儿百部止咳糖浆100ml</v>
          </cell>
        </row>
        <row r="3467">
          <cell r="E3467" t="str">
            <v>0020040070ZYEC0005</v>
          </cell>
          <cell r="H3467" t="str">
            <v>济生堂环宇店</v>
          </cell>
          <cell r="J3467" t="str">
            <v>1857</v>
          </cell>
          <cell r="K3467" t="str">
            <v>201602151421097</v>
          </cell>
          <cell r="M3467" t="str">
            <v>小儿百部止咳糖浆100ml</v>
          </cell>
        </row>
        <row r="3468">
          <cell r="E3468" t="str">
            <v>0020040070ZYEC0005</v>
          </cell>
          <cell r="H3468" t="str">
            <v>济生堂新合作店</v>
          </cell>
          <cell r="J3468" t="str">
            <v>1857</v>
          </cell>
          <cell r="K3468" t="str">
            <v>201602151421097</v>
          </cell>
          <cell r="M3468" t="str">
            <v>小儿百部止咳糖浆100ml</v>
          </cell>
        </row>
        <row r="3469">
          <cell r="E3469" t="str">
            <v>0020040070ZYEC0005</v>
          </cell>
          <cell r="H3469" t="str">
            <v>济生堂金康店</v>
          </cell>
          <cell r="J3469" t="str">
            <v>1857</v>
          </cell>
          <cell r="K3469" t="str">
            <v>201602151421097</v>
          </cell>
          <cell r="M3469" t="str">
            <v>小儿百部止咳糖浆100ml</v>
          </cell>
        </row>
        <row r="3470">
          <cell r="E3470" t="str">
            <v>0020040070ZYEC0005</v>
          </cell>
          <cell r="H3470" t="str">
            <v>济生堂富国店</v>
          </cell>
          <cell r="J3470" t="str">
            <v>1857</v>
          </cell>
          <cell r="K3470" t="str">
            <v>201602151421097</v>
          </cell>
          <cell r="M3470" t="str">
            <v>小儿百部止咳糖浆100ml</v>
          </cell>
        </row>
        <row r="3471">
          <cell r="E3471" t="str">
            <v>0020040070ZYEC0005</v>
          </cell>
          <cell r="H3471" t="str">
            <v>济生堂新华店</v>
          </cell>
          <cell r="J3471" t="str">
            <v>1857</v>
          </cell>
          <cell r="K3471" t="str">
            <v>201602151421097</v>
          </cell>
          <cell r="M3471" t="str">
            <v>小儿百部止咳糖浆100ml</v>
          </cell>
        </row>
        <row r="3472">
          <cell r="E3472" t="str">
            <v>0020040070ZYEC0005</v>
          </cell>
          <cell r="H3472" t="str">
            <v>济生堂济仁堂店</v>
          </cell>
          <cell r="J3472" t="str">
            <v>1857</v>
          </cell>
          <cell r="K3472" t="str">
            <v>201602151421097</v>
          </cell>
          <cell r="M3472" t="str">
            <v>小儿百部止咳糖浆100ml</v>
          </cell>
        </row>
        <row r="3473">
          <cell r="E3473" t="str">
            <v>0020020020ZYLC0003</v>
          </cell>
          <cell r="H3473" t="str">
            <v>济生堂环宇店</v>
          </cell>
          <cell r="J3473" t="str">
            <v>1857</v>
          </cell>
          <cell r="K3473" t="str">
            <v>201602151421097</v>
          </cell>
          <cell r="M3473" t="str">
            <v>颠茄磺苄啶片 泻痢停12p</v>
          </cell>
        </row>
        <row r="3474">
          <cell r="E3474" t="str">
            <v>0020020020ZYLC0003</v>
          </cell>
          <cell r="H3474" t="str">
            <v>济生堂冯家店</v>
          </cell>
          <cell r="J3474" t="str">
            <v>1857</v>
          </cell>
          <cell r="K3474" t="str">
            <v>201602151421097</v>
          </cell>
          <cell r="M3474" t="str">
            <v>颠茄磺苄啶片 泻痢停12p</v>
          </cell>
        </row>
        <row r="3475">
          <cell r="E3475" t="str">
            <v>0020020020ZYLC0003</v>
          </cell>
          <cell r="H3475" t="str">
            <v>济生堂富源店</v>
          </cell>
          <cell r="J3475" t="str">
            <v>1857</v>
          </cell>
          <cell r="K3475" t="str">
            <v>201602151421097</v>
          </cell>
          <cell r="M3475" t="str">
            <v>颠茄磺苄啶片 泻痢停12p</v>
          </cell>
        </row>
        <row r="3476">
          <cell r="E3476" t="str">
            <v>0020030040SHYT0010</v>
          </cell>
          <cell r="H3476" t="str">
            <v>济生堂富国店</v>
          </cell>
          <cell r="J3476" t="str">
            <v>1857</v>
          </cell>
          <cell r="K3476" t="str">
            <v>201602151421097</v>
          </cell>
          <cell r="M3476" t="str">
            <v>布洛芬颗粒 小安瑞克0.2g*12袋</v>
          </cell>
        </row>
        <row r="3477">
          <cell r="E3477" t="str">
            <v>0020070000ZYLC0003</v>
          </cell>
          <cell r="H3477" t="str">
            <v>济生堂富城店</v>
          </cell>
          <cell r="J3477" t="str">
            <v>1857</v>
          </cell>
          <cell r="K3477" t="str">
            <v>201602151421097</v>
          </cell>
          <cell r="M3477" t="str">
            <v>新盖中盖牌（儿童钙片）1.75g*36片</v>
          </cell>
        </row>
        <row r="3478">
          <cell r="E3478" t="str">
            <v>0020070000ZYLC0003</v>
          </cell>
          <cell r="H3478" t="str">
            <v>济生堂清华园店</v>
          </cell>
          <cell r="J3478" t="str">
            <v>1857</v>
          </cell>
          <cell r="K3478" t="str">
            <v>201602151421097</v>
          </cell>
          <cell r="M3478" t="str">
            <v>新盖中盖牌（儿童钙片）1.75g*36片</v>
          </cell>
        </row>
        <row r="3479">
          <cell r="E3479" t="str">
            <v>0020070000ZYLC0003</v>
          </cell>
          <cell r="H3479" t="str">
            <v>济生堂下洼店</v>
          </cell>
          <cell r="J3479" t="str">
            <v>1857</v>
          </cell>
          <cell r="K3479" t="str">
            <v>201602151421097</v>
          </cell>
          <cell r="M3479" t="str">
            <v>新盖中盖牌（儿童钙片）1.75g*36片</v>
          </cell>
        </row>
        <row r="3480">
          <cell r="E3480" t="str">
            <v>0020070000ZYLC0003</v>
          </cell>
          <cell r="H3480" t="str">
            <v>济生堂明珠店</v>
          </cell>
          <cell r="J3480" t="str">
            <v>1857</v>
          </cell>
          <cell r="K3480" t="str">
            <v>201602151421097</v>
          </cell>
          <cell r="M3480" t="str">
            <v>新盖中盖牌（儿童钙片）1.75g*36片</v>
          </cell>
        </row>
        <row r="3481">
          <cell r="E3481" t="str">
            <v>0020050090ZYEC0005</v>
          </cell>
          <cell r="H3481" t="str">
            <v>济生堂昌盛店</v>
          </cell>
          <cell r="J3481" t="str">
            <v>1857</v>
          </cell>
          <cell r="K3481" t="str">
            <v>201602151421097</v>
          </cell>
          <cell r="M3481" t="str">
            <v>清热解毒口服液10ml*10支</v>
          </cell>
        </row>
        <row r="3482">
          <cell r="E3482" t="str">
            <v>0020050090ZYEC0005</v>
          </cell>
          <cell r="H3482" t="str">
            <v>济生堂永丰店</v>
          </cell>
          <cell r="J3482" t="str">
            <v>1857</v>
          </cell>
          <cell r="K3482" t="str">
            <v>201602151421097</v>
          </cell>
          <cell r="M3482" t="str">
            <v>清热解毒口服液10ml*10支</v>
          </cell>
        </row>
        <row r="3483">
          <cell r="E3483" t="str">
            <v>0020020020ZYZC0359</v>
          </cell>
          <cell r="H3483" t="str">
            <v>济生堂富城店</v>
          </cell>
          <cell r="J3483" t="str">
            <v>1857</v>
          </cell>
          <cell r="K3483" t="str">
            <v>201602151421097</v>
          </cell>
          <cell r="M3483" t="str">
            <v>青霉素V钾片0.236g*24p</v>
          </cell>
        </row>
        <row r="3484">
          <cell r="E3484" t="str">
            <v>0020020021ZYZC0341</v>
          </cell>
          <cell r="H3484" t="str">
            <v>济生堂富桥店</v>
          </cell>
          <cell r="J3484" t="str">
            <v>1857</v>
          </cell>
          <cell r="K3484" t="str">
            <v>201602151421097</v>
          </cell>
          <cell r="M3484" t="str">
            <v>阿莫西林克拉维酸钾分散片2285mg*12p</v>
          </cell>
        </row>
        <row r="3485">
          <cell r="E3485" t="str">
            <v>0020020021ZYZC0341</v>
          </cell>
          <cell r="H3485" t="str">
            <v>济生堂影院店</v>
          </cell>
          <cell r="J3485" t="str">
            <v>1857</v>
          </cell>
          <cell r="K3485" t="str">
            <v>201602151421097</v>
          </cell>
          <cell r="M3485" t="str">
            <v>阿莫西林克拉维酸钾分散片2285mg*12p</v>
          </cell>
        </row>
        <row r="3486">
          <cell r="E3486" t="str">
            <v>0020020021ZYZC0341</v>
          </cell>
          <cell r="H3486" t="str">
            <v>济生堂富城店</v>
          </cell>
          <cell r="J3486" t="str">
            <v>1857</v>
          </cell>
          <cell r="K3486" t="str">
            <v>201602151421097</v>
          </cell>
          <cell r="M3486" t="str">
            <v>阿莫西林克拉维酸钾分散片2285mg*12p</v>
          </cell>
        </row>
        <row r="3487">
          <cell r="E3487" t="str">
            <v>0020070000SJZY0001</v>
          </cell>
          <cell r="H3487" t="str">
            <v>圣济堂医药连锁有限公司</v>
          </cell>
          <cell r="J3487" t="str">
            <v>1853</v>
          </cell>
          <cell r="K3487" t="str">
            <v>201602151421097</v>
          </cell>
          <cell r="M3487" t="str">
            <v>葡萄糖酸锌口服溶液10ml*12支</v>
          </cell>
        </row>
        <row r="3488">
          <cell r="E3488" t="str">
            <v>0020070001ZYZC0383</v>
          </cell>
          <cell r="H3488" t="str">
            <v>杜店周双进诊所</v>
          </cell>
          <cell r="J3488" t="str">
            <v>1853</v>
          </cell>
          <cell r="K3488" t="str">
            <v>201602151421097</v>
          </cell>
          <cell r="M3488" t="str">
            <v>哈药牌钙铁锌口服液10ml*10支</v>
          </cell>
        </row>
        <row r="3489">
          <cell r="E3489" t="str">
            <v>0020030020SJSC0004</v>
          </cell>
          <cell r="H3489" t="str">
            <v>山东弘旭医药连锁经营有限公司</v>
          </cell>
          <cell r="J3489" t="str">
            <v>1853</v>
          </cell>
          <cell r="K3489" t="str">
            <v>201602151421097</v>
          </cell>
          <cell r="M3489" t="str">
            <v>复方铝酸铋片50片</v>
          </cell>
        </row>
        <row r="3490">
          <cell r="E3490" t="str">
            <v>0020020021ZYLC0005</v>
          </cell>
          <cell r="H3490" t="str">
            <v>邹平园春堂医药有限公司</v>
          </cell>
          <cell r="J3490" t="str">
            <v>1859</v>
          </cell>
          <cell r="K3490" t="str">
            <v>201602151421097</v>
          </cell>
          <cell r="M3490" t="str">
            <v>罗红霉素分散片50mg*12片</v>
          </cell>
        </row>
        <row r="3491">
          <cell r="E3491" t="str">
            <v>0020020021ZYLC0011</v>
          </cell>
          <cell r="H3491" t="str">
            <v>邹平园春堂医药有限公司</v>
          </cell>
          <cell r="J3491" t="str">
            <v>1859</v>
          </cell>
          <cell r="K3491" t="str">
            <v>201602151421097</v>
          </cell>
          <cell r="M3491" t="str">
            <v>罗红霉素分散片150mg*12片</v>
          </cell>
        </row>
        <row r="3492">
          <cell r="E3492" t="str">
            <v>0020020021ZYLC0004</v>
          </cell>
          <cell r="H3492" t="str">
            <v>邹平园春堂医药有限公司</v>
          </cell>
          <cell r="J3492" t="str">
            <v>1859</v>
          </cell>
          <cell r="K3492" t="str">
            <v>201602151421097</v>
          </cell>
          <cell r="M3492" t="str">
            <v>罗红霉素分散片75mg*12片</v>
          </cell>
        </row>
        <row r="3493">
          <cell r="E3493" t="str">
            <v>0020070000SJZY0001</v>
          </cell>
          <cell r="H3493" t="str">
            <v>滨州市滨城区市东街道办事处北张卫生室</v>
          </cell>
          <cell r="J3493" t="str">
            <v>1853</v>
          </cell>
          <cell r="K3493" t="str">
            <v>201602151421097</v>
          </cell>
          <cell r="M3493" t="str">
            <v>葡萄糖酸锌口服溶液10ml*12支</v>
          </cell>
        </row>
        <row r="3494">
          <cell r="E3494" t="str">
            <v>0020030001SJZY0006</v>
          </cell>
          <cell r="H3494" t="str">
            <v>山东张氏君安医药有限公司</v>
          </cell>
          <cell r="J3494" t="str">
            <v>1853</v>
          </cell>
          <cell r="K3494" t="str">
            <v>201602151421097</v>
          </cell>
          <cell r="M3494" t="str">
            <v>葡萄糖酸钙口服溶液10ml*12支</v>
          </cell>
        </row>
        <row r="3495">
          <cell r="E3495" t="str">
            <v>0020070000SJZY0001</v>
          </cell>
          <cell r="H3495" t="str">
            <v>山东张氏君安医药有限公司</v>
          </cell>
          <cell r="J3495" t="str">
            <v>1853</v>
          </cell>
          <cell r="K3495" t="str">
            <v>201602151421097</v>
          </cell>
          <cell r="M3495" t="str">
            <v>葡萄糖酸锌口服溶液10ml*12支</v>
          </cell>
        </row>
        <row r="3496">
          <cell r="E3496" t="str">
            <v>0020040030SHYT0002</v>
          </cell>
          <cell r="H3496" t="str">
            <v>滨州市滨城区彭李街道办事处黄河社区卫生服务站</v>
          </cell>
          <cell r="J3496" t="str">
            <v>1853</v>
          </cell>
          <cell r="K3496" t="str">
            <v>201602151421097</v>
          </cell>
          <cell r="M3496" t="str">
            <v>牛黄消炎片24片</v>
          </cell>
        </row>
        <row r="3497">
          <cell r="E3497" t="str">
            <v>0020030040ZYLC0001</v>
          </cell>
          <cell r="H3497" t="str">
            <v>滨州益民堂大药房有限公司</v>
          </cell>
          <cell r="J3497" t="str">
            <v>1853</v>
          </cell>
          <cell r="K3497" t="str">
            <v>201602151421097</v>
          </cell>
          <cell r="M3497" t="str">
            <v>小儿氨酚黄那敏颗粒12袋</v>
          </cell>
        </row>
        <row r="3498">
          <cell r="E3498" t="str">
            <v>0020070000ZYLC0001</v>
          </cell>
          <cell r="H3498" t="str">
            <v>山东弘旭医药连锁经营有限公司</v>
          </cell>
          <cell r="J3498" t="str">
            <v>1853</v>
          </cell>
          <cell r="K3498" t="str">
            <v>201602151421097</v>
          </cell>
          <cell r="M3498" t="str">
            <v>新盖中盖牌高钙片2.5g*36片</v>
          </cell>
        </row>
        <row r="3499">
          <cell r="E3499" t="str">
            <v>0020070000SJZY0001</v>
          </cell>
          <cell r="H3499" t="str">
            <v>邹平同德堂医药有限公司</v>
          </cell>
          <cell r="J3499" t="str">
            <v>1859</v>
          </cell>
          <cell r="K3499" t="str">
            <v>201602151421097</v>
          </cell>
          <cell r="M3499" t="str">
            <v>葡萄糖酸锌口服溶液10ml*12支</v>
          </cell>
        </row>
        <row r="3500">
          <cell r="E3500" t="str">
            <v>0020050090SJZY0001</v>
          </cell>
          <cell r="H3500" t="str">
            <v>邹平同德堂医药有限公司</v>
          </cell>
          <cell r="J3500" t="str">
            <v>1859</v>
          </cell>
          <cell r="K3500" t="str">
            <v>201602151421097</v>
          </cell>
          <cell r="M3500" t="str">
            <v>双黄连口服液10ml*10支</v>
          </cell>
        </row>
        <row r="3501">
          <cell r="E3501" t="str">
            <v>0020020021ZYLC0005</v>
          </cell>
          <cell r="H3501" t="str">
            <v>邹平同德堂医药有限公司</v>
          </cell>
          <cell r="J3501" t="str">
            <v>1859</v>
          </cell>
          <cell r="K3501" t="str">
            <v>201602151421097</v>
          </cell>
          <cell r="M3501" t="str">
            <v>罗红霉素分散片50mg*12片</v>
          </cell>
        </row>
        <row r="3502">
          <cell r="E3502" t="str">
            <v>0020020021ZYLC0011</v>
          </cell>
          <cell r="H3502" t="str">
            <v>邹平同德堂医药有限公司</v>
          </cell>
          <cell r="J3502" t="str">
            <v>1859</v>
          </cell>
          <cell r="K3502" t="str">
            <v>201602151421097</v>
          </cell>
          <cell r="M3502" t="str">
            <v>罗红霉素分散片150mg*12片</v>
          </cell>
        </row>
        <row r="3503">
          <cell r="E3503" t="str">
            <v>0020040201ZYEC0001</v>
          </cell>
          <cell r="H3503" t="str">
            <v>机械厂诊所</v>
          </cell>
          <cell r="J3503" t="str">
            <v>1857</v>
          </cell>
          <cell r="K3503" t="str">
            <v>201602151421097</v>
          </cell>
          <cell r="M3503" t="str">
            <v>双黄连粉针剂600mg</v>
          </cell>
        </row>
        <row r="3504">
          <cell r="E3504" t="str">
            <v>0020030001SJZY0006</v>
          </cell>
          <cell r="H3504" t="str">
            <v>滨州康杰大药房有限责任公司</v>
          </cell>
          <cell r="J3504" t="str">
            <v>1853</v>
          </cell>
          <cell r="K3504" t="str">
            <v>201602151421097</v>
          </cell>
          <cell r="M3504" t="str">
            <v>葡萄糖酸钙口服溶液10ml*12支</v>
          </cell>
        </row>
        <row r="3505">
          <cell r="E3505" t="str">
            <v>0020070000ZYLC0051</v>
          </cell>
          <cell r="H3505" t="str">
            <v>沾化国瑞医药连锁有限责任公司</v>
          </cell>
          <cell r="J3505" t="str">
            <v>1857</v>
          </cell>
          <cell r="K3505" t="str">
            <v>201602151421097</v>
          </cell>
          <cell r="M3505" t="str">
            <v>朴雪乳酸亚铁口服液10ml*12支</v>
          </cell>
        </row>
        <row r="3506">
          <cell r="E3506" t="str">
            <v>0020040030SHYT0002</v>
          </cell>
          <cell r="H3506" t="str">
            <v>沾化国瑞医药连锁有限责任公司</v>
          </cell>
          <cell r="J3506" t="str">
            <v>1857</v>
          </cell>
          <cell r="K3506" t="str">
            <v>201602151421097</v>
          </cell>
          <cell r="M3506" t="str">
            <v>牛黄消炎片24片</v>
          </cell>
        </row>
        <row r="3507">
          <cell r="E3507" t="str">
            <v>0020070000ZYLC0001</v>
          </cell>
          <cell r="H3507" t="str">
            <v>博兴县城东街道办事处国康大药房</v>
          </cell>
          <cell r="J3507" t="str">
            <v>1858</v>
          </cell>
          <cell r="K3507" t="str">
            <v>201602151421097</v>
          </cell>
          <cell r="M3507" t="str">
            <v>新盖中盖牌高钙片2.5g*36片</v>
          </cell>
        </row>
        <row r="3508">
          <cell r="E3508" t="str">
            <v>0020070000ZYLC0001</v>
          </cell>
          <cell r="H3508" t="str">
            <v>滨城区市西街道办事处魏家卫生室</v>
          </cell>
          <cell r="J3508" t="str">
            <v>1853</v>
          </cell>
          <cell r="K3508" t="str">
            <v>201602151421097</v>
          </cell>
          <cell r="M3508" t="str">
            <v>新盖中盖牌高钙片2.5g*36片</v>
          </cell>
        </row>
        <row r="3509">
          <cell r="E3509" t="str">
            <v>0020070000ZYLC0001</v>
          </cell>
          <cell r="H3509" t="str">
            <v>滨城区市东街道办事处北杨第三卫生室</v>
          </cell>
          <cell r="J3509" t="str">
            <v>1853</v>
          </cell>
          <cell r="K3509" t="str">
            <v>201602151421097</v>
          </cell>
          <cell r="M3509" t="str">
            <v>新盖中盖牌高钙片2.5g*36片</v>
          </cell>
        </row>
        <row r="3510">
          <cell r="E3510" t="str">
            <v>0020030040ZYLC0001</v>
          </cell>
          <cell r="H3510" t="str">
            <v>滨城区市东街道办事处北杨第三卫生室</v>
          </cell>
          <cell r="J3510" t="str">
            <v>1853</v>
          </cell>
          <cell r="K3510" t="str">
            <v>201602151421097</v>
          </cell>
          <cell r="M3510" t="str">
            <v>小儿氨酚黄那敏颗粒12袋</v>
          </cell>
        </row>
        <row r="3511">
          <cell r="E3511" t="str">
            <v>0020050020ZYEC0008</v>
          </cell>
          <cell r="H3511" t="str">
            <v>滨城区市东街道办事处北杨第三卫生室</v>
          </cell>
          <cell r="J3511" t="str">
            <v>1853</v>
          </cell>
          <cell r="K3511" t="str">
            <v>201602151421097</v>
          </cell>
          <cell r="M3511" t="str">
            <v>感冒解毒灵颗粒5g*10袋</v>
          </cell>
        </row>
        <row r="3512">
          <cell r="E3512" t="str">
            <v>0020020020ZYLC0003</v>
          </cell>
          <cell r="H3512" t="str">
            <v>滨城区市东街道办事处郑家第一卫生室</v>
          </cell>
          <cell r="J3512" t="str">
            <v>1853</v>
          </cell>
          <cell r="K3512" t="str">
            <v>201602151421097</v>
          </cell>
          <cell r="M3512" t="str">
            <v>颠茄磺苄啶片12片</v>
          </cell>
        </row>
        <row r="3513">
          <cell r="E3513" t="str">
            <v>0020020021ZYLC0005</v>
          </cell>
          <cell r="H3513" t="str">
            <v>滨城区市东街道办事处郑家第一卫生室</v>
          </cell>
          <cell r="J3513" t="str">
            <v>1853</v>
          </cell>
          <cell r="K3513" t="str">
            <v>201602151421097</v>
          </cell>
          <cell r="M3513" t="str">
            <v>罗红霉素分散片50mg*12片</v>
          </cell>
        </row>
        <row r="3514">
          <cell r="E3514" t="str">
            <v>0020020021ZYLC0004</v>
          </cell>
          <cell r="H3514" t="str">
            <v>滨城区市东街道办事处郑家第一卫生室</v>
          </cell>
          <cell r="J3514" t="str">
            <v>1853</v>
          </cell>
          <cell r="K3514" t="str">
            <v>201602151421097</v>
          </cell>
          <cell r="M3514" t="str">
            <v>罗红霉素分散片75mg*12片</v>
          </cell>
        </row>
        <row r="3515">
          <cell r="E3515" t="str">
            <v>0020020021ZYZC0341</v>
          </cell>
          <cell r="H3515" t="str">
            <v>滨城区市东街道办事处郑家第一卫生室</v>
          </cell>
          <cell r="J3515" t="str">
            <v>1853</v>
          </cell>
          <cell r="K3515" t="str">
            <v>201602151421097</v>
          </cell>
          <cell r="M3515" t="str">
            <v>阿莫西林克拉维酸钾分散片0.2285g*12片</v>
          </cell>
        </row>
        <row r="3516">
          <cell r="E3516" t="str">
            <v>0020030020ZYLC0010</v>
          </cell>
          <cell r="H3516" t="str">
            <v>邹平同德堂医药有限公司</v>
          </cell>
          <cell r="J3516" t="str">
            <v>1859</v>
          </cell>
          <cell r="K3516" t="str">
            <v>201602151421097</v>
          </cell>
          <cell r="M3516" t="str">
            <v>乳酸菌素片0.4g*12片*3板</v>
          </cell>
        </row>
        <row r="3517">
          <cell r="E3517" t="str">
            <v>0020020021ZYLC0015</v>
          </cell>
          <cell r="H3517" t="str">
            <v>杜店蒋秀芬诊所</v>
          </cell>
          <cell r="J3517" t="str">
            <v>1853</v>
          </cell>
          <cell r="K3517" t="str">
            <v>201602151421097</v>
          </cell>
          <cell r="M3517" t="str">
            <v>克拉霉素分散片0.125g*24片</v>
          </cell>
        </row>
        <row r="3518">
          <cell r="E3518" t="str">
            <v>0020030032ZYZC0300</v>
          </cell>
          <cell r="H3518" t="str">
            <v>邹平县方正医药有限公司</v>
          </cell>
          <cell r="J3518" t="str">
            <v>1859</v>
          </cell>
          <cell r="K3518" t="str">
            <v>201602151421097</v>
          </cell>
          <cell r="M3518" t="str">
            <v>维生素E软胶囊30粒</v>
          </cell>
        </row>
        <row r="3519">
          <cell r="E3519" t="str">
            <v>0020030001SJZY0006</v>
          </cell>
          <cell r="H3519" t="str">
            <v>滨城区市东街道办事处北杨第一卫生室</v>
          </cell>
          <cell r="J3519" t="str">
            <v>1853</v>
          </cell>
          <cell r="K3519" t="str">
            <v>201602151421097</v>
          </cell>
          <cell r="M3519" t="str">
            <v>葡萄糖酸钙口服溶液10ml*12支</v>
          </cell>
        </row>
        <row r="3520">
          <cell r="E3520" t="str">
            <v>0020070000SJZY0001</v>
          </cell>
          <cell r="H3520" t="str">
            <v>滨城区市东街道办事处北杨第一卫生室</v>
          </cell>
          <cell r="J3520" t="str">
            <v>1853</v>
          </cell>
          <cell r="K3520" t="str">
            <v>201602151421097</v>
          </cell>
          <cell r="M3520" t="str">
            <v>葡萄糖酸锌口服溶液10ml*12支</v>
          </cell>
        </row>
        <row r="3521">
          <cell r="E3521" t="str">
            <v>0020030040SHYT0010</v>
          </cell>
          <cell r="H3521" t="str">
            <v>滨城区市东街道办事处北杨第一卫生室</v>
          </cell>
          <cell r="J3521" t="str">
            <v>1853</v>
          </cell>
          <cell r="K3521" t="str">
            <v>201602151421097</v>
          </cell>
          <cell r="M3521" t="str">
            <v>布洛芬颗粒0.2g*12袋</v>
          </cell>
        </row>
        <row r="3522">
          <cell r="E3522" t="str">
            <v>0020020021ZYLC0004</v>
          </cell>
          <cell r="H3522" t="str">
            <v>滨城区市东街道办事处北杨第一卫生室</v>
          </cell>
          <cell r="J3522" t="str">
            <v>1853</v>
          </cell>
          <cell r="K3522" t="str">
            <v>201602151421097</v>
          </cell>
          <cell r="M3522" t="str">
            <v>罗红霉素分散片75mg*12片</v>
          </cell>
        </row>
        <row r="3523">
          <cell r="E3523" t="str">
            <v>0020030020ZYLC0010</v>
          </cell>
          <cell r="H3523" t="str">
            <v>滨城区市东街道办事处北杨第一卫生室</v>
          </cell>
          <cell r="J3523" t="str">
            <v>1853</v>
          </cell>
          <cell r="K3523" t="str">
            <v>201602151421097</v>
          </cell>
          <cell r="M3523" t="str">
            <v>乳酸菌素片0.4g*12片*3板</v>
          </cell>
        </row>
        <row r="3524">
          <cell r="E3524" t="str">
            <v>0020050020ZYEC0008</v>
          </cell>
          <cell r="H3524" t="str">
            <v>滨城区市东街道办事处北杨第一卫生室</v>
          </cell>
          <cell r="J3524" t="str">
            <v>1853</v>
          </cell>
          <cell r="K3524" t="str">
            <v>201602151421097</v>
          </cell>
          <cell r="M3524" t="str">
            <v>感冒解毒灵颗粒5g*10袋</v>
          </cell>
        </row>
        <row r="3525">
          <cell r="E3525" t="str">
            <v>0020030001SJZY0006</v>
          </cell>
          <cell r="H3525" t="str">
            <v>滨城孙红霞诊所</v>
          </cell>
          <cell r="J3525" t="str">
            <v>1853</v>
          </cell>
          <cell r="K3525" t="str">
            <v>201602151421097</v>
          </cell>
          <cell r="M3525" t="str">
            <v>葡萄糖酸钙口服溶液10ml*12支</v>
          </cell>
        </row>
        <row r="3526">
          <cell r="E3526" t="str">
            <v>0020070000SJZY0001</v>
          </cell>
          <cell r="H3526" t="str">
            <v>滨城孙红霞诊所</v>
          </cell>
          <cell r="J3526" t="str">
            <v>1853</v>
          </cell>
          <cell r="K3526" t="str">
            <v>201602151421097</v>
          </cell>
          <cell r="M3526" t="str">
            <v>葡萄糖酸锌口服溶液10ml*12支</v>
          </cell>
        </row>
        <row r="3527">
          <cell r="E3527" t="str">
            <v>0020020021ZYLC0011</v>
          </cell>
          <cell r="H3527" t="str">
            <v>滨城孙红霞诊所</v>
          </cell>
          <cell r="J3527" t="str">
            <v>1853</v>
          </cell>
          <cell r="K3527" t="str">
            <v>201602151421097</v>
          </cell>
          <cell r="M3527" t="str">
            <v>罗红霉素分散片150mg*12片</v>
          </cell>
        </row>
        <row r="3528">
          <cell r="E3528" t="str">
            <v>0020030001SJZY0006</v>
          </cell>
          <cell r="H3528" t="str">
            <v>滨城杨海虹诊所</v>
          </cell>
          <cell r="J3528" t="str">
            <v>1853</v>
          </cell>
          <cell r="K3528" t="str">
            <v>201602151421097</v>
          </cell>
          <cell r="M3528" t="str">
            <v>葡萄糖酸钙口服溶液10ml*12支</v>
          </cell>
        </row>
        <row r="3529">
          <cell r="E3529" t="str">
            <v>0020070000SJZY0001</v>
          </cell>
          <cell r="H3529" t="str">
            <v>滨城杨海虹诊所</v>
          </cell>
          <cell r="J3529" t="str">
            <v>1853</v>
          </cell>
          <cell r="K3529" t="str">
            <v>201602151421097</v>
          </cell>
          <cell r="M3529" t="str">
            <v>葡萄糖酸锌口服溶液10ml*12支</v>
          </cell>
        </row>
        <row r="3530">
          <cell r="E3530" t="str">
            <v>0020040030SHYT0002</v>
          </cell>
          <cell r="H3530" t="str">
            <v>滨州市技术学院医务室</v>
          </cell>
          <cell r="J3530" t="str">
            <v>1853</v>
          </cell>
          <cell r="K3530" t="str">
            <v>201602151421097</v>
          </cell>
          <cell r="M3530" t="str">
            <v>牛黄消炎片24片</v>
          </cell>
        </row>
        <row r="3531">
          <cell r="E3531" t="str">
            <v>0020020021ZYLC0004</v>
          </cell>
          <cell r="H3531" t="str">
            <v>山东弘旭医药连锁经营有限公司</v>
          </cell>
          <cell r="J3531" t="str">
            <v>1853</v>
          </cell>
          <cell r="K3531" t="str">
            <v>201602151421097</v>
          </cell>
          <cell r="M3531" t="str">
            <v>罗红霉素分散片75mg*12片</v>
          </cell>
        </row>
        <row r="3532">
          <cell r="E3532" t="str">
            <v>0020070000ZYLC0051</v>
          </cell>
          <cell r="H3532" t="str">
            <v>滨城区市东街道办事处北杨第一卫生室</v>
          </cell>
          <cell r="J3532" t="str">
            <v>1853</v>
          </cell>
          <cell r="K3532" t="str">
            <v>201602151421097</v>
          </cell>
          <cell r="M3532" t="str">
            <v>朴雪乳酸亚铁口服液10ml*12支</v>
          </cell>
        </row>
        <row r="3533">
          <cell r="E3533" t="str">
            <v>0020020021ZYLC0011</v>
          </cell>
          <cell r="H3533" t="str">
            <v>滨城区市东街道办事处北杨第一卫生室</v>
          </cell>
          <cell r="J3533" t="str">
            <v>1853</v>
          </cell>
          <cell r="K3533" t="str">
            <v>201602151421097</v>
          </cell>
          <cell r="M3533" t="str">
            <v>罗红霉素分散片150mg*12片</v>
          </cell>
        </row>
        <row r="3534">
          <cell r="E3534" t="str">
            <v>0020070000ZYLC0051</v>
          </cell>
          <cell r="H3534" t="str">
            <v>滨城孙红霞诊所</v>
          </cell>
          <cell r="J3534" t="str">
            <v>1853</v>
          </cell>
          <cell r="K3534" t="str">
            <v>201602151421097</v>
          </cell>
          <cell r="M3534" t="str">
            <v>朴雪乳酸亚铁口服液10ml*12支</v>
          </cell>
        </row>
        <row r="3535">
          <cell r="E3535" t="str">
            <v>0020070001ZYZC0383</v>
          </cell>
          <cell r="H3535" t="str">
            <v>北海新区泰和祥药店</v>
          </cell>
          <cell r="J3535" t="str">
            <v>1856</v>
          </cell>
          <cell r="K3535" t="str">
            <v>201602151421097</v>
          </cell>
          <cell r="M3535" t="str">
            <v>哈药牌钙铁锌口服液10ml*10支</v>
          </cell>
        </row>
        <row r="3536">
          <cell r="E3536" t="str">
            <v>0020070000SJZY0001</v>
          </cell>
          <cell r="H3536" t="str">
            <v>北海新区泰和祥药店</v>
          </cell>
          <cell r="J3536" t="str">
            <v>1856</v>
          </cell>
          <cell r="K3536" t="str">
            <v>201602151421097</v>
          </cell>
          <cell r="M3536" t="str">
            <v>葡萄糖酸锌口服溶液10ml*12支</v>
          </cell>
        </row>
        <row r="3537">
          <cell r="E3537" t="str">
            <v>0020030001SJZY0006</v>
          </cell>
          <cell r="H3537" t="str">
            <v>博兴县济生堂大药店</v>
          </cell>
          <cell r="J3537" t="str">
            <v>1858</v>
          </cell>
          <cell r="K3537" t="str">
            <v>201602151421097</v>
          </cell>
          <cell r="M3537" t="str">
            <v>葡萄糖酸钙口服溶液10ml*12支</v>
          </cell>
        </row>
        <row r="3538">
          <cell r="E3538" t="str">
            <v>0020030032ZYZC0300</v>
          </cell>
          <cell r="H3538" t="str">
            <v>博兴县济生堂大药店</v>
          </cell>
          <cell r="J3538" t="str">
            <v>1858</v>
          </cell>
          <cell r="K3538" t="str">
            <v>201602151421097</v>
          </cell>
          <cell r="M3538" t="str">
            <v>维生素E软胶囊30粒</v>
          </cell>
        </row>
        <row r="3539">
          <cell r="E3539" t="str">
            <v>0020070000ZYLC0051</v>
          </cell>
          <cell r="H3539" t="str">
            <v>博兴县济生堂大药店</v>
          </cell>
          <cell r="J3539" t="str">
            <v>1858</v>
          </cell>
          <cell r="K3539" t="str">
            <v>201602151421097</v>
          </cell>
          <cell r="M3539" t="str">
            <v>朴雪乳酸亚铁口服液10ml*12支</v>
          </cell>
        </row>
        <row r="3540">
          <cell r="E3540" t="str">
            <v>0020070000SJZY0001</v>
          </cell>
          <cell r="H3540" t="str">
            <v>博兴县城东街道办事处国康大药房</v>
          </cell>
          <cell r="J3540" t="str">
            <v>1858</v>
          </cell>
          <cell r="K3540" t="str">
            <v>201602151421097</v>
          </cell>
          <cell r="M3540" t="str">
            <v>葡萄糖酸锌口服溶液10ml*12支</v>
          </cell>
        </row>
        <row r="3541">
          <cell r="E3541" t="str">
            <v>0020050090SJZY0001</v>
          </cell>
          <cell r="H3541" t="str">
            <v>博兴县城东街道办事处国康大药房</v>
          </cell>
          <cell r="J3541" t="str">
            <v>1858</v>
          </cell>
          <cell r="K3541" t="str">
            <v>201602151421097</v>
          </cell>
          <cell r="M3541" t="str">
            <v>双黄连口服液10ml*10支</v>
          </cell>
        </row>
        <row r="3542">
          <cell r="E3542" t="str">
            <v>0020020021ZYLC0004</v>
          </cell>
          <cell r="H3542" t="str">
            <v>博兴县城东街道办事处国康大药房</v>
          </cell>
          <cell r="J3542" t="str">
            <v>1858</v>
          </cell>
          <cell r="K3542" t="str">
            <v>201602151421097</v>
          </cell>
          <cell r="M3542" t="str">
            <v>罗红霉素分散片75mg*12片</v>
          </cell>
        </row>
        <row r="3543">
          <cell r="E3543" t="str">
            <v>0020030001SJZY0006</v>
          </cell>
          <cell r="H3543" t="str">
            <v>居民诊所</v>
          </cell>
          <cell r="J3543" t="str">
            <v>1855</v>
          </cell>
          <cell r="K3543" t="str">
            <v>201602151421097</v>
          </cell>
          <cell r="M3543" t="str">
            <v>葡萄糖酸钙口服溶液10ml*12支</v>
          </cell>
        </row>
        <row r="3544">
          <cell r="E3544" t="str">
            <v>0020020021ZYLC0005</v>
          </cell>
          <cell r="H3544" t="str">
            <v>滨城刘拥真诊所</v>
          </cell>
          <cell r="J3544" t="str">
            <v>1853</v>
          </cell>
          <cell r="K3544" t="str">
            <v>201602151421097</v>
          </cell>
          <cell r="M3544" t="str">
            <v>罗红霉素分散片50mg*12片</v>
          </cell>
        </row>
        <row r="3545">
          <cell r="E3545" t="str">
            <v>0020070000ZYLC0001</v>
          </cell>
          <cell r="H3545" t="str">
            <v>滨城刘拥真诊所</v>
          </cell>
          <cell r="J3545" t="str">
            <v>1853</v>
          </cell>
          <cell r="K3545" t="str">
            <v>201602151421097</v>
          </cell>
          <cell r="M3545" t="str">
            <v>新盖中盖牌高钙片2.5g*36片</v>
          </cell>
        </row>
        <row r="3546">
          <cell r="E3546" t="str">
            <v>0020050090SJZY0001</v>
          </cell>
          <cell r="H3546" t="str">
            <v>滨州市沾化区康源诊所</v>
          </cell>
          <cell r="J3546" t="str">
            <v>1857</v>
          </cell>
          <cell r="K3546" t="str">
            <v>201602151421097</v>
          </cell>
          <cell r="M3546" t="str">
            <v>双黄连口服液10ml*10支</v>
          </cell>
        </row>
        <row r="3547">
          <cell r="E3547" t="str">
            <v>0020020021ZYLC0004</v>
          </cell>
          <cell r="H3547" t="str">
            <v>滨州市康健医药有限公司</v>
          </cell>
          <cell r="J3547" t="str">
            <v>1853</v>
          </cell>
          <cell r="K3547" t="str">
            <v>201602151421097</v>
          </cell>
          <cell r="M3547" t="str">
            <v>罗红霉素分散片75mg*12片</v>
          </cell>
        </row>
        <row r="3548">
          <cell r="E3548" t="str">
            <v>0020030020ZYLC0010</v>
          </cell>
          <cell r="H3548" t="str">
            <v>滨州盛泰医药连锁有限公司</v>
          </cell>
          <cell r="J3548" t="str">
            <v>1858</v>
          </cell>
          <cell r="K3548" t="str">
            <v>201602151421097</v>
          </cell>
          <cell r="M3548" t="str">
            <v>乳酸菌素片0.4g*12片*3板</v>
          </cell>
        </row>
        <row r="3549">
          <cell r="E3549" t="str">
            <v>0020070000ZYLC0001</v>
          </cell>
          <cell r="H3549" t="str">
            <v>刁口乡兴牧村卫生室</v>
          </cell>
          <cell r="J3549" t="str">
            <v>1757</v>
          </cell>
          <cell r="K3549" t="str">
            <v>201602151421097</v>
          </cell>
          <cell r="M3549" t="str">
            <v>新盖中盖牌高钙片2.5g*36片</v>
          </cell>
        </row>
        <row r="3550">
          <cell r="E3550" t="str">
            <v>0020020020ZYLC0003</v>
          </cell>
          <cell r="H3550" t="str">
            <v>邹平博祥医药连锁有限公司</v>
          </cell>
          <cell r="J3550" t="str">
            <v>1859</v>
          </cell>
          <cell r="K3550" t="str">
            <v>201602151421097</v>
          </cell>
          <cell r="M3550" t="str">
            <v>颠茄磺苄啶片12片</v>
          </cell>
        </row>
        <row r="3551">
          <cell r="E3551" t="str">
            <v>0020030040ZYLC0001</v>
          </cell>
          <cell r="H3551" t="str">
            <v>邹平博祥医药连锁有限公司</v>
          </cell>
          <cell r="J3551" t="str">
            <v>1859</v>
          </cell>
          <cell r="K3551" t="str">
            <v>201602151421097</v>
          </cell>
          <cell r="M3551" t="str">
            <v>小儿氨酚黄那敏颗粒12袋</v>
          </cell>
        </row>
        <row r="3552">
          <cell r="E3552" t="str">
            <v>0020020020ZYLC0010</v>
          </cell>
          <cell r="H3552" t="str">
            <v>邹平县方正医药有限公司</v>
          </cell>
          <cell r="J3552" t="str">
            <v>1859</v>
          </cell>
          <cell r="K3552" t="str">
            <v>201602151421097</v>
          </cell>
          <cell r="M3552" t="str">
            <v>颠茄磺苄啶片10片/瓶</v>
          </cell>
        </row>
        <row r="3553">
          <cell r="E3553" t="str">
            <v>0020070000ZYLC0001</v>
          </cell>
          <cell r="H3553" t="str">
            <v>滨城区市东街道办事处常家第一卫生室</v>
          </cell>
          <cell r="J3553" t="str">
            <v>1853</v>
          </cell>
          <cell r="K3553" t="str">
            <v>201602151421097</v>
          </cell>
          <cell r="M3553" t="str">
            <v>新盖中盖牌高钙片2.5g*36片</v>
          </cell>
        </row>
        <row r="3554">
          <cell r="E3554" t="str">
            <v>0020030040ZYLC0001</v>
          </cell>
          <cell r="H3554" t="str">
            <v>滨城区市东街道办事处常家第一卫生室</v>
          </cell>
          <cell r="J3554" t="str">
            <v>1853</v>
          </cell>
          <cell r="K3554" t="str">
            <v>201602151421097</v>
          </cell>
          <cell r="M3554" t="str">
            <v>小儿氨酚黄那敏颗粒12袋</v>
          </cell>
        </row>
        <row r="3555">
          <cell r="E3555" t="str">
            <v>0020020021ZYLC0015</v>
          </cell>
          <cell r="H3555" t="str">
            <v>滨城区市东街道办事处常家第一卫生室</v>
          </cell>
          <cell r="J3555" t="str">
            <v>1853</v>
          </cell>
          <cell r="K3555" t="str">
            <v>201602151421097</v>
          </cell>
          <cell r="M3555" t="str">
            <v>克拉霉素分散片0.125g*24片</v>
          </cell>
        </row>
        <row r="3556">
          <cell r="E3556" t="str">
            <v>0020030040ZYLC0001</v>
          </cell>
          <cell r="H3556" t="str">
            <v>滨城区市东街道办事处天王堂第一卫生室</v>
          </cell>
          <cell r="J3556" t="str">
            <v>1853</v>
          </cell>
          <cell r="K3556" t="str">
            <v>201602151421097</v>
          </cell>
          <cell r="M3556" t="str">
            <v>小儿氨酚黄那敏颗粒12袋</v>
          </cell>
        </row>
        <row r="3557">
          <cell r="E3557" t="str">
            <v>0020040220SHYT0005</v>
          </cell>
          <cell r="H3557" t="str">
            <v>邹平县方正医药有限公司</v>
          </cell>
          <cell r="J3557" t="str">
            <v>1859</v>
          </cell>
          <cell r="K3557" t="str">
            <v>201602151421097</v>
          </cell>
          <cell r="M3557" t="str">
            <v>妇宁栓1.6g*7粒</v>
          </cell>
        </row>
        <row r="3558">
          <cell r="E3558" t="str">
            <v>0020020020ZYLC0010</v>
          </cell>
          <cell r="H3558" t="str">
            <v>邹平博祥医药连锁有限公司</v>
          </cell>
          <cell r="J3558" t="str">
            <v>1859</v>
          </cell>
          <cell r="K3558" t="str">
            <v>201602151421097</v>
          </cell>
          <cell r="M3558" t="str">
            <v>颠茄磺苄啶片10片/瓶</v>
          </cell>
        </row>
        <row r="3559">
          <cell r="E3559" t="str">
            <v>0020030020SJSC0004</v>
          </cell>
          <cell r="H3559" t="str">
            <v>滨州高新技术产业开发区高新天康综合门诊部</v>
          </cell>
          <cell r="J3559" t="str">
            <v>1853</v>
          </cell>
          <cell r="K3559" t="str">
            <v>201602151421097</v>
          </cell>
          <cell r="M3559" t="str">
            <v>复方铝酸铋片50片</v>
          </cell>
        </row>
        <row r="3560">
          <cell r="E3560" t="str">
            <v>0020030001SJZY0006</v>
          </cell>
          <cell r="H3560" t="str">
            <v>滨州市康泉大药房连锁有限公司</v>
          </cell>
          <cell r="J3560" t="str">
            <v>1853</v>
          </cell>
          <cell r="K3560" t="str">
            <v>201602151421097</v>
          </cell>
          <cell r="M3560" t="str">
            <v>葡萄糖酸钙口服溶液10ml*12支</v>
          </cell>
        </row>
        <row r="3561">
          <cell r="E3561" t="str">
            <v>0020020021ZYLC0011</v>
          </cell>
          <cell r="H3561" t="str">
            <v>山东弘旭医药连锁经营有限公司</v>
          </cell>
          <cell r="J3561" t="str">
            <v>1853</v>
          </cell>
          <cell r="K3561" t="str">
            <v>201602151421097</v>
          </cell>
          <cell r="M3561" t="str">
            <v>罗红霉素分散片150mg*12片</v>
          </cell>
        </row>
        <row r="3562">
          <cell r="E3562" t="str">
            <v>0020070000SJZY0001</v>
          </cell>
          <cell r="H3562" t="str">
            <v>滨州市康健医药有限公司</v>
          </cell>
          <cell r="J3562" t="str">
            <v>1853</v>
          </cell>
          <cell r="K3562" t="str">
            <v>201602151421097</v>
          </cell>
          <cell r="M3562" t="str">
            <v>葡萄糖酸锌口服溶液10ml*12支</v>
          </cell>
        </row>
        <row r="3563">
          <cell r="E3563" t="str">
            <v>0020050090SJZY0001</v>
          </cell>
          <cell r="H3563" t="str">
            <v>滨州市康健医药有限公司</v>
          </cell>
          <cell r="J3563" t="str">
            <v>1853</v>
          </cell>
          <cell r="K3563" t="str">
            <v>201602151421097</v>
          </cell>
          <cell r="M3563" t="str">
            <v>双黄连口服液10ml*10支</v>
          </cell>
        </row>
        <row r="3564">
          <cell r="E3564" t="str">
            <v>0020020021ZYLC0005</v>
          </cell>
          <cell r="H3564" t="str">
            <v>滨州市康健医药有限公司</v>
          </cell>
          <cell r="J3564" t="str">
            <v>1853</v>
          </cell>
          <cell r="K3564" t="str">
            <v>201602151421097</v>
          </cell>
          <cell r="M3564" t="str">
            <v>罗红霉素分散片50mg*12片</v>
          </cell>
        </row>
        <row r="3565">
          <cell r="E3565" t="str">
            <v>0020020021ZYZC0341</v>
          </cell>
          <cell r="H3565" t="str">
            <v>滨州市康健医药有限公司</v>
          </cell>
          <cell r="J3565" t="str">
            <v>1853</v>
          </cell>
          <cell r="K3565" t="str">
            <v>201602151421097</v>
          </cell>
          <cell r="M3565" t="str">
            <v>阿莫西林克拉维酸钾分散片0.2285g*12片</v>
          </cell>
        </row>
        <row r="3566">
          <cell r="E3566" t="str">
            <v>0020050090ZYEC0005</v>
          </cell>
          <cell r="H3566" t="str">
            <v>滨州市康健医药有限公司</v>
          </cell>
          <cell r="J3566" t="str">
            <v>1853</v>
          </cell>
          <cell r="K3566" t="str">
            <v>201602151421097</v>
          </cell>
          <cell r="M3566" t="str">
            <v>清热解毒口服液10ml*10支</v>
          </cell>
        </row>
        <row r="3567">
          <cell r="E3567" t="str">
            <v>0020020021ZYLC0011</v>
          </cell>
          <cell r="H3567" t="str">
            <v>滨州市康健医药有限公司</v>
          </cell>
          <cell r="J3567" t="str">
            <v>1853</v>
          </cell>
          <cell r="K3567" t="str">
            <v>201602151421097</v>
          </cell>
          <cell r="M3567" t="str">
            <v>罗红霉素分散片150mg*12片</v>
          </cell>
        </row>
        <row r="3568">
          <cell r="E3568" t="str">
            <v>0020020020ZYLC0010</v>
          </cell>
          <cell r="H3568" t="str">
            <v>惠民县舒泰大药房有限公司</v>
          </cell>
          <cell r="J3568" t="str">
            <v>1854</v>
          </cell>
          <cell r="K3568" t="str">
            <v>201602151421097</v>
          </cell>
          <cell r="M3568" t="str">
            <v>颠茄磺苄啶片10片/瓶</v>
          </cell>
        </row>
        <row r="3569">
          <cell r="E3569" t="str">
            <v>0020050090SJZY0001</v>
          </cell>
          <cell r="H3569" t="str">
            <v>滨州晟滨医药有限公司</v>
          </cell>
          <cell r="J3569" t="str">
            <v>1853</v>
          </cell>
          <cell r="K3569" t="str">
            <v>201602151421097</v>
          </cell>
          <cell r="M3569" t="str">
            <v>双黄连口服液10ml*10支</v>
          </cell>
        </row>
        <row r="3570">
          <cell r="E3570" t="str">
            <v>0020040030SHYT0002</v>
          </cell>
          <cell r="H3570" t="str">
            <v>滨州经济开发区延峰大药房</v>
          </cell>
          <cell r="J3570" t="str">
            <v>1853</v>
          </cell>
          <cell r="K3570" t="str">
            <v>201602151421097</v>
          </cell>
          <cell r="M3570" t="str">
            <v>牛黄消炎片24片</v>
          </cell>
        </row>
        <row r="3571">
          <cell r="E3571" t="str">
            <v>0020050090SJZY0001</v>
          </cell>
          <cell r="H3571" t="str">
            <v>邹平县方正医药有限公司</v>
          </cell>
          <cell r="J3571" t="str">
            <v>1859</v>
          </cell>
          <cell r="K3571" t="str">
            <v>201602151421097</v>
          </cell>
          <cell r="M3571" t="str">
            <v>双黄连口服液10ml*10支</v>
          </cell>
        </row>
        <row r="3572">
          <cell r="E3572" t="str">
            <v>0020030170ZYEC0003</v>
          </cell>
          <cell r="H3572" t="str">
            <v>邹平县方正医药有限公司</v>
          </cell>
          <cell r="J3572" t="str">
            <v>1859</v>
          </cell>
          <cell r="K3572" t="str">
            <v>201602151421097</v>
          </cell>
          <cell r="M3572" t="str">
            <v>蒙脱石散3g*12袋</v>
          </cell>
        </row>
        <row r="3573">
          <cell r="E3573" t="str">
            <v>0020070001ZYZC0369</v>
          </cell>
          <cell r="H3573" t="str">
            <v>邹平县方正医药有限公司</v>
          </cell>
          <cell r="J3573" t="str">
            <v>1859</v>
          </cell>
          <cell r="K3573" t="str">
            <v>201602151421097</v>
          </cell>
          <cell r="M3573" t="str">
            <v>哈药牌钙铁锌口服液10ml*12支</v>
          </cell>
        </row>
        <row r="3574">
          <cell r="E3574" t="str">
            <v>0020030001SJZY0006</v>
          </cell>
          <cell r="H3574" t="str">
            <v>滨城区市西街道办事处大有崔第四卫生室</v>
          </cell>
          <cell r="J3574" t="str">
            <v>1853</v>
          </cell>
          <cell r="K3574" t="str">
            <v>201602151421097</v>
          </cell>
          <cell r="M3574" t="str">
            <v>葡萄糖酸钙口服溶液10ml*12支</v>
          </cell>
        </row>
        <row r="3575">
          <cell r="E3575" t="str">
            <v>0020020030ZYZC0289</v>
          </cell>
          <cell r="H3575" t="str">
            <v>邹平县方正医药有限公司</v>
          </cell>
          <cell r="J3575" t="str">
            <v>1859</v>
          </cell>
          <cell r="K3575" t="str">
            <v>201602151421097</v>
          </cell>
          <cell r="M3575" t="str">
            <v>阿莫西林胶囊0.5g*36粒</v>
          </cell>
        </row>
        <row r="3576">
          <cell r="E3576" t="str">
            <v>0020070000ZYLC0001</v>
          </cell>
          <cell r="H3576" t="str">
            <v>高新区小营办事处愉悦城中心卫生室</v>
          </cell>
          <cell r="J3576" t="str">
            <v>1853</v>
          </cell>
          <cell r="K3576" t="str">
            <v>201602151421097</v>
          </cell>
          <cell r="M3576" t="str">
            <v>新盖中盖牌高钙片2.5g*36片</v>
          </cell>
        </row>
        <row r="3577">
          <cell r="E3577" t="str">
            <v>0020070000ZYLC0001</v>
          </cell>
          <cell r="H3577" t="str">
            <v>邹平仁益医药连锁有限公司</v>
          </cell>
          <cell r="J3577" t="str">
            <v>1859</v>
          </cell>
          <cell r="K3577" t="str">
            <v>201602151421097</v>
          </cell>
          <cell r="M3577" t="str">
            <v>新盖中盖牌高钙片2.5g*36片</v>
          </cell>
        </row>
        <row r="3578">
          <cell r="E3578" t="str">
            <v>0020020030ZYZC0289</v>
          </cell>
          <cell r="H3578" t="str">
            <v>滨州晟滨医药有限公司</v>
          </cell>
          <cell r="J3578" t="str">
            <v>1853</v>
          </cell>
          <cell r="K3578" t="str">
            <v>201602151421097</v>
          </cell>
          <cell r="M3578" t="str">
            <v>阿莫西林胶囊0.5g*36粒</v>
          </cell>
        </row>
        <row r="3579">
          <cell r="E3579" t="str">
            <v>0020070000SJZY0001</v>
          </cell>
          <cell r="H3579" t="str">
            <v>滨城王全枝诊所</v>
          </cell>
          <cell r="J3579" t="str">
            <v>1853</v>
          </cell>
          <cell r="K3579" t="str">
            <v>201602151421097</v>
          </cell>
          <cell r="M3579" t="str">
            <v>葡萄糖酸锌口服溶液10ml*12支</v>
          </cell>
        </row>
        <row r="3580">
          <cell r="E3580" t="str">
            <v>0020030020SJSC0025</v>
          </cell>
          <cell r="H3580" t="str">
            <v>河口区德盛街鑫康药店</v>
          </cell>
          <cell r="J3580" t="str">
            <v>1755</v>
          </cell>
          <cell r="K3580" t="str">
            <v>201602151421097</v>
          </cell>
          <cell r="M3580" t="str">
            <v>复方氨酚烷胺片12片</v>
          </cell>
        </row>
        <row r="3581">
          <cell r="E3581" t="str">
            <v>0020020020ZYLC0010</v>
          </cell>
          <cell r="H3581" t="str">
            <v>河口区德盛街鑫康药店</v>
          </cell>
          <cell r="J3581" t="str">
            <v>1755</v>
          </cell>
          <cell r="K3581" t="str">
            <v>201602151421097</v>
          </cell>
          <cell r="M3581" t="str">
            <v>颠茄磺苄啶片10片/瓶</v>
          </cell>
        </row>
        <row r="3582">
          <cell r="E3582" t="str">
            <v>0020070000ZYLC0051</v>
          </cell>
          <cell r="H3582" t="str">
            <v>滨城区市东街道办事处宣家第一卫生室</v>
          </cell>
          <cell r="J3582" t="str">
            <v>1853</v>
          </cell>
          <cell r="K3582" t="str">
            <v>201602151421097</v>
          </cell>
          <cell r="M3582" t="str">
            <v>朴雪乳酸亚铁口服液10ml*12支</v>
          </cell>
        </row>
        <row r="3583">
          <cell r="E3583" t="str">
            <v>0020030001SJZY0006</v>
          </cell>
          <cell r="H3583" t="str">
            <v>沾化国瑞医药连锁有限责任公司</v>
          </cell>
          <cell r="J3583" t="str">
            <v>1857</v>
          </cell>
          <cell r="K3583" t="str">
            <v>201602151421097</v>
          </cell>
          <cell r="M3583" t="str">
            <v>葡萄糖酸钙口服溶液10ml*12支</v>
          </cell>
        </row>
        <row r="3584">
          <cell r="E3584" t="str">
            <v>0020020020ZYLC0010</v>
          </cell>
          <cell r="H3584" t="str">
            <v>滨城区北镇办事处崔付刘村卫生室</v>
          </cell>
          <cell r="J3584" t="str">
            <v>1853</v>
          </cell>
          <cell r="K3584" t="str">
            <v>201602151421097</v>
          </cell>
          <cell r="M3584" t="str">
            <v>颠茄磺苄啶片10片/瓶</v>
          </cell>
        </row>
        <row r="3585">
          <cell r="E3585" t="str">
            <v>0020070000ZYLC0001</v>
          </cell>
          <cell r="H3585" t="str">
            <v>麻店镇麻店街卫生所</v>
          </cell>
          <cell r="J3585" t="str">
            <v>1854</v>
          </cell>
          <cell r="K3585" t="str">
            <v>201602151421097</v>
          </cell>
          <cell r="M3585" t="str">
            <v>新盖中盖牌高钙片2.5g*36片</v>
          </cell>
        </row>
        <row r="3586">
          <cell r="E3586" t="str">
            <v>0020030020SJSC0004</v>
          </cell>
          <cell r="H3586" t="str">
            <v>滨城区彭李街道办事处大河孙第二卫生室</v>
          </cell>
          <cell r="J3586" t="str">
            <v>1853</v>
          </cell>
          <cell r="K3586" t="str">
            <v>201602151421097</v>
          </cell>
          <cell r="M3586" t="str">
            <v>复方铝酸铋片50片</v>
          </cell>
        </row>
        <row r="3587">
          <cell r="E3587" t="str">
            <v>0020030020ZYLC0010</v>
          </cell>
          <cell r="H3587" t="str">
            <v>滨城李长顺诊所</v>
          </cell>
          <cell r="J3587" t="str">
            <v>1853</v>
          </cell>
          <cell r="K3587" t="str">
            <v>201602151421097</v>
          </cell>
          <cell r="M3587" t="str">
            <v>乳酸菌素片0.4g*12片*3板</v>
          </cell>
        </row>
        <row r="3588">
          <cell r="E3588" t="str">
            <v>0020020021ZYLC0004</v>
          </cell>
          <cell r="H3588" t="str">
            <v>惠民县古城药房第一分店</v>
          </cell>
          <cell r="J3588" t="str">
            <v>1854</v>
          </cell>
          <cell r="K3588" t="str">
            <v>201602151421097</v>
          </cell>
          <cell r="M3588" t="str">
            <v>罗红霉素分散片75mg*12片</v>
          </cell>
        </row>
        <row r="3589">
          <cell r="E3589" t="str">
            <v>0020070000ZYLC0001</v>
          </cell>
          <cell r="H3589" t="str">
            <v>惠民县古城药房第一分店</v>
          </cell>
          <cell r="J3589" t="str">
            <v>1854</v>
          </cell>
          <cell r="K3589" t="str">
            <v>201602151421097</v>
          </cell>
          <cell r="M3589" t="str">
            <v>新盖中盖牌高钙片2.5g*36片</v>
          </cell>
        </row>
        <row r="3590">
          <cell r="E3590" t="str">
            <v>0020020020ZYLC0003</v>
          </cell>
          <cell r="H3590" t="str">
            <v>淄博瑞和医药销售有限公司</v>
          </cell>
          <cell r="J3590" t="str">
            <v>1744</v>
          </cell>
          <cell r="K3590" t="str">
            <v>201602151421097</v>
          </cell>
          <cell r="M3590" t="str">
            <v>颠茄磺苄啶片12片</v>
          </cell>
        </row>
        <row r="3591">
          <cell r="E3591" t="str">
            <v>0020070000ZYLC0001</v>
          </cell>
          <cell r="H3591" t="str">
            <v>邹平县方正医药有限公司</v>
          </cell>
          <cell r="J3591" t="str">
            <v>1859</v>
          </cell>
          <cell r="K3591" t="str">
            <v>201602151421097</v>
          </cell>
          <cell r="M3591" t="str">
            <v>新盖中盖牌高钙片2.5g*36片</v>
          </cell>
        </row>
        <row r="3592">
          <cell r="E3592" t="str">
            <v>0020030020ZYLC0010</v>
          </cell>
          <cell r="H3592" t="str">
            <v>滨城崔艳华诊所</v>
          </cell>
          <cell r="J3592" t="str">
            <v>1853</v>
          </cell>
          <cell r="K3592" t="str">
            <v>201602151421097</v>
          </cell>
          <cell r="M3592" t="str">
            <v>乳酸菌素片0.4g*12片*3板</v>
          </cell>
        </row>
        <row r="3593">
          <cell r="E3593" t="str">
            <v>0020030020SJSC0004</v>
          </cell>
          <cell r="H3593" t="str">
            <v>邹平县方正医药有限公司</v>
          </cell>
          <cell r="J3593" t="str">
            <v>1859</v>
          </cell>
          <cell r="K3593" t="str">
            <v>201602151421097</v>
          </cell>
          <cell r="M3593" t="str">
            <v>复方铝酸铋片50片</v>
          </cell>
        </row>
        <row r="3594">
          <cell r="E3594" t="str">
            <v>0020020013ZYZC0491</v>
          </cell>
          <cell r="H3594" t="str">
            <v>滨州市滨城区彭李街道办事处学苑社区卫生服务站</v>
          </cell>
          <cell r="J3594" t="str">
            <v>1853</v>
          </cell>
          <cell r="K3594" t="str">
            <v>201602151421097</v>
          </cell>
          <cell r="M3594" t="str">
            <v>注射用乳糖酸阿奇霉素0.25g</v>
          </cell>
        </row>
        <row r="3595">
          <cell r="E3595" t="str">
            <v>0020070000ZYLC0001</v>
          </cell>
          <cell r="H3595" t="str">
            <v>阳信县商店镇台属大药房</v>
          </cell>
          <cell r="J3595" t="str">
            <v>1855</v>
          </cell>
          <cell r="K3595" t="str">
            <v>201602151421097</v>
          </cell>
          <cell r="M3595" t="str">
            <v>新盖中盖牌高钙片2.5g*36片</v>
          </cell>
        </row>
        <row r="3596">
          <cell r="E3596" t="str">
            <v>0020040201ZYEC0001</v>
          </cell>
          <cell r="H3596" t="str">
            <v>博兴县陈户镇桥子村卫生室</v>
          </cell>
          <cell r="J3596" t="str">
            <v>1858</v>
          </cell>
          <cell r="K3596" t="str">
            <v>201602151421097</v>
          </cell>
          <cell r="M3596" t="str">
            <v>双黄连粉针剂600mg</v>
          </cell>
        </row>
        <row r="3597">
          <cell r="E3597" t="str">
            <v>0020030020ZYLC0010</v>
          </cell>
          <cell r="H3597" t="str">
            <v>无棣益生堂药店连锁有限公司</v>
          </cell>
          <cell r="J3597" t="str">
            <v>1856</v>
          </cell>
          <cell r="K3597" t="str">
            <v>201602151421097</v>
          </cell>
          <cell r="M3597" t="str">
            <v>乳酸菌素片0.4g*12片*3板</v>
          </cell>
        </row>
        <row r="3598">
          <cell r="E3598" t="str">
            <v>0020030001SJZY0006</v>
          </cell>
          <cell r="H3598" t="str">
            <v>杜店崔山山诊所</v>
          </cell>
          <cell r="J3598" t="str">
            <v>1853</v>
          </cell>
          <cell r="K3598" t="str">
            <v>201602151421097</v>
          </cell>
          <cell r="M3598" t="str">
            <v>葡萄糖酸钙口服溶液10ml*12支</v>
          </cell>
        </row>
        <row r="3599">
          <cell r="E3599" t="str">
            <v>0020070000SJZY0001</v>
          </cell>
          <cell r="H3599" t="str">
            <v>杜店崔山山诊所</v>
          </cell>
          <cell r="J3599" t="str">
            <v>1853</v>
          </cell>
          <cell r="K3599" t="str">
            <v>201602151421097</v>
          </cell>
          <cell r="M3599" t="str">
            <v>葡萄糖酸锌口服溶液10ml*12支</v>
          </cell>
        </row>
        <row r="3600">
          <cell r="E3600" t="str">
            <v>0020030001SJZY0006</v>
          </cell>
          <cell r="H3600" t="str">
            <v>滨州市瑞丰医药连锁经营有限责任公司</v>
          </cell>
          <cell r="J3600" t="str">
            <v>1853</v>
          </cell>
          <cell r="K3600" t="str">
            <v>201602151421097</v>
          </cell>
          <cell r="M3600" t="str">
            <v>葡萄糖酸钙口服溶液10ml*12支</v>
          </cell>
        </row>
        <row r="3601">
          <cell r="E3601" t="str">
            <v>0020030040SHYT0010</v>
          </cell>
          <cell r="H3601" t="str">
            <v>吴苟李村卫生室</v>
          </cell>
          <cell r="J3601" t="str">
            <v>1757</v>
          </cell>
          <cell r="K3601" t="str">
            <v>201602151421097</v>
          </cell>
          <cell r="M3601" t="str">
            <v>布洛芬颗粒0.2g*12袋</v>
          </cell>
        </row>
        <row r="3602">
          <cell r="E3602" t="str">
            <v>0020030032ZYZC0300</v>
          </cell>
          <cell r="H3602" t="str">
            <v>邹平园春堂医药有限公司</v>
          </cell>
          <cell r="J3602" t="str">
            <v>1859</v>
          </cell>
          <cell r="K3602" t="str">
            <v>201602151421097</v>
          </cell>
          <cell r="M3602" t="str">
            <v>维生素E软胶囊30粒</v>
          </cell>
        </row>
        <row r="3603">
          <cell r="E3603" t="str">
            <v>0020070000ZYLC0001</v>
          </cell>
          <cell r="H3603" t="str">
            <v>滨州市恒康医药连锁有限公司</v>
          </cell>
          <cell r="J3603" t="str">
            <v>1853</v>
          </cell>
          <cell r="K3603" t="str">
            <v>201602151421097</v>
          </cell>
          <cell r="M3603" t="str">
            <v>新盖中盖牌高钙片2.5g*36片</v>
          </cell>
        </row>
        <row r="3604">
          <cell r="E3604" t="str">
            <v>0020070001ZYZC0369</v>
          </cell>
          <cell r="H3604" t="str">
            <v>麻店镇麻店街卫生所</v>
          </cell>
          <cell r="J3604" t="str">
            <v>1854</v>
          </cell>
          <cell r="K3604" t="str">
            <v>201602151421097</v>
          </cell>
          <cell r="M3604" t="str">
            <v>哈药牌钙铁锌口服液10ml*12支</v>
          </cell>
        </row>
        <row r="3605">
          <cell r="E3605" t="str">
            <v>0020030020SJSC0004</v>
          </cell>
          <cell r="H3605" t="str">
            <v>滨州市滨城区泰华堂大药房</v>
          </cell>
          <cell r="J3605" t="str">
            <v>1853</v>
          </cell>
          <cell r="K3605" t="str">
            <v>201602151421097</v>
          </cell>
          <cell r="M3605" t="str">
            <v>复方铝酸铋片50片</v>
          </cell>
        </row>
        <row r="3606">
          <cell r="E3606" t="str">
            <v>0020070000ZYLC0001</v>
          </cell>
          <cell r="H3606" t="str">
            <v>滨州市住房和城乡建设局卫生所</v>
          </cell>
          <cell r="J3606" t="str">
            <v>1853</v>
          </cell>
          <cell r="K3606" t="str">
            <v>201602151421097</v>
          </cell>
          <cell r="M3606" t="str">
            <v>新盖中盖牌高钙片2.5g*36片</v>
          </cell>
        </row>
        <row r="3607">
          <cell r="E3607" t="str">
            <v>0020070000ZYLC0001</v>
          </cell>
          <cell r="H3607" t="str">
            <v>博兴县济生堂大药店</v>
          </cell>
          <cell r="J3607" t="str">
            <v>1858</v>
          </cell>
          <cell r="K3607" t="str">
            <v>201602151421097</v>
          </cell>
          <cell r="M3607" t="str">
            <v>新盖中盖牌高钙片2.5g*36片</v>
          </cell>
        </row>
        <row r="3608">
          <cell r="E3608" t="str">
            <v>0020030040ZYLC0001</v>
          </cell>
          <cell r="H3608" t="str">
            <v>山东弘旭医药连锁经营有限公司</v>
          </cell>
          <cell r="J3608" t="str">
            <v>1853</v>
          </cell>
          <cell r="K3608" t="str">
            <v>201602151421097</v>
          </cell>
          <cell r="M3608" t="str">
            <v>小儿氨酚黄那敏颗粒12袋</v>
          </cell>
        </row>
        <row r="3609">
          <cell r="E3609" t="str">
            <v>0020070001ZYZC0383</v>
          </cell>
          <cell r="H3609" t="str">
            <v>阳信初心医院</v>
          </cell>
          <cell r="J3609" t="str">
            <v>1855</v>
          </cell>
          <cell r="K3609" t="str">
            <v>201602151421097</v>
          </cell>
          <cell r="M3609" t="str">
            <v>哈药牌钙铁锌口服液10ml*10支</v>
          </cell>
        </row>
        <row r="3610">
          <cell r="E3610" t="str">
            <v>0020030001SJZY0006</v>
          </cell>
          <cell r="H3610" t="str">
            <v>邹平县方正医药有限公司</v>
          </cell>
          <cell r="J3610" t="str">
            <v>1859</v>
          </cell>
          <cell r="K3610" t="str">
            <v>201602151421097</v>
          </cell>
          <cell r="M3610" t="str">
            <v>葡萄糖酸钙口服溶液10ml*12支</v>
          </cell>
        </row>
        <row r="3611">
          <cell r="E3611" t="str">
            <v>0020070001ZYLC0001</v>
          </cell>
          <cell r="H3611" t="str">
            <v>邹平园春堂医药有限公司</v>
          </cell>
          <cell r="J3611" t="str">
            <v>1859</v>
          </cell>
          <cell r="K3611" t="str">
            <v>201602151421097</v>
          </cell>
          <cell r="M3611" t="str">
            <v>哈药六钙锌口服液10ml*12支</v>
          </cell>
        </row>
        <row r="3612">
          <cell r="E3612" t="str">
            <v>0020030020ZYLC0010</v>
          </cell>
          <cell r="H3612" t="str">
            <v>利津县万德福大药房</v>
          </cell>
          <cell r="J3612" t="str">
            <v>1757</v>
          </cell>
          <cell r="K3612" t="str">
            <v>201602151421097</v>
          </cell>
          <cell r="M3612" t="str">
            <v>乳酸菌素片0.4g*12片*3板</v>
          </cell>
        </row>
        <row r="3613">
          <cell r="E3613" t="str">
            <v>0020070001ZYLC0001</v>
          </cell>
          <cell r="H3613" t="str">
            <v>吴苟李村卫生室</v>
          </cell>
          <cell r="J3613" t="str">
            <v>1757</v>
          </cell>
          <cell r="K3613" t="str">
            <v>201602151421097</v>
          </cell>
          <cell r="M3613" t="str">
            <v>哈药六钙锌口服液10ml*12支</v>
          </cell>
        </row>
        <row r="3614">
          <cell r="E3614" t="str">
            <v>0020070000SJZY0001</v>
          </cell>
          <cell r="H3614" t="str">
            <v>滨州市滨城区市西办事处春晖社区卫生服务站</v>
          </cell>
          <cell r="J3614" t="str">
            <v>1853</v>
          </cell>
          <cell r="K3614" t="str">
            <v>201602151421097</v>
          </cell>
          <cell r="M3614" t="str">
            <v>葡萄糖酸锌口服溶液10ml*12支</v>
          </cell>
        </row>
        <row r="3615">
          <cell r="E3615" t="str">
            <v>0020030001SJZY0006</v>
          </cell>
          <cell r="H3615" t="str">
            <v>凯芳诊所</v>
          </cell>
          <cell r="J3615" t="str">
            <v>1857</v>
          </cell>
          <cell r="K3615" t="str">
            <v>201602151421097</v>
          </cell>
          <cell r="M3615" t="str">
            <v>葡萄糖酸钙口服溶液10ml*12支</v>
          </cell>
        </row>
        <row r="3616">
          <cell r="E3616" t="str">
            <v>0020030001SJZY0006</v>
          </cell>
          <cell r="H3616" t="str">
            <v>市东办事处华天社区卫生服务站</v>
          </cell>
          <cell r="J3616" t="str">
            <v>1853</v>
          </cell>
          <cell r="K3616" t="str">
            <v>201602151421097</v>
          </cell>
          <cell r="M3616" t="str">
            <v>葡萄糖酸钙口服溶液10ml*12支</v>
          </cell>
        </row>
        <row r="3617">
          <cell r="E3617" t="str">
            <v>0020070000SJZY0001</v>
          </cell>
          <cell r="H3617" t="str">
            <v>市东办事处华天社区卫生服务站</v>
          </cell>
          <cell r="J3617" t="str">
            <v>1853</v>
          </cell>
          <cell r="K3617" t="str">
            <v>201602151421097</v>
          </cell>
          <cell r="M3617" t="str">
            <v>葡萄糖酸锌口服溶液10ml*12支</v>
          </cell>
        </row>
        <row r="3618">
          <cell r="E3618" t="str">
            <v>0020070000SJZY0001</v>
          </cell>
          <cell r="H3618" t="str">
            <v>滨城李翔云诊所</v>
          </cell>
          <cell r="J3618" t="str">
            <v>1853</v>
          </cell>
          <cell r="K3618" t="str">
            <v>201602151421097</v>
          </cell>
          <cell r="M3618" t="str">
            <v>葡萄糖酸锌口服溶液10ml*12支</v>
          </cell>
        </row>
        <row r="3619">
          <cell r="E3619" t="str">
            <v>0020020021ZYZC0341</v>
          </cell>
          <cell r="H3619" t="str">
            <v>惠民县班班大药房</v>
          </cell>
          <cell r="J3619" t="str">
            <v>1854</v>
          </cell>
          <cell r="K3619" t="str">
            <v>201602151421097</v>
          </cell>
          <cell r="M3619" t="str">
            <v>阿莫西林克拉维酸钾分散片0.2285g*12片</v>
          </cell>
        </row>
        <row r="3620">
          <cell r="E3620" t="str">
            <v>0020030020ZYLC0010</v>
          </cell>
          <cell r="H3620" t="str">
            <v>滨城区市东街道办事处毕家第二卫生室</v>
          </cell>
          <cell r="J3620" t="str">
            <v>1853</v>
          </cell>
          <cell r="K3620" t="str">
            <v>201602151421097</v>
          </cell>
          <cell r="M3620" t="str">
            <v>乳酸菌素片0.4g*12片*3板</v>
          </cell>
        </row>
        <row r="3621">
          <cell r="E3621" t="str">
            <v>0020020021ZYLC0010</v>
          </cell>
          <cell r="H3621" t="str">
            <v>滨城区市东街道办事处毕家第二卫生室</v>
          </cell>
          <cell r="J3621" t="str">
            <v>1853</v>
          </cell>
          <cell r="K3621" t="str">
            <v>201602151421097</v>
          </cell>
          <cell r="M3621" t="str">
            <v>克拉霉素分散片0.125g*12片</v>
          </cell>
        </row>
        <row r="3622">
          <cell r="E3622" t="str">
            <v>0020020021ZYLC0005</v>
          </cell>
          <cell r="H3622" t="str">
            <v>滨城区市东街道办事处毕家第二卫生室</v>
          </cell>
          <cell r="J3622" t="str">
            <v>1853</v>
          </cell>
          <cell r="K3622" t="str">
            <v>201602151421097</v>
          </cell>
          <cell r="M3622" t="str">
            <v>罗红霉素分散片50mg*12片</v>
          </cell>
        </row>
        <row r="3623">
          <cell r="E3623" t="str">
            <v>0020020021ZYLC0011</v>
          </cell>
          <cell r="H3623" t="str">
            <v>滨城区市东街道办事处毕家第二卫生室</v>
          </cell>
          <cell r="J3623" t="str">
            <v>1853</v>
          </cell>
          <cell r="K3623" t="str">
            <v>201602151421097</v>
          </cell>
          <cell r="M3623" t="str">
            <v>罗红霉素分散片150mg*12片</v>
          </cell>
        </row>
        <row r="3624">
          <cell r="E3624" t="str">
            <v>0020030020SJSC0004</v>
          </cell>
          <cell r="H3624" t="str">
            <v>高新区小营办事处愉悦城中心卫生室</v>
          </cell>
          <cell r="J3624" t="str">
            <v>1853</v>
          </cell>
          <cell r="K3624" t="str">
            <v>201602151421097</v>
          </cell>
          <cell r="M3624" t="str">
            <v>复方铝酸铋片50片</v>
          </cell>
        </row>
        <row r="3625">
          <cell r="E3625" t="str">
            <v>0020030001SJZY0006</v>
          </cell>
          <cell r="H3625" t="str">
            <v>博兴县悦康大药店</v>
          </cell>
          <cell r="J3625" t="str">
            <v>1858</v>
          </cell>
          <cell r="K3625" t="str">
            <v>201602151421097</v>
          </cell>
          <cell r="M3625" t="str">
            <v>葡萄糖酸钙口服溶液10ml*12支</v>
          </cell>
        </row>
        <row r="3626">
          <cell r="E3626" t="str">
            <v>0020070000SJZY0001</v>
          </cell>
          <cell r="H3626" t="str">
            <v>博兴县悦康大药店</v>
          </cell>
          <cell r="J3626" t="str">
            <v>1858</v>
          </cell>
          <cell r="K3626" t="str">
            <v>201602151421097</v>
          </cell>
          <cell r="M3626" t="str">
            <v>葡萄糖酸锌口服溶液10ml*12支</v>
          </cell>
        </row>
        <row r="3627">
          <cell r="E3627" t="str">
            <v>0020030020ZYLC0010</v>
          </cell>
          <cell r="H3627" t="str">
            <v>滨城张卫国诊所</v>
          </cell>
          <cell r="J3627" t="str">
            <v>1853</v>
          </cell>
          <cell r="K3627" t="str">
            <v>201602151421097</v>
          </cell>
          <cell r="M3627" t="str">
            <v>乳酸菌素片0.4g*12片*3板</v>
          </cell>
        </row>
        <row r="3628">
          <cell r="E3628" t="str">
            <v>0020030020SJSC0004</v>
          </cell>
          <cell r="H3628" t="str">
            <v>滨州益民堂大药房有限公司</v>
          </cell>
          <cell r="J3628" t="str">
            <v>1853</v>
          </cell>
          <cell r="K3628" t="str">
            <v>201602151421097</v>
          </cell>
          <cell r="M3628" t="str">
            <v>复方铝酸铋片50片</v>
          </cell>
        </row>
        <row r="3629">
          <cell r="E3629" t="str">
            <v>0020070001ZYLC0001</v>
          </cell>
          <cell r="H3629" t="str">
            <v>滨州益民堂大药房有限公司</v>
          </cell>
          <cell r="J3629" t="str">
            <v>1853</v>
          </cell>
          <cell r="K3629" t="str">
            <v>201602151421097</v>
          </cell>
          <cell r="M3629" t="str">
            <v>哈药六钙锌口服液10ml*12支</v>
          </cell>
        </row>
        <row r="3630">
          <cell r="E3630" t="str">
            <v>0020030001SJZY0006</v>
          </cell>
          <cell r="H3630" t="str">
            <v>滨城李翔云诊所</v>
          </cell>
          <cell r="J3630" t="str">
            <v>1853</v>
          </cell>
          <cell r="K3630" t="str">
            <v>201602151421097</v>
          </cell>
          <cell r="M3630" t="str">
            <v>葡萄糖酸钙口服溶液10ml*12支</v>
          </cell>
        </row>
        <row r="3631">
          <cell r="E3631" t="str">
            <v>0020030020ZYLC0010</v>
          </cell>
          <cell r="H3631" t="str">
            <v>滨城区北镇街道办事处化工社区卫生服务站</v>
          </cell>
          <cell r="J3631" t="str">
            <v>1853</v>
          </cell>
          <cell r="K3631" t="str">
            <v>201602151421097</v>
          </cell>
          <cell r="M3631" t="str">
            <v>乳酸菌素片0.4g*12片*3板</v>
          </cell>
        </row>
        <row r="3632">
          <cell r="E3632" t="str">
            <v>0020030170ZYEC0003</v>
          </cell>
          <cell r="H3632" t="str">
            <v>高新区小营社区门诊</v>
          </cell>
          <cell r="J3632" t="str">
            <v>1853</v>
          </cell>
          <cell r="K3632" t="str">
            <v>201602151421097</v>
          </cell>
          <cell r="M3632" t="str">
            <v>蒙脱石散3g*12袋</v>
          </cell>
        </row>
        <row r="3633">
          <cell r="E3633" t="str">
            <v>0020070000SJZY0001</v>
          </cell>
          <cell r="H3633" t="str">
            <v>邹平县方正医药有限公司</v>
          </cell>
          <cell r="J3633" t="str">
            <v>1859</v>
          </cell>
          <cell r="K3633" t="str">
            <v>201602151421097</v>
          </cell>
          <cell r="M3633" t="str">
            <v>葡萄糖酸锌口服溶液10ml*12支</v>
          </cell>
        </row>
        <row r="3634">
          <cell r="E3634" t="str">
            <v>0020020030SJMS0024</v>
          </cell>
          <cell r="H3634" t="str">
            <v>邹平县方正医药有限公司</v>
          </cell>
          <cell r="J3634" t="str">
            <v>1859</v>
          </cell>
          <cell r="K3634" t="str">
            <v>201602151421097</v>
          </cell>
          <cell r="M3634" t="str">
            <v>人工牛黄甲硝唑胶囊20粒</v>
          </cell>
        </row>
        <row r="3635">
          <cell r="E3635" t="str">
            <v>0020030020SJSC0025</v>
          </cell>
          <cell r="H3635" t="str">
            <v>邹平县方正医药有限公司</v>
          </cell>
          <cell r="J3635" t="str">
            <v>1859</v>
          </cell>
          <cell r="K3635" t="str">
            <v>201602151421097</v>
          </cell>
          <cell r="M3635" t="str">
            <v>复方氨酚烷胺片12片</v>
          </cell>
        </row>
        <row r="3636">
          <cell r="E3636" t="str">
            <v>0020040220SHYT0004</v>
          </cell>
          <cell r="H3636" t="str">
            <v>邹平县方正医药有限公司</v>
          </cell>
          <cell r="J3636" t="str">
            <v>1859</v>
          </cell>
          <cell r="K3636" t="str">
            <v>201602151421097</v>
          </cell>
          <cell r="M3636" t="str">
            <v>妇宁栓1.6g*8粒</v>
          </cell>
        </row>
        <row r="3637">
          <cell r="E3637" t="str">
            <v>0020070001ZYLC0001</v>
          </cell>
          <cell r="H3637" t="str">
            <v>山东弘旭医药连锁经营有限公司</v>
          </cell>
          <cell r="J3637" t="str">
            <v>1853</v>
          </cell>
          <cell r="K3637" t="str">
            <v>201602151421097</v>
          </cell>
          <cell r="M3637" t="str">
            <v>哈药六钙锌口服液10ml*12支</v>
          </cell>
        </row>
        <row r="3638">
          <cell r="E3638" t="str">
            <v>0020070001ZYLC0001</v>
          </cell>
          <cell r="H3638" t="str">
            <v>滨州市滨源医药连锁有限公司</v>
          </cell>
          <cell r="J3638" t="str">
            <v>1853</v>
          </cell>
          <cell r="K3638" t="str">
            <v>201602151421097</v>
          </cell>
          <cell r="M3638" t="str">
            <v>哈药六钙锌口服液10ml*12支</v>
          </cell>
        </row>
        <row r="3639">
          <cell r="E3639" t="str">
            <v>0020070001ZYZC0383</v>
          </cell>
          <cell r="H3639" t="str">
            <v>滨州市滨源医药连锁有限公司</v>
          </cell>
          <cell r="J3639" t="str">
            <v>1853</v>
          </cell>
          <cell r="K3639" t="str">
            <v>201602151421097</v>
          </cell>
          <cell r="M3639" t="str">
            <v>哈药牌钙铁锌口服液10ml*10支</v>
          </cell>
        </row>
        <row r="3640">
          <cell r="E3640" t="str">
            <v>0020020020ZYLC0010</v>
          </cell>
          <cell r="H3640" t="str">
            <v>滨州市滨源医药连锁有限公司</v>
          </cell>
          <cell r="J3640" t="str">
            <v>1853</v>
          </cell>
          <cell r="K3640" t="str">
            <v>201602151421097</v>
          </cell>
          <cell r="M3640" t="str">
            <v>颠茄磺苄啶片10片/瓶</v>
          </cell>
        </row>
        <row r="3641">
          <cell r="E3641" t="str">
            <v>0020030020SJSC0004</v>
          </cell>
          <cell r="H3641" t="str">
            <v>滨州盛泰医药连锁有限公司</v>
          </cell>
          <cell r="J3641" t="str">
            <v>1858</v>
          </cell>
          <cell r="K3641" t="str">
            <v>201602151421097</v>
          </cell>
          <cell r="M3641" t="str">
            <v>复方铝酸铋片50片</v>
          </cell>
        </row>
        <row r="3642">
          <cell r="E3642" t="str">
            <v>0020070000SJZY0001</v>
          </cell>
          <cell r="H3642" t="str">
            <v>滨州盛泰医药连锁有限公司</v>
          </cell>
          <cell r="J3642" t="str">
            <v>1858</v>
          </cell>
          <cell r="K3642" t="str">
            <v>201602151421097</v>
          </cell>
          <cell r="M3642" t="str">
            <v>葡萄糖酸锌口服溶液10ml*12支</v>
          </cell>
        </row>
        <row r="3643">
          <cell r="E3643" t="str">
            <v>0020020021ZYLC0012</v>
          </cell>
          <cell r="H3643" t="str">
            <v>滨州盛泰医药连锁有限公司</v>
          </cell>
          <cell r="J3643" t="str">
            <v>1858</v>
          </cell>
          <cell r="K3643" t="str">
            <v>201602151421097</v>
          </cell>
          <cell r="M3643" t="str">
            <v>阿奇霉素分散片0.25g*6片</v>
          </cell>
        </row>
        <row r="3644">
          <cell r="E3644" t="str">
            <v>0020020030ZYZC0289</v>
          </cell>
          <cell r="H3644" t="str">
            <v>滨州盛泰医药连锁有限公司</v>
          </cell>
          <cell r="J3644" t="str">
            <v>1858</v>
          </cell>
          <cell r="K3644" t="str">
            <v>201602151421097</v>
          </cell>
          <cell r="M3644" t="str">
            <v>阿莫西林胶囊0.5g*36粒</v>
          </cell>
        </row>
        <row r="3645">
          <cell r="E3645" t="str">
            <v>0020070000ZYLC0051</v>
          </cell>
          <cell r="H3645" t="str">
            <v>滨州盛泰医药连锁有限公司</v>
          </cell>
          <cell r="J3645" t="str">
            <v>1858</v>
          </cell>
          <cell r="K3645" t="str">
            <v>201602151421097</v>
          </cell>
          <cell r="M3645" t="str">
            <v>朴雪乳酸亚铁口服液10ml*12支</v>
          </cell>
        </row>
        <row r="3646">
          <cell r="E3646" t="str">
            <v>0020070001ZYLC0001</v>
          </cell>
          <cell r="H3646" t="str">
            <v>滨州盛泰医药连锁有限公司</v>
          </cell>
          <cell r="J3646" t="str">
            <v>1858</v>
          </cell>
          <cell r="K3646" t="str">
            <v>201602151421097</v>
          </cell>
          <cell r="M3646" t="str">
            <v>哈药六钙锌口服液10ml*12支</v>
          </cell>
        </row>
        <row r="3647">
          <cell r="E3647" t="str">
            <v>0020030001SJZY0006</v>
          </cell>
          <cell r="H3647" t="str">
            <v>滨城魏玲玲诊所</v>
          </cell>
          <cell r="J3647" t="str">
            <v>1853</v>
          </cell>
          <cell r="K3647" t="str">
            <v>201602151421097</v>
          </cell>
          <cell r="M3647" t="str">
            <v>葡萄糖酸钙口服溶液10ml*12支</v>
          </cell>
        </row>
        <row r="3648">
          <cell r="E3648" t="str">
            <v>0020030001SJZY0006</v>
          </cell>
          <cell r="H3648" t="str">
            <v>滨城区市东街道办事处坊子第二卫生室</v>
          </cell>
          <cell r="J3648" t="str">
            <v>1853</v>
          </cell>
          <cell r="K3648" t="str">
            <v>201602151421097</v>
          </cell>
          <cell r="M3648" t="str">
            <v>葡萄糖酸钙口服溶液10ml*12支</v>
          </cell>
        </row>
        <row r="3649">
          <cell r="E3649" t="str">
            <v>0020070000SJZY0001</v>
          </cell>
          <cell r="H3649" t="str">
            <v>滨城区市东街道办事处坊子第二卫生室</v>
          </cell>
          <cell r="J3649" t="str">
            <v>1853</v>
          </cell>
          <cell r="K3649" t="str">
            <v>201602151421097</v>
          </cell>
          <cell r="M3649" t="str">
            <v>葡萄糖酸锌口服溶液10ml*12支</v>
          </cell>
        </row>
        <row r="3650">
          <cell r="E3650" t="str">
            <v>0020030020ZYLC0010</v>
          </cell>
          <cell r="H3650" t="str">
            <v>滨州市北海经济开发区马山子镇济堂药店</v>
          </cell>
          <cell r="J3650" t="str">
            <v>1856</v>
          </cell>
          <cell r="K3650" t="str">
            <v>201602151421097</v>
          </cell>
          <cell r="M3650" t="str">
            <v>乳酸菌素片0.4g*12片*3板</v>
          </cell>
        </row>
        <row r="3651">
          <cell r="E3651" t="str">
            <v>0020050090SJZY0001</v>
          </cell>
          <cell r="H3651" t="str">
            <v>邹平仁益医药连锁有限公司</v>
          </cell>
          <cell r="J3651" t="str">
            <v>1859</v>
          </cell>
          <cell r="K3651" t="str">
            <v>201602151421097</v>
          </cell>
          <cell r="M3651" t="str">
            <v>双黄连口服液10ml*10支</v>
          </cell>
        </row>
        <row r="3652">
          <cell r="E3652" t="str">
            <v>0020020021ZYLC0012</v>
          </cell>
          <cell r="H3652" t="str">
            <v>邹平仁益医药连锁有限公司</v>
          </cell>
          <cell r="J3652" t="str">
            <v>1859</v>
          </cell>
          <cell r="K3652" t="str">
            <v>201602151421097</v>
          </cell>
          <cell r="M3652" t="str">
            <v>阿奇霉素分散片0.25g*6片</v>
          </cell>
        </row>
        <row r="3653">
          <cell r="E3653" t="str">
            <v>0020030170ZYEC0003</v>
          </cell>
          <cell r="H3653" t="str">
            <v>邹平县金正医药连锁有限公司</v>
          </cell>
          <cell r="J3653" t="str">
            <v>1859</v>
          </cell>
          <cell r="K3653" t="str">
            <v>201602151421097</v>
          </cell>
          <cell r="M3653" t="str">
            <v>蒙脱石散3g*12袋</v>
          </cell>
        </row>
        <row r="3654">
          <cell r="E3654" t="str">
            <v>0020030001SJZY0006</v>
          </cell>
          <cell r="H3654" t="str">
            <v>麻店镇麻店街卫生所</v>
          </cell>
          <cell r="J3654" t="str">
            <v>1854</v>
          </cell>
          <cell r="K3654" t="str">
            <v>201602151421097</v>
          </cell>
          <cell r="M3654" t="str">
            <v>葡萄糖酸钙口服溶液10ml*12支</v>
          </cell>
        </row>
        <row r="3655">
          <cell r="E3655" t="str">
            <v>0020070001ZYLC0001</v>
          </cell>
          <cell r="H3655" t="str">
            <v>邹平县方正医药有限公司</v>
          </cell>
          <cell r="J3655" t="str">
            <v>1859</v>
          </cell>
          <cell r="K3655" t="str">
            <v>201602151421097</v>
          </cell>
          <cell r="M3655" t="str">
            <v>哈药六钙锌口服液10ml*12支</v>
          </cell>
        </row>
        <row r="3656">
          <cell r="E3656" t="str">
            <v>0020050090SJZY0001</v>
          </cell>
          <cell r="H3656" t="str">
            <v>滨城区市东街道办事处毕家第二卫生室</v>
          </cell>
          <cell r="J3656" t="str">
            <v>1853</v>
          </cell>
          <cell r="K3656" t="str">
            <v>201602151421097</v>
          </cell>
          <cell r="M3656" t="str">
            <v>双黄连口服液10ml*10支</v>
          </cell>
        </row>
        <row r="3657">
          <cell r="E3657" t="str">
            <v>0020070000SJZY0001</v>
          </cell>
          <cell r="H3657" t="str">
            <v>滨城区市东街道办事处清怡社区卫生服务站</v>
          </cell>
          <cell r="J3657" t="str">
            <v>1853</v>
          </cell>
          <cell r="K3657" t="str">
            <v>201602151421097</v>
          </cell>
          <cell r="M3657" t="str">
            <v>葡萄糖酸锌口服溶液10ml*12支</v>
          </cell>
        </row>
        <row r="3658">
          <cell r="E3658" t="str">
            <v>0020030001SJZY0006</v>
          </cell>
          <cell r="H3658" t="str">
            <v>博兴县金颖医药连锁三店</v>
          </cell>
          <cell r="J3658" t="str">
            <v>1858</v>
          </cell>
          <cell r="K3658" t="str">
            <v>201602151421097</v>
          </cell>
          <cell r="M3658" t="str">
            <v>葡萄糖酸钙口服溶液10ml*12支</v>
          </cell>
        </row>
        <row r="3659">
          <cell r="E3659" t="str">
            <v>0020030001SJZY0006</v>
          </cell>
          <cell r="H3659" t="str">
            <v>博兴县金颖医药连锁二店</v>
          </cell>
          <cell r="J3659" t="str">
            <v>1858</v>
          </cell>
          <cell r="K3659" t="str">
            <v>201602151421097</v>
          </cell>
          <cell r="M3659" t="str">
            <v>葡萄糖酸钙口服溶液10ml*12支</v>
          </cell>
        </row>
        <row r="3660">
          <cell r="E3660" t="str">
            <v>0020030001SJZY0006</v>
          </cell>
          <cell r="H3660" t="str">
            <v>博兴县金颖医药连锁一店</v>
          </cell>
          <cell r="J3660" t="str">
            <v>1858</v>
          </cell>
          <cell r="K3660" t="str">
            <v>201602151421097</v>
          </cell>
          <cell r="M3660" t="str">
            <v>葡萄糖酸钙口服溶液10ml*12支</v>
          </cell>
        </row>
        <row r="3661">
          <cell r="E3661" t="str">
            <v>0020030001SJZY0006</v>
          </cell>
          <cell r="H3661" t="str">
            <v>博兴县金颖医药连锁五店</v>
          </cell>
          <cell r="J3661" t="str">
            <v>1858</v>
          </cell>
          <cell r="K3661" t="str">
            <v>201602151421097</v>
          </cell>
          <cell r="M3661" t="str">
            <v>葡萄糖酸钙口服溶液10ml*12支</v>
          </cell>
        </row>
        <row r="3662">
          <cell r="E3662" t="str">
            <v>0020030001SJZY0006</v>
          </cell>
          <cell r="H3662" t="str">
            <v>博兴县金颖大药房</v>
          </cell>
          <cell r="J3662" t="str">
            <v>1858</v>
          </cell>
          <cell r="K3662" t="str">
            <v>201602151421097</v>
          </cell>
          <cell r="M3662" t="str">
            <v>葡萄糖酸钙口服溶液10ml*12支</v>
          </cell>
        </row>
        <row r="3663">
          <cell r="E3663" t="str">
            <v>0020030001SJZY0006</v>
          </cell>
          <cell r="H3663" t="str">
            <v>博兴县康源大药房有限公司</v>
          </cell>
          <cell r="J3663" t="str">
            <v>1858</v>
          </cell>
          <cell r="K3663" t="str">
            <v>201602151421097</v>
          </cell>
          <cell r="M3663" t="str">
            <v>葡萄糖酸钙口服溶液10ml*12支</v>
          </cell>
        </row>
        <row r="3664">
          <cell r="E3664" t="str">
            <v>0020070000SJZY0001</v>
          </cell>
          <cell r="H3664" t="str">
            <v>博兴县康源大药房有限公司</v>
          </cell>
          <cell r="J3664" t="str">
            <v>1858</v>
          </cell>
          <cell r="K3664" t="str">
            <v>201602151421097</v>
          </cell>
          <cell r="M3664" t="str">
            <v>葡萄糖酸锌口服溶液10ml*12支</v>
          </cell>
        </row>
        <row r="3665">
          <cell r="E3665" t="str">
            <v>0020040030SHYT0002</v>
          </cell>
          <cell r="H3665" t="str">
            <v>杜店李俊杰诊所</v>
          </cell>
          <cell r="J3665" t="str">
            <v>1853</v>
          </cell>
          <cell r="K3665" t="str">
            <v>201602151421097</v>
          </cell>
          <cell r="M3665" t="str">
            <v>牛黄消炎片24片</v>
          </cell>
        </row>
        <row r="3666">
          <cell r="E3666" t="str">
            <v>0020030001SJZY0006</v>
          </cell>
          <cell r="H3666" t="str">
            <v>无棣县佘家镇顺昌百姓大药房</v>
          </cell>
          <cell r="J3666" t="str">
            <v>1856</v>
          </cell>
          <cell r="K3666" t="str">
            <v>201602151421097</v>
          </cell>
          <cell r="M3666" t="str">
            <v>葡萄糖酸钙口服溶液10ml*12支</v>
          </cell>
        </row>
        <row r="3667">
          <cell r="E3667" t="str">
            <v>0020030020ZYLC0010</v>
          </cell>
          <cell r="H3667" t="str">
            <v>滨州市沾化区滨海卫生室</v>
          </cell>
          <cell r="J3667" t="str">
            <v>1857</v>
          </cell>
          <cell r="K3667" t="str">
            <v>201602151421097</v>
          </cell>
          <cell r="M3667" t="str">
            <v>乳酸菌素片0.4g*12片*3板</v>
          </cell>
        </row>
        <row r="3668">
          <cell r="E3668" t="str">
            <v>0020030001SJZY0006</v>
          </cell>
          <cell r="H3668" t="str">
            <v>惠民县广军康宁大药房有限公司</v>
          </cell>
          <cell r="J3668" t="str">
            <v>1854</v>
          </cell>
          <cell r="K3668" t="str">
            <v>201602151421097</v>
          </cell>
          <cell r="M3668" t="str">
            <v>葡萄糖酸钙口服溶液10ml*12支</v>
          </cell>
        </row>
        <row r="3669">
          <cell r="E3669" t="str">
            <v>0020030020SJSC0004</v>
          </cell>
          <cell r="H3669" t="str">
            <v>滨城区三河湖镇曹桥村卫生室</v>
          </cell>
          <cell r="J3669" t="str">
            <v>1853</v>
          </cell>
          <cell r="K3669" t="str">
            <v>201602151421097</v>
          </cell>
          <cell r="M3669" t="str">
            <v>复方铝酸铋片50片</v>
          </cell>
        </row>
        <row r="3670">
          <cell r="E3670" t="str">
            <v>0020050090SJZY0001</v>
          </cell>
          <cell r="H3670" t="str">
            <v>高青县黄河路大众药店</v>
          </cell>
          <cell r="J3670" t="str">
            <v>1744</v>
          </cell>
          <cell r="K3670" t="str">
            <v>201602151421097</v>
          </cell>
          <cell r="M3670" t="str">
            <v>双黄连口服液10ml*10支</v>
          </cell>
        </row>
        <row r="3671">
          <cell r="E3671" t="str">
            <v>0020020020ZYLC0010</v>
          </cell>
          <cell r="H3671" t="str">
            <v>高青县黄河路大众药店</v>
          </cell>
          <cell r="J3671" t="str">
            <v>1744</v>
          </cell>
          <cell r="K3671" t="str">
            <v>201602151421097</v>
          </cell>
          <cell r="M3671" t="str">
            <v>颠茄磺苄啶片10片/瓶</v>
          </cell>
        </row>
        <row r="3672">
          <cell r="E3672" t="str">
            <v>0020030020SJSC0004</v>
          </cell>
          <cell r="H3672" t="str">
            <v>邹平博祥医药连锁有限公司</v>
          </cell>
          <cell r="J3672" t="str">
            <v>1859</v>
          </cell>
          <cell r="K3672" t="str">
            <v>201602151421097</v>
          </cell>
          <cell r="M3672" t="str">
            <v>复方铝酸铋片50片</v>
          </cell>
        </row>
        <row r="3673">
          <cell r="E3673" t="str">
            <v>0020020030SJMS0025</v>
          </cell>
          <cell r="H3673" t="str">
            <v>阳信瑞丰诊所</v>
          </cell>
          <cell r="J3673" t="str">
            <v>1855</v>
          </cell>
          <cell r="K3673" t="str">
            <v>201602151421097</v>
          </cell>
          <cell r="M3673" t="str">
            <v>人工牛黄甲硝唑胶囊30粒</v>
          </cell>
        </row>
        <row r="3674">
          <cell r="E3674" t="str">
            <v>0020020030SJMS0025</v>
          </cell>
          <cell r="H3674" t="str">
            <v>滨城梅玲口腔诊所</v>
          </cell>
          <cell r="J3674" t="str">
            <v>1853</v>
          </cell>
          <cell r="K3674" t="str">
            <v>201602151421097</v>
          </cell>
          <cell r="M3674" t="str">
            <v>人工牛黄甲硝唑胶囊30粒</v>
          </cell>
        </row>
        <row r="3675">
          <cell r="E3675" t="str">
            <v>0020070000ZYLC0001</v>
          </cell>
          <cell r="H3675" t="str">
            <v>滨城区市西街道办事处徐家第二卫生室</v>
          </cell>
          <cell r="J3675" t="str">
            <v>1853</v>
          </cell>
          <cell r="K3675" t="str">
            <v>201602151421097</v>
          </cell>
          <cell r="M3675" t="str">
            <v>新盖中盖牌高钙片2.5g*36片</v>
          </cell>
        </row>
        <row r="3676">
          <cell r="E3676" t="str">
            <v>0020030040ZYLC0001</v>
          </cell>
          <cell r="H3676" t="str">
            <v>滨州市康健医药有限公司</v>
          </cell>
          <cell r="J3676" t="str">
            <v>1853</v>
          </cell>
          <cell r="K3676" t="str">
            <v>201602151421097</v>
          </cell>
          <cell r="M3676" t="str">
            <v>小儿氨酚黄那敏颗粒12袋</v>
          </cell>
        </row>
        <row r="3677">
          <cell r="E3677" t="str">
            <v>0020070000ZYLC0001</v>
          </cell>
          <cell r="H3677" t="str">
            <v>滨州市康健医药有限公司</v>
          </cell>
          <cell r="J3677" t="str">
            <v>1853</v>
          </cell>
          <cell r="K3677" t="str">
            <v>201602151421097</v>
          </cell>
          <cell r="M3677" t="str">
            <v>新盖中盖牌高钙片2.5g*36片</v>
          </cell>
        </row>
        <row r="3678">
          <cell r="E3678" t="str">
            <v>0020020030SJMS0025</v>
          </cell>
          <cell r="H3678" t="str">
            <v>滨州市北海经济开发区马山子镇济堂药店</v>
          </cell>
          <cell r="J3678" t="str">
            <v>1856</v>
          </cell>
          <cell r="K3678" t="str">
            <v>201602151421097</v>
          </cell>
          <cell r="M3678" t="str">
            <v>人工牛黄甲硝唑胶囊30粒</v>
          </cell>
        </row>
        <row r="3679">
          <cell r="E3679" t="str">
            <v>0020020021ZYZC0341</v>
          </cell>
          <cell r="H3679" t="str">
            <v>邹平县方正医药有限公司</v>
          </cell>
          <cell r="J3679" t="str">
            <v>1859</v>
          </cell>
          <cell r="K3679" t="str">
            <v>201602151421097</v>
          </cell>
          <cell r="M3679" t="str">
            <v>阿莫西林克拉维酸钾分散片0.2285g*12片</v>
          </cell>
        </row>
        <row r="3680">
          <cell r="E3680" t="str">
            <v>0020070000ZYLC0001</v>
          </cell>
          <cell r="H3680" t="str">
            <v>吴苟李村卫生室</v>
          </cell>
          <cell r="J3680" t="str">
            <v>1757</v>
          </cell>
          <cell r="K3680" t="str">
            <v>201602151421097</v>
          </cell>
          <cell r="M3680" t="str">
            <v>新盖中盖牌高钙片2.5g*36片</v>
          </cell>
        </row>
        <row r="3681">
          <cell r="E3681" t="str">
            <v>0020030001SJZY0006</v>
          </cell>
          <cell r="H3681" t="str">
            <v>邹平县泰康大药房有限公司</v>
          </cell>
          <cell r="J3681" t="str">
            <v>1859</v>
          </cell>
          <cell r="K3681" t="str">
            <v>201602151421097</v>
          </cell>
          <cell r="M3681" t="str">
            <v>葡萄糖酸钙口服溶液10ml*12支</v>
          </cell>
        </row>
        <row r="3682">
          <cell r="E3682" t="str">
            <v>0020070000SJZY0001</v>
          </cell>
          <cell r="H3682" t="str">
            <v>邹平县泰康大药房有限公司</v>
          </cell>
          <cell r="J3682" t="str">
            <v>1859</v>
          </cell>
          <cell r="K3682" t="str">
            <v>201602151421097</v>
          </cell>
          <cell r="M3682" t="str">
            <v>葡萄糖酸锌口服溶液10ml*12支</v>
          </cell>
        </row>
        <row r="3683">
          <cell r="E3683" t="str">
            <v>0020050090SJZY0001</v>
          </cell>
          <cell r="H3683" t="str">
            <v>邹平县泰康大药房有限公司</v>
          </cell>
          <cell r="J3683" t="str">
            <v>1859</v>
          </cell>
          <cell r="K3683" t="str">
            <v>201602151421097</v>
          </cell>
          <cell r="M3683" t="str">
            <v>双黄连口服液10ml*10支</v>
          </cell>
        </row>
        <row r="3684">
          <cell r="E3684" t="str">
            <v>0020020020ZYLC0010</v>
          </cell>
          <cell r="H3684" t="str">
            <v>邹平县泰康大药房有限公司</v>
          </cell>
          <cell r="J3684" t="str">
            <v>1859</v>
          </cell>
          <cell r="K3684" t="str">
            <v>201602151421097</v>
          </cell>
          <cell r="M3684" t="str">
            <v>颠茄磺苄啶片10片/瓶</v>
          </cell>
        </row>
        <row r="3685">
          <cell r="E3685" t="str">
            <v>0020030001SJZY0006</v>
          </cell>
          <cell r="H3685" t="str">
            <v>邹平百盛医药连锁有限公司</v>
          </cell>
          <cell r="J3685" t="str">
            <v>1859</v>
          </cell>
          <cell r="K3685" t="str">
            <v>201602151421097</v>
          </cell>
          <cell r="M3685" t="str">
            <v>葡萄糖酸钙口服溶液10ml*12支</v>
          </cell>
        </row>
        <row r="3686">
          <cell r="E3686" t="str">
            <v>0020030001SJZY0006</v>
          </cell>
          <cell r="H3686" t="str">
            <v>山东无棣医药公司</v>
          </cell>
          <cell r="J3686" t="str">
            <v>1856</v>
          </cell>
          <cell r="K3686" t="str">
            <v>201602151421097</v>
          </cell>
          <cell r="M3686" t="str">
            <v>葡萄糖酸钙口服溶液10ml*12支</v>
          </cell>
        </row>
        <row r="3687">
          <cell r="E3687" t="str">
            <v>0020050090SJZY0001</v>
          </cell>
          <cell r="H3687" t="str">
            <v>山东无棣医药公司</v>
          </cell>
          <cell r="J3687" t="str">
            <v>1856</v>
          </cell>
          <cell r="K3687" t="str">
            <v>201602151421097</v>
          </cell>
          <cell r="M3687" t="str">
            <v>双黄连口服液10ml*10支</v>
          </cell>
        </row>
        <row r="3688">
          <cell r="E3688" t="str">
            <v>0020020021ZYLC0005</v>
          </cell>
          <cell r="H3688" t="str">
            <v>山东无棣医药公司</v>
          </cell>
          <cell r="J3688" t="str">
            <v>1856</v>
          </cell>
          <cell r="K3688" t="str">
            <v>201602151421097</v>
          </cell>
          <cell r="M3688" t="str">
            <v>罗红霉素分散片50mg*12片</v>
          </cell>
        </row>
        <row r="3689">
          <cell r="E3689" t="str">
            <v>0020030040ZYLC0001</v>
          </cell>
          <cell r="H3689" t="str">
            <v>山东无棣医药公司</v>
          </cell>
          <cell r="J3689" t="str">
            <v>1856</v>
          </cell>
          <cell r="K3689" t="str">
            <v>201602151421097</v>
          </cell>
          <cell r="M3689" t="str">
            <v>小儿氨酚黄那敏颗粒12袋</v>
          </cell>
        </row>
        <row r="3690">
          <cell r="E3690" t="str">
            <v>0020070000ZYLC0051</v>
          </cell>
          <cell r="H3690" t="str">
            <v>山东无棣医药公司</v>
          </cell>
          <cell r="J3690" t="str">
            <v>1856</v>
          </cell>
          <cell r="K3690" t="str">
            <v>201602151421097</v>
          </cell>
          <cell r="M3690" t="str">
            <v>朴雪乳酸亚铁口服液10ml*12支</v>
          </cell>
        </row>
        <row r="3691">
          <cell r="E3691" t="str">
            <v>0020070000ZYLC0003</v>
          </cell>
          <cell r="H3691" t="str">
            <v>山东无棣医药公司</v>
          </cell>
          <cell r="J3691" t="str">
            <v>1856</v>
          </cell>
          <cell r="K3691" t="str">
            <v>201602151421097</v>
          </cell>
          <cell r="M3691" t="str">
            <v>新盖中盖牌儿童钙片36片</v>
          </cell>
        </row>
        <row r="3692">
          <cell r="E3692" t="str">
            <v>0020020030SJMS0025</v>
          </cell>
          <cell r="H3692" t="str">
            <v>滨城谢凤树诊所</v>
          </cell>
          <cell r="J3692" t="str">
            <v>1853</v>
          </cell>
          <cell r="K3692" t="str">
            <v>201602151421097</v>
          </cell>
          <cell r="M3692" t="str">
            <v>人工牛黄甲硝唑胶囊30粒</v>
          </cell>
        </row>
        <row r="3693">
          <cell r="E3693" t="str">
            <v>0020020021ZYLC0005</v>
          </cell>
          <cell r="H3693" t="str">
            <v>滨城谢凤树诊所</v>
          </cell>
          <cell r="J3693" t="str">
            <v>1853</v>
          </cell>
          <cell r="K3693" t="str">
            <v>201602151421097</v>
          </cell>
          <cell r="M3693" t="str">
            <v>罗红霉素分散片50mg*12片</v>
          </cell>
        </row>
        <row r="3694">
          <cell r="E3694" t="str">
            <v>0020020021ZYLC0004</v>
          </cell>
          <cell r="H3694" t="str">
            <v>滨城谢凤树诊所</v>
          </cell>
          <cell r="J3694" t="str">
            <v>1853</v>
          </cell>
          <cell r="K3694" t="str">
            <v>201602151421097</v>
          </cell>
          <cell r="M3694" t="str">
            <v>罗红霉素分散片75mg*12片</v>
          </cell>
        </row>
        <row r="3695">
          <cell r="E3695" t="str">
            <v>0020020020ZYLC0003</v>
          </cell>
          <cell r="H3695" t="str">
            <v>滨城区彭李街道办事处卜家卫生室</v>
          </cell>
          <cell r="J3695" t="str">
            <v>1853</v>
          </cell>
          <cell r="K3695" t="str">
            <v>201602151421097</v>
          </cell>
          <cell r="M3695" t="str">
            <v>颠茄磺苄啶片12片</v>
          </cell>
        </row>
        <row r="3696">
          <cell r="E3696" t="str">
            <v>0020020020ZYLC0010</v>
          </cell>
          <cell r="H3696" t="str">
            <v>滨城刘拥真诊所</v>
          </cell>
          <cell r="J3696" t="str">
            <v>1853</v>
          </cell>
          <cell r="K3696" t="str">
            <v>201602151421097</v>
          </cell>
          <cell r="M3696" t="str">
            <v>颠茄磺苄啶片10片/瓶</v>
          </cell>
        </row>
        <row r="3697">
          <cell r="E3697" t="str">
            <v>0020050090SJZY0001</v>
          </cell>
          <cell r="H3697" t="str">
            <v>博兴县瑞康药房</v>
          </cell>
          <cell r="J3697" t="str">
            <v>1858</v>
          </cell>
          <cell r="K3697" t="str">
            <v>201602151421097</v>
          </cell>
          <cell r="M3697" t="str">
            <v>双黄连口服液10ml*10支</v>
          </cell>
        </row>
        <row r="3698">
          <cell r="E3698" t="str">
            <v>0020020021ZYLC0005</v>
          </cell>
          <cell r="H3698" t="str">
            <v>博兴县瑞康药房</v>
          </cell>
          <cell r="J3698" t="str">
            <v>1858</v>
          </cell>
          <cell r="K3698" t="str">
            <v>201602151421097</v>
          </cell>
          <cell r="M3698" t="str">
            <v>罗红霉素分散片50mg*12片</v>
          </cell>
        </row>
        <row r="3699">
          <cell r="E3699" t="str">
            <v>0020050090ZYEC0005</v>
          </cell>
          <cell r="H3699" t="str">
            <v>博兴县瑞康药房</v>
          </cell>
          <cell r="J3699" t="str">
            <v>1858</v>
          </cell>
          <cell r="K3699" t="str">
            <v>201602151421097</v>
          </cell>
          <cell r="M3699" t="str">
            <v>清热解毒口服液10ml*10支</v>
          </cell>
        </row>
        <row r="3700">
          <cell r="E3700" t="str">
            <v>0020020021ZYLC0012</v>
          </cell>
          <cell r="H3700" t="str">
            <v>滨州市滨城区彭李街道办事处阳光社区卫生服务站</v>
          </cell>
          <cell r="J3700" t="str">
            <v>1853</v>
          </cell>
          <cell r="K3700" t="str">
            <v>201602151421097</v>
          </cell>
          <cell r="M3700" t="str">
            <v>阿奇霉素分散片0.25g*6片</v>
          </cell>
        </row>
        <row r="3701">
          <cell r="E3701" t="str">
            <v>0020070001ZYZC0383</v>
          </cell>
          <cell r="H3701" t="str">
            <v>滨州市滨城区彭李街道办事处阳光社区卫生服务站</v>
          </cell>
          <cell r="J3701" t="str">
            <v>1853</v>
          </cell>
          <cell r="K3701" t="str">
            <v>201602151421097</v>
          </cell>
          <cell r="M3701" t="str">
            <v>哈药牌钙铁锌口服液10ml*10支</v>
          </cell>
        </row>
        <row r="3702">
          <cell r="E3702" t="str">
            <v>0020070000ZYLC0051</v>
          </cell>
          <cell r="H3702" t="str">
            <v>信城街道接官亭村第一卫生室</v>
          </cell>
          <cell r="J3702" t="str">
            <v>1855</v>
          </cell>
          <cell r="K3702" t="str">
            <v>201602151421097</v>
          </cell>
          <cell r="M3702" t="str">
            <v>朴雪乳酸亚铁口服液10ml*12支</v>
          </cell>
        </row>
        <row r="3703">
          <cell r="E3703" t="str">
            <v>0020030032ZYZC0300</v>
          </cell>
          <cell r="H3703" t="str">
            <v>滨城瑞慷医院</v>
          </cell>
          <cell r="J3703" t="str">
            <v>1853</v>
          </cell>
          <cell r="K3703" t="str">
            <v>201602151421097</v>
          </cell>
          <cell r="M3703" t="str">
            <v>维生素E软胶囊30粒</v>
          </cell>
        </row>
        <row r="3704">
          <cell r="E3704" t="str">
            <v>0020070001ZYLC0001</v>
          </cell>
          <cell r="H3704" t="str">
            <v>高新国峰诊所</v>
          </cell>
          <cell r="J3704" t="str">
            <v>1853</v>
          </cell>
          <cell r="K3704" t="str">
            <v>201602151421097</v>
          </cell>
          <cell r="M3704" t="str">
            <v>哈药六钙锌口服液10ml*12支</v>
          </cell>
        </row>
        <row r="3705">
          <cell r="E3705" t="str">
            <v>0020070001ZYLC0001</v>
          </cell>
          <cell r="H3705" t="str">
            <v>邹平百盛医药连锁有限公司</v>
          </cell>
          <cell r="J3705" t="str">
            <v>1859</v>
          </cell>
          <cell r="K3705" t="str">
            <v>201602151421097</v>
          </cell>
          <cell r="M3705" t="str">
            <v>哈药六钙锌口服液10ml*12支</v>
          </cell>
        </row>
        <row r="3706">
          <cell r="E3706" t="str">
            <v>0020070001ZYLC0001</v>
          </cell>
          <cell r="H3706" t="str">
            <v>沾化国瑞医药连锁有限责任公司</v>
          </cell>
          <cell r="J3706" t="str">
            <v>1857</v>
          </cell>
          <cell r="K3706" t="str">
            <v>201602151421097</v>
          </cell>
          <cell r="M3706" t="str">
            <v>哈药六钙锌口服液10ml*12支</v>
          </cell>
        </row>
        <row r="3707">
          <cell r="E3707" t="str">
            <v>0020070001ZYLC0001</v>
          </cell>
          <cell r="H3707" t="str">
            <v>山东无棣医药公司</v>
          </cell>
          <cell r="J3707" t="str">
            <v>1856</v>
          </cell>
          <cell r="K3707" t="str">
            <v>201602151421097</v>
          </cell>
          <cell r="M3707" t="str">
            <v>哈药六钙锌口服液10ml*12支</v>
          </cell>
        </row>
        <row r="3708">
          <cell r="E3708" t="str">
            <v>0020040001SHYT0018</v>
          </cell>
          <cell r="H3708" t="str">
            <v>滨城区彭李街道办事处张课第一卫生室</v>
          </cell>
          <cell r="J3708" t="str">
            <v>1853</v>
          </cell>
          <cell r="K3708" t="str">
            <v>201602151421097</v>
          </cell>
          <cell r="M3708" t="str">
            <v>血府逐瘀丸9g*10丸</v>
          </cell>
        </row>
        <row r="3709">
          <cell r="E3709" t="str">
            <v>0020040001SHYT0018</v>
          </cell>
          <cell r="H3709" t="str">
            <v>邹平县方正医药有限公司</v>
          </cell>
          <cell r="J3709" t="str">
            <v>1859</v>
          </cell>
          <cell r="K3709" t="str">
            <v>201602151421097</v>
          </cell>
          <cell r="M3709" t="str">
            <v>血府逐瘀丸9g*10丸</v>
          </cell>
        </row>
        <row r="3710">
          <cell r="E3710" t="str">
            <v>0020070001ZYZC0383</v>
          </cell>
          <cell r="H3710" t="str">
            <v>中邮医药滨州连锁有限公司</v>
          </cell>
          <cell r="J3710" t="str">
            <v>1853</v>
          </cell>
          <cell r="K3710" t="str">
            <v>201602151421097</v>
          </cell>
          <cell r="M3710" t="str">
            <v>哈药牌钙铁锌口服液10ml*10支</v>
          </cell>
        </row>
        <row r="3711">
          <cell r="E3711" t="str">
            <v>0020030001SJZY0006</v>
          </cell>
          <cell r="H3711" t="str">
            <v>滨州市修正堂医药有限公司</v>
          </cell>
          <cell r="J3711" t="str">
            <v>1853</v>
          </cell>
          <cell r="K3711" t="str">
            <v>201602151421097</v>
          </cell>
          <cell r="M3711" t="str">
            <v>葡萄糖酸钙口服溶液10ml*12支</v>
          </cell>
        </row>
        <row r="3712">
          <cell r="E3712" t="str">
            <v>0020020020ZYLC0010</v>
          </cell>
          <cell r="H3712" t="str">
            <v>利津县康泰药店</v>
          </cell>
          <cell r="J3712" t="str">
            <v>1757</v>
          </cell>
          <cell r="K3712" t="str">
            <v>201602151421097</v>
          </cell>
          <cell r="M3712" t="str">
            <v>颠茄磺苄啶片10片/瓶</v>
          </cell>
        </row>
        <row r="3713">
          <cell r="E3713" t="str">
            <v>0020020021ZYLC0011</v>
          </cell>
          <cell r="H3713" t="str">
            <v>滨州市北海经济开发区马山子镇济堂药店</v>
          </cell>
          <cell r="J3713" t="str">
            <v>1856</v>
          </cell>
          <cell r="K3713" t="str">
            <v>201602151421097</v>
          </cell>
          <cell r="M3713" t="str">
            <v>罗红霉素分散片150mg*12片</v>
          </cell>
        </row>
        <row r="3714">
          <cell r="E3714" t="str">
            <v>0020070001ZYLC0001</v>
          </cell>
          <cell r="H3714" t="str">
            <v>滨州市北海经济开发区马山子镇济堂药店</v>
          </cell>
          <cell r="J3714" t="str">
            <v>1856</v>
          </cell>
          <cell r="K3714" t="str">
            <v>201602151421097</v>
          </cell>
          <cell r="M3714" t="str">
            <v>哈药六钙锌口服液10ml*12支</v>
          </cell>
        </row>
        <row r="3715">
          <cell r="E3715" t="str">
            <v>0020030001SJZY0006</v>
          </cell>
          <cell r="H3715" t="str">
            <v>滨城区滨北街道办事处利民社区卫生服务站</v>
          </cell>
          <cell r="J3715" t="str">
            <v>1853</v>
          </cell>
          <cell r="K3715" t="str">
            <v>201602151421097</v>
          </cell>
          <cell r="M3715" t="str">
            <v>葡萄糖酸钙口服溶液10ml*12支</v>
          </cell>
        </row>
        <row r="3716">
          <cell r="E3716" t="str">
            <v>0020030170ZYEC0003</v>
          </cell>
          <cell r="H3716" t="str">
            <v>山东省惠民县梦之康大药房连锁有限公司</v>
          </cell>
          <cell r="J3716" t="str">
            <v>1854</v>
          </cell>
          <cell r="K3716" t="str">
            <v>201602151421097</v>
          </cell>
          <cell r="M3716" t="str">
            <v>蒙脱石散3g*12袋</v>
          </cell>
        </row>
        <row r="3717">
          <cell r="E3717" t="str">
            <v>0020030001SJZY0006</v>
          </cell>
          <cell r="H3717" t="str">
            <v>商店镇桑西社区卫生室</v>
          </cell>
          <cell r="J3717" t="str">
            <v>1855</v>
          </cell>
          <cell r="K3717" t="str">
            <v>201602151421097</v>
          </cell>
          <cell r="M3717" t="str">
            <v>葡萄糖酸钙口服溶液（含糖）10ml*12支</v>
          </cell>
        </row>
        <row r="3718">
          <cell r="E3718" t="str">
            <v>0020030020SJSC0004</v>
          </cell>
          <cell r="H3718" t="str">
            <v>商店镇魏宅社区卫生室</v>
          </cell>
          <cell r="J3718" t="str">
            <v>1855</v>
          </cell>
          <cell r="K3718" t="str">
            <v>201602151421097</v>
          </cell>
          <cell r="M3718" t="str">
            <v>胃必治/复方铝酸铋片50片</v>
          </cell>
        </row>
        <row r="3719">
          <cell r="E3719" t="str">
            <v>0020030020SJSC0017</v>
          </cell>
          <cell r="H3719" t="str">
            <v>滨城区市西办事处大有崔第三卫生室</v>
          </cell>
          <cell r="J3719" t="str">
            <v>1853</v>
          </cell>
          <cell r="K3719" t="str">
            <v>201602151421097</v>
          </cell>
          <cell r="M3719" t="str">
            <v>维D2磷酸氢钙片80片</v>
          </cell>
        </row>
        <row r="3720">
          <cell r="E3720" t="str">
            <v>0020020021ZYLC0005</v>
          </cell>
          <cell r="H3720" t="str">
            <v>阳信县百姓大药房医药连锁有限公司</v>
          </cell>
          <cell r="J3720" t="str">
            <v>1855</v>
          </cell>
          <cell r="K3720" t="str">
            <v>201602151421097</v>
          </cell>
          <cell r="M3720" t="str">
            <v>小儿严迪片/罗红霉素分散片50mg*12片</v>
          </cell>
        </row>
        <row r="3721">
          <cell r="E3721" t="str">
            <v>0020020020ZYLC0010</v>
          </cell>
          <cell r="H3721" t="str">
            <v>阳信康复中心诊所</v>
          </cell>
          <cell r="J3721" t="str">
            <v>1855</v>
          </cell>
          <cell r="K3721" t="str">
            <v>201602151421097</v>
          </cell>
          <cell r="M3721" t="str">
            <v xml:space="preserve">泻利停/颠茄磺苄啶片0.48g*10片 </v>
          </cell>
        </row>
        <row r="3722">
          <cell r="E3722" t="str">
            <v>0020030020SJSC0004</v>
          </cell>
          <cell r="H3722" t="str">
            <v>惠民县石庙镇源奎大药房</v>
          </cell>
          <cell r="J3722" t="str">
            <v>1854</v>
          </cell>
          <cell r="K3722" t="str">
            <v>201602151421097</v>
          </cell>
          <cell r="M3722" t="str">
            <v>胃必治/复方铝酸铋片50片</v>
          </cell>
        </row>
        <row r="3723">
          <cell r="E3723" t="str">
            <v>0020030020ZYZC0362</v>
          </cell>
          <cell r="H3723" t="str">
            <v>商店镇贾家社区卫生室</v>
          </cell>
          <cell r="J3723" t="str">
            <v>1855</v>
          </cell>
          <cell r="K3723" t="str">
            <v>201602151421097</v>
          </cell>
          <cell r="M3723" t="str">
            <v>格列齐特片80mg*60片</v>
          </cell>
        </row>
        <row r="3724">
          <cell r="E3724" t="str">
            <v>0020050020ZYEC0019</v>
          </cell>
          <cell r="H3724" t="str">
            <v>商店镇贾家社区卫生室</v>
          </cell>
          <cell r="J3724" t="str">
            <v>1855</v>
          </cell>
          <cell r="K3724" t="str">
            <v>201602151421097</v>
          </cell>
          <cell r="M3724" t="str">
            <v>双黄连颗粒（无蔗糖）5g*10袋</v>
          </cell>
        </row>
        <row r="3725">
          <cell r="E3725" t="str">
            <v>0020020013ZYZC0491</v>
          </cell>
          <cell r="H3725" t="str">
            <v>惠民永康诊所</v>
          </cell>
          <cell r="J3725" t="str">
            <v>1854</v>
          </cell>
          <cell r="K3725" t="str">
            <v>201602151421097</v>
          </cell>
          <cell r="M3725" t="str">
            <v>阿奇针/注射用乳糖酸阿奇霉素针0.25g</v>
          </cell>
        </row>
        <row r="3726">
          <cell r="E3726" t="str">
            <v>0020020021ZYLC0005</v>
          </cell>
          <cell r="H3726" t="str">
            <v>滨州市沾化区为民医药连锁有限公司</v>
          </cell>
          <cell r="J3726" t="str">
            <v>1857</v>
          </cell>
          <cell r="K3726" t="str">
            <v>201602151421097</v>
          </cell>
          <cell r="M3726" t="str">
            <v>小儿严迪片/罗红霉素分散片50mg*12片</v>
          </cell>
        </row>
        <row r="3727">
          <cell r="E3727" t="str">
            <v>0020070000SJZY0001</v>
          </cell>
          <cell r="H3727" t="str">
            <v>沾化县康宁诊所</v>
          </cell>
          <cell r="J3727" t="str">
            <v>1857</v>
          </cell>
          <cell r="K3727" t="str">
            <v>201602151421097</v>
          </cell>
          <cell r="M3727" t="str">
            <v>葡萄糖酸锌口服液10ML*12支</v>
          </cell>
        </row>
        <row r="3728">
          <cell r="E3728" t="str">
            <v>0020020021ZYLC0005</v>
          </cell>
          <cell r="H3728" t="str">
            <v>沾化县康宁诊所</v>
          </cell>
          <cell r="J3728" t="str">
            <v>1857</v>
          </cell>
          <cell r="K3728" t="str">
            <v>201602151421097</v>
          </cell>
          <cell r="M3728" t="str">
            <v>小儿严迪片/罗红霉素分散片50mg*12片</v>
          </cell>
        </row>
        <row r="3729">
          <cell r="E3729" t="str">
            <v>0020020021ZYZC0341</v>
          </cell>
          <cell r="H3729" t="str">
            <v>滨州市益生园大药房连锁有限公司</v>
          </cell>
          <cell r="J3729" t="str">
            <v>1858</v>
          </cell>
          <cell r="K3729" t="str">
            <v>201602151421097</v>
          </cell>
          <cell r="M3729" t="str">
            <v>阿莫西林克拉维酸钾7:1分散片（胜艾）0.2285g*12片</v>
          </cell>
        </row>
        <row r="3730">
          <cell r="E3730" t="str">
            <v>0020020030ZYZC0283</v>
          </cell>
          <cell r="H3730" t="str">
            <v>滨州市益生园大药房连锁有限公司</v>
          </cell>
          <cell r="J3730" t="str">
            <v>1858</v>
          </cell>
          <cell r="K3730" t="str">
            <v>201602151421097</v>
          </cell>
          <cell r="M3730" t="str">
            <v>头孢拉定胶囊0.25g*24粒</v>
          </cell>
        </row>
        <row r="3731">
          <cell r="E3731" t="str">
            <v>0020020030ZYZC0511</v>
          </cell>
          <cell r="H3731" t="str">
            <v>滨州市益生园大药房连锁有限公司</v>
          </cell>
          <cell r="J3731" t="str">
            <v>1858</v>
          </cell>
          <cell r="K3731" t="str">
            <v>201602151421097</v>
          </cell>
          <cell r="M3731" t="str">
            <v>头孢氨苄胶囊0.125g*20粒</v>
          </cell>
        </row>
        <row r="3732">
          <cell r="E3732" t="str">
            <v>0020020020ZYZC0359</v>
          </cell>
          <cell r="H3732" t="str">
            <v>滨州市益生园大药房连锁有限公司</v>
          </cell>
          <cell r="J3732" t="str">
            <v>1858</v>
          </cell>
          <cell r="K3732" t="str">
            <v>201602151421097</v>
          </cell>
          <cell r="M3732" t="str">
            <v>青霉素V钾片（仙芬）0.236g*24片</v>
          </cell>
        </row>
        <row r="3733">
          <cell r="E3733" t="str">
            <v>0020040020SHYT0007</v>
          </cell>
          <cell r="H3733" t="str">
            <v>滨州市益生园大药房连锁有限公司</v>
          </cell>
          <cell r="J3733" t="str">
            <v>1858</v>
          </cell>
          <cell r="K3733" t="str">
            <v>201602151421097</v>
          </cell>
          <cell r="M3733" t="str">
            <v>丹佛胃尔康颗粒10g*6袋</v>
          </cell>
        </row>
        <row r="3734">
          <cell r="E3734" t="str">
            <v>0020020030ZYZC0264</v>
          </cell>
          <cell r="H3734" t="str">
            <v>滨州市益生园大药房连锁有限公司</v>
          </cell>
          <cell r="J3734" t="str">
            <v>1858</v>
          </cell>
          <cell r="K3734" t="str">
            <v>201602151421097</v>
          </cell>
          <cell r="M3734" t="str">
            <v>阿莫西林胶囊0.5g*20粒</v>
          </cell>
        </row>
        <row r="3735">
          <cell r="E3735" t="str">
            <v>0020040070ZYEC0005</v>
          </cell>
          <cell r="H3735" t="str">
            <v>滨州市益生园大药房连锁有限公司</v>
          </cell>
          <cell r="J3735" t="str">
            <v>1858</v>
          </cell>
          <cell r="K3735" t="str">
            <v>201602151421097</v>
          </cell>
          <cell r="M3735" t="str">
            <v>小儿百部止咳糖浆100ml</v>
          </cell>
        </row>
        <row r="3736">
          <cell r="E3736" t="str">
            <v>0020030040ZYLC0001</v>
          </cell>
          <cell r="H3736" t="str">
            <v>沾化国瑞医药连锁有限责任公司</v>
          </cell>
          <cell r="J3736" t="str">
            <v>1857</v>
          </cell>
          <cell r="K3736" t="str">
            <v>201602151421097</v>
          </cell>
          <cell r="M3736" t="str">
            <v>护彤冲剂/小儿氨酚黄那敏颗粒2g*12袋</v>
          </cell>
        </row>
        <row r="3737">
          <cell r="E3737" t="str">
            <v>0020030020SJSC0004</v>
          </cell>
          <cell r="H3737" t="str">
            <v>恒泰社区卫生室</v>
          </cell>
          <cell r="J3737" t="str">
            <v>1855</v>
          </cell>
          <cell r="K3737" t="str">
            <v>201602151421097</v>
          </cell>
          <cell r="M3737" t="str">
            <v>胃必治/复方铝酸铋片50片</v>
          </cell>
        </row>
        <row r="3738">
          <cell r="E3738" t="str">
            <v>0020020021ZYLC0005</v>
          </cell>
          <cell r="H3738" t="str">
            <v>沾化静康诊所</v>
          </cell>
          <cell r="J3738" t="str">
            <v>1857</v>
          </cell>
          <cell r="K3738" t="str">
            <v>201602151421097</v>
          </cell>
          <cell r="M3738" t="str">
            <v>小儿严迪片/罗红霉素分散片50mg*12片</v>
          </cell>
        </row>
        <row r="3739">
          <cell r="E3739" t="str">
            <v>0020020012SWGC0007</v>
          </cell>
          <cell r="H3739" t="str">
            <v>信诚街道接官亭村第一卫生室</v>
          </cell>
          <cell r="J3739" t="str">
            <v>1855</v>
          </cell>
          <cell r="K3739" t="str">
            <v>201602151421097</v>
          </cell>
          <cell r="M3739" t="str">
            <v>注射用奥美拉唑钠40mg*10z</v>
          </cell>
        </row>
        <row r="3740">
          <cell r="E3740" t="str">
            <v>0020070000SJZY0001</v>
          </cell>
          <cell r="H3740" t="str">
            <v>山东张氏君安医药有限公司</v>
          </cell>
          <cell r="J3740" t="str">
            <v>1853</v>
          </cell>
          <cell r="K3740" t="str">
            <v>201602151421097</v>
          </cell>
          <cell r="M3740" t="str">
            <v>葡萄糖酸锌口服液10ML*12支</v>
          </cell>
        </row>
        <row r="3741">
          <cell r="E3741" t="str">
            <v>0020030020ZYLC0013</v>
          </cell>
          <cell r="H3741" t="str">
            <v>邹平县魏桥镇里八田中心卫生室</v>
          </cell>
          <cell r="J3741" t="str">
            <v>1859</v>
          </cell>
          <cell r="K3741" t="str">
            <v>201602151421097</v>
          </cell>
          <cell r="M3741" t="str">
            <v>“为消”牌乳酸菌素片0.4g*36片</v>
          </cell>
        </row>
        <row r="3742">
          <cell r="E3742" t="str">
            <v>0020020020ZYLC0003</v>
          </cell>
          <cell r="H3742" t="str">
            <v>阳信县仁和堂医药连锁有限公司</v>
          </cell>
          <cell r="J3742" t="str">
            <v>1855</v>
          </cell>
          <cell r="K3742" t="str">
            <v>201602151421097</v>
          </cell>
          <cell r="M3742" t="str">
            <v>泻立停片/颠茄磺苄啶片0.4g：80mg：8mg*12片</v>
          </cell>
        </row>
        <row r="3743">
          <cell r="E3743" t="str">
            <v>0020020030ZYZC0511</v>
          </cell>
          <cell r="H3743" t="str">
            <v>阳信县商店镇瑞康平民药店</v>
          </cell>
          <cell r="J3743" t="str">
            <v>1855</v>
          </cell>
          <cell r="K3743" t="str">
            <v>201602151421097</v>
          </cell>
          <cell r="M3743" t="str">
            <v>头孢氨苄胶囊0.125g*20粒</v>
          </cell>
        </row>
        <row r="3744">
          <cell r="E3744" t="str">
            <v>0020070000ZYLC0001</v>
          </cell>
          <cell r="H3744" t="str">
            <v>阳信县商店镇瑞康平民药店</v>
          </cell>
          <cell r="J3744" t="str">
            <v>1855</v>
          </cell>
          <cell r="K3744" t="str">
            <v>201602151421097</v>
          </cell>
          <cell r="M3744" t="str">
            <v>新盖中盖高钙片2.5g*36P</v>
          </cell>
        </row>
        <row r="3745">
          <cell r="E3745" t="str">
            <v>0020020040ZYZC0304</v>
          </cell>
          <cell r="H3745" t="str">
            <v>阳信县商店镇瑞康平民药店</v>
          </cell>
          <cell r="J3745" t="str">
            <v>1855</v>
          </cell>
          <cell r="K3745" t="str">
            <v>201602151421097</v>
          </cell>
          <cell r="M3745" t="str">
            <v>阿莫西林颗粒0.125g*12袋</v>
          </cell>
        </row>
        <row r="3746">
          <cell r="E3746" t="str">
            <v>0020020030ZYZC0283</v>
          </cell>
          <cell r="H3746" t="str">
            <v>阳信县商店镇瑞康平民药店</v>
          </cell>
          <cell r="J3746" t="str">
            <v>1855</v>
          </cell>
          <cell r="K3746" t="str">
            <v>201602151421097</v>
          </cell>
          <cell r="M3746" t="str">
            <v>头孢拉定胶囊0.25g*24粒</v>
          </cell>
        </row>
        <row r="3747">
          <cell r="E3747" t="str">
            <v>0020050020ZYEC0019</v>
          </cell>
          <cell r="H3747" t="str">
            <v>阳信县商店镇瑞康平民药店</v>
          </cell>
          <cell r="J3747" t="str">
            <v>1855</v>
          </cell>
          <cell r="K3747" t="str">
            <v>201602151421097</v>
          </cell>
          <cell r="M3747" t="str">
            <v>双黄连颗粒（无蔗糖）5g*10袋</v>
          </cell>
        </row>
        <row r="3748">
          <cell r="E3748" t="str">
            <v>0020030020ZYLC0013</v>
          </cell>
          <cell r="H3748" t="str">
            <v>惠民正一堂诊所</v>
          </cell>
          <cell r="J3748" t="str">
            <v>1854</v>
          </cell>
          <cell r="K3748" t="str">
            <v>201602151421097</v>
          </cell>
          <cell r="M3748" t="str">
            <v>“为消”牌乳酸菌素片0.4g*36片</v>
          </cell>
        </row>
        <row r="3749">
          <cell r="E3749" t="str">
            <v>0020020020ZYLC0005</v>
          </cell>
          <cell r="H3749" t="str">
            <v>阳信县商店镇瑞康平民药店</v>
          </cell>
          <cell r="J3749" t="str">
            <v>1855</v>
          </cell>
          <cell r="K3749" t="str">
            <v>201602151421097</v>
          </cell>
          <cell r="M3749" t="str">
            <v>盐酸氟桂利嗪片20片</v>
          </cell>
        </row>
        <row r="3750">
          <cell r="E3750" t="str">
            <v>0020040020SHYT0007</v>
          </cell>
          <cell r="H3750" t="str">
            <v>滨州市滨城区市西街道办事处利民社区第二卫生服务站</v>
          </cell>
          <cell r="J3750" t="str">
            <v>1853</v>
          </cell>
          <cell r="K3750" t="str">
            <v>201602151421097</v>
          </cell>
          <cell r="M3750" t="str">
            <v>丹佛胃尔康颗粒10g*6袋</v>
          </cell>
        </row>
        <row r="3751">
          <cell r="E3751" t="str">
            <v>0020070000ZYLC0051</v>
          </cell>
          <cell r="H3751" t="str">
            <v>滨州市滨城区市西街道办事处利民社区第二卫生服务站</v>
          </cell>
          <cell r="J3751" t="str">
            <v>1853</v>
          </cell>
          <cell r="K3751" t="str">
            <v>201602151421097</v>
          </cell>
          <cell r="M3751" t="str">
            <v>朴血/乳酸亚铁口服液10ml*12支</v>
          </cell>
        </row>
        <row r="3752">
          <cell r="E3752" t="str">
            <v>0020040001SHYT0028</v>
          </cell>
          <cell r="H3752" t="str">
            <v>滨州市滨城区市西街道办事处利民社区第二卫生服务站</v>
          </cell>
          <cell r="J3752" t="str">
            <v>1853</v>
          </cell>
          <cell r="K3752" t="str">
            <v>201602151421097</v>
          </cell>
          <cell r="M3752" t="str">
            <v>冠心苏合丸1.2g*30丸</v>
          </cell>
        </row>
        <row r="3753">
          <cell r="E3753" t="str">
            <v>0020020021ZYLC0005</v>
          </cell>
          <cell r="H3753" t="str">
            <v>滨州市滨城区市西街道办事处利民社区第二卫生服务站</v>
          </cell>
          <cell r="J3753" t="str">
            <v>1853</v>
          </cell>
          <cell r="K3753" t="str">
            <v>201602151421097</v>
          </cell>
          <cell r="M3753" t="str">
            <v>小儿严迪片/罗红霉素分散片50mg*12片</v>
          </cell>
        </row>
        <row r="3754">
          <cell r="E3754" t="str">
            <v>0020050030SJSC0007</v>
          </cell>
          <cell r="H3754" t="str">
            <v>滨州市滨城区市西街道办事处利民社区第二卫生服务站</v>
          </cell>
          <cell r="J3754" t="str">
            <v>1853</v>
          </cell>
          <cell r="K3754" t="str">
            <v>201602151421097</v>
          </cell>
          <cell r="M3754" t="str">
            <v>菊梅利咽含片1.2g*18片</v>
          </cell>
        </row>
        <row r="3755">
          <cell r="E3755" t="str">
            <v>0020020013ZYZC0205</v>
          </cell>
          <cell r="H3755" t="str">
            <v>商店镇贾家社区卫生室</v>
          </cell>
          <cell r="J3755" t="str">
            <v>1855</v>
          </cell>
          <cell r="K3755" t="str">
            <v>201602151421097</v>
          </cell>
          <cell r="M3755" t="str">
            <v>注射用阿莫西林钠/益萨林2.0g</v>
          </cell>
        </row>
        <row r="3756">
          <cell r="E3756" t="str">
            <v>0020030020SJSC0017</v>
          </cell>
          <cell r="H3756" t="str">
            <v>彭李街道办事处仁和园社区卫生服务站</v>
          </cell>
          <cell r="J3756" t="str">
            <v>1853</v>
          </cell>
          <cell r="K3756" t="str">
            <v>201602151421097</v>
          </cell>
          <cell r="M3756" t="str">
            <v>维D2磷酸氢钙片80片</v>
          </cell>
        </row>
        <row r="3757">
          <cell r="E3757" t="str">
            <v>0020030020ZYZC0360</v>
          </cell>
          <cell r="H3757" t="str">
            <v>彭李街道办事处仁和园社区卫生服务站</v>
          </cell>
          <cell r="J3757" t="str">
            <v>1853</v>
          </cell>
          <cell r="K3757" t="str">
            <v>201602151421097</v>
          </cell>
          <cell r="M3757" t="str">
            <v>*维生素C咀嚼片/VC片0.1g*30片</v>
          </cell>
        </row>
        <row r="3758">
          <cell r="E3758" t="str">
            <v>0020070000SJZY0001</v>
          </cell>
          <cell r="H3758" t="str">
            <v>邹平博祥医药连锁有限公司</v>
          </cell>
          <cell r="J3758" t="str">
            <v>1859</v>
          </cell>
          <cell r="K3758" t="str">
            <v>201602151421097</v>
          </cell>
          <cell r="M3758" t="str">
            <v>葡萄糖酸锌口服液10ML*12支</v>
          </cell>
        </row>
        <row r="3759">
          <cell r="E3759" t="str">
            <v>0020030020ZYLC0013</v>
          </cell>
          <cell r="H3759" t="str">
            <v>阳信县商店镇台属大药房</v>
          </cell>
          <cell r="J3759" t="str">
            <v>1855</v>
          </cell>
          <cell r="K3759" t="str">
            <v>201602151421097</v>
          </cell>
          <cell r="M3759" t="str">
            <v>“为消”牌乳酸菌素片0.4g*36片</v>
          </cell>
        </row>
        <row r="3760">
          <cell r="E3760" t="str">
            <v>0020020020ZYLC0010</v>
          </cell>
          <cell r="H3760" t="str">
            <v>阳信镇王楼社区卫生室</v>
          </cell>
          <cell r="J3760" t="str">
            <v>1855</v>
          </cell>
          <cell r="K3760" t="str">
            <v>201602151421097</v>
          </cell>
          <cell r="M3760" t="str">
            <v xml:space="preserve">泻利停/颠茄磺苄啶片0.48g*10片 </v>
          </cell>
        </row>
        <row r="3761">
          <cell r="E3761" t="str">
            <v>0020020021ZYLC0011</v>
          </cell>
          <cell r="H3761" t="str">
            <v>滨州盛泰医药连锁有限公司</v>
          </cell>
          <cell r="J3761" t="str">
            <v>1858</v>
          </cell>
          <cell r="K3761" t="str">
            <v>201602151421097</v>
          </cell>
          <cell r="M3761" t="str">
            <v>严迪/罗红霉素分散片150mg*12片</v>
          </cell>
        </row>
        <row r="3762">
          <cell r="E3762" t="str">
            <v>0020050020ZYEC0019</v>
          </cell>
          <cell r="H3762" t="str">
            <v>滨州盛泰医药连锁有限公司</v>
          </cell>
          <cell r="J3762" t="str">
            <v>1858</v>
          </cell>
          <cell r="K3762" t="str">
            <v>201602151421097</v>
          </cell>
          <cell r="M3762" t="str">
            <v>双黄连颗粒（无蔗糖）5g*10袋</v>
          </cell>
        </row>
        <row r="3763">
          <cell r="E3763" t="str">
            <v>0020030020SJSC0014</v>
          </cell>
          <cell r="H3763" t="str">
            <v>沾化区古城镇李彭中心卫生室</v>
          </cell>
          <cell r="J3763" t="str">
            <v>1857</v>
          </cell>
          <cell r="K3763" t="str">
            <v>201602151421097</v>
          </cell>
          <cell r="M3763" t="str">
            <v>维D2磷酸氢钙片60片</v>
          </cell>
        </row>
        <row r="3764">
          <cell r="E3764" t="str">
            <v>0020020020ZYLC0010</v>
          </cell>
          <cell r="H3764" t="str">
            <v>沾化区古城镇李彭中心卫生室</v>
          </cell>
          <cell r="J3764" t="str">
            <v>1857</v>
          </cell>
          <cell r="K3764" t="str">
            <v>201602151421097</v>
          </cell>
          <cell r="M3764" t="str">
            <v xml:space="preserve">泻利停/颠茄磺苄啶片0.48g*10片 </v>
          </cell>
        </row>
        <row r="3765">
          <cell r="E3765" t="str">
            <v>0020030020ZYLC0013</v>
          </cell>
          <cell r="H3765" t="str">
            <v>何坊街道西寨子村卫生室</v>
          </cell>
          <cell r="J3765" t="str">
            <v>1854</v>
          </cell>
          <cell r="K3765" t="str">
            <v>201602151421097</v>
          </cell>
          <cell r="M3765" t="str">
            <v>“为消”牌乳酸菌素片0.4g*36片</v>
          </cell>
        </row>
        <row r="3766">
          <cell r="E3766" t="str">
            <v>0020030001SJZY0006</v>
          </cell>
          <cell r="H3766" t="str">
            <v>孙武街道马虎村卫生室</v>
          </cell>
          <cell r="J3766" t="str">
            <v>1854</v>
          </cell>
          <cell r="K3766" t="str">
            <v>201602151421097</v>
          </cell>
          <cell r="M3766" t="str">
            <v>葡萄糖酸钙口服溶液（含糖）10ml*12支</v>
          </cell>
        </row>
        <row r="3767">
          <cell r="E3767" t="str">
            <v>0020030020SJSC0025</v>
          </cell>
          <cell r="H3767" t="str">
            <v>贾家台村卫生室</v>
          </cell>
          <cell r="J3767" t="str">
            <v>1854</v>
          </cell>
          <cell r="K3767" t="str">
            <v>201602151421097</v>
          </cell>
          <cell r="M3767" t="str">
            <v>复方氨酚烷胺片12片</v>
          </cell>
        </row>
        <row r="3768">
          <cell r="E3768" t="str">
            <v>0020030020ZYLC0005</v>
          </cell>
          <cell r="H3768" t="str">
            <v>北镇办事处工业园区社区卫生服务站</v>
          </cell>
          <cell r="J3768" t="str">
            <v>1853</v>
          </cell>
          <cell r="K3768" t="str">
            <v>201602151421097</v>
          </cell>
          <cell r="M3768" t="str">
            <v>小儿氨酚黄那敏片0.125g*20片</v>
          </cell>
        </row>
        <row r="3769">
          <cell r="E3769" t="str">
            <v>0020020021ZYLC0005</v>
          </cell>
          <cell r="H3769" t="str">
            <v>北镇办事处工业园区社区卫生服务站</v>
          </cell>
          <cell r="J3769" t="str">
            <v>1853</v>
          </cell>
          <cell r="K3769" t="str">
            <v>201602151421097</v>
          </cell>
          <cell r="M3769" t="str">
            <v>小儿严迪片/罗红霉素分散片50mg*12片</v>
          </cell>
        </row>
        <row r="3770">
          <cell r="E3770" t="str">
            <v>0020030020SJSC0025</v>
          </cell>
          <cell r="H3770" t="str">
            <v>北镇办事处工业园区社区卫生服务站</v>
          </cell>
          <cell r="J3770" t="str">
            <v>1853</v>
          </cell>
          <cell r="K3770" t="str">
            <v>201602151421097</v>
          </cell>
          <cell r="M3770" t="str">
            <v>复方氨酚烷胺片12片</v>
          </cell>
        </row>
        <row r="3771">
          <cell r="E3771" t="str">
            <v>0020020012SWGC0004</v>
          </cell>
          <cell r="H3771" t="str">
            <v>博兴县博昌街道新城社区卫生服务站</v>
          </cell>
          <cell r="J3771" t="str">
            <v>1858</v>
          </cell>
          <cell r="K3771" t="str">
            <v>201602151421097</v>
          </cell>
          <cell r="M3771" t="str">
            <v>注射用更昔洛韦针0.25G</v>
          </cell>
        </row>
        <row r="3772">
          <cell r="E3772" t="str">
            <v>0020030020SJSC0004</v>
          </cell>
          <cell r="H3772" t="str">
            <v>阳信县商店镇中心卫生院（网购）</v>
          </cell>
          <cell r="J3772" t="str">
            <v>1855</v>
          </cell>
          <cell r="K3772" t="str">
            <v>201602151421097</v>
          </cell>
          <cell r="M3772" t="str">
            <v>胃必治/复方铝酸铋片50片</v>
          </cell>
        </row>
        <row r="3773">
          <cell r="E3773" t="str">
            <v>0020020020ZYLC0010</v>
          </cell>
          <cell r="H3773" t="str">
            <v>阳信县水落坡镇卫生院（网购1）</v>
          </cell>
          <cell r="J3773" t="str">
            <v>1855</v>
          </cell>
          <cell r="K3773" t="str">
            <v>201602151421097</v>
          </cell>
          <cell r="M3773" t="str">
            <v xml:space="preserve">泻利停/颠茄磺苄啶片0.48g*10片 </v>
          </cell>
        </row>
        <row r="3774">
          <cell r="E3774" t="str">
            <v>0020020020ZYLC0010</v>
          </cell>
          <cell r="H3774" t="str">
            <v>无棣福顺康大药房</v>
          </cell>
          <cell r="J3774" t="str">
            <v>1856</v>
          </cell>
          <cell r="K3774" t="str">
            <v>201602151421097</v>
          </cell>
          <cell r="M3774" t="str">
            <v xml:space="preserve">泻利停/颠茄磺苄啶片0.48g*10片 </v>
          </cell>
        </row>
        <row r="3775">
          <cell r="E3775" t="str">
            <v>0020020020ZYLC0010</v>
          </cell>
          <cell r="H3775" t="str">
            <v>信诚街道接官亭村第一卫生室</v>
          </cell>
          <cell r="J3775" t="str">
            <v>1855</v>
          </cell>
          <cell r="K3775" t="str">
            <v>201602151421097</v>
          </cell>
          <cell r="M3775" t="str">
            <v xml:space="preserve">泻利停/颠茄磺苄啶片0.48g*10片 </v>
          </cell>
        </row>
        <row r="3776">
          <cell r="E3776" t="str">
            <v>0020050001SHYT0037</v>
          </cell>
          <cell r="H3776" t="str">
            <v>滨城韩吉福诊所</v>
          </cell>
          <cell r="J3776" t="str">
            <v>1853</v>
          </cell>
          <cell r="K3776" t="str">
            <v>201602151421097</v>
          </cell>
          <cell r="M3776" t="str">
            <v>艾附暖宫丸9g*10丸</v>
          </cell>
        </row>
        <row r="3777">
          <cell r="E3777" t="str">
            <v>0020050090SJZY0001</v>
          </cell>
          <cell r="H3777" t="str">
            <v>滨城韩吉福诊所</v>
          </cell>
          <cell r="J3777" t="str">
            <v>1853</v>
          </cell>
          <cell r="K3777" t="str">
            <v>201602151421097</v>
          </cell>
          <cell r="M3777" t="str">
            <v>双黄连口服液10ml*10支</v>
          </cell>
        </row>
        <row r="3778">
          <cell r="E3778" t="str">
            <v>0020020030SJMS0024</v>
          </cell>
          <cell r="H3778" t="str">
            <v>滨城韩吉福诊所</v>
          </cell>
          <cell r="J3778" t="str">
            <v>1853</v>
          </cell>
          <cell r="K3778" t="str">
            <v>201602151421097</v>
          </cell>
          <cell r="M3778" t="str">
            <v>人工牛黄甲硝唑胶囊/牙疼安10粒*2板</v>
          </cell>
        </row>
        <row r="3779">
          <cell r="E3779" t="str">
            <v>0020030020SJSC0017</v>
          </cell>
          <cell r="H3779" t="str">
            <v>滨州市轩鑫大药房有限公司</v>
          </cell>
          <cell r="J3779" t="str">
            <v>1853</v>
          </cell>
          <cell r="K3779" t="str">
            <v>201602151421097</v>
          </cell>
          <cell r="M3779" t="str">
            <v>维D2磷酸氢钙片80片</v>
          </cell>
        </row>
        <row r="3780">
          <cell r="E3780" t="str">
            <v>0020020021ZYZC0341</v>
          </cell>
          <cell r="H3780" t="str">
            <v>滨城区彭李街道办事处张课第一卫生室</v>
          </cell>
          <cell r="J3780" t="str">
            <v>1853</v>
          </cell>
          <cell r="K3780" t="str">
            <v>201602151421097</v>
          </cell>
          <cell r="M3780" t="str">
            <v>阿莫西林克拉维酸钾7:1分散片（胜艾）0.2285g*12片</v>
          </cell>
        </row>
        <row r="3781">
          <cell r="E3781" t="str">
            <v>0020030040ZYLC0001</v>
          </cell>
          <cell r="H3781" t="str">
            <v>滨城区市东街道办事处郑家第二卫生室</v>
          </cell>
          <cell r="J3781" t="str">
            <v>1853</v>
          </cell>
          <cell r="K3781" t="str">
            <v>201602151421097</v>
          </cell>
          <cell r="M3781" t="str">
            <v>护彤冲剂/小儿氨酚黄那敏颗粒2g*12袋</v>
          </cell>
        </row>
        <row r="3782">
          <cell r="E3782" t="str">
            <v>0020070000ZYLC0001</v>
          </cell>
          <cell r="H3782" t="str">
            <v>滨州市沾化区泊头镇卫生院</v>
          </cell>
          <cell r="J3782" t="str">
            <v>1857</v>
          </cell>
          <cell r="K3782" t="str">
            <v>201602151421097</v>
          </cell>
          <cell r="M3782" t="str">
            <v>新盖中盖高钙片2.5g*36P</v>
          </cell>
        </row>
        <row r="3783">
          <cell r="E3783" t="str">
            <v>0020070000ZYLC0003</v>
          </cell>
          <cell r="H3783" t="str">
            <v>滨州市沾化区泊头镇卫生院</v>
          </cell>
          <cell r="J3783" t="str">
            <v>1857</v>
          </cell>
          <cell r="K3783" t="str">
            <v>201602151421097</v>
          </cell>
          <cell r="M3783" t="str">
            <v>新盖中盖牌儿童钙片1.75g*36p</v>
          </cell>
        </row>
        <row r="3784">
          <cell r="E3784" t="str">
            <v>0020020013ZYZC0490</v>
          </cell>
          <cell r="H3784" t="str">
            <v>惠民永康诊所</v>
          </cell>
          <cell r="J3784" t="str">
            <v>1854</v>
          </cell>
          <cell r="K3784" t="str">
            <v>201602151421097</v>
          </cell>
          <cell r="M3784" t="str">
            <v>阿奇针/注射用乳糖酸阿奇霉素针0.125g</v>
          </cell>
        </row>
        <row r="3785">
          <cell r="E3785" t="str">
            <v>0020070000SJZY0001</v>
          </cell>
          <cell r="H3785" t="str">
            <v>惠民县舒泰大药房有限公司</v>
          </cell>
          <cell r="J3785" t="str">
            <v>1854</v>
          </cell>
          <cell r="K3785" t="str">
            <v>201602151421097</v>
          </cell>
          <cell r="M3785" t="str">
            <v>葡萄糖酸锌口服液10ML*12支</v>
          </cell>
        </row>
        <row r="3786">
          <cell r="E3786" t="str">
            <v>0020070000ZYLC0001</v>
          </cell>
          <cell r="H3786" t="str">
            <v>商店镇魏宅社区卫生室</v>
          </cell>
          <cell r="J3786" t="str">
            <v>1855</v>
          </cell>
          <cell r="K3786" t="str">
            <v>201602151421097</v>
          </cell>
          <cell r="M3786" t="str">
            <v>新盖中盖高钙片2.5g*36P</v>
          </cell>
        </row>
        <row r="3787">
          <cell r="E3787" t="str">
            <v>0020020021ZYLC0011</v>
          </cell>
          <cell r="H3787" t="str">
            <v>洋湖乡张扬社区卫生室</v>
          </cell>
          <cell r="J3787" t="str">
            <v>1855</v>
          </cell>
          <cell r="K3787" t="str">
            <v>201602151421097</v>
          </cell>
          <cell r="M3787" t="str">
            <v>严迪/罗红霉素分散片150mg*12片</v>
          </cell>
        </row>
        <row r="3788">
          <cell r="E3788" t="str">
            <v>0020020020ZYLC0010</v>
          </cell>
          <cell r="H3788" t="str">
            <v>洋湖乡张扬社区卫生室</v>
          </cell>
          <cell r="J3788" t="str">
            <v>1855</v>
          </cell>
          <cell r="K3788" t="str">
            <v>201602151421097</v>
          </cell>
          <cell r="M3788" t="str">
            <v xml:space="preserve">泻利停/颠茄磺苄啶片0.48g*10片 </v>
          </cell>
        </row>
        <row r="3789">
          <cell r="E3789" t="str">
            <v>0020020030ZYZC0264</v>
          </cell>
          <cell r="H3789" t="str">
            <v>恒泰社区卫生室</v>
          </cell>
          <cell r="J3789" t="str">
            <v>1855</v>
          </cell>
          <cell r="K3789" t="str">
            <v>201602151421097</v>
          </cell>
          <cell r="M3789" t="str">
            <v>阿莫西林胶囊0.5g*20粒</v>
          </cell>
        </row>
        <row r="3790">
          <cell r="E3790" t="str">
            <v>0020070000SJZY0001</v>
          </cell>
          <cell r="H3790" t="str">
            <v>流坡坞镇闫家社区卫生室</v>
          </cell>
          <cell r="J3790" t="str">
            <v>1855</v>
          </cell>
          <cell r="K3790" t="str">
            <v>201602151421097</v>
          </cell>
          <cell r="M3790" t="str">
            <v>葡萄糖酸锌口服液10ML*12支</v>
          </cell>
        </row>
        <row r="3791">
          <cell r="E3791" t="str">
            <v>0020030020SJSC0004</v>
          </cell>
          <cell r="H3791" t="str">
            <v>惠民县何坊街道御医堂药店</v>
          </cell>
          <cell r="J3791" t="str">
            <v>1854</v>
          </cell>
          <cell r="K3791" t="str">
            <v>201602151421097</v>
          </cell>
          <cell r="M3791" t="str">
            <v>胃必治/复方铝酸铋片50片</v>
          </cell>
        </row>
        <row r="3792">
          <cell r="E3792" t="str">
            <v>0020030001SJZY0006</v>
          </cell>
          <cell r="H3792" t="str">
            <v>阳信县商店镇瑞康平民药店</v>
          </cell>
          <cell r="J3792" t="str">
            <v>1855</v>
          </cell>
          <cell r="K3792" t="str">
            <v>201602151421097</v>
          </cell>
          <cell r="M3792" t="str">
            <v>葡萄糖酸钙口服溶液（含糖）10ml*12支</v>
          </cell>
        </row>
        <row r="3793">
          <cell r="E3793" t="str">
            <v>0020070000SJZY0001</v>
          </cell>
          <cell r="H3793" t="str">
            <v>阳信县商店镇瑞康平民药店</v>
          </cell>
          <cell r="J3793" t="str">
            <v>1855</v>
          </cell>
          <cell r="K3793" t="str">
            <v>201602151421097</v>
          </cell>
          <cell r="M3793" t="str">
            <v>葡萄糖酸锌口服液10ML*12支</v>
          </cell>
        </row>
        <row r="3794">
          <cell r="E3794" t="str">
            <v>0020040001SHYT0028</v>
          </cell>
          <cell r="H3794" t="str">
            <v>阳信县商店镇台属大药房</v>
          </cell>
          <cell r="J3794" t="str">
            <v>1855</v>
          </cell>
          <cell r="K3794" t="str">
            <v>201602151421097</v>
          </cell>
          <cell r="M3794" t="str">
            <v>冠心苏合丸1.2g*30丸</v>
          </cell>
        </row>
        <row r="3795">
          <cell r="E3795" t="str">
            <v>0020030020SJSC0017</v>
          </cell>
          <cell r="H3795" t="str">
            <v>阳信县商店镇台属大药房</v>
          </cell>
          <cell r="J3795" t="str">
            <v>1855</v>
          </cell>
          <cell r="K3795" t="str">
            <v>201602151421097</v>
          </cell>
          <cell r="M3795" t="str">
            <v>维D2磷酸氢钙片80片</v>
          </cell>
        </row>
        <row r="3796">
          <cell r="E3796" t="str">
            <v>0020020030ZYZC0283</v>
          </cell>
          <cell r="H3796" t="str">
            <v>邹平仁济堂医药有限公司</v>
          </cell>
          <cell r="J3796" t="str">
            <v>1859</v>
          </cell>
          <cell r="K3796" t="str">
            <v>201602151421097</v>
          </cell>
          <cell r="M3796" t="str">
            <v>头孢拉定胶囊0.25g*24粒</v>
          </cell>
        </row>
        <row r="3797">
          <cell r="E3797" t="str">
            <v>0020020021ZYLC0011</v>
          </cell>
          <cell r="H3797" t="str">
            <v>邹平仁济堂医药有限公司</v>
          </cell>
          <cell r="J3797" t="str">
            <v>1859</v>
          </cell>
          <cell r="K3797" t="str">
            <v>201602151421097</v>
          </cell>
          <cell r="M3797" t="str">
            <v>严迪/罗红霉素分散片150mg*12片</v>
          </cell>
        </row>
        <row r="3798">
          <cell r="E3798" t="str">
            <v>0020030001SJZY0006</v>
          </cell>
          <cell r="H3798" t="str">
            <v>山东滨州万寿堂医药有限公司万寿堂大药房</v>
          </cell>
          <cell r="J3798" t="str">
            <v>1853</v>
          </cell>
          <cell r="K3798" t="str">
            <v>201602151421097</v>
          </cell>
          <cell r="M3798" t="str">
            <v>葡萄糖酸钙口服溶液（含糖）10ml*12支</v>
          </cell>
        </row>
        <row r="3799">
          <cell r="E3799" t="str">
            <v>0020020021ZYLC0010</v>
          </cell>
          <cell r="H3799" t="str">
            <v>滨州盛泰医药连锁有限公司</v>
          </cell>
          <cell r="J3799" t="str">
            <v>1858</v>
          </cell>
          <cell r="K3799" t="str">
            <v>201602151421097</v>
          </cell>
          <cell r="M3799" t="str">
            <v>克拉霉素分散片0.125g*12片</v>
          </cell>
        </row>
        <row r="3800">
          <cell r="E3800" t="str">
            <v>0020020012SWGC0007</v>
          </cell>
          <cell r="H3800" t="str">
            <v>惠民县淄角镇卫生院（网购）</v>
          </cell>
          <cell r="J3800" t="str">
            <v>1854</v>
          </cell>
          <cell r="K3800" t="str">
            <v>201602151421097</v>
          </cell>
          <cell r="M3800" t="str">
            <v>注射用奥美拉唑钠40mg*10z</v>
          </cell>
        </row>
        <row r="3801">
          <cell r="E3801" t="str">
            <v>0020020030ZYZC0511</v>
          </cell>
          <cell r="H3801" t="str">
            <v>邹平博祥医药连锁有限公司</v>
          </cell>
          <cell r="J3801" t="str">
            <v>1859</v>
          </cell>
          <cell r="K3801" t="str">
            <v>201602151421097</v>
          </cell>
          <cell r="M3801" t="str">
            <v>头孢氨苄胶囊0.125g*20粒</v>
          </cell>
        </row>
        <row r="3802">
          <cell r="E3802" t="str">
            <v>0020020040ZYZC0304</v>
          </cell>
          <cell r="H3802" t="str">
            <v>邹平博祥医药连锁有限公司</v>
          </cell>
          <cell r="J3802" t="str">
            <v>1859</v>
          </cell>
          <cell r="K3802" t="str">
            <v>201602151421097</v>
          </cell>
          <cell r="M3802" t="str">
            <v>阿莫西林颗粒0.125g*12袋</v>
          </cell>
        </row>
        <row r="3803">
          <cell r="E3803" t="str">
            <v>0020070000ZYLC0003</v>
          </cell>
          <cell r="H3803" t="str">
            <v>邹平博祥医药连锁有限公司</v>
          </cell>
          <cell r="J3803" t="str">
            <v>1859</v>
          </cell>
          <cell r="K3803" t="str">
            <v>201602151421097</v>
          </cell>
          <cell r="M3803" t="str">
            <v>新盖中盖牌儿童钙片1.75g*36p</v>
          </cell>
        </row>
        <row r="3804">
          <cell r="E3804" t="str">
            <v>0020030001SJZY0006</v>
          </cell>
          <cell r="H3804" t="str">
            <v>阳信县劳店健民大药房</v>
          </cell>
          <cell r="J3804" t="str">
            <v>1855</v>
          </cell>
          <cell r="K3804" t="str">
            <v>201602151421097</v>
          </cell>
          <cell r="M3804" t="str">
            <v>葡萄糖酸钙口服溶液（含糖）10ml*12支</v>
          </cell>
        </row>
        <row r="3805">
          <cell r="E3805" t="str">
            <v>0020070000SJZY0001</v>
          </cell>
          <cell r="H3805" t="str">
            <v>阳信县劳店健民大药房</v>
          </cell>
          <cell r="J3805" t="str">
            <v>1855</v>
          </cell>
          <cell r="K3805" t="str">
            <v>201602151421097</v>
          </cell>
          <cell r="M3805" t="str">
            <v>葡萄糖酸锌口服液10ML*12支</v>
          </cell>
        </row>
        <row r="3806">
          <cell r="E3806" t="str">
            <v>0020030040ZYLC0001</v>
          </cell>
          <cell r="H3806" t="str">
            <v>无棣荣玉大药房</v>
          </cell>
          <cell r="J3806" t="str">
            <v>1856</v>
          </cell>
          <cell r="K3806" t="str">
            <v>201602151421097</v>
          </cell>
          <cell r="M3806" t="str">
            <v>护彤冲剂/小儿氨酚黄那敏颗粒2g*12袋</v>
          </cell>
        </row>
        <row r="3807">
          <cell r="E3807" t="str">
            <v>0020020030SJMS0024</v>
          </cell>
          <cell r="H3807" t="str">
            <v>滨州宁心医药有限公司</v>
          </cell>
          <cell r="J3807" t="str">
            <v>1853</v>
          </cell>
          <cell r="K3807" t="str">
            <v>201602151421097</v>
          </cell>
          <cell r="M3807" t="str">
            <v>人工牛黄甲硝唑胶囊/牙疼安10粒*2板</v>
          </cell>
        </row>
        <row r="3808">
          <cell r="E3808" t="str">
            <v>0020020020ZYLC0010</v>
          </cell>
          <cell r="H3808" t="str">
            <v>滨州宁心医药有限公司</v>
          </cell>
          <cell r="J3808" t="str">
            <v>1853</v>
          </cell>
          <cell r="K3808" t="str">
            <v>201602151421097</v>
          </cell>
          <cell r="M3808" t="str">
            <v xml:space="preserve">泻利停/颠茄磺苄啶片0.48g*10片 </v>
          </cell>
        </row>
        <row r="3809">
          <cell r="E3809" t="str">
            <v>0020070000SJZY0001</v>
          </cell>
          <cell r="H3809" t="str">
            <v>滨州宁心医药有限公司</v>
          </cell>
          <cell r="J3809" t="str">
            <v>1853</v>
          </cell>
          <cell r="K3809" t="str">
            <v>201602151421097</v>
          </cell>
          <cell r="M3809" t="str">
            <v>葡萄糖酸锌口服液10ML*12支</v>
          </cell>
        </row>
        <row r="3810">
          <cell r="E3810" t="str">
            <v>0020050090SJZY0001</v>
          </cell>
          <cell r="H3810" t="str">
            <v>滨州康杰大药房有限责任公司建翔店</v>
          </cell>
          <cell r="J3810" t="str">
            <v>1853</v>
          </cell>
          <cell r="K3810" t="str">
            <v>201602151421097</v>
          </cell>
          <cell r="M3810" t="str">
            <v>双黄连口服液10ml*10支</v>
          </cell>
        </row>
        <row r="3811">
          <cell r="E3811" t="str">
            <v>0020040020SHYT0007</v>
          </cell>
          <cell r="H3811" t="str">
            <v>滨州宁心医药有限公司</v>
          </cell>
          <cell r="J3811" t="str">
            <v>1853</v>
          </cell>
          <cell r="K3811" t="str">
            <v>201602151421097</v>
          </cell>
          <cell r="M3811" t="str">
            <v>丹佛胃尔康颗粒10g*6袋</v>
          </cell>
        </row>
        <row r="3812">
          <cell r="E3812" t="str">
            <v>0020020021ZYLC0011</v>
          </cell>
          <cell r="H3812" t="str">
            <v>滨州宁心医药有限公司</v>
          </cell>
          <cell r="J3812" t="str">
            <v>1853</v>
          </cell>
          <cell r="K3812" t="str">
            <v>201602151421097</v>
          </cell>
          <cell r="M3812" t="str">
            <v>严迪/罗红霉素分散片150mg*12片</v>
          </cell>
        </row>
        <row r="3813">
          <cell r="E3813" t="str">
            <v>0020020021ZYLC0011</v>
          </cell>
          <cell r="H3813" t="str">
            <v>滨州市沾化区泊头镇卫生院</v>
          </cell>
          <cell r="J3813" t="str">
            <v>1857</v>
          </cell>
          <cell r="K3813" t="str">
            <v>201602151421097</v>
          </cell>
          <cell r="M3813" t="str">
            <v>严迪/罗红霉素分散片150mg*12片</v>
          </cell>
        </row>
        <row r="3814">
          <cell r="E3814" t="str">
            <v>0020050090SJZY0001</v>
          </cell>
          <cell r="H3814" t="str">
            <v>沾化国瑞医药连锁有限责任公司</v>
          </cell>
          <cell r="J3814" t="str">
            <v>1857</v>
          </cell>
          <cell r="K3814" t="str">
            <v>201602151421097</v>
          </cell>
          <cell r="M3814" t="str">
            <v>双黄连口服液10ml*10支</v>
          </cell>
        </row>
        <row r="3815">
          <cell r="E3815" t="str">
            <v>0020020020ZYZC0359</v>
          </cell>
          <cell r="H3815" t="str">
            <v>沾化国瑞医药连锁有限责任公司</v>
          </cell>
          <cell r="J3815" t="str">
            <v>1857</v>
          </cell>
          <cell r="K3815" t="str">
            <v>201602151421097</v>
          </cell>
          <cell r="M3815" t="str">
            <v>青霉素V钾片（仙芬）0.236g*24片</v>
          </cell>
        </row>
        <row r="3816">
          <cell r="E3816" t="str">
            <v>0020020020ZYLC0003</v>
          </cell>
          <cell r="H3816" t="str">
            <v>沾化国瑞医药连锁有限责任公司</v>
          </cell>
          <cell r="J3816" t="str">
            <v>1857</v>
          </cell>
          <cell r="K3816" t="str">
            <v>201602151421097</v>
          </cell>
          <cell r="M3816" t="str">
            <v>泻立停片/颠茄磺苄啶片0.4g：80mg：8mg*12片</v>
          </cell>
        </row>
        <row r="3817">
          <cell r="E3817" t="str">
            <v>0020020020SJMS0008</v>
          </cell>
          <cell r="H3817" t="str">
            <v>滨州市滨城区市西街道办事处利民社区第二卫生服务站</v>
          </cell>
          <cell r="J3817" t="str">
            <v>1853</v>
          </cell>
          <cell r="K3817" t="str">
            <v>201602151421097</v>
          </cell>
          <cell r="M3817" t="str">
            <v>拉西地平片/三精司乐平片4mg*15片</v>
          </cell>
        </row>
        <row r="3818">
          <cell r="E3818" t="str">
            <v>0020020020ZYLC0007</v>
          </cell>
          <cell r="H3818" t="str">
            <v>商店镇北街社区卫生室</v>
          </cell>
          <cell r="J3818" t="str">
            <v>1855</v>
          </cell>
          <cell r="K3818" t="str">
            <v>201602151421097</v>
          </cell>
          <cell r="M3818" t="str">
            <v>盐酸氟桂利嗪片/孚瑞尔40片</v>
          </cell>
        </row>
        <row r="3819">
          <cell r="E3819" t="str">
            <v>0020050090SJZY0001</v>
          </cell>
          <cell r="H3819" t="str">
            <v>沾化济生堂大药房连锁有限公司</v>
          </cell>
          <cell r="J3819" t="str">
            <v>1857</v>
          </cell>
          <cell r="K3819" t="str">
            <v>201602151421097</v>
          </cell>
          <cell r="M3819" t="str">
            <v>双黄连口服液10ml*10支</v>
          </cell>
        </row>
        <row r="3820">
          <cell r="E3820" t="str">
            <v>0020070000ZYLC0003</v>
          </cell>
          <cell r="H3820" t="str">
            <v>玉东诊所</v>
          </cell>
          <cell r="J3820" t="str">
            <v>1857</v>
          </cell>
          <cell r="K3820" t="str">
            <v>201602151421097</v>
          </cell>
          <cell r="M3820" t="str">
            <v>新盖中盖牌儿童钙片1.75g*36p</v>
          </cell>
        </row>
        <row r="3821">
          <cell r="E3821" t="str">
            <v>0020070000ZYLC0001</v>
          </cell>
          <cell r="H3821" t="str">
            <v>玉东诊所</v>
          </cell>
          <cell r="J3821" t="str">
            <v>1857</v>
          </cell>
          <cell r="K3821" t="str">
            <v>201602151421097</v>
          </cell>
          <cell r="M3821" t="str">
            <v>新盖中盖高钙片2.5g*36P</v>
          </cell>
        </row>
        <row r="3822">
          <cell r="E3822" t="str">
            <v>0020040030SJSC0003</v>
          </cell>
          <cell r="H3822" t="str">
            <v>阳信镇段赵村卫生室</v>
          </cell>
          <cell r="J3822" t="str">
            <v>1855</v>
          </cell>
          <cell r="K3822" t="str">
            <v>201602151421097</v>
          </cell>
          <cell r="M3822" t="str">
            <v>养肝明目片0.35g*24片</v>
          </cell>
        </row>
        <row r="3823">
          <cell r="E3823" t="str">
            <v>0020070000ZYLC0001</v>
          </cell>
          <cell r="H3823" t="str">
            <v>惠民广益堂诊所</v>
          </cell>
          <cell r="J3823" t="str">
            <v>1854</v>
          </cell>
          <cell r="K3823" t="str">
            <v>201602151421097</v>
          </cell>
          <cell r="M3823" t="str">
            <v>新盖中盖高钙片2.5g*36P</v>
          </cell>
        </row>
        <row r="3824">
          <cell r="E3824" t="str">
            <v>0020050020SHYT0016</v>
          </cell>
          <cell r="H3824" t="str">
            <v>惠民广益堂诊所</v>
          </cell>
          <cell r="J3824" t="str">
            <v>1854</v>
          </cell>
          <cell r="K3824" t="str">
            <v>201602151421097</v>
          </cell>
          <cell r="M3824" t="str">
            <v>复方金银花颗粒10g*10袋</v>
          </cell>
        </row>
        <row r="3825">
          <cell r="E3825" t="str">
            <v>0020030001SJZY0006</v>
          </cell>
          <cell r="H3825" t="str">
            <v>邹平县宏盛堂大药店</v>
          </cell>
          <cell r="J3825" t="str">
            <v>1859</v>
          </cell>
          <cell r="K3825" t="str">
            <v>201602151421097</v>
          </cell>
          <cell r="M3825" t="str">
            <v>葡萄糖酸钙口服溶液（含糖）10ml*12支</v>
          </cell>
        </row>
        <row r="3826">
          <cell r="E3826" t="str">
            <v>0020070000SJZY0001</v>
          </cell>
          <cell r="H3826" t="str">
            <v>邹平县宏盛堂大药店</v>
          </cell>
          <cell r="J3826" t="str">
            <v>1859</v>
          </cell>
          <cell r="K3826" t="str">
            <v>201602151421097</v>
          </cell>
          <cell r="M3826" t="str">
            <v>葡萄糖酸锌口服液10ML*12支</v>
          </cell>
        </row>
        <row r="3827">
          <cell r="E3827" t="str">
            <v>0020070000ZYLC0001</v>
          </cell>
          <cell r="H3827" t="str">
            <v>杜店董树相诊所</v>
          </cell>
          <cell r="J3827" t="str">
            <v>1853</v>
          </cell>
          <cell r="K3827" t="str">
            <v>201602151421097</v>
          </cell>
          <cell r="M3827" t="str">
            <v>新盖中盖高钙片2.5g*36P</v>
          </cell>
        </row>
        <row r="3828">
          <cell r="E3828" t="str">
            <v>0020050090SJZY0001</v>
          </cell>
          <cell r="H3828" t="str">
            <v>恒泰社区卫生室</v>
          </cell>
          <cell r="J3828" t="str">
            <v>1855</v>
          </cell>
          <cell r="K3828" t="str">
            <v>201602151421097</v>
          </cell>
          <cell r="M3828" t="str">
            <v>双黄连口服液10ml*10支</v>
          </cell>
        </row>
        <row r="3829">
          <cell r="E3829" t="str">
            <v>0020020020ZYLC0003</v>
          </cell>
          <cell r="H3829" t="str">
            <v>信城街道西关社区卫生室</v>
          </cell>
          <cell r="J3829" t="str">
            <v>1855</v>
          </cell>
          <cell r="K3829" t="str">
            <v>201602151421097</v>
          </cell>
          <cell r="M3829" t="str">
            <v>泻立停片/颠茄磺苄啶片0.4g：80mg：8mg*12片</v>
          </cell>
        </row>
        <row r="3830">
          <cell r="E3830" t="str">
            <v>0020070001ZYLC0001</v>
          </cell>
          <cell r="H3830" t="str">
            <v>阳信县商店镇瑞康平民药店</v>
          </cell>
          <cell r="J3830" t="str">
            <v>1855</v>
          </cell>
          <cell r="K3830" t="str">
            <v>201602151421097</v>
          </cell>
          <cell r="M3830" t="str">
            <v>哈药六钙锌口服液10ml*12支</v>
          </cell>
        </row>
        <row r="3831">
          <cell r="E3831" t="str">
            <v>0020020021ZYLC0015</v>
          </cell>
          <cell r="H3831" t="str">
            <v>杜店蒋秀芬诊所</v>
          </cell>
          <cell r="J3831" t="str">
            <v>1853</v>
          </cell>
          <cell r="K3831" t="str">
            <v>201602151421097</v>
          </cell>
          <cell r="M3831" t="str">
            <v>克拉霉素分散片/长迪0.125g*24粒</v>
          </cell>
        </row>
        <row r="3832">
          <cell r="E3832" t="str">
            <v>0020020020ZYLC0007</v>
          </cell>
          <cell r="H3832" t="str">
            <v>惠民县仁春医药有限公司</v>
          </cell>
          <cell r="J3832" t="str">
            <v>1854</v>
          </cell>
          <cell r="K3832" t="str">
            <v>201602151421097</v>
          </cell>
          <cell r="M3832" t="str">
            <v>盐酸氟桂利嗪片/孚瑞尔40片</v>
          </cell>
        </row>
        <row r="3833">
          <cell r="E3833" t="str">
            <v>0020070000ZYLC0051</v>
          </cell>
          <cell r="H3833" t="str">
            <v>惠民县仁春医药有限公司</v>
          </cell>
          <cell r="J3833" t="str">
            <v>1854</v>
          </cell>
          <cell r="K3833" t="str">
            <v>201602151421097</v>
          </cell>
          <cell r="M3833" t="str">
            <v>朴血/乳酸亚铁口服液10ml*12支</v>
          </cell>
        </row>
        <row r="3834">
          <cell r="E3834" t="str">
            <v>0020020021ZYLC0005</v>
          </cell>
          <cell r="H3834" t="str">
            <v>惠民县仁春医药有限公司</v>
          </cell>
          <cell r="J3834" t="str">
            <v>1854</v>
          </cell>
          <cell r="K3834" t="str">
            <v>201602151421097</v>
          </cell>
          <cell r="M3834" t="str">
            <v>小儿严迪片/罗红霉素分散片50mg*12片</v>
          </cell>
        </row>
        <row r="3835">
          <cell r="E3835" t="str">
            <v>0020050020ZYEC0019</v>
          </cell>
          <cell r="H3835" t="str">
            <v>惠民县仁春医药有限公司</v>
          </cell>
          <cell r="J3835" t="str">
            <v>1854</v>
          </cell>
          <cell r="K3835" t="str">
            <v>201602151421097</v>
          </cell>
          <cell r="M3835" t="str">
            <v>双黄连颗粒（无蔗糖）5g*10袋</v>
          </cell>
        </row>
        <row r="3836">
          <cell r="E3836" t="str">
            <v>0020050020SHYT0016</v>
          </cell>
          <cell r="H3836" t="str">
            <v>惠民县仁春医药有限公司</v>
          </cell>
          <cell r="J3836" t="str">
            <v>1854</v>
          </cell>
          <cell r="K3836" t="str">
            <v>201602151421097</v>
          </cell>
          <cell r="M3836" t="str">
            <v>复方金银花颗粒10g*10袋</v>
          </cell>
        </row>
        <row r="3837">
          <cell r="E3837" t="str">
            <v>0020030170ZYEC0003</v>
          </cell>
          <cell r="H3837" t="str">
            <v>惠民县仁春医药有限公司</v>
          </cell>
          <cell r="J3837" t="str">
            <v>1854</v>
          </cell>
          <cell r="K3837" t="str">
            <v>201602151421097</v>
          </cell>
          <cell r="M3837" t="str">
            <v>蒙脱石散3g*12袋</v>
          </cell>
        </row>
        <row r="3838">
          <cell r="E3838" t="str">
            <v>0020070001ZYZC0383</v>
          </cell>
          <cell r="H3838" t="str">
            <v>惠民县仁春医药有限公司</v>
          </cell>
          <cell r="J3838" t="str">
            <v>1854</v>
          </cell>
          <cell r="K3838" t="str">
            <v>201602151421097</v>
          </cell>
          <cell r="M3838" t="str">
            <v>哈药牌钙铁锌口服液10ml*10支</v>
          </cell>
        </row>
        <row r="3839">
          <cell r="E3839" t="str">
            <v>0020070001ZYLC0001</v>
          </cell>
          <cell r="H3839" t="str">
            <v>惠民县仁春医药有限公司</v>
          </cell>
          <cell r="J3839" t="str">
            <v>1854</v>
          </cell>
          <cell r="K3839" t="str">
            <v>201602151421097</v>
          </cell>
          <cell r="M3839" t="str">
            <v>哈药六钙锌口服液10ml*12支</v>
          </cell>
        </row>
        <row r="3840">
          <cell r="E3840" t="str">
            <v>0020040070ZYEC0005</v>
          </cell>
          <cell r="H3840" t="str">
            <v>惠民县仁春医药有限公司</v>
          </cell>
          <cell r="J3840" t="str">
            <v>1854</v>
          </cell>
          <cell r="K3840" t="str">
            <v>201602151421097</v>
          </cell>
          <cell r="M3840" t="str">
            <v>小儿百部止咳糖浆100ml</v>
          </cell>
        </row>
        <row r="3841">
          <cell r="E3841" t="str">
            <v>0020050090ZYEC0005</v>
          </cell>
          <cell r="H3841" t="str">
            <v>惠民县仁春医药有限公司</v>
          </cell>
          <cell r="J3841" t="str">
            <v>1854</v>
          </cell>
          <cell r="K3841" t="str">
            <v>201602151421097</v>
          </cell>
          <cell r="M3841" t="str">
            <v>清热解毒口服液10ML*10支</v>
          </cell>
        </row>
        <row r="3842">
          <cell r="E3842" t="str">
            <v>0020040220SHYT0005</v>
          </cell>
          <cell r="H3842" t="str">
            <v>惠民县仁春医药有限公司</v>
          </cell>
          <cell r="J3842" t="str">
            <v>1854</v>
          </cell>
          <cell r="K3842" t="str">
            <v>201602151421097</v>
          </cell>
          <cell r="M3842" t="str">
            <v>妇宁栓1.6g×7枚</v>
          </cell>
        </row>
        <row r="3843">
          <cell r="E3843" t="str">
            <v>0020020020ZYLC0003</v>
          </cell>
          <cell r="H3843" t="str">
            <v>惠民县仁春医药有限公司</v>
          </cell>
          <cell r="J3843" t="str">
            <v>1854</v>
          </cell>
          <cell r="K3843" t="str">
            <v>201602151421097</v>
          </cell>
          <cell r="M3843" t="str">
            <v>泻立停片/颠茄磺苄啶片0.4g：80mg：8mg*12片</v>
          </cell>
        </row>
        <row r="3844">
          <cell r="E3844" t="str">
            <v>0020070000ZYLC0051</v>
          </cell>
          <cell r="H3844" t="str">
            <v>滨州市康之元大药房医药有限公司</v>
          </cell>
          <cell r="J3844" t="str">
            <v>1853</v>
          </cell>
          <cell r="K3844" t="str">
            <v>201602151421097</v>
          </cell>
          <cell r="M3844" t="str">
            <v>朴血/乳酸亚铁口服液10ml*12支</v>
          </cell>
        </row>
        <row r="3845">
          <cell r="E3845" t="str">
            <v>0020070001ZYLC0001</v>
          </cell>
          <cell r="H3845" t="str">
            <v>滨州市康之元大药房医药有限公司</v>
          </cell>
          <cell r="J3845" t="str">
            <v>1853</v>
          </cell>
          <cell r="K3845" t="str">
            <v>201602151421097</v>
          </cell>
          <cell r="M3845" t="str">
            <v>哈药六钙锌口服液10ml*12支</v>
          </cell>
        </row>
        <row r="3846">
          <cell r="E3846" t="str">
            <v>0020030001SJZY0006</v>
          </cell>
          <cell r="H3846" t="str">
            <v>滨州市康之元大药房医药有限公司</v>
          </cell>
          <cell r="J3846" t="str">
            <v>1853</v>
          </cell>
          <cell r="K3846" t="str">
            <v>201602151421097</v>
          </cell>
          <cell r="M3846" t="str">
            <v>葡萄糖酸钙口服溶液（含糖）10ml*12支</v>
          </cell>
        </row>
        <row r="3847">
          <cell r="E3847" t="str">
            <v>0020030040SJET0003</v>
          </cell>
          <cell r="H3847" t="str">
            <v>博兴县康源大药房有限公司</v>
          </cell>
          <cell r="J3847" t="str">
            <v>1858</v>
          </cell>
          <cell r="K3847" t="str">
            <v>201602151421097</v>
          </cell>
          <cell r="M3847" t="str">
            <v>氨金黄敏颗粒6g*10袋</v>
          </cell>
        </row>
        <row r="3848">
          <cell r="E3848" t="str">
            <v>0020070000ZYLC0001</v>
          </cell>
          <cell r="H3848" t="str">
            <v>博兴县康源大药房有限公司</v>
          </cell>
          <cell r="J3848" t="str">
            <v>1858</v>
          </cell>
          <cell r="K3848" t="str">
            <v>201602151421097</v>
          </cell>
          <cell r="M3848" t="str">
            <v>新盖中盖高钙片2.5g*36P</v>
          </cell>
        </row>
        <row r="3849">
          <cell r="E3849" t="str">
            <v>0020020030SJMS0024</v>
          </cell>
          <cell r="H3849" t="str">
            <v>博兴县康源大药房有限公司</v>
          </cell>
          <cell r="J3849" t="str">
            <v>1858</v>
          </cell>
          <cell r="K3849" t="str">
            <v>201602151421097</v>
          </cell>
          <cell r="M3849" t="str">
            <v>人工牛黄甲硝唑胶囊/牙疼安10粒*2板</v>
          </cell>
        </row>
        <row r="3850">
          <cell r="E3850" t="str">
            <v>0020030020SJSC0014</v>
          </cell>
          <cell r="H3850" t="str">
            <v>滨城曹淑玲诊所</v>
          </cell>
          <cell r="J3850" t="str">
            <v>1853</v>
          </cell>
          <cell r="K3850" t="str">
            <v>201602151421097</v>
          </cell>
          <cell r="M3850" t="str">
            <v>维D2磷酸氢钙片60片</v>
          </cell>
        </row>
        <row r="3851">
          <cell r="E3851" t="str">
            <v>0020030020ZYZC0360</v>
          </cell>
          <cell r="H3851" t="str">
            <v>滨城曹淑玲诊所</v>
          </cell>
          <cell r="J3851" t="str">
            <v>1853</v>
          </cell>
          <cell r="K3851" t="str">
            <v>201602151421097</v>
          </cell>
          <cell r="M3851" t="str">
            <v>*维生素C咀嚼片/VC片0.1g*30片</v>
          </cell>
        </row>
        <row r="3852">
          <cell r="E3852" t="str">
            <v>0020040001SHYT0026</v>
          </cell>
          <cell r="H3852" t="str">
            <v>水落坡镇秦家社区卫生室</v>
          </cell>
          <cell r="J3852" t="str">
            <v>1855</v>
          </cell>
          <cell r="K3852" t="str">
            <v>201602151421097</v>
          </cell>
          <cell r="M3852" t="str">
            <v>小活络丸3g*10丸</v>
          </cell>
        </row>
        <row r="3853">
          <cell r="E3853" t="str">
            <v>0020040070ZYEC0005</v>
          </cell>
          <cell r="H3853" t="str">
            <v>惠民县广军康宁大药房有限公司</v>
          </cell>
          <cell r="J3853" t="str">
            <v>1854</v>
          </cell>
          <cell r="K3853" t="str">
            <v>201602151421097</v>
          </cell>
          <cell r="M3853" t="str">
            <v>小儿百部止咳糖浆100ml</v>
          </cell>
        </row>
        <row r="3854">
          <cell r="E3854" t="str">
            <v>0020040220SHYT0005</v>
          </cell>
          <cell r="H3854" t="str">
            <v>惠民县广军康宁大药房有限公司</v>
          </cell>
          <cell r="J3854" t="str">
            <v>1854</v>
          </cell>
          <cell r="K3854" t="str">
            <v>201602151421097</v>
          </cell>
          <cell r="M3854" t="str">
            <v>妇宁栓1.6g×7枚</v>
          </cell>
        </row>
        <row r="3855">
          <cell r="E3855" t="str">
            <v>0020050020SHYT0016</v>
          </cell>
          <cell r="H3855" t="str">
            <v>惠民县广军康宁大药房有限公司</v>
          </cell>
          <cell r="J3855" t="str">
            <v>1854</v>
          </cell>
          <cell r="K3855" t="str">
            <v>201602151421097</v>
          </cell>
          <cell r="M3855" t="str">
            <v>复方金银花颗粒10g*10袋</v>
          </cell>
        </row>
        <row r="3856">
          <cell r="E3856" t="str">
            <v>0020030020SJSC0004</v>
          </cell>
          <cell r="H3856" t="str">
            <v>惠民县广军康宁大药房有限公司</v>
          </cell>
          <cell r="J3856" t="str">
            <v>1854</v>
          </cell>
          <cell r="K3856" t="str">
            <v>201602151421097</v>
          </cell>
          <cell r="M3856" t="str">
            <v>胃必治/复方铝酸铋片50片</v>
          </cell>
        </row>
        <row r="3857">
          <cell r="E3857" t="str">
            <v>0020070000ZYLC0001</v>
          </cell>
          <cell r="H3857" t="str">
            <v>惠民县广军康宁大药房有限公司</v>
          </cell>
          <cell r="J3857" t="str">
            <v>1854</v>
          </cell>
          <cell r="K3857" t="str">
            <v>201602151421097</v>
          </cell>
          <cell r="M3857" t="str">
            <v>新盖中盖高钙片2.5g*36P</v>
          </cell>
        </row>
        <row r="3858">
          <cell r="E3858" t="str">
            <v>0020020020ZYLC0003</v>
          </cell>
          <cell r="H3858" t="str">
            <v>惠民县广军康宁大药房有限公司</v>
          </cell>
          <cell r="J3858" t="str">
            <v>1854</v>
          </cell>
          <cell r="K3858" t="str">
            <v>201602151421097</v>
          </cell>
          <cell r="M3858" t="str">
            <v>泻立停片/颠茄磺苄啶片0.4g：80mg：8mg*12片</v>
          </cell>
        </row>
        <row r="3859">
          <cell r="E3859" t="str">
            <v>0020030170ZYEC0003</v>
          </cell>
          <cell r="H3859" t="str">
            <v>惠民县广军康宁大药房有限公司</v>
          </cell>
          <cell r="J3859" t="str">
            <v>1854</v>
          </cell>
          <cell r="K3859" t="str">
            <v>201602151421097</v>
          </cell>
          <cell r="M3859" t="str">
            <v>蒙脱石散3g*12袋</v>
          </cell>
        </row>
        <row r="3860">
          <cell r="E3860" t="str">
            <v>0020050030SJSC0007</v>
          </cell>
          <cell r="H3860" t="str">
            <v>惠民县广军康宁大药房有限公司</v>
          </cell>
          <cell r="J3860" t="str">
            <v>1854</v>
          </cell>
          <cell r="K3860" t="str">
            <v>201602151421097</v>
          </cell>
          <cell r="M3860" t="str">
            <v>菊梅利咽含片1.2g*18片</v>
          </cell>
        </row>
        <row r="3861">
          <cell r="E3861" t="str">
            <v>0020020021ZYLC0011</v>
          </cell>
          <cell r="H3861" t="str">
            <v>惠民县广军康宁大药房有限公司</v>
          </cell>
          <cell r="J3861" t="str">
            <v>1854</v>
          </cell>
          <cell r="K3861" t="str">
            <v>201602151421097</v>
          </cell>
          <cell r="M3861" t="str">
            <v>严迪/罗红霉素分散片150mg*12片</v>
          </cell>
        </row>
        <row r="3862">
          <cell r="E3862" t="str">
            <v>0020070000SJZY0001</v>
          </cell>
          <cell r="H3862" t="str">
            <v>高新区小营社区门诊</v>
          </cell>
          <cell r="J3862" t="str">
            <v>1853</v>
          </cell>
          <cell r="K3862" t="str">
            <v>201602151421097</v>
          </cell>
          <cell r="M3862" t="str">
            <v>葡萄糖酸锌口服液10ML*12支</v>
          </cell>
        </row>
        <row r="3863">
          <cell r="E3863" t="str">
            <v>0020020020ZYLC0007</v>
          </cell>
          <cell r="H3863" t="str">
            <v>黛溪办顺河中心卫生室</v>
          </cell>
          <cell r="J3863" t="str">
            <v>1859</v>
          </cell>
          <cell r="K3863" t="str">
            <v>201602151421097</v>
          </cell>
          <cell r="M3863" t="str">
            <v>盐酸氟桂利嗪片/孚瑞尔40片</v>
          </cell>
        </row>
        <row r="3864">
          <cell r="E3864" t="str">
            <v>0020030020SJSC0014</v>
          </cell>
          <cell r="H3864" t="str">
            <v>惠民县君瑞大药房有限公司</v>
          </cell>
          <cell r="J3864" t="str">
            <v>1854</v>
          </cell>
          <cell r="K3864" t="str">
            <v>201602151421097</v>
          </cell>
          <cell r="M3864" t="str">
            <v>维D2磷酸氢钙片60片</v>
          </cell>
        </row>
        <row r="3865">
          <cell r="E3865" t="str">
            <v>0020020021ZYZC0341</v>
          </cell>
          <cell r="H3865" t="str">
            <v>邹平孙辉诊所</v>
          </cell>
          <cell r="J3865" t="str">
            <v>1859</v>
          </cell>
          <cell r="K3865" t="str">
            <v>201602151421097</v>
          </cell>
          <cell r="M3865" t="str">
            <v>阿莫西林克拉维酸钾7:1分散片（胜艾）0.2285g*12片</v>
          </cell>
        </row>
        <row r="3866">
          <cell r="E3866" t="str">
            <v>0020020020ZYLC0003</v>
          </cell>
          <cell r="H3866" t="str">
            <v>阳信镇南八里社区卫生室</v>
          </cell>
          <cell r="J3866" t="str">
            <v>1855</v>
          </cell>
          <cell r="K3866" t="str">
            <v>201602151421097</v>
          </cell>
          <cell r="M3866" t="str">
            <v>泻立停片/颠茄磺苄啶片0.4g：80mg：8mg*12片</v>
          </cell>
        </row>
        <row r="3867">
          <cell r="E3867" t="str">
            <v>0020070000ZYLC0051</v>
          </cell>
          <cell r="H3867" t="str">
            <v>惠民润德堂诊所</v>
          </cell>
          <cell r="J3867" t="str">
            <v>1854</v>
          </cell>
          <cell r="K3867" t="str">
            <v>201602151421097</v>
          </cell>
          <cell r="M3867" t="str">
            <v>朴血/乳酸亚铁口服液10ml*12支</v>
          </cell>
        </row>
        <row r="3868">
          <cell r="E3868" t="str">
            <v>0020020030SJMS0024</v>
          </cell>
          <cell r="H3868" t="str">
            <v>阳信镇行宫庙村卫生室</v>
          </cell>
          <cell r="J3868" t="str">
            <v>1855</v>
          </cell>
          <cell r="K3868" t="str">
            <v>201602151421097</v>
          </cell>
          <cell r="M3868" t="str">
            <v>人工牛黄甲硝唑胶囊/牙疼安10粒*2板</v>
          </cell>
        </row>
        <row r="3869">
          <cell r="E3869" t="str">
            <v>0020070001ZYZC0383</v>
          </cell>
          <cell r="H3869" t="str">
            <v>惠民县新花大药房连锁有限公司</v>
          </cell>
          <cell r="J3869" t="str">
            <v>1854</v>
          </cell>
          <cell r="K3869" t="str">
            <v>201602151421097</v>
          </cell>
          <cell r="M3869" t="str">
            <v>哈药牌钙铁锌口服液10ml*10支</v>
          </cell>
        </row>
        <row r="3870">
          <cell r="E3870" t="str">
            <v>0020030020SJSC0025</v>
          </cell>
          <cell r="H3870" t="str">
            <v>惠民县新花大药房连锁有限公司</v>
          </cell>
          <cell r="J3870" t="str">
            <v>1854</v>
          </cell>
          <cell r="K3870" t="str">
            <v>201602151421097</v>
          </cell>
          <cell r="M3870" t="str">
            <v>复方氨酚烷胺片12片</v>
          </cell>
        </row>
        <row r="3871">
          <cell r="E3871" t="str">
            <v>0020020020ZYLC0003</v>
          </cell>
          <cell r="H3871" t="str">
            <v>惠民县新花大药房连锁有限公司</v>
          </cell>
          <cell r="J3871" t="str">
            <v>1854</v>
          </cell>
          <cell r="K3871" t="str">
            <v>201602151421097</v>
          </cell>
          <cell r="M3871" t="str">
            <v>泻立停片/颠茄磺苄啶片0.4g：80mg：8mg*12片</v>
          </cell>
        </row>
        <row r="3872">
          <cell r="E3872" t="str">
            <v>0020050020ZYEC0008</v>
          </cell>
          <cell r="H3872" t="str">
            <v>惠民县新花大药房连锁有限公司</v>
          </cell>
          <cell r="J3872" t="str">
            <v>1854</v>
          </cell>
          <cell r="K3872" t="str">
            <v>201602151421097</v>
          </cell>
          <cell r="M3872" t="str">
            <v>感冒解毒灵颗粒5g*10袋</v>
          </cell>
        </row>
        <row r="3873">
          <cell r="E3873" t="str">
            <v>0020030170ZYEC0003</v>
          </cell>
          <cell r="H3873" t="str">
            <v>惠民县新花大药房连锁有限公司</v>
          </cell>
          <cell r="J3873" t="str">
            <v>1854</v>
          </cell>
          <cell r="K3873" t="str">
            <v>201602151421097</v>
          </cell>
          <cell r="M3873" t="str">
            <v>蒙脱石散3g*12袋</v>
          </cell>
        </row>
        <row r="3874">
          <cell r="E3874" t="str">
            <v>0020050090ZYEC0004</v>
          </cell>
          <cell r="H3874" t="str">
            <v>惠民县新花大药房连锁有限公司</v>
          </cell>
          <cell r="J3874" t="str">
            <v>1854</v>
          </cell>
          <cell r="K3874" t="str">
            <v>201602151421097</v>
          </cell>
          <cell r="M3874" t="str">
            <v>刺五加脑灵液100ml</v>
          </cell>
        </row>
        <row r="3875">
          <cell r="E3875" t="str">
            <v>0020030040ZYLC0001</v>
          </cell>
          <cell r="H3875" t="str">
            <v>惠民县新花大药房连锁有限公司</v>
          </cell>
          <cell r="J3875" t="str">
            <v>1854</v>
          </cell>
          <cell r="K3875" t="str">
            <v>201602151421097</v>
          </cell>
          <cell r="M3875" t="str">
            <v>护彤冲剂/小儿氨酚黄那敏颗粒2g*12袋</v>
          </cell>
        </row>
        <row r="3876">
          <cell r="E3876" t="str">
            <v>0020030040SJET0003</v>
          </cell>
          <cell r="H3876" t="str">
            <v>惠民县新花大药房连锁有限公司</v>
          </cell>
          <cell r="J3876" t="str">
            <v>1854</v>
          </cell>
          <cell r="K3876" t="str">
            <v>201602151421097</v>
          </cell>
          <cell r="M3876" t="str">
            <v>氨金黄敏颗粒6g*10袋</v>
          </cell>
        </row>
        <row r="3877">
          <cell r="E3877" t="str">
            <v>0020030020ZYZC0360</v>
          </cell>
          <cell r="H3877" t="str">
            <v>欣康诊所</v>
          </cell>
          <cell r="J3877" t="str">
            <v>1857</v>
          </cell>
          <cell r="K3877" t="str">
            <v>201602151421097</v>
          </cell>
          <cell r="M3877" t="str">
            <v>维生素C咀嚼片/VC片0.1g*30片</v>
          </cell>
        </row>
        <row r="3878">
          <cell r="E3878" t="str">
            <v>0020020021ZYLC0011</v>
          </cell>
          <cell r="H3878" t="str">
            <v>阳信镇行宫庙村卫生室</v>
          </cell>
          <cell r="J3878" t="str">
            <v>1855</v>
          </cell>
          <cell r="K3878" t="str">
            <v>201602151421097</v>
          </cell>
          <cell r="M3878" t="str">
            <v>严迪/罗红霉素分散片150mg*12片</v>
          </cell>
        </row>
        <row r="3879">
          <cell r="E3879" t="str">
            <v>0020030040SHYT0010</v>
          </cell>
          <cell r="H3879" t="str">
            <v>阳信镇行宫庙村卫生室</v>
          </cell>
          <cell r="J3879" t="str">
            <v>1855</v>
          </cell>
          <cell r="K3879" t="str">
            <v>201602151421097</v>
          </cell>
          <cell r="M3879" t="str">
            <v>布洛芬颗粒0.2g*12袋</v>
          </cell>
        </row>
        <row r="3880">
          <cell r="E3880" t="str">
            <v>0020020030ZYZC0508</v>
          </cell>
          <cell r="H3880" t="str">
            <v>阳信镇行宫庙村卫生室</v>
          </cell>
          <cell r="J3880" t="str">
            <v>1855</v>
          </cell>
          <cell r="K3880" t="str">
            <v>201602151421097</v>
          </cell>
          <cell r="M3880" t="str">
            <v>阿莫西林胶囊0.25g*20s</v>
          </cell>
        </row>
        <row r="3881">
          <cell r="E3881" t="str">
            <v>0020020030ZYZC0508</v>
          </cell>
          <cell r="H3881" t="str">
            <v>孙武村寿俊卫生室</v>
          </cell>
          <cell r="J3881" t="str">
            <v>1854</v>
          </cell>
          <cell r="K3881" t="str">
            <v>201602151421097</v>
          </cell>
          <cell r="M3881" t="str">
            <v>阿莫西林胶囊0.25g*20s</v>
          </cell>
        </row>
        <row r="3882">
          <cell r="E3882" t="str">
            <v>0020020021ZYZC0341</v>
          </cell>
          <cell r="H3882" t="str">
            <v>孙武村寿俊卫生室</v>
          </cell>
          <cell r="J3882" t="str">
            <v>1854</v>
          </cell>
          <cell r="K3882" t="str">
            <v>201602151421097</v>
          </cell>
          <cell r="M3882" t="str">
            <v>阿莫西林克拉维酸钾7:1分散片（胜艾）0.2285g*12片</v>
          </cell>
        </row>
        <row r="3883">
          <cell r="E3883" t="str">
            <v>0020020021ZYZC0341</v>
          </cell>
          <cell r="H3883" t="str">
            <v>北镇办事处工业园区社区卫生服务站</v>
          </cell>
          <cell r="J3883" t="str">
            <v>1853</v>
          </cell>
          <cell r="K3883" t="str">
            <v>201602151421097</v>
          </cell>
          <cell r="M3883" t="str">
            <v>阿莫西林克拉维酸钾7:1分散片（胜艾）0.2285g*12片</v>
          </cell>
        </row>
        <row r="3884">
          <cell r="E3884" t="str">
            <v>0020020030ZYZC0508</v>
          </cell>
          <cell r="H3884" t="str">
            <v>北镇办事处工业园区社区卫生服务站</v>
          </cell>
          <cell r="J3884" t="str">
            <v>1853</v>
          </cell>
          <cell r="K3884" t="str">
            <v>201602151421097</v>
          </cell>
          <cell r="M3884" t="str">
            <v>阿莫西林胶囊0.25g*20s</v>
          </cell>
        </row>
        <row r="3885">
          <cell r="E3885" t="str">
            <v>0020020030ZYZC0283</v>
          </cell>
          <cell r="H3885" t="str">
            <v>北镇办事处工业园区社区卫生服务站</v>
          </cell>
          <cell r="J3885" t="str">
            <v>1853</v>
          </cell>
          <cell r="K3885" t="str">
            <v>201602151421097</v>
          </cell>
          <cell r="M3885" t="str">
            <v>头孢拉定胶囊0.25g*24粒</v>
          </cell>
        </row>
        <row r="3886">
          <cell r="E3886" t="str">
            <v>0020020020ZYZC0359</v>
          </cell>
          <cell r="H3886" t="str">
            <v>北镇办事处工业园区社区卫生服务站</v>
          </cell>
          <cell r="J3886" t="str">
            <v>1853</v>
          </cell>
          <cell r="K3886" t="str">
            <v>201602151421097</v>
          </cell>
          <cell r="M3886" t="str">
            <v>青霉素V钾片（仙芬）0.236g*24片</v>
          </cell>
        </row>
        <row r="3887">
          <cell r="E3887" t="str">
            <v>0020020030ZYZC0511</v>
          </cell>
          <cell r="H3887" t="str">
            <v>北镇办事处工业园区社区卫生服务站</v>
          </cell>
          <cell r="J3887" t="str">
            <v>1853</v>
          </cell>
          <cell r="K3887" t="str">
            <v>201602151421097</v>
          </cell>
          <cell r="M3887" t="str">
            <v>头孢氨苄胶囊0.125g*20粒</v>
          </cell>
        </row>
        <row r="3888">
          <cell r="E3888" t="str">
            <v>0020040001SHYT0013</v>
          </cell>
          <cell r="H3888" t="str">
            <v>滨州市高氏大药房</v>
          </cell>
          <cell r="J3888" t="str">
            <v>1853</v>
          </cell>
          <cell r="K3888" t="str">
            <v>201602151421097</v>
          </cell>
          <cell r="M3888" t="str">
            <v>舒肝丸(大蜜丸)6g*10丸</v>
          </cell>
        </row>
        <row r="3889">
          <cell r="E3889" t="str">
            <v>0020020020ZYLC0003</v>
          </cell>
          <cell r="H3889" t="str">
            <v>商店镇西毛社区卫生室</v>
          </cell>
          <cell r="J3889" t="str">
            <v>1855</v>
          </cell>
          <cell r="K3889" t="str">
            <v>201602151421097</v>
          </cell>
          <cell r="M3889" t="str">
            <v>泻立停片/颠茄磺苄啶片0.4g：80mg：8mg*12片</v>
          </cell>
        </row>
        <row r="3890">
          <cell r="E3890" t="str">
            <v>0020020030SJMS0024</v>
          </cell>
          <cell r="H3890" t="str">
            <v>滨州市滨城区含芳药店</v>
          </cell>
          <cell r="J3890" t="str">
            <v>1853</v>
          </cell>
          <cell r="K3890" t="str">
            <v>201602151421097</v>
          </cell>
          <cell r="M3890" t="str">
            <v>人工牛黄甲硝唑胶囊/牙疼安10粒*2板</v>
          </cell>
        </row>
        <row r="3891">
          <cell r="E3891" t="str">
            <v>0020030040SHYT0010</v>
          </cell>
          <cell r="H3891" t="str">
            <v>滨州市益生园大药房连锁有限公司</v>
          </cell>
          <cell r="J3891" t="str">
            <v>1858</v>
          </cell>
          <cell r="K3891" t="str">
            <v>201602151421097</v>
          </cell>
          <cell r="M3891" t="str">
            <v>布洛芬颗粒0.2g*12袋</v>
          </cell>
        </row>
        <row r="3892">
          <cell r="E3892" t="str">
            <v>0020050090ZYEC0004</v>
          </cell>
          <cell r="H3892" t="str">
            <v>滨州市万全医药保健品连锁有限公司</v>
          </cell>
          <cell r="J3892" t="str">
            <v>1853</v>
          </cell>
          <cell r="K3892" t="str">
            <v>201602151421097</v>
          </cell>
          <cell r="M3892" t="str">
            <v>刺五加脑灵液100ml</v>
          </cell>
        </row>
        <row r="3893">
          <cell r="E3893" t="str">
            <v>0020030020SJSC0004</v>
          </cell>
          <cell r="H3893" t="str">
            <v>博兴县悦康大药店</v>
          </cell>
          <cell r="J3893" t="str">
            <v>1858</v>
          </cell>
          <cell r="K3893" t="str">
            <v>201602151421097</v>
          </cell>
          <cell r="M3893" t="str">
            <v>胃必治/复方铝酸铋片50片</v>
          </cell>
        </row>
        <row r="3894">
          <cell r="E3894" t="str">
            <v>0020030020SJSC0014</v>
          </cell>
          <cell r="H3894" t="str">
            <v>惠民县汉康大药房</v>
          </cell>
          <cell r="J3894" t="str">
            <v>1854</v>
          </cell>
          <cell r="K3894" t="str">
            <v>201602151421097</v>
          </cell>
          <cell r="M3894" t="str">
            <v>维D2磷酸氢钙片60片</v>
          </cell>
        </row>
        <row r="3895">
          <cell r="E3895" t="str">
            <v>0020020012SWGC0007</v>
          </cell>
          <cell r="H3895" t="str">
            <v>阳信县流坡坞镇卫生院（网购）</v>
          </cell>
          <cell r="J3895" t="str">
            <v>1855</v>
          </cell>
          <cell r="K3895" t="str">
            <v>201602151421097</v>
          </cell>
          <cell r="M3895" t="str">
            <v>注射用奥美拉唑钠40mg*10z</v>
          </cell>
        </row>
        <row r="3896">
          <cell r="E3896" t="str">
            <v>0020040020SHYT0007</v>
          </cell>
          <cell r="H3896" t="str">
            <v>惠民县新花大药房连锁有限公司</v>
          </cell>
          <cell r="J3896" t="str">
            <v>1854</v>
          </cell>
          <cell r="K3896" t="str">
            <v>201602151421097</v>
          </cell>
          <cell r="M3896" t="str">
            <v>丹佛胃尔康颗粒10g*6袋</v>
          </cell>
        </row>
        <row r="3897">
          <cell r="E3897" t="str">
            <v>0020030020ZYLC0005</v>
          </cell>
          <cell r="H3897" t="str">
            <v>姜楼镇联伍赵村卫生室</v>
          </cell>
          <cell r="J3897" t="str">
            <v>1854</v>
          </cell>
          <cell r="K3897" t="str">
            <v>201602151421097</v>
          </cell>
          <cell r="M3897" t="str">
            <v>小儿氨酚黄那敏片0.125g*20片</v>
          </cell>
        </row>
        <row r="3898">
          <cell r="E3898" t="str">
            <v>0020030020SJSC0014</v>
          </cell>
          <cell r="H3898" t="str">
            <v>姜楼镇联伍赵村卫生室</v>
          </cell>
          <cell r="J3898" t="str">
            <v>1854</v>
          </cell>
          <cell r="K3898" t="str">
            <v>201602151421097</v>
          </cell>
          <cell r="M3898" t="str">
            <v>维D2磷酸氢钙片60片</v>
          </cell>
        </row>
        <row r="3899">
          <cell r="E3899" t="str">
            <v>0020020020ZYLC0003</v>
          </cell>
          <cell r="H3899" t="str">
            <v>姜楼镇联伍赵村卫生室</v>
          </cell>
          <cell r="J3899" t="str">
            <v>1854</v>
          </cell>
          <cell r="K3899" t="str">
            <v>201602151421097</v>
          </cell>
          <cell r="M3899" t="str">
            <v>泻立停片/颠茄磺苄啶片0.4g：80mg：8mg*12片</v>
          </cell>
        </row>
        <row r="3900">
          <cell r="E3900" t="str">
            <v>0020030040ZYLC0001</v>
          </cell>
          <cell r="H3900" t="str">
            <v>邹平青松诊所</v>
          </cell>
          <cell r="J3900" t="str">
            <v>1859</v>
          </cell>
          <cell r="K3900" t="str">
            <v>201602151421097</v>
          </cell>
          <cell r="M3900" t="str">
            <v>护彤冲剂/小儿氨酚黄那敏颗粒2g*12袋</v>
          </cell>
        </row>
        <row r="3901">
          <cell r="E3901" t="str">
            <v>0020020020ZYLC0003</v>
          </cell>
          <cell r="H3901" t="str">
            <v>洋湖乡史张社区卫生室</v>
          </cell>
          <cell r="J3901" t="str">
            <v>1855</v>
          </cell>
          <cell r="K3901" t="str">
            <v>201602151421097</v>
          </cell>
          <cell r="M3901" t="str">
            <v>泻立停片/颠茄磺苄啶片0.4g：80mg：8mg*12片</v>
          </cell>
        </row>
        <row r="3902">
          <cell r="E3902" t="str">
            <v>0020030020ZYLC0013</v>
          </cell>
          <cell r="H3902" t="str">
            <v>无棣荣玉大药房</v>
          </cell>
          <cell r="J3902" t="str">
            <v>1856</v>
          </cell>
          <cell r="K3902" t="str">
            <v>201602151421097</v>
          </cell>
          <cell r="M3902" t="str">
            <v>“为消”牌乳酸菌素片0.4g*36片</v>
          </cell>
        </row>
        <row r="3903">
          <cell r="E3903" t="str">
            <v>0020020030SJMS0024</v>
          </cell>
          <cell r="H3903" t="str">
            <v>邹平园春堂医药有限公司</v>
          </cell>
          <cell r="J3903" t="str">
            <v>1859</v>
          </cell>
          <cell r="K3903" t="str">
            <v>201602151421097</v>
          </cell>
          <cell r="M3903" t="str">
            <v>人工牛黄甲硝唑胶囊/牙疼安10粒*2板</v>
          </cell>
        </row>
        <row r="3904">
          <cell r="E3904" t="str">
            <v>0020020021ZYLC0012</v>
          </cell>
          <cell r="H3904" t="str">
            <v>邹平园春堂医药有限公司</v>
          </cell>
          <cell r="J3904" t="str">
            <v>1859</v>
          </cell>
          <cell r="K3904" t="str">
            <v>201602151421097</v>
          </cell>
          <cell r="M3904" t="str">
            <v>阿奇霉素分散片0.25*6</v>
          </cell>
        </row>
        <row r="3905">
          <cell r="E3905" t="str">
            <v>0020020021ZYLC0004</v>
          </cell>
          <cell r="H3905" t="str">
            <v>阳信县百姓大药房医药连锁有限公司</v>
          </cell>
          <cell r="J3905" t="str">
            <v>1855</v>
          </cell>
          <cell r="K3905" t="str">
            <v>201602151421097</v>
          </cell>
          <cell r="M3905" t="str">
            <v>大严迪片/罗红霉素分散片75mg*12片</v>
          </cell>
        </row>
        <row r="3906">
          <cell r="E3906" t="str">
            <v>0020030170ZYEC0003</v>
          </cell>
          <cell r="H3906" t="str">
            <v>阳信县百姓大药房医药连锁有限公司</v>
          </cell>
          <cell r="J3906" t="str">
            <v>1855</v>
          </cell>
          <cell r="K3906" t="str">
            <v>201602151421097</v>
          </cell>
          <cell r="M3906" t="str">
            <v>蒙脱石散3g*12袋</v>
          </cell>
        </row>
        <row r="3907">
          <cell r="E3907" t="str">
            <v>0020020021ZYLC0011</v>
          </cell>
          <cell r="H3907" t="str">
            <v>流坡坞镇南街社区卫生室</v>
          </cell>
          <cell r="J3907" t="str">
            <v>1855</v>
          </cell>
          <cell r="K3907" t="str">
            <v>201602151421097</v>
          </cell>
          <cell r="M3907" t="str">
            <v>严迪/罗红霉素分散片150mg*12片</v>
          </cell>
        </row>
        <row r="3908">
          <cell r="E3908" t="str">
            <v>0020040030SHYT0002</v>
          </cell>
          <cell r="H3908" t="str">
            <v>阳信县仁和堂医药连锁有限公司</v>
          </cell>
          <cell r="J3908" t="str">
            <v>1855</v>
          </cell>
          <cell r="K3908" t="str">
            <v>201602151421097</v>
          </cell>
          <cell r="M3908" t="str">
            <v>牛黄消炎片0.12g*24片</v>
          </cell>
        </row>
        <row r="3909">
          <cell r="E3909" t="str">
            <v>0020020021ZYLC0011</v>
          </cell>
          <cell r="H3909" t="str">
            <v>阳信县百姓大药房医药连锁有限公司</v>
          </cell>
          <cell r="J3909" t="str">
            <v>1855</v>
          </cell>
          <cell r="K3909" t="str">
            <v>201602151421097</v>
          </cell>
          <cell r="M3909" t="str">
            <v>严迪/罗红霉素分散片150mg*12片</v>
          </cell>
        </row>
        <row r="3910">
          <cell r="E3910" t="str">
            <v>0020070000ZYLC0051</v>
          </cell>
          <cell r="H3910" t="str">
            <v>阳信镇行宫庙社区卫生室</v>
          </cell>
          <cell r="J3910" t="str">
            <v>1855</v>
          </cell>
          <cell r="K3910" t="str">
            <v>201602151421097</v>
          </cell>
          <cell r="M3910" t="str">
            <v>朴血/乳酸亚铁口服液10ml*12支</v>
          </cell>
        </row>
        <row r="3911">
          <cell r="E3911" t="str">
            <v>0020020012SWGC0007</v>
          </cell>
          <cell r="H3911" t="str">
            <v>阳信县水落坡镇卫生院（网购1）</v>
          </cell>
          <cell r="J3911" t="str">
            <v>1855</v>
          </cell>
          <cell r="K3911" t="str">
            <v>201602151421097</v>
          </cell>
          <cell r="M3911" t="str">
            <v>注射用奥美拉唑钠40mg*10z</v>
          </cell>
        </row>
        <row r="3912">
          <cell r="E3912" t="str">
            <v>0020020021ZYLC0004</v>
          </cell>
          <cell r="H3912" t="str">
            <v>翟王镇张宋社区卫生室</v>
          </cell>
          <cell r="J3912" t="str">
            <v>1855</v>
          </cell>
          <cell r="K3912" t="str">
            <v>201602151421097</v>
          </cell>
          <cell r="M3912" t="str">
            <v>大严迪片/罗红霉素分散片75mg*12片</v>
          </cell>
        </row>
        <row r="3913">
          <cell r="E3913" t="str">
            <v>0020020020ZYLC0010</v>
          </cell>
          <cell r="H3913" t="str">
            <v>翟王镇于张社区卫生室</v>
          </cell>
          <cell r="J3913" t="str">
            <v>1855</v>
          </cell>
          <cell r="K3913" t="str">
            <v>201602151421097</v>
          </cell>
          <cell r="M3913" t="str">
            <v xml:space="preserve">泻利停/颠茄磺苄啶片0.48g*10片 </v>
          </cell>
        </row>
        <row r="3914">
          <cell r="E3914" t="str">
            <v>0020030020ZYZC0360</v>
          </cell>
          <cell r="H3914" t="str">
            <v>滨城王洪波诊所</v>
          </cell>
          <cell r="J3914" t="str">
            <v>1853</v>
          </cell>
          <cell r="K3914" t="str">
            <v>201602151421097</v>
          </cell>
          <cell r="M3914" t="str">
            <v>维生素C咀嚼片/VC片0.1g*30片</v>
          </cell>
        </row>
        <row r="3915">
          <cell r="E3915" t="str">
            <v>0020050090SJZY0001</v>
          </cell>
          <cell r="H3915" t="str">
            <v>滨城王洪波诊所</v>
          </cell>
          <cell r="J3915" t="str">
            <v>1853</v>
          </cell>
          <cell r="K3915" t="str">
            <v>201602151421097</v>
          </cell>
          <cell r="M3915" t="str">
            <v>双黄连口服液10ml*10支</v>
          </cell>
        </row>
        <row r="3916">
          <cell r="E3916" t="str">
            <v>0020020012SWGC0007</v>
          </cell>
          <cell r="H3916" t="str">
            <v>无棣县埕口镇卫生院（网购）</v>
          </cell>
          <cell r="J3916" t="str">
            <v>1856</v>
          </cell>
          <cell r="K3916" t="str">
            <v>201602151421097</v>
          </cell>
          <cell r="M3916" t="str">
            <v>注射用奥美拉唑钠40mg*10z</v>
          </cell>
        </row>
        <row r="3917">
          <cell r="E3917" t="str">
            <v>0020070000SJZY0001</v>
          </cell>
          <cell r="H3917" t="str">
            <v>滨州北海经济开发区马山子镇济堂药店</v>
          </cell>
          <cell r="J3917" t="str">
            <v>1856</v>
          </cell>
          <cell r="K3917" t="str">
            <v>201602151421097</v>
          </cell>
          <cell r="M3917" t="str">
            <v>葡萄糖酸锌口服液10ML*12支</v>
          </cell>
        </row>
        <row r="3918">
          <cell r="E3918" t="str">
            <v>0020030001SJZY0006</v>
          </cell>
          <cell r="H3918" t="str">
            <v>滨州北海经济开发区马山子镇济堂药店</v>
          </cell>
          <cell r="J3918" t="str">
            <v>1856</v>
          </cell>
          <cell r="K3918" t="str">
            <v>201602151421097</v>
          </cell>
          <cell r="M3918" t="str">
            <v>葡萄糖酸钙口服溶液（含糖）10ml*12支</v>
          </cell>
        </row>
        <row r="3919">
          <cell r="E3919" t="str">
            <v>0020030020SJSC0004</v>
          </cell>
          <cell r="H3919" t="str">
            <v>滨州北海经济开发区马山子镇济堂药店</v>
          </cell>
          <cell r="J3919" t="str">
            <v>1856</v>
          </cell>
          <cell r="K3919" t="str">
            <v>201602151421097</v>
          </cell>
          <cell r="M3919" t="str">
            <v>胃必治/复方铝酸铋片50片</v>
          </cell>
        </row>
        <row r="3920">
          <cell r="E3920" t="str">
            <v>0020070000SJZY0001</v>
          </cell>
          <cell r="H3920" t="str">
            <v>杜店董树相诊所</v>
          </cell>
          <cell r="J3920" t="str">
            <v>1853</v>
          </cell>
          <cell r="K3920" t="str">
            <v>201602151421097</v>
          </cell>
          <cell r="M3920" t="str">
            <v>葡萄糖酸锌口服液10ML*12支</v>
          </cell>
        </row>
        <row r="3921">
          <cell r="E3921" t="str">
            <v>0020030001SJZY0006</v>
          </cell>
          <cell r="H3921" t="str">
            <v>杜店董树相诊所</v>
          </cell>
          <cell r="J3921" t="str">
            <v>1853</v>
          </cell>
          <cell r="K3921" t="str">
            <v>201602151421097</v>
          </cell>
          <cell r="M3921" t="str">
            <v>葡萄糖酸钙口服溶液（含糖）10ml*12支</v>
          </cell>
        </row>
        <row r="3922">
          <cell r="E3922" t="str">
            <v>0020070000SJZY0001</v>
          </cell>
          <cell r="H3922" t="str">
            <v>刘廷军诊所</v>
          </cell>
          <cell r="J3922" t="str">
            <v>1853</v>
          </cell>
          <cell r="K3922" t="str">
            <v>201602151421097</v>
          </cell>
          <cell r="M3922" t="str">
            <v>葡萄糖酸锌口服液10ML*12支</v>
          </cell>
        </row>
        <row r="3923">
          <cell r="E3923" t="str">
            <v>0020070000ZYLC0051</v>
          </cell>
          <cell r="H3923" t="str">
            <v>劳店乡西街村卫生室</v>
          </cell>
          <cell r="J3923" t="str">
            <v>1855</v>
          </cell>
          <cell r="K3923" t="str">
            <v>201602151421097</v>
          </cell>
          <cell r="M3923" t="str">
            <v>朴血/乳酸亚铁口服液10ml*12支</v>
          </cell>
        </row>
        <row r="3924">
          <cell r="E3924" t="str">
            <v>0020030020ZYLC0013</v>
          </cell>
          <cell r="H3924" t="str">
            <v>孙武村寿俊卫生室</v>
          </cell>
          <cell r="J3924" t="str">
            <v>1854</v>
          </cell>
          <cell r="K3924" t="str">
            <v>201602151421097</v>
          </cell>
          <cell r="M3924" t="str">
            <v>“为消”牌乳酸菌素片0.4g*36片</v>
          </cell>
        </row>
        <row r="3925">
          <cell r="E3925" t="str">
            <v>0020020030ZYZC0264</v>
          </cell>
          <cell r="H3925" t="str">
            <v>滨城刘虎中医诊所</v>
          </cell>
          <cell r="J3925" t="str">
            <v>1853</v>
          </cell>
          <cell r="K3925" t="str">
            <v>201602151421097</v>
          </cell>
          <cell r="M3925" t="str">
            <v>阿莫西林胶囊0.5g*20粒</v>
          </cell>
        </row>
        <row r="3926">
          <cell r="E3926" t="str">
            <v>0020020030ZYZC0283</v>
          </cell>
          <cell r="H3926" t="str">
            <v>滨城刘虎中医诊所</v>
          </cell>
          <cell r="J3926" t="str">
            <v>1853</v>
          </cell>
          <cell r="K3926" t="str">
            <v>201602151421097</v>
          </cell>
          <cell r="M3926" t="str">
            <v>头孢拉定胶囊0.25g*24粒</v>
          </cell>
        </row>
        <row r="3927">
          <cell r="E3927" t="str">
            <v>0020030020SJSC0004</v>
          </cell>
          <cell r="H3927" t="str">
            <v>滨州市滨城区彭李街道办事处黄河社区卫生服务站</v>
          </cell>
          <cell r="J3927" t="str">
            <v>1853</v>
          </cell>
          <cell r="K3927" t="str">
            <v>201602151421097</v>
          </cell>
          <cell r="M3927" t="str">
            <v>胃必治/复方铝酸铋片50片</v>
          </cell>
        </row>
        <row r="3928">
          <cell r="E3928" t="str">
            <v>0020070000ZYLC0001</v>
          </cell>
          <cell r="H3928" t="str">
            <v>商店镇西毛社区卫生室</v>
          </cell>
          <cell r="J3928" t="str">
            <v>1855</v>
          </cell>
          <cell r="K3928" t="str">
            <v>201602151421097</v>
          </cell>
          <cell r="M3928" t="str">
            <v>新盖中盖高钙片2.5g*36P</v>
          </cell>
        </row>
        <row r="3929">
          <cell r="E3929" t="str">
            <v>0020020020ZYLC0010</v>
          </cell>
          <cell r="H3929" t="str">
            <v>滨州市精诚便民医药连锁有限公司</v>
          </cell>
          <cell r="J3929" t="str">
            <v>1853</v>
          </cell>
          <cell r="K3929" t="str">
            <v>201602151421097</v>
          </cell>
          <cell r="M3929" t="str">
            <v xml:space="preserve">泻利停/颠茄磺苄啶片0.48g*10片 </v>
          </cell>
        </row>
        <row r="3930">
          <cell r="E3930" t="str">
            <v>0020070000ZYLC0051</v>
          </cell>
          <cell r="H3930" t="str">
            <v>滨州市精诚便民医药连锁有限公司</v>
          </cell>
          <cell r="J3930" t="str">
            <v>1853</v>
          </cell>
          <cell r="K3930" t="str">
            <v>201602151421097</v>
          </cell>
          <cell r="M3930" t="str">
            <v>朴血/乳酸亚铁口服液10ml*12支</v>
          </cell>
        </row>
        <row r="3931">
          <cell r="E3931" t="str">
            <v>0020030001SJZY0006</v>
          </cell>
          <cell r="H3931" t="str">
            <v>滨州市精诚便民医药连锁有限公司</v>
          </cell>
          <cell r="J3931" t="str">
            <v>1853</v>
          </cell>
          <cell r="K3931" t="str">
            <v>201602151421097</v>
          </cell>
          <cell r="M3931" t="str">
            <v>葡萄糖酸钙口服溶液（含糖）10ml*12支</v>
          </cell>
        </row>
        <row r="3932">
          <cell r="E3932" t="str">
            <v>0020030040SJET0003</v>
          </cell>
          <cell r="H3932" t="str">
            <v>水落坡乡郭马社区卫生室</v>
          </cell>
          <cell r="J3932" t="str">
            <v>1855</v>
          </cell>
          <cell r="K3932" t="str">
            <v>201602151421097</v>
          </cell>
          <cell r="M3932" t="str">
            <v>氨金黄敏颗粒6g*10袋</v>
          </cell>
        </row>
        <row r="3933">
          <cell r="E3933" t="str">
            <v>0020020021ZYLC0011</v>
          </cell>
          <cell r="H3933" t="str">
            <v>滨州市精诚便民医药连锁有限公司</v>
          </cell>
          <cell r="J3933" t="str">
            <v>1853</v>
          </cell>
          <cell r="K3933" t="str">
            <v>201602151421097</v>
          </cell>
          <cell r="M3933" t="str">
            <v>严迪/罗红霉素分散片150mg*12片</v>
          </cell>
        </row>
        <row r="3934">
          <cell r="E3934" t="str">
            <v>0020020013ZYZC0491</v>
          </cell>
          <cell r="H3934" t="str">
            <v>沾化区黄升镇黄四中心卫生室</v>
          </cell>
          <cell r="J3934" t="str">
            <v>1857</v>
          </cell>
          <cell r="K3934" t="str">
            <v>201602151421097</v>
          </cell>
          <cell r="M3934" t="str">
            <v>阿奇针/注射用乳糖酸阿奇霉素针0.25g</v>
          </cell>
        </row>
        <row r="3935">
          <cell r="E3935" t="str">
            <v>0020020021ZYLC0005</v>
          </cell>
          <cell r="H3935" t="str">
            <v>无棣益生堂药店连锁有限公司</v>
          </cell>
          <cell r="J3935" t="str">
            <v>1856</v>
          </cell>
          <cell r="K3935" t="str">
            <v>201602151421097</v>
          </cell>
          <cell r="M3935" t="str">
            <v>小儿严迪片/罗红霉素分散片50mg*12片</v>
          </cell>
        </row>
        <row r="3936">
          <cell r="E3936" t="str">
            <v>0020020021ZYLC0004</v>
          </cell>
          <cell r="H3936" t="str">
            <v>无棣益生堂药店连锁有限公司</v>
          </cell>
          <cell r="J3936" t="str">
            <v>1856</v>
          </cell>
          <cell r="K3936" t="str">
            <v>201602151421097</v>
          </cell>
          <cell r="M3936" t="str">
            <v>大严迪片/罗红霉素分散片75mg*12片</v>
          </cell>
        </row>
        <row r="3937">
          <cell r="E3937" t="str">
            <v>0020070000SJZY0001</v>
          </cell>
          <cell r="H3937" t="str">
            <v>水落坡乡水落坡村第二卫生室</v>
          </cell>
          <cell r="J3937" t="str">
            <v>1855</v>
          </cell>
          <cell r="K3937" t="str">
            <v>201602151421097</v>
          </cell>
          <cell r="M3937" t="str">
            <v>葡萄糖酸锌口服液10ML*12支</v>
          </cell>
        </row>
        <row r="3938">
          <cell r="E3938" t="str">
            <v>0020030040SHYT0010</v>
          </cell>
          <cell r="H3938" t="str">
            <v>山东省惠民县梦之康大药房连锁有限公司</v>
          </cell>
          <cell r="J3938" t="str">
            <v>1854</v>
          </cell>
          <cell r="K3938" t="str">
            <v>201602151421097</v>
          </cell>
          <cell r="M3938" t="str">
            <v>布洛芬颗粒0.2g*12袋</v>
          </cell>
        </row>
        <row r="3939">
          <cell r="E3939" t="str">
            <v>0020030020ZYLC0005</v>
          </cell>
          <cell r="H3939" t="str">
            <v>山东省惠民县梦之康大药房连锁有限公司</v>
          </cell>
          <cell r="J3939" t="str">
            <v>1854</v>
          </cell>
          <cell r="K3939" t="str">
            <v>201602151421097</v>
          </cell>
          <cell r="M3939" t="str">
            <v>小儿氨酚黄那敏片0.125g*20片</v>
          </cell>
        </row>
        <row r="3940">
          <cell r="E3940" t="str">
            <v>0020020021ZYLC0011</v>
          </cell>
          <cell r="H3940" t="str">
            <v>山东省惠民县梦之康大药房连锁有限公司</v>
          </cell>
          <cell r="J3940" t="str">
            <v>1854</v>
          </cell>
          <cell r="K3940" t="str">
            <v>201602151421097</v>
          </cell>
          <cell r="M3940" t="str">
            <v>严迪/罗红霉素分散片150mg*12片</v>
          </cell>
        </row>
        <row r="3941">
          <cell r="E3941" t="str">
            <v>0020050030SJSC0007</v>
          </cell>
          <cell r="H3941" t="str">
            <v>山东省惠民县梦之康大药房连锁有限公司</v>
          </cell>
          <cell r="J3941" t="str">
            <v>1854</v>
          </cell>
          <cell r="K3941" t="str">
            <v>201602151421097</v>
          </cell>
          <cell r="M3941" t="str">
            <v>菊梅利咽含片1.2g*18片</v>
          </cell>
        </row>
        <row r="3942">
          <cell r="E3942" t="str">
            <v>0020070001ZYLC0001</v>
          </cell>
          <cell r="H3942" t="str">
            <v>邹平博祥医药连锁有限公司</v>
          </cell>
          <cell r="J3942" t="str">
            <v>1859</v>
          </cell>
          <cell r="K3942" t="str">
            <v>201602151421097</v>
          </cell>
          <cell r="M3942" t="str">
            <v>哈药六钙锌口服液10ml*12支</v>
          </cell>
        </row>
        <row r="3943">
          <cell r="E3943" t="str">
            <v>0020020020ZYZC0359</v>
          </cell>
          <cell r="H3943" t="str">
            <v>滨州市沾化区中医院</v>
          </cell>
          <cell r="J3943" t="str">
            <v>1857</v>
          </cell>
          <cell r="K3943" t="str">
            <v>201602151421097</v>
          </cell>
          <cell r="M3943" t="str">
            <v>青霉素V钾片（仙芬）0.236g*24片</v>
          </cell>
        </row>
        <row r="3944">
          <cell r="E3944" t="str">
            <v>0020020021ZYLC0004</v>
          </cell>
          <cell r="H3944" t="str">
            <v>阳信荣军医院</v>
          </cell>
          <cell r="J3944" t="str">
            <v>1855</v>
          </cell>
          <cell r="K3944" t="str">
            <v>201602151421097</v>
          </cell>
          <cell r="M3944" t="str">
            <v>大严迪片/罗红霉素分散片75mg*12片</v>
          </cell>
        </row>
        <row r="3945">
          <cell r="E3945" t="str">
            <v>0020020021ZYLC0011</v>
          </cell>
          <cell r="H3945" t="str">
            <v>沾化静康诊所</v>
          </cell>
          <cell r="J3945" t="str">
            <v>1857</v>
          </cell>
          <cell r="K3945" t="str">
            <v>201602151421097</v>
          </cell>
          <cell r="M3945" t="str">
            <v>严迪/罗红霉素分散片150mg*12片</v>
          </cell>
        </row>
        <row r="3946">
          <cell r="E3946" t="str">
            <v>0020030020ZYLC0010</v>
          </cell>
          <cell r="H3946" t="str">
            <v>沾化静康诊所</v>
          </cell>
          <cell r="J3946" t="str">
            <v>1857</v>
          </cell>
          <cell r="K3946" t="str">
            <v>201602151421097</v>
          </cell>
          <cell r="M3946" t="str">
            <v>乳酸菌素片/为消0.4g*36片</v>
          </cell>
        </row>
        <row r="3947">
          <cell r="E3947" t="str">
            <v>0020050090SJZY0001</v>
          </cell>
          <cell r="H3947" t="str">
            <v>河流镇史家社区卫生室</v>
          </cell>
          <cell r="J3947" t="str">
            <v>1855</v>
          </cell>
          <cell r="K3947" t="str">
            <v>201602151421097</v>
          </cell>
          <cell r="M3947" t="str">
            <v>双黄连口服液10ml*10支</v>
          </cell>
        </row>
        <row r="3948">
          <cell r="E3948" t="str">
            <v>0020070000ZYLC0001</v>
          </cell>
          <cell r="H3948" t="str">
            <v>惠民县古城药房第一分店</v>
          </cell>
          <cell r="J3948" t="str">
            <v>1854</v>
          </cell>
          <cell r="K3948" t="str">
            <v>201602151421097</v>
          </cell>
          <cell r="M3948" t="str">
            <v>新盖中盖高钙片2.5g*36P</v>
          </cell>
        </row>
        <row r="3949">
          <cell r="E3949" t="str">
            <v>0020070001ZYZC0383</v>
          </cell>
          <cell r="H3949" t="str">
            <v>惠民县古城药房第一分店</v>
          </cell>
          <cell r="J3949" t="str">
            <v>1854</v>
          </cell>
          <cell r="K3949" t="str">
            <v>201602151421097</v>
          </cell>
          <cell r="M3949" t="str">
            <v>哈药牌钙铁锌口服液10ml*10支</v>
          </cell>
        </row>
        <row r="3950">
          <cell r="E3950" t="str">
            <v>0020020021ZYLC0011</v>
          </cell>
          <cell r="H3950" t="str">
            <v>滨城刘利剑中医诊所</v>
          </cell>
          <cell r="J3950" t="str">
            <v>1853</v>
          </cell>
          <cell r="K3950" t="str">
            <v>201602151421097</v>
          </cell>
          <cell r="M3950" t="str">
            <v>严迪/罗红霉素分散片150mg*12片</v>
          </cell>
        </row>
        <row r="3951">
          <cell r="E3951" t="str">
            <v>0020070000SJZY0001</v>
          </cell>
          <cell r="H3951" t="str">
            <v>滨城刘利剑中医诊所</v>
          </cell>
          <cell r="J3951" t="str">
            <v>1853</v>
          </cell>
          <cell r="K3951" t="str">
            <v>201602151421097</v>
          </cell>
          <cell r="M3951" t="str">
            <v>葡萄糖酸锌口服液10ML*12支</v>
          </cell>
        </row>
        <row r="3952">
          <cell r="E3952" t="str">
            <v>0020040220SHYT0005</v>
          </cell>
          <cell r="H3952" t="str">
            <v>惠民县康之家药房</v>
          </cell>
          <cell r="J3952" t="str">
            <v>1854</v>
          </cell>
          <cell r="K3952" t="str">
            <v>201602151421097</v>
          </cell>
          <cell r="M3952" t="str">
            <v>妇宁栓1.6g×7枚</v>
          </cell>
        </row>
        <row r="3953">
          <cell r="E3953" t="str">
            <v>0020020020ZYLC0003</v>
          </cell>
          <cell r="H3953" t="str">
            <v>惠民县康之家药房</v>
          </cell>
          <cell r="J3953" t="str">
            <v>1854</v>
          </cell>
          <cell r="K3953" t="str">
            <v>201602151421097</v>
          </cell>
          <cell r="M3953" t="str">
            <v>泻立停片/颠茄磺苄啶片0.4g：80mg：8mg*12片</v>
          </cell>
        </row>
        <row r="3954">
          <cell r="E3954" t="str">
            <v>0020030040SJET0003</v>
          </cell>
          <cell r="H3954" t="str">
            <v>惠民县康之家药房</v>
          </cell>
          <cell r="J3954" t="str">
            <v>1854</v>
          </cell>
          <cell r="K3954" t="str">
            <v>201602151421097</v>
          </cell>
          <cell r="M3954" t="str">
            <v>氨金黄敏颗粒6g*10袋</v>
          </cell>
        </row>
        <row r="3955">
          <cell r="E3955" t="str">
            <v>0020070000ZYLC0051</v>
          </cell>
          <cell r="H3955" t="str">
            <v>惠民县康之家药房</v>
          </cell>
          <cell r="J3955" t="str">
            <v>1854</v>
          </cell>
          <cell r="K3955" t="str">
            <v>201602151421097</v>
          </cell>
          <cell r="M3955" t="str">
            <v>朴血/乳酸亚铁口服液10ml*12支</v>
          </cell>
        </row>
        <row r="3956">
          <cell r="E3956" t="str">
            <v>0020070001ZYZC0383</v>
          </cell>
          <cell r="H3956" t="str">
            <v>惠民县康之家药房</v>
          </cell>
          <cell r="J3956" t="str">
            <v>1854</v>
          </cell>
          <cell r="K3956" t="str">
            <v>201602151421097</v>
          </cell>
          <cell r="M3956" t="str">
            <v>哈药牌钙铁锌口服液10ml*10支</v>
          </cell>
        </row>
        <row r="3957">
          <cell r="E3957" t="str">
            <v>0020070000SJZY0001</v>
          </cell>
          <cell r="H3957" t="str">
            <v>惠民县康之家药房</v>
          </cell>
          <cell r="J3957" t="str">
            <v>1854</v>
          </cell>
          <cell r="K3957" t="str">
            <v>201602151421097</v>
          </cell>
          <cell r="M3957" t="str">
            <v>葡萄糖酸锌口服液10ML*12支</v>
          </cell>
        </row>
        <row r="3958">
          <cell r="E3958" t="str">
            <v>0020030040ZYLC0001</v>
          </cell>
          <cell r="H3958" t="str">
            <v>惠民县康之家药房</v>
          </cell>
          <cell r="J3958" t="str">
            <v>1854</v>
          </cell>
          <cell r="K3958" t="str">
            <v>201602151421097</v>
          </cell>
          <cell r="M3958" t="str">
            <v>护彤冲剂/小儿氨酚黄那敏颗粒2g*12袋</v>
          </cell>
        </row>
        <row r="3959">
          <cell r="E3959" t="str">
            <v>0020030001SJZY0006</v>
          </cell>
          <cell r="H3959" t="str">
            <v>惠民县康之家药房</v>
          </cell>
          <cell r="J3959" t="str">
            <v>1854</v>
          </cell>
          <cell r="K3959" t="str">
            <v>201602151421097</v>
          </cell>
          <cell r="M3959" t="str">
            <v>葡萄糖酸钙口服溶液（含糖）10ml*12支</v>
          </cell>
        </row>
        <row r="3960">
          <cell r="E3960" t="str">
            <v>0020050090SJZY0001</v>
          </cell>
          <cell r="H3960" t="str">
            <v>惠民县康之家药房</v>
          </cell>
          <cell r="J3960" t="str">
            <v>1854</v>
          </cell>
          <cell r="K3960" t="str">
            <v>201602151421097</v>
          </cell>
          <cell r="M3960" t="str">
            <v>双黄连口服液10ml*10支</v>
          </cell>
        </row>
        <row r="3961">
          <cell r="E3961" t="str">
            <v>0020030020SJSC0004</v>
          </cell>
          <cell r="H3961" t="str">
            <v>惠民县康之家药房</v>
          </cell>
          <cell r="J3961" t="str">
            <v>1854</v>
          </cell>
          <cell r="K3961" t="str">
            <v>201602151421097</v>
          </cell>
          <cell r="M3961" t="str">
            <v>胃必治/复方铝酸铋片50片</v>
          </cell>
        </row>
        <row r="3962">
          <cell r="E3962" t="str">
            <v>0020020030ZYZC0508</v>
          </cell>
          <cell r="H3962" t="str">
            <v>惠民县康之家药房</v>
          </cell>
          <cell r="J3962" t="str">
            <v>1854</v>
          </cell>
          <cell r="K3962" t="str">
            <v>201602151421097</v>
          </cell>
          <cell r="M3962" t="str">
            <v>阿莫西林胶囊0.25g*20s</v>
          </cell>
        </row>
        <row r="3963">
          <cell r="E3963" t="str">
            <v>0020020021ZYLC0011</v>
          </cell>
          <cell r="H3963" t="str">
            <v>惠民县康之家药房</v>
          </cell>
          <cell r="J3963" t="str">
            <v>1854</v>
          </cell>
          <cell r="K3963" t="str">
            <v>201602151421097</v>
          </cell>
          <cell r="M3963" t="str">
            <v>严迪/罗红霉素分散片150mg*12片</v>
          </cell>
        </row>
        <row r="3964">
          <cell r="E3964" t="str">
            <v>0020050090SJZY0001</v>
          </cell>
          <cell r="H3964" t="str">
            <v>滨城朱林诊所</v>
          </cell>
          <cell r="J3964" t="str">
            <v>1853</v>
          </cell>
          <cell r="K3964" t="str">
            <v>201602151421097</v>
          </cell>
          <cell r="M3964" t="str">
            <v>双黄连口服液10ml*10支</v>
          </cell>
        </row>
        <row r="3965">
          <cell r="E3965" t="str">
            <v>0020070000SJZY0001</v>
          </cell>
          <cell r="H3965" t="str">
            <v>滨州市精诚便民医药连锁有限公司</v>
          </cell>
          <cell r="J3965" t="str">
            <v>1853</v>
          </cell>
          <cell r="K3965" t="str">
            <v>201602151421097</v>
          </cell>
          <cell r="M3965" t="str">
            <v>葡萄糖酸锌口服液10ML*12支</v>
          </cell>
        </row>
        <row r="3966">
          <cell r="E3966" t="str">
            <v>0020070000ZYLC0051</v>
          </cell>
          <cell r="H3966" t="str">
            <v>惠民县百分大药房</v>
          </cell>
          <cell r="J3966" t="str">
            <v>1854</v>
          </cell>
          <cell r="K3966" t="str">
            <v>201602151421097</v>
          </cell>
          <cell r="M3966" t="str">
            <v>朴血/乳酸亚铁口服液10ml*12支</v>
          </cell>
        </row>
        <row r="3967">
          <cell r="E3967" t="str">
            <v>0020020020ZYLC0003</v>
          </cell>
          <cell r="H3967" t="str">
            <v>惠民县百分大药房</v>
          </cell>
          <cell r="J3967" t="str">
            <v>1854</v>
          </cell>
          <cell r="K3967" t="str">
            <v>201602151421097</v>
          </cell>
          <cell r="M3967" t="str">
            <v>泻立停片/颠茄磺苄啶片0.4g：80mg：8mg*12片</v>
          </cell>
        </row>
        <row r="3968">
          <cell r="E3968" t="str">
            <v>0020030040ZYLC0001</v>
          </cell>
          <cell r="H3968" t="str">
            <v>惠民县百分大药房</v>
          </cell>
          <cell r="J3968" t="str">
            <v>1854</v>
          </cell>
          <cell r="K3968" t="str">
            <v>201602151421097</v>
          </cell>
          <cell r="M3968" t="str">
            <v>护彤冲剂/小儿氨酚黄那敏颗粒2g*12袋</v>
          </cell>
        </row>
        <row r="3969">
          <cell r="E3969" t="str">
            <v>0020070000SJZY0001</v>
          </cell>
          <cell r="H3969" t="str">
            <v>惠民县百分大药房</v>
          </cell>
          <cell r="J3969" t="str">
            <v>1854</v>
          </cell>
          <cell r="K3969" t="str">
            <v>201602151421097</v>
          </cell>
          <cell r="M3969" t="str">
            <v>葡萄糖酸锌口服液10ML*12支</v>
          </cell>
        </row>
        <row r="3970">
          <cell r="E3970" t="str">
            <v>0020030001SJZY0006</v>
          </cell>
          <cell r="H3970" t="str">
            <v>惠民县百分大药房</v>
          </cell>
          <cell r="J3970" t="str">
            <v>1854</v>
          </cell>
          <cell r="K3970" t="str">
            <v>201602151421097</v>
          </cell>
          <cell r="M3970" t="str">
            <v>葡萄糖酸钙口服溶液（含糖）10ml*12支</v>
          </cell>
        </row>
        <row r="3971">
          <cell r="E3971" t="str">
            <v>0020070001ZYZC0383</v>
          </cell>
          <cell r="H3971" t="str">
            <v>惠民县百分大药房</v>
          </cell>
          <cell r="J3971" t="str">
            <v>1854</v>
          </cell>
          <cell r="K3971" t="str">
            <v>201602151421097</v>
          </cell>
          <cell r="M3971" t="str">
            <v>哈药牌钙铁锌口服液10ml*10支</v>
          </cell>
        </row>
        <row r="3972">
          <cell r="E3972" t="str">
            <v>0020040220SHYT0005</v>
          </cell>
          <cell r="H3972" t="str">
            <v>惠民县百分大药房</v>
          </cell>
          <cell r="J3972" t="str">
            <v>1854</v>
          </cell>
          <cell r="K3972" t="str">
            <v>201602151421097</v>
          </cell>
          <cell r="M3972" t="str">
            <v>妇宁栓1.6g×7枚</v>
          </cell>
        </row>
        <row r="3973">
          <cell r="E3973" t="str">
            <v>0020030020SJSC0004</v>
          </cell>
          <cell r="H3973" t="str">
            <v>惠民县百分大药房</v>
          </cell>
          <cell r="J3973" t="str">
            <v>1854</v>
          </cell>
          <cell r="K3973" t="str">
            <v>201602151421097</v>
          </cell>
          <cell r="M3973" t="str">
            <v>胃必治/复方铝酸铋片50片</v>
          </cell>
        </row>
        <row r="3974">
          <cell r="E3974" t="str">
            <v>0020030040SJET0003</v>
          </cell>
          <cell r="H3974" t="str">
            <v>惠民县百分大药房</v>
          </cell>
          <cell r="J3974" t="str">
            <v>1854</v>
          </cell>
          <cell r="K3974" t="str">
            <v>201602151421097</v>
          </cell>
          <cell r="M3974" t="str">
            <v>氨金黄敏颗粒6g*10袋</v>
          </cell>
        </row>
        <row r="3975">
          <cell r="E3975" t="str">
            <v>0020050090SJZY0001</v>
          </cell>
          <cell r="H3975" t="str">
            <v>惠民县百分大药房</v>
          </cell>
          <cell r="J3975" t="str">
            <v>1854</v>
          </cell>
          <cell r="K3975" t="str">
            <v>201602151421097</v>
          </cell>
          <cell r="M3975" t="str">
            <v>双黄连口服液10ml*10支</v>
          </cell>
        </row>
        <row r="3976">
          <cell r="E3976" t="str">
            <v>0020070000ZYLC0051</v>
          </cell>
          <cell r="H3976" t="str">
            <v>惠民县宝芝林医药连锁有限公司</v>
          </cell>
          <cell r="J3976" t="str">
            <v>1854</v>
          </cell>
          <cell r="K3976" t="str">
            <v>201602151421097</v>
          </cell>
          <cell r="M3976" t="str">
            <v>朴血/乳酸亚铁口服液10ml*12支</v>
          </cell>
        </row>
        <row r="3977">
          <cell r="E3977" t="str">
            <v>0020040070ZYEC0005</v>
          </cell>
          <cell r="H3977" t="str">
            <v>惠民县宝芝林医药连锁有限公司</v>
          </cell>
          <cell r="J3977" t="str">
            <v>1854</v>
          </cell>
          <cell r="K3977" t="str">
            <v>201602151421097</v>
          </cell>
          <cell r="M3977" t="str">
            <v>小儿百部止咳糖浆100ml</v>
          </cell>
        </row>
        <row r="3978">
          <cell r="E3978" t="str">
            <v>0020020030ZYZC0508</v>
          </cell>
          <cell r="H3978" t="str">
            <v>惠民县宝芝林医药连锁有限公司</v>
          </cell>
          <cell r="J3978" t="str">
            <v>1854</v>
          </cell>
          <cell r="K3978" t="str">
            <v>201602151421097</v>
          </cell>
          <cell r="M3978" t="str">
            <v>阿莫西林胶囊0.25g*20s</v>
          </cell>
        </row>
        <row r="3979">
          <cell r="E3979" t="str">
            <v>0020020020ZYZC0359</v>
          </cell>
          <cell r="H3979" t="str">
            <v>惠民县宝芝林医药连锁有限公司</v>
          </cell>
          <cell r="J3979" t="str">
            <v>1854</v>
          </cell>
          <cell r="K3979" t="str">
            <v>201602151421097</v>
          </cell>
          <cell r="M3979" t="str">
            <v>青霉素V钾片（仙芬）0.236g*24片</v>
          </cell>
        </row>
        <row r="3980">
          <cell r="E3980" t="str">
            <v>0020020030ZYZC0511</v>
          </cell>
          <cell r="H3980" t="str">
            <v>惠民县宝芝林医药连锁有限公司</v>
          </cell>
          <cell r="J3980" t="str">
            <v>1854</v>
          </cell>
          <cell r="K3980" t="str">
            <v>201602151421097</v>
          </cell>
          <cell r="M3980" t="str">
            <v>头孢氨苄胶囊0.125g*20粒</v>
          </cell>
        </row>
        <row r="3981">
          <cell r="E3981" t="str">
            <v>0020020021ZYZC0341</v>
          </cell>
          <cell r="H3981" t="str">
            <v>惠民县宝芝林医药连锁有限公司</v>
          </cell>
          <cell r="J3981" t="str">
            <v>1854</v>
          </cell>
          <cell r="K3981" t="str">
            <v>201602151421097</v>
          </cell>
          <cell r="M3981" t="str">
            <v>阿莫西林克拉维酸钾7:1分散片（胜艾）0.2285g*12片</v>
          </cell>
        </row>
        <row r="3982">
          <cell r="E3982" t="str">
            <v>0020040220SHYT0005</v>
          </cell>
          <cell r="H3982" t="str">
            <v>惠民县森茸大药房</v>
          </cell>
          <cell r="J3982" t="str">
            <v>1854</v>
          </cell>
          <cell r="K3982" t="str">
            <v>201602151421097</v>
          </cell>
          <cell r="M3982" t="str">
            <v>妇宁栓1.6g×7枚</v>
          </cell>
        </row>
        <row r="3983">
          <cell r="E3983" t="str">
            <v>0020070000SJZY0001</v>
          </cell>
          <cell r="H3983" t="str">
            <v>惠民县森茸大药房</v>
          </cell>
          <cell r="J3983" t="str">
            <v>1854</v>
          </cell>
          <cell r="K3983" t="str">
            <v>201602151421097</v>
          </cell>
          <cell r="M3983" t="str">
            <v>葡萄糖酸锌口服液10ML*12支</v>
          </cell>
        </row>
        <row r="3984">
          <cell r="E3984" t="str">
            <v>0020070000ZYLC0051</v>
          </cell>
          <cell r="H3984" t="str">
            <v>惠民县森茸大药房</v>
          </cell>
          <cell r="J3984" t="str">
            <v>1854</v>
          </cell>
          <cell r="K3984" t="str">
            <v>201602151421097</v>
          </cell>
          <cell r="M3984" t="str">
            <v>朴血/乳酸亚铁口服液10ml*12支</v>
          </cell>
        </row>
        <row r="3985">
          <cell r="E3985" t="str">
            <v>0020070001ZYZC0383</v>
          </cell>
          <cell r="H3985" t="str">
            <v>惠民县森茸大药房</v>
          </cell>
          <cell r="J3985" t="str">
            <v>1854</v>
          </cell>
          <cell r="K3985" t="str">
            <v>201602151421097</v>
          </cell>
          <cell r="M3985" t="str">
            <v>哈药牌钙铁锌口服液10ml*10支</v>
          </cell>
        </row>
        <row r="3986">
          <cell r="E3986" t="str">
            <v>0020030040ZYLC0001</v>
          </cell>
          <cell r="H3986" t="str">
            <v>惠民县森茸大药房</v>
          </cell>
          <cell r="J3986" t="str">
            <v>1854</v>
          </cell>
          <cell r="K3986" t="str">
            <v>201602151421097</v>
          </cell>
          <cell r="M3986" t="str">
            <v>护彤冲剂/小儿氨酚黄那敏颗粒2g*12袋</v>
          </cell>
        </row>
        <row r="3987">
          <cell r="E3987" t="str">
            <v>0020030020SJSC0004</v>
          </cell>
          <cell r="H3987" t="str">
            <v>惠民县森茸大药房</v>
          </cell>
          <cell r="J3987" t="str">
            <v>1854</v>
          </cell>
          <cell r="K3987" t="str">
            <v>201602151421097</v>
          </cell>
          <cell r="M3987" t="str">
            <v>胃必治/复方铝酸铋片50片</v>
          </cell>
        </row>
        <row r="3988">
          <cell r="E3988" t="str">
            <v>0020030040SJET0003</v>
          </cell>
          <cell r="H3988" t="str">
            <v>惠民县森茸大药房</v>
          </cell>
          <cell r="J3988" t="str">
            <v>1854</v>
          </cell>
          <cell r="K3988" t="str">
            <v>201602151421097</v>
          </cell>
          <cell r="M3988" t="str">
            <v>氨金黄敏颗粒6g*10袋</v>
          </cell>
        </row>
        <row r="3989">
          <cell r="E3989" t="str">
            <v>0020020020ZYLC0003</v>
          </cell>
          <cell r="H3989" t="str">
            <v>惠民县森茸大药房</v>
          </cell>
          <cell r="J3989" t="str">
            <v>1854</v>
          </cell>
          <cell r="K3989" t="str">
            <v>201602151421097</v>
          </cell>
          <cell r="M3989" t="str">
            <v>泻立停片/颠茄磺苄啶片0.4g：80mg：8mg*12片</v>
          </cell>
        </row>
        <row r="3990">
          <cell r="E3990" t="str">
            <v>0020050090SJZY0001</v>
          </cell>
          <cell r="H3990" t="str">
            <v>惠民县森茸大药房</v>
          </cell>
          <cell r="J3990" t="str">
            <v>1854</v>
          </cell>
          <cell r="K3990" t="str">
            <v>201602151421097</v>
          </cell>
          <cell r="M3990" t="str">
            <v>双黄连口服液10ml*10支</v>
          </cell>
        </row>
        <row r="3991">
          <cell r="E3991" t="str">
            <v>0020070000ZYLC0051</v>
          </cell>
          <cell r="H3991" t="str">
            <v>阳信县商店镇瑞康平民药店</v>
          </cell>
          <cell r="J3991" t="str">
            <v>1855</v>
          </cell>
          <cell r="K3991" t="str">
            <v>201602151421097</v>
          </cell>
          <cell r="M3991" t="str">
            <v>朴血/乳酸亚铁口服液10ml*12支</v>
          </cell>
        </row>
        <row r="3992">
          <cell r="E3992" t="str">
            <v>0020070000SJZY0001</v>
          </cell>
          <cell r="H3992" t="str">
            <v>惠民县新花大药房连锁有限公司</v>
          </cell>
          <cell r="J3992" t="str">
            <v>1854</v>
          </cell>
          <cell r="K3992" t="str">
            <v>201602151421097</v>
          </cell>
          <cell r="M3992" t="str">
            <v>葡萄糖酸锌口服液10ML*12支</v>
          </cell>
        </row>
        <row r="3993">
          <cell r="E3993" t="str">
            <v>0020030001SJZY0006</v>
          </cell>
          <cell r="H3993" t="str">
            <v>惠民县新花大药房连锁有限公司</v>
          </cell>
          <cell r="J3993" t="str">
            <v>1854</v>
          </cell>
          <cell r="K3993" t="str">
            <v>201602151421097</v>
          </cell>
          <cell r="M3993" t="str">
            <v>葡萄糖酸钙口服溶液（含糖）10ml*12支</v>
          </cell>
        </row>
        <row r="3994">
          <cell r="E3994" t="str">
            <v>0020030020ZYLC0010</v>
          </cell>
          <cell r="H3994" t="str">
            <v>惠民县新花大药房连锁有限公司</v>
          </cell>
          <cell r="J3994" t="str">
            <v>1854</v>
          </cell>
          <cell r="K3994" t="str">
            <v>201602151421097</v>
          </cell>
          <cell r="M3994" t="str">
            <v>乳酸菌素片/为消0.4g*36片</v>
          </cell>
        </row>
        <row r="3995">
          <cell r="E3995" t="str">
            <v>0020050090SJZY0001</v>
          </cell>
          <cell r="H3995" t="str">
            <v>惠民县新花大药房连锁有限公司</v>
          </cell>
          <cell r="J3995" t="str">
            <v>1854</v>
          </cell>
          <cell r="K3995" t="str">
            <v>201602151421097</v>
          </cell>
          <cell r="M3995" t="str">
            <v>双黄连口服液10ml*10支</v>
          </cell>
        </row>
        <row r="3996">
          <cell r="E3996" t="str">
            <v>0020020021ZYLC0011</v>
          </cell>
          <cell r="H3996" t="str">
            <v>惠民县新花大药房连锁有限公司</v>
          </cell>
          <cell r="J3996" t="str">
            <v>1854</v>
          </cell>
          <cell r="K3996" t="str">
            <v>201602151421097</v>
          </cell>
          <cell r="M3996" t="str">
            <v>严迪/罗红霉素分散片150mg*12片</v>
          </cell>
        </row>
        <row r="3997">
          <cell r="E3997" t="str">
            <v>0020050030SJSC0007</v>
          </cell>
          <cell r="H3997" t="str">
            <v>惠民县新花大药房连锁有限公司</v>
          </cell>
          <cell r="J3997" t="str">
            <v>1854</v>
          </cell>
          <cell r="K3997" t="str">
            <v>201602151421097</v>
          </cell>
          <cell r="M3997" t="str">
            <v>菊梅利咽含片1.2g*18片</v>
          </cell>
        </row>
        <row r="3998">
          <cell r="E3998" t="str">
            <v>0020020030ZYZC0263</v>
          </cell>
          <cell r="H3998" t="str">
            <v>山东省惠民县梦之康大药房连锁有限公司</v>
          </cell>
          <cell r="J3998" t="str">
            <v>1854</v>
          </cell>
          <cell r="K3998" t="str">
            <v>201602151421097</v>
          </cell>
          <cell r="M3998" t="str">
            <v>盐酸依托必利胶囊50mg*20粒</v>
          </cell>
        </row>
        <row r="3999">
          <cell r="E3999" t="str">
            <v>0020070000ZYLC0051</v>
          </cell>
          <cell r="H3999" t="str">
            <v>无棣福顺康大药房</v>
          </cell>
          <cell r="J3999" t="str">
            <v>1856</v>
          </cell>
          <cell r="K3999" t="str">
            <v>201602151421097</v>
          </cell>
          <cell r="M3999" t="str">
            <v>朴血/乳酸亚铁口服液10ml*12支</v>
          </cell>
        </row>
        <row r="4000">
          <cell r="E4000" t="str">
            <v>0020030020ZYLC0010</v>
          </cell>
          <cell r="H4000" t="str">
            <v>无棣福顺康大药房</v>
          </cell>
          <cell r="J4000" t="str">
            <v>1856</v>
          </cell>
          <cell r="K4000" t="str">
            <v>201602151421097</v>
          </cell>
          <cell r="M4000" t="str">
            <v>乳酸菌素片/为消0.4g*36片</v>
          </cell>
        </row>
        <row r="4001">
          <cell r="E4001" t="str">
            <v>0020030020SJSC0004</v>
          </cell>
          <cell r="H4001" t="str">
            <v>无棣福顺康大药房</v>
          </cell>
          <cell r="J4001" t="str">
            <v>1856</v>
          </cell>
          <cell r="K4001" t="str">
            <v>201602151421097</v>
          </cell>
          <cell r="M4001" t="str">
            <v>胃必治/复方铝酸铋片50片</v>
          </cell>
        </row>
        <row r="4002">
          <cell r="E4002" t="str">
            <v>0020070000SJZY0001</v>
          </cell>
          <cell r="H4002" t="str">
            <v>阳信县河流镇餐具厂卫生所</v>
          </cell>
          <cell r="J4002" t="str">
            <v>1855</v>
          </cell>
          <cell r="K4002" t="str">
            <v>201602151421097</v>
          </cell>
          <cell r="M4002" t="str">
            <v>葡萄糖酸锌口服液10ML*12支</v>
          </cell>
        </row>
        <row r="4003">
          <cell r="E4003" t="str">
            <v>0020020030ZYZC0508</v>
          </cell>
          <cell r="H4003" t="str">
            <v>无棣福顺康大药房</v>
          </cell>
          <cell r="J4003" t="str">
            <v>1856</v>
          </cell>
          <cell r="K4003" t="str">
            <v>201602151421097</v>
          </cell>
          <cell r="M4003" t="str">
            <v>阿莫西林胶囊0.25g*20s</v>
          </cell>
        </row>
        <row r="4004">
          <cell r="E4004" t="str">
            <v>0020030020SJSC0004</v>
          </cell>
          <cell r="H4004" t="str">
            <v>无棣县聚福堂药店连锁有限公司</v>
          </cell>
          <cell r="J4004" t="str">
            <v>1856</v>
          </cell>
          <cell r="K4004" t="str">
            <v>201602151421097</v>
          </cell>
          <cell r="M4004" t="str">
            <v>胃必治/复方铝酸铋片50片</v>
          </cell>
        </row>
        <row r="4005">
          <cell r="E4005" t="str">
            <v>0020030020ZYLC0010</v>
          </cell>
          <cell r="H4005" t="str">
            <v>黛溪办鄢家村卫生室</v>
          </cell>
          <cell r="J4005" t="str">
            <v>1859</v>
          </cell>
          <cell r="K4005" t="str">
            <v>201602151421097</v>
          </cell>
          <cell r="M4005" t="str">
            <v>乳酸菌素片/为消0.4g*36片</v>
          </cell>
        </row>
        <row r="4006">
          <cell r="E4006" t="str">
            <v>0020030001SJZY0006</v>
          </cell>
          <cell r="H4006" t="str">
            <v>流坡坞镇西苟社区卫生室</v>
          </cell>
          <cell r="J4006" t="str">
            <v>1855</v>
          </cell>
          <cell r="K4006" t="str">
            <v>201602151421097</v>
          </cell>
          <cell r="M4006" t="str">
            <v>葡萄糖酸钙口服溶液（含糖）10ml*12支</v>
          </cell>
        </row>
        <row r="4007">
          <cell r="E4007" t="str">
            <v>0020070000ZYLC0051</v>
          </cell>
          <cell r="H4007" t="str">
            <v>洋湖乡洋湖村卫生室</v>
          </cell>
          <cell r="J4007" t="str">
            <v>1855</v>
          </cell>
          <cell r="K4007" t="str">
            <v>201602151421097</v>
          </cell>
          <cell r="M4007" t="str">
            <v>朴血/乳酸亚铁口服液10ml*12支</v>
          </cell>
        </row>
        <row r="4008">
          <cell r="E4008" t="str">
            <v>0020030040ZYLC0001</v>
          </cell>
          <cell r="H4008" t="str">
            <v>流坡坞镇西李昂社区卫生室</v>
          </cell>
          <cell r="J4008" t="str">
            <v>1855</v>
          </cell>
          <cell r="K4008" t="str">
            <v>201602151421097</v>
          </cell>
          <cell r="M4008" t="str">
            <v>护彤冲剂/小儿氨酚黄那敏颗粒2g*12袋</v>
          </cell>
        </row>
        <row r="4009">
          <cell r="E4009" t="str">
            <v>0020070000SJZY0001</v>
          </cell>
          <cell r="H4009" t="str">
            <v>流坡坞镇窦家社区卫生室</v>
          </cell>
          <cell r="J4009" t="str">
            <v>1855</v>
          </cell>
          <cell r="K4009" t="str">
            <v>201602151421097</v>
          </cell>
          <cell r="M4009" t="str">
            <v>葡萄糖酸锌口服液10ML*12支</v>
          </cell>
        </row>
        <row r="4010">
          <cell r="E4010" t="str">
            <v>0020020021ZYLC0004</v>
          </cell>
          <cell r="H4010" t="str">
            <v>三胞联谊诊所</v>
          </cell>
          <cell r="J4010" t="str">
            <v>1855</v>
          </cell>
          <cell r="K4010" t="str">
            <v>201602151421097</v>
          </cell>
          <cell r="M4010" t="str">
            <v>大严迪片/罗红霉素分散片75mg*12片</v>
          </cell>
        </row>
        <row r="4011">
          <cell r="E4011" t="str">
            <v>0020020012SWGC0007</v>
          </cell>
          <cell r="H4011" t="str">
            <v>孙武街道后娘娘坟村卫生室</v>
          </cell>
          <cell r="J4011" t="str">
            <v>1854</v>
          </cell>
          <cell r="K4011" t="str">
            <v>201602151421097</v>
          </cell>
          <cell r="M4011" t="str">
            <v>注射用奥美拉唑钠40mg*10z</v>
          </cell>
        </row>
        <row r="4012">
          <cell r="E4012" t="str">
            <v>0020020020ZYLC0010</v>
          </cell>
          <cell r="H4012" t="str">
            <v>水落坡乡皮店社区卫生室</v>
          </cell>
          <cell r="J4012" t="str">
            <v>1855</v>
          </cell>
          <cell r="K4012" t="str">
            <v>201602151421097</v>
          </cell>
          <cell r="M4012" t="str">
            <v xml:space="preserve">泻利停/颠茄磺苄啶片0.48g*10片 </v>
          </cell>
        </row>
        <row r="4013">
          <cell r="E4013" t="str">
            <v>0020070000SJZY0001</v>
          </cell>
          <cell r="H4013" t="str">
            <v>水落坡乡皮店社区卫生室</v>
          </cell>
          <cell r="J4013" t="str">
            <v>1855</v>
          </cell>
          <cell r="K4013" t="str">
            <v>201602151421097</v>
          </cell>
          <cell r="M4013" t="str">
            <v>葡萄糖酸锌口服液10ML*12支</v>
          </cell>
        </row>
        <row r="4014">
          <cell r="E4014" t="str">
            <v>0020070000ZYLC0001</v>
          </cell>
          <cell r="H4014" t="str">
            <v>惠民县舒心大药房</v>
          </cell>
          <cell r="J4014" t="str">
            <v>1854</v>
          </cell>
          <cell r="K4014" t="str">
            <v>201602151421097</v>
          </cell>
          <cell r="M4014" t="str">
            <v>新盖中盖高钙片2.5g*36P</v>
          </cell>
        </row>
        <row r="4015">
          <cell r="E4015" t="str">
            <v>0020030040ZYLC0001</v>
          </cell>
          <cell r="H4015" t="str">
            <v>惠民县舒心大药房</v>
          </cell>
          <cell r="J4015" t="str">
            <v>1854</v>
          </cell>
          <cell r="K4015" t="str">
            <v>201602151421097</v>
          </cell>
          <cell r="M4015" t="str">
            <v>护彤冲剂/小儿氨酚黄那敏颗粒2g*12袋</v>
          </cell>
        </row>
        <row r="4016">
          <cell r="E4016" t="str">
            <v>0020020021ZYLC0005</v>
          </cell>
          <cell r="H4016" t="str">
            <v>惠民县舒心大药房</v>
          </cell>
          <cell r="J4016" t="str">
            <v>1854</v>
          </cell>
          <cell r="K4016" t="str">
            <v>201602151421097</v>
          </cell>
          <cell r="M4016" t="str">
            <v>小儿严迪片/罗红霉素分散片50mg*12片</v>
          </cell>
        </row>
        <row r="4017">
          <cell r="E4017" t="str">
            <v>0020020021ZYZC0341</v>
          </cell>
          <cell r="H4017" t="str">
            <v>惠民县舒心大药房</v>
          </cell>
          <cell r="J4017" t="str">
            <v>1854</v>
          </cell>
          <cell r="K4017" t="str">
            <v>201602151421097</v>
          </cell>
          <cell r="M4017" t="str">
            <v>阿莫西林克拉维酸钾7:1分散片（胜艾）0.2285g*12片</v>
          </cell>
        </row>
        <row r="4018">
          <cell r="E4018" t="str">
            <v>0020030020SJSC0025</v>
          </cell>
          <cell r="H4018" t="str">
            <v>惠民县舒心大药房</v>
          </cell>
          <cell r="J4018" t="str">
            <v>1854</v>
          </cell>
          <cell r="K4018" t="str">
            <v>201602151421097</v>
          </cell>
          <cell r="M4018" t="str">
            <v>复方氨酚烷胺片12片</v>
          </cell>
        </row>
        <row r="4019">
          <cell r="E4019" t="str">
            <v>0020030040SHYT0010</v>
          </cell>
          <cell r="H4019" t="str">
            <v>惠民县舒心大药房</v>
          </cell>
          <cell r="J4019" t="str">
            <v>1854</v>
          </cell>
          <cell r="K4019" t="str">
            <v>201602151421097</v>
          </cell>
          <cell r="M4019" t="str">
            <v>布洛芬颗粒0.2g*12袋</v>
          </cell>
        </row>
        <row r="4020">
          <cell r="E4020" t="str">
            <v>0020030040SJET0003</v>
          </cell>
          <cell r="H4020" t="str">
            <v>惠民县舒心大药房</v>
          </cell>
          <cell r="J4020" t="str">
            <v>1854</v>
          </cell>
          <cell r="K4020" t="str">
            <v>201602151421097</v>
          </cell>
          <cell r="M4020" t="str">
            <v>氨金黄敏颗粒6g*10袋</v>
          </cell>
        </row>
        <row r="4021">
          <cell r="E4021" t="str">
            <v>0020030040SJET0003</v>
          </cell>
          <cell r="H4021" t="str">
            <v>惠民县舒心大药房</v>
          </cell>
          <cell r="J4021" t="str">
            <v>1854</v>
          </cell>
          <cell r="K4021" t="str">
            <v>201602151421097</v>
          </cell>
          <cell r="M4021" t="str">
            <v>氨金黄敏颗粒6g*10袋</v>
          </cell>
        </row>
        <row r="4022">
          <cell r="E4022" t="str">
            <v>0020020021ZYLC0011</v>
          </cell>
          <cell r="H4022" t="str">
            <v>惠民县舒心大药房</v>
          </cell>
          <cell r="J4022" t="str">
            <v>1854</v>
          </cell>
          <cell r="K4022" t="str">
            <v>201602151421097</v>
          </cell>
          <cell r="M4022" t="str">
            <v>严迪/罗红霉素分散片150mg*12片</v>
          </cell>
        </row>
        <row r="4023">
          <cell r="E4023" t="str">
            <v>0020050030SJSC0007</v>
          </cell>
          <cell r="H4023" t="str">
            <v>惠民县舒心大药房</v>
          </cell>
          <cell r="J4023" t="str">
            <v>1854</v>
          </cell>
          <cell r="K4023" t="str">
            <v>201602151421097</v>
          </cell>
          <cell r="M4023" t="str">
            <v>菊梅利咽含片1.2g*18片</v>
          </cell>
        </row>
        <row r="4024">
          <cell r="E4024" t="str">
            <v>0020030020SJSC0025</v>
          </cell>
          <cell r="H4024" t="str">
            <v>文化街康民卫生室</v>
          </cell>
          <cell r="J4024" t="str">
            <v>1854</v>
          </cell>
          <cell r="K4024" t="str">
            <v>201602151421097</v>
          </cell>
          <cell r="M4024" t="str">
            <v>复方氨酚烷胺片12片</v>
          </cell>
        </row>
        <row r="4025">
          <cell r="E4025" t="str">
            <v>0020030040ZYLC0001</v>
          </cell>
          <cell r="H4025" t="str">
            <v>文化街康民卫生室</v>
          </cell>
          <cell r="J4025" t="str">
            <v>1854</v>
          </cell>
          <cell r="K4025" t="str">
            <v>201602151421097</v>
          </cell>
          <cell r="M4025" t="str">
            <v>护彤冲剂/小儿氨酚黄那敏颗粒2g*12袋</v>
          </cell>
        </row>
        <row r="4026">
          <cell r="E4026" t="str">
            <v>0020040020SHYT0007</v>
          </cell>
          <cell r="H4026" t="str">
            <v>文化街康民卫生室</v>
          </cell>
          <cell r="J4026" t="str">
            <v>1854</v>
          </cell>
          <cell r="K4026" t="str">
            <v>201602151421097</v>
          </cell>
          <cell r="M4026" t="str">
            <v>丹佛胃尔康颗粒10g*6袋</v>
          </cell>
        </row>
        <row r="4027">
          <cell r="E4027" t="str">
            <v>0020050090ZYEC0004</v>
          </cell>
          <cell r="H4027" t="str">
            <v>文化街康民卫生室</v>
          </cell>
          <cell r="J4027" t="str">
            <v>1854</v>
          </cell>
          <cell r="K4027" t="str">
            <v>201602151421097</v>
          </cell>
          <cell r="M4027" t="str">
            <v>刺五加脑灵液100ml</v>
          </cell>
        </row>
        <row r="4028">
          <cell r="E4028" t="str">
            <v>0020040070ZYEC0005</v>
          </cell>
          <cell r="H4028" t="str">
            <v>文化街康民卫生室</v>
          </cell>
          <cell r="J4028" t="str">
            <v>1854</v>
          </cell>
          <cell r="K4028" t="str">
            <v>201602151421097</v>
          </cell>
          <cell r="M4028" t="str">
            <v>小儿百部止咳糖浆100ml</v>
          </cell>
        </row>
        <row r="4029">
          <cell r="E4029" t="str">
            <v>0020020021ZYZC0341</v>
          </cell>
          <cell r="H4029" t="str">
            <v>文化街康民卫生室</v>
          </cell>
          <cell r="J4029" t="str">
            <v>1854</v>
          </cell>
          <cell r="K4029" t="str">
            <v>201602151421097</v>
          </cell>
          <cell r="M4029" t="str">
            <v>阿莫西林克拉维酸钾7:1分散片（胜艾）0.2285g*12片</v>
          </cell>
        </row>
        <row r="4030">
          <cell r="E4030" t="str">
            <v>0020050090SJZY0001</v>
          </cell>
          <cell r="H4030" t="str">
            <v>文化街康民卫生室</v>
          </cell>
          <cell r="J4030" t="str">
            <v>1854</v>
          </cell>
          <cell r="K4030" t="str">
            <v>201602151421097</v>
          </cell>
          <cell r="M4030" t="str">
            <v>双黄连口服液10ml*10支</v>
          </cell>
        </row>
        <row r="4031">
          <cell r="E4031" t="str">
            <v>0020050020ZYEC0008</v>
          </cell>
          <cell r="H4031" t="str">
            <v>文化街康民卫生室</v>
          </cell>
          <cell r="J4031" t="str">
            <v>1854</v>
          </cell>
          <cell r="K4031" t="str">
            <v>201602151421097</v>
          </cell>
          <cell r="M4031" t="str">
            <v>感冒解毒灵颗粒5g*10袋</v>
          </cell>
        </row>
        <row r="4032">
          <cell r="E4032" t="str">
            <v>0020050090SJZY0001</v>
          </cell>
          <cell r="H4032" t="str">
            <v>惠民仁和堂诊所</v>
          </cell>
          <cell r="J4032" t="str">
            <v>1854</v>
          </cell>
          <cell r="K4032" t="str">
            <v>201602151421097</v>
          </cell>
          <cell r="M4032" t="str">
            <v>双黄连口服液10ml*10支</v>
          </cell>
        </row>
        <row r="4033">
          <cell r="E4033" t="str">
            <v>0020040220SHYT0005</v>
          </cell>
          <cell r="H4033" t="str">
            <v>惠民仁和堂诊所</v>
          </cell>
          <cell r="J4033" t="str">
            <v>1854</v>
          </cell>
          <cell r="K4033" t="str">
            <v>201602151421097</v>
          </cell>
          <cell r="M4033" t="str">
            <v>妇宁栓1.6g×7枚</v>
          </cell>
        </row>
        <row r="4034">
          <cell r="E4034" t="str">
            <v>0020020021ZYLC0005</v>
          </cell>
          <cell r="H4034" t="str">
            <v>惠民仁和堂诊所</v>
          </cell>
          <cell r="J4034" t="str">
            <v>1854</v>
          </cell>
          <cell r="K4034" t="str">
            <v>201602151421097</v>
          </cell>
          <cell r="M4034" t="str">
            <v>小儿严迪片/罗红霉素分散片50mg*12片</v>
          </cell>
        </row>
        <row r="4035">
          <cell r="E4035" t="str">
            <v>0020030040ZYLC0001</v>
          </cell>
          <cell r="H4035" t="str">
            <v>惠民仁和堂诊所</v>
          </cell>
          <cell r="J4035" t="str">
            <v>1854</v>
          </cell>
          <cell r="K4035" t="str">
            <v>201602151421097</v>
          </cell>
          <cell r="M4035" t="str">
            <v>护彤冲剂/小儿氨酚黄那敏颗粒2g*12袋</v>
          </cell>
        </row>
        <row r="4036">
          <cell r="E4036" t="str">
            <v>0020020030ZYZC0508</v>
          </cell>
          <cell r="H4036" t="str">
            <v>惠民仁和堂诊所</v>
          </cell>
          <cell r="J4036" t="str">
            <v>1854</v>
          </cell>
          <cell r="K4036" t="str">
            <v>201602151421097</v>
          </cell>
          <cell r="M4036" t="str">
            <v>阿莫西林胶囊0.25g*20s</v>
          </cell>
        </row>
        <row r="4037">
          <cell r="E4037" t="str">
            <v>0020020020ZYZC0359</v>
          </cell>
          <cell r="H4037" t="str">
            <v>惠民仁和堂诊所</v>
          </cell>
          <cell r="J4037" t="str">
            <v>1854</v>
          </cell>
          <cell r="K4037" t="str">
            <v>201602151421097</v>
          </cell>
          <cell r="M4037" t="str">
            <v>青霉素V钾片（仙芬）0.236g*24片</v>
          </cell>
        </row>
        <row r="4038">
          <cell r="E4038" t="str">
            <v>0020020030ZYZC0511</v>
          </cell>
          <cell r="H4038" t="str">
            <v>惠民仁和堂诊所</v>
          </cell>
          <cell r="J4038" t="str">
            <v>1854</v>
          </cell>
          <cell r="K4038" t="str">
            <v>201602151421097</v>
          </cell>
          <cell r="M4038" t="str">
            <v>头孢氨苄胶囊0.125g*20粒</v>
          </cell>
        </row>
        <row r="4039">
          <cell r="E4039" t="str">
            <v>0020030040SJET0003</v>
          </cell>
          <cell r="H4039" t="str">
            <v>惠民县君瑞大药房有限公司</v>
          </cell>
          <cell r="J4039" t="str">
            <v>1854</v>
          </cell>
          <cell r="K4039" t="str">
            <v>201602151421097</v>
          </cell>
          <cell r="M4039" t="str">
            <v>氨金黄敏颗粒6g*10袋</v>
          </cell>
        </row>
        <row r="4040">
          <cell r="E4040" t="str">
            <v>0020030040ZYLC0001</v>
          </cell>
          <cell r="H4040" t="str">
            <v>惠民县君瑞大药房有限公司</v>
          </cell>
          <cell r="J4040" t="str">
            <v>1854</v>
          </cell>
          <cell r="K4040" t="str">
            <v>201602151421097</v>
          </cell>
          <cell r="M4040" t="str">
            <v>护彤冲剂/小儿氨酚黄那敏颗粒2g*12袋</v>
          </cell>
        </row>
        <row r="4041">
          <cell r="E4041" t="str">
            <v>0020020021ZYLC0005</v>
          </cell>
          <cell r="H4041" t="str">
            <v>惠民县君瑞大药房有限公司</v>
          </cell>
          <cell r="J4041" t="str">
            <v>1854</v>
          </cell>
          <cell r="K4041" t="str">
            <v>201602151421097</v>
          </cell>
          <cell r="M4041" t="str">
            <v>小儿严迪片/罗红霉素分散片50mg*12片</v>
          </cell>
        </row>
        <row r="4042">
          <cell r="E4042" t="str">
            <v>0020070000ZYLC0001</v>
          </cell>
          <cell r="H4042" t="str">
            <v>惠民县君瑞大药房有限公司</v>
          </cell>
          <cell r="J4042" t="str">
            <v>1854</v>
          </cell>
          <cell r="K4042" t="str">
            <v>201602151421097</v>
          </cell>
          <cell r="M4042" t="str">
            <v>新盖中盖高钙片2.5g*36P</v>
          </cell>
        </row>
        <row r="4043">
          <cell r="E4043" t="str">
            <v>0020070000SJZY0001</v>
          </cell>
          <cell r="H4043" t="str">
            <v>惠民县君瑞大药房有限公司</v>
          </cell>
          <cell r="J4043" t="str">
            <v>1854</v>
          </cell>
          <cell r="K4043" t="str">
            <v>201602151421097</v>
          </cell>
          <cell r="M4043" t="str">
            <v>葡萄糖酸锌口服液10ML*12支</v>
          </cell>
        </row>
        <row r="4044">
          <cell r="E4044" t="str">
            <v>0020030020SJSC0025</v>
          </cell>
          <cell r="H4044" t="str">
            <v>惠民县君瑞大药房有限公司</v>
          </cell>
          <cell r="J4044" t="str">
            <v>1854</v>
          </cell>
          <cell r="K4044" t="str">
            <v>201602151421097</v>
          </cell>
          <cell r="M4044" t="str">
            <v>复方氨酚烷胺片12片</v>
          </cell>
        </row>
        <row r="4045">
          <cell r="E4045" t="str">
            <v>0020030170ZYEC0003</v>
          </cell>
          <cell r="H4045" t="str">
            <v>惠民县君瑞大药房有限公司</v>
          </cell>
          <cell r="J4045" t="str">
            <v>1854</v>
          </cell>
          <cell r="K4045" t="str">
            <v>201602151421097</v>
          </cell>
          <cell r="M4045" t="str">
            <v>蒙脱石散3g*12袋</v>
          </cell>
        </row>
        <row r="4046">
          <cell r="E4046" t="str">
            <v>0020040220SHYT0005</v>
          </cell>
          <cell r="H4046" t="str">
            <v>惠民县君瑞大药房有限公司</v>
          </cell>
          <cell r="J4046" t="str">
            <v>1854</v>
          </cell>
          <cell r="K4046" t="str">
            <v>201602151421097</v>
          </cell>
          <cell r="M4046" t="str">
            <v>妇宁栓1.6g×7枚</v>
          </cell>
        </row>
        <row r="4047">
          <cell r="E4047" t="str">
            <v>0020030020ZYLC0005</v>
          </cell>
          <cell r="H4047" t="str">
            <v>欣康诊所</v>
          </cell>
          <cell r="J4047" t="str">
            <v>1857</v>
          </cell>
          <cell r="K4047" t="str">
            <v>201602151421097</v>
          </cell>
          <cell r="M4047" t="str">
            <v>小儿氨酚黄那敏片0.125g*20片</v>
          </cell>
        </row>
        <row r="4048">
          <cell r="E4048" t="str">
            <v>0020050030SJSC0007</v>
          </cell>
          <cell r="H4048" t="str">
            <v>文化街康民卫生室</v>
          </cell>
          <cell r="J4048" t="str">
            <v>1854</v>
          </cell>
          <cell r="K4048" t="str">
            <v>201602151421097</v>
          </cell>
          <cell r="M4048" t="str">
            <v>菊梅利咽含片1.2g*18片</v>
          </cell>
        </row>
        <row r="4049">
          <cell r="E4049" t="str">
            <v>0020020021ZYLC0004</v>
          </cell>
          <cell r="H4049" t="str">
            <v>阳信县商店镇台属大药房</v>
          </cell>
          <cell r="J4049" t="str">
            <v>1855</v>
          </cell>
          <cell r="K4049" t="str">
            <v>201602151421097</v>
          </cell>
          <cell r="M4049" t="str">
            <v>大严迪片/罗红霉素分散片75mg*12片</v>
          </cell>
        </row>
        <row r="4050">
          <cell r="E4050" t="str">
            <v>0020070000ZYLC0001</v>
          </cell>
          <cell r="H4050" t="str">
            <v>滨城苑耀芳诊所</v>
          </cell>
          <cell r="J4050" t="str">
            <v>1853</v>
          </cell>
          <cell r="K4050" t="str">
            <v>201602151421097</v>
          </cell>
          <cell r="M4050" t="str">
            <v>新盖中盖高钙片2.5g*36P</v>
          </cell>
        </row>
        <row r="4051">
          <cell r="E4051" t="str">
            <v>0020070001ZYLC0001</v>
          </cell>
          <cell r="H4051" t="str">
            <v>惠民县古城药房</v>
          </cell>
          <cell r="J4051" t="str">
            <v>1854</v>
          </cell>
          <cell r="K4051" t="str">
            <v>201602151421097</v>
          </cell>
          <cell r="M4051" t="str">
            <v>哈药六钙锌口服液10ml*12支</v>
          </cell>
        </row>
        <row r="4052">
          <cell r="E4052" t="str">
            <v>0020020021ZYLC0005</v>
          </cell>
          <cell r="H4052" t="str">
            <v>阳信初心医院</v>
          </cell>
          <cell r="J4052" t="str">
            <v>1855</v>
          </cell>
          <cell r="K4052" t="str">
            <v>201602151421097</v>
          </cell>
          <cell r="M4052" t="str">
            <v>小儿严迪片/罗红霉素分散片50mg*12片</v>
          </cell>
        </row>
        <row r="4053">
          <cell r="E4053" t="str">
            <v>0020030020ZYLC0010</v>
          </cell>
          <cell r="H4053" t="str">
            <v>滨城安新岐诊所</v>
          </cell>
          <cell r="J4053" t="str">
            <v>1853</v>
          </cell>
          <cell r="K4053" t="str">
            <v>201602151421097</v>
          </cell>
          <cell r="M4053" t="str">
            <v>乳酸菌素片/为消0.4g*36片</v>
          </cell>
        </row>
        <row r="4054">
          <cell r="E4054" t="str">
            <v>0020020020SJMS0008</v>
          </cell>
          <cell r="H4054" t="str">
            <v>滨州盛泰医药连锁有限公司</v>
          </cell>
          <cell r="J4054" t="str">
            <v>1858</v>
          </cell>
          <cell r="K4054" t="str">
            <v>201602151421097</v>
          </cell>
          <cell r="M4054" t="str">
            <v>拉西地平片/三精司乐平片4mg*15片</v>
          </cell>
        </row>
        <row r="4055">
          <cell r="E4055" t="str">
            <v>0020020030ZYZC0263</v>
          </cell>
          <cell r="H4055" t="str">
            <v>山东省惠民县民康大药店有限公司</v>
          </cell>
          <cell r="J4055" t="str">
            <v>1854</v>
          </cell>
          <cell r="K4055" t="str">
            <v>201602151421097</v>
          </cell>
          <cell r="M4055" t="str">
            <v>盐酸依托必利胶囊50mg*20粒</v>
          </cell>
        </row>
        <row r="4056">
          <cell r="E4056" t="str">
            <v>0020030020ZYZC0360</v>
          </cell>
          <cell r="H4056" t="str">
            <v>山东省惠民县民康大药店有限公司</v>
          </cell>
          <cell r="J4056" t="str">
            <v>1854</v>
          </cell>
          <cell r="K4056" t="str">
            <v>201602151421097</v>
          </cell>
          <cell r="M4056" t="str">
            <v>维生素C咀嚼片/VC片0.1g*30片</v>
          </cell>
        </row>
        <row r="4057">
          <cell r="E4057" t="str">
            <v>0020030020ZYLC0005</v>
          </cell>
          <cell r="H4057" t="str">
            <v>山东省惠民县民康大药店有限公司</v>
          </cell>
          <cell r="J4057" t="str">
            <v>1854</v>
          </cell>
          <cell r="K4057" t="str">
            <v>201602151421097</v>
          </cell>
          <cell r="M4057" t="str">
            <v>小儿氨酚黄那敏片0.125g*20片</v>
          </cell>
        </row>
        <row r="4058">
          <cell r="E4058" t="str">
            <v>0020050090ZYEC0005</v>
          </cell>
          <cell r="H4058" t="str">
            <v>山东省惠民县民康大药店有限公司</v>
          </cell>
          <cell r="J4058" t="str">
            <v>1854</v>
          </cell>
          <cell r="K4058" t="str">
            <v>201602151421097</v>
          </cell>
          <cell r="M4058" t="str">
            <v>清热解毒口服液10ML*10支</v>
          </cell>
        </row>
        <row r="4059">
          <cell r="E4059" t="str">
            <v>0020030020SJSC0004</v>
          </cell>
          <cell r="H4059" t="str">
            <v>山东省惠民县民康大药店有限公司</v>
          </cell>
          <cell r="J4059" t="str">
            <v>1854</v>
          </cell>
          <cell r="K4059" t="str">
            <v>201602151421097</v>
          </cell>
          <cell r="M4059" t="str">
            <v>胃必治/复方铝酸铋片50片</v>
          </cell>
        </row>
        <row r="4060">
          <cell r="E4060" t="str">
            <v>0020030020ZYLC0010</v>
          </cell>
          <cell r="H4060" t="str">
            <v>山东省惠民县民康大药店有限公司</v>
          </cell>
          <cell r="J4060" t="str">
            <v>1854</v>
          </cell>
          <cell r="K4060" t="str">
            <v>201602151421097</v>
          </cell>
          <cell r="M4060" t="str">
            <v>乳酸菌素片/为消0.4g*36片</v>
          </cell>
        </row>
        <row r="4061">
          <cell r="E4061" t="str">
            <v>0020030040SJET0003</v>
          </cell>
          <cell r="H4061" t="str">
            <v>山东省惠民县民康大药店有限公司</v>
          </cell>
          <cell r="J4061" t="str">
            <v>1854</v>
          </cell>
          <cell r="K4061" t="str">
            <v>201602151421097</v>
          </cell>
          <cell r="M4061" t="str">
            <v>氨金黄敏颗粒6g*10袋</v>
          </cell>
        </row>
        <row r="4062">
          <cell r="E4062" t="str">
            <v>0020040001SHYT0012</v>
          </cell>
          <cell r="H4062" t="str">
            <v>山东省惠民县民康大药店有限公司</v>
          </cell>
          <cell r="J4062" t="str">
            <v>1854</v>
          </cell>
          <cell r="K4062" t="str">
            <v>201602151421097</v>
          </cell>
          <cell r="M4062" t="str">
            <v>牛黄清胃丸6g*10w</v>
          </cell>
        </row>
        <row r="4063">
          <cell r="E4063" t="str">
            <v>0020020040ZYZC0304</v>
          </cell>
          <cell r="H4063" t="str">
            <v>山东省惠民县民康大药店有限公司</v>
          </cell>
          <cell r="J4063" t="str">
            <v>1854</v>
          </cell>
          <cell r="K4063" t="str">
            <v>201602151421097</v>
          </cell>
          <cell r="M4063" t="str">
            <v>阿莫西林颗粒0.125g*12袋</v>
          </cell>
        </row>
        <row r="4064">
          <cell r="E4064" t="str">
            <v>0020070000SJZY0001</v>
          </cell>
          <cell r="H4064" t="str">
            <v>山东省惠民县民康大药店有限公司</v>
          </cell>
          <cell r="J4064" t="str">
            <v>1854</v>
          </cell>
          <cell r="K4064" t="str">
            <v>201602151421097</v>
          </cell>
          <cell r="M4064" t="str">
            <v>葡萄糖酸锌口服液10ML*12支</v>
          </cell>
        </row>
        <row r="4065">
          <cell r="E4065" t="str">
            <v>0020030170ZYEC0003</v>
          </cell>
          <cell r="H4065" t="str">
            <v>山东省惠民县民康大药店有限公司</v>
          </cell>
          <cell r="J4065" t="str">
            <v>1854</v>
          </cell>
          <cell r="K4065" t="str">
            <v>201602151421097</v>
          </cell>
          <cell r="M4065" t="str">
            <v>蒙脱石散3g*12袋</v>
          </cell>
        </row>
        <row r="4066">
          <cell r="E4066" t="str">
            <v>0020030001SJZY0006</v>
          </cell>
          <cell r="H4066" t="str">
            <v>山东省惠民县民康大药店有限公司</v>
          </cell>
          <cell r="J4066" t="str">
            <v>1854</v>
          </cell>
          <cell r="K4066" t="str">
            <v>201602151421097</v>
          </cell>
          <cell r="M4066" t="str">
            <v>葡萄糖酸钙口服溶液（含糖）10ml*12支</v>
          </cell>
        </row>
        <row r="4067">
          <cell r="E4067" t="str">
            <v>0020020030ZYZC0264</v>
          </cell>
          <cell r="H4067" t="str">
            <v>山东省惠民县民康大药店有限公司</v>
          </cell>
          <cell r="J4067" t="str">
            <v>1854</v>
          </cell>
          <cell r="K4067" t="str">
            <v>201602151421097</v>
          </cell>
          <cell r="M4067" t="str">
            <v>阿莫西林胶囊0.5g*20粒</v>
          </cell>
        </row>
        <row r="4068">
          <cell r="E4068" t="str">
            <v>0020040220SHYT0005</v>
          </cell>
          <cell r="H4068" t="str">
            <v>山东省惠民县民康大药店有限公司</v>
          </cell>
          <cell r="J4068" t="str">
            <v>1854</v>
          </cell>
          <cell r="K4068" t="str">
            <v>201602151421097</v>
          </cell>
          <cell r="M4068" t="str">
            <v>妇宁栓1.6g×7枚</v>
          </cell>
        </row>
        <row r="4069">
          <cell r="E4069" t="str">
            <v>0020030001SJZY0006</v>
          </cell>
          <cell r="H4069" t="str">
            <v>沾化区古城镇李彭中心卫生室</v>
          </cell>
          <cell r="J4069" t="str">
            <v>1857</v>
          </cell>
          <cell r="K4069" t="str">
            <v>201602151421097</v>
          </cell>
          <cell r="M4069" t="str">
            <v>葡萄糖酸钙口服溶液（含糖）10ml*12支</v>
          </cell>
        </row>
        <row r="4070">
          <cell r="E4070" t="str">
            <v>0020030040SHYT0010</v>
          </cell>
          <cell r="H4070" t="str">
            <v>沾化区古城镇李彭中心卫生室</v>
          </cell>
          <cell r="J4070" t="str">
            <v>1857</v>
          </cell>
          <cell r="K4070" t="str">
            <v>201602151421097</v>
          </cell>
          <cell r="M4070" t="str">
            <v>布洛芬颗粒0.2g*12袋</v>
          </cell>
        </row>
        <row r="4071">
          <cell r="E4071" t="str">
            <v>0020020021ZYLC0011</v>
          </cell>
          <cell r="H4071" t="str">
            <v>沾化区古城镇李彭中心卫生室</v>
          </cell>
          <cell r="J4071" t="str">
            <v>1857</v>
          </cell>
          <cell r="K4071" t="str">
            <v>201602151421097</v>
          </cell>
          <cell r="M4071" t="str">
            <v>严迪/罗红霉素分散片150mg*12片</v>
          </cell>
        </row>
        <row r="4072">
          <cell r="E4072" t="str">
            <v>0020030040ZYLC0001</v>
          </cell>
          <cell r="H4072" t="str">
            <v>沾化区古城镇李彭中心卫生室</v>
          </cell>
          <cell r="J4072" t="str">
            <v>1857</v>
          </cell>
          <cell r="K4072" t="str">
            <v>201602151421097</v>
          </cell>
          <cell r="M4072" t="str">
            <v>护彤冲剂/小儿氨酚黄那敏颗粒2g*12袋</v>
          </cell>
        </row>
        <row r="4073">
          <cell r="E4073" t="str">
            <v>0020020012SWGC0007</v>
          </cell>
          <cell r="H4073" t="str">
            <v>惠民县桑落墅中心卫生院（网购）</v>
          </cell>
          <cell r="J4073" t="str">
            <v>1854</v>
          </cell>
          <cell r="K4073" t="str">
            <v>201602151421097</v>
          </cell>
          <cell r="M4073" t="str">
            <v>注射用奥美拉唑钠40mg*10z</v>
          </cell>
        </row>
        <row r="4074">
          <cell r="E4074" t="str">
            <v>0020070001ZYLC0001</v>
          </cell>
          <cell r="H4074" t="str">
            <v>惠民县君瑞大药房有限公司</v>
          </cell>
          <cell r="J4074" t="str">
            <v>1854</v>
          </cell>
          <cell r="K4074" t="str">
            <v>201602151421097</v>
          </cell>
          <cell r="M4074" t="str">
            <v>哈药六钙锌口服液10ml*12支</v>
          </cell>
        </row>
        <row r="4075">
          <cell r="E4075" t="str">
            <v>0020030001SJZY0006</v>
          </cell>
          <cell r="H4075" t="str">
            <v>惠民县君瑞大药房有限公司</v>
          </cell>
          <cell r="J4075" t="str">
            <v>1854</v>
          </cell>
          <cell r="K4075" t="str">
            <v>201602151421097</v>
          </cell>
          <cell r="M4075" t="str">
            <v>葡萄糖酸钙口服溶液（含糖）10ml*12支</v>
          </cell>
        </row>
        <row r="4076">
          <cell r="E4076" t="str">
            <v>0020040220SHYT0004</v>
          </cell>
          <cell r="H4076" t="str">
            <v>惠民县君瑞大药房有限公司</v>
          </cell>
          <cell r="J4076" t="str">
            <v>1854</v>
          </cell>
          <cell r="K4076" t="str">
            <v>201602151421097</v>
          </cell>
          <cell r="M4076" t="str">
            <v>妇宁栓1.6g*8枚</v>
          </cell>
        </row>
        <row r="4077">
          <cell r="E4077" t="str">
            <v>0020030020SJSC0017</v>
          </cell>
          <cell r="H4077" t="str">
            <v>何坊街道香翟村卫生室</v>
          </cell>
          <cell r="J4077" t="str">
            <v>1854</v>
          </cell>
          <cell r="K4077" t="str">
            <v>201602151421097</v>
          </cell>
          <cell r="M4077" t="str">
            <v>维D2磷酸氢钙片80片</v>
          </cell>
        </row>
        <row r="4078">
          <cell r="E4078" t="str">
            <v>0020030020SJSC0014</v>
          </cell>
          <cell r="H4078" t="str">
            <v>何坊街道香翟村卫生室</v>
          </cell>
          <cell r="J4078" t="str">
            <v>1854</v>
          </cell>
          <cell r="K4078" t="str">
            <v>201602151421097</v>
          </cell>
          <cell r="M4078" t="str">
            <v>维D2磷酸氢钙片60片</v>
          </cell>
        </row>
        <row r="4079">
          <cell r="E4079" t="str">
            <v>0020050030SJSC0007</v>
          </cell>
          <cell r="H4079" t="str">
            <v>惠民县君瑞大药房有限公司</v>
          </cell>
          <cell r="J4079" t="str">
            <v>1854</v>
          </cell>
          <cell r="K4079" t="str">
            <v>201602151421097</v>
          </cell>
          <cell r="M4079" t="str">
            <v>菊梅利咽含片1.2g*18片</v>
          </cell>
        </row>
        <row r="4080">
          <cell r="E4080" t="str">
            <v>0020020021ZYLC0011</v>
          </cell>
          <cell r="H4080" t="str">
            <v>惠民县君瑞大药房有限公司</v>
          </cell>
          <cell r="J4080" t="str">
            <v>1854</v>
          </cell>
          <cell r="K4080" t="str">
            <v>201602151421097</v>
          </cell>
          <cell r="M4080" t="str">
            <v>严迪/罗红霉素分散片150mg*12片</v>
          </cell>
        </row>
        <row r="4081">
          <cell r="E4081" t="str">
            <v>0020020020ZYZC0359</v>
          </cell>
          <cell r="H4081" t="str">
            <v>山东省惠民县民康大药店有限公司</v>
          </cell>
          <cell r="J4081" t="str">
            <v>1854</v>
          </cell>
          <cell r="K4081" t="str">
            <v>201602151421097</v>
          </cell>
          <cell r="M4081" t="str">
            <v>青霉素V钾片（仙芬）0.236g*24片</v>
          </cell>
        </row>
        <row r="4082">
          <cell r="E4082" t="str">
            <v>0020020030ZYZC0508</v>
          </cell>
          <cell r="H4082" t="str">
            <v>山东省惠民县民康大药店有限公司</v>
          </cell>
          <cell r="J4082" t="str">
            <v>1854</v>
          </cell>
          <cell r="K4082" t="str">
            <v>201602151421097</v>
          </cell>
          <cell r="M4082" t="str">
            <v>阿莫西林胶囊0.25g*20s</v>
          </cell>
        </row>
        <row r="4083">
          <cell r="E4083" t="str">
            <v>0020020030ZYZC0511</v>
          </cell>
          <cell r="H4083" t="str">
            <v>山东省惠民县民康大药店有限公司</v>
          </cell>
          <cell r="J4083" t="str">
            <v>1854</v>
          </cell>
          <cell r="K4083" t="str">
            <v>201602151421097</v>
          </cell>
          <cell r="M4083" t="str">
            <v>头孢氨苄胶囊0.125g*20粒</v>
          </cell>
        </row>
        <row r="4084">
          <cell r="E4084" t="str">
            <v>0020020021ZYZC0341</v>
          </cell>
          <cell r="H4084" t="str">
            <v>山东省惠民县民康大药店有限公司</v>
          </cell>
          <cell r="J4084" t="str">
            <v>1854</v>
          </cell>
          <cell r="K4084" t="str">
            <v>201602151421097</v>
          </cell>
          <cell r="M4084" t="str">
            <v>阿莫西林克拉维酸钾7:1分散片（胜艾）0.2285g*12片</v>
          </cell>
        </row>
        <row r="4085">
          <cell r="E4085" t="str">
            <v>0020030040ZYLC0001</v>
          </cell>
          <cell r="H4085" t="str">
            <v>商店镇魏宅社区卫生室</v>
          </cell>
          <cell r="J4085" t="str">
            <v>1855</v>
          </cell>
          <cell r="K4085" t="str">
            <v>201602151421097</v>
          </cell>
          <cell r="M4085" t="str">
            <v>护彤冲剂/小儿氨酚黄那敏颗粒2g*12袋</v>
          </cell>
        </row>
        <row r="4086">
          <cell r="E4086" t="str">
            <v>0020070001ZYLC0001</v>
          </cell>
          <cell r="H4086" t="str">
            <v>惠民县森茸大药房</v>
          </cell>
          <cell r="J4086" t="str">
            <v>1854</v>
          </cell>
          <cell r="K4086" t="str">
            <v>201602151421097</v>
          </cell>
          <cell r="M4086" t="str">
            <v>哈药六钙锌口服液10ml*12支</v>
          </cell>
        </row>
        <row r="4087">
          <cell r="E4087" t="str">
            <v>0020030001SJZY0006</v>
          </cell>
          <cell r="H4087" t="str">
            <v>惠民县森茸大药房</v>
          </cell>
          <cell r="J4087" t="str">
            <v>1854</v>
          </cell>
          <cell r="K4087" t="str">
            <v>201602151421097</v>
          </cell>
          <cell r="M4087" t="str">
            <v>葡萄糖酸钙口服溶液（含糖）10ml*12支</v>
          </cell>
        </row>
        <row r="4088">
          <cell r="E4088" t="str">
            <v>0020070000ZYLC0001</v>
          </cell>
          <cell r="H4088" t="str">
            <v>惠民县森茸大药房</v>
          </cell>
          <cell r="J4088" t="str">
            <v>1854</v>
          </cell>
          <cell r="K4088" t="str">
            <v>201602151421097</v>
          </cell>
          <cell r="M4088" t="str">
            <v>新盖中盖高钙片2.5g*36P</v>
          </cell>
        </row>
        <row r="4089">
          <cell r="E4089" t="str">
            <v>0020030170ZYEC0003</v>
          </cell>
          <cell r="H4089" t="str">
            <v>滨州市沾化区泊头镇卫生院</v>
          </cell>
          <cell r="J4089" t="str">
            <v>1857</v>
          </cell>
          <cell r="K4089" t="str">
            <v>201602151421097</v>
          </cell>
          <cell r="M4089" t="str">
            <v>蒙脱石散3g*12袋</v>
          </cell>
        </row>
        <row r="4090">
          <cell r="E4090" t="str">
            <v>0020070000ZYLC0001</v>
          </cell>
          <cell r="H4090" t="str">
            <v>惠民县宝芝林医药连锁有限公司</v>
          </cell>
          <cell r="J4090" t="str">
            <v>1854</v>
          </cell>
          <cell r="K4090" t="str">
            <v>201602151421097</v>
          </cell>
          <cell r="M4090" t="str">
            <v>新盖中盖高钙片2.5g*36P</v>
          </cell>
        </row>
        <row r="4091">
          <cell r="E4091" t="str">
            <v>0020020021ZYLC0011</v>
          </cell>
          <cell r="H4091" t="str">
            <v>冯家庙村卫生室</v>
          </cell>
          <cell r="J4091" t="str">
            <v>1854</v>
          </cell>
          <cell r="K4091" t="str">
            <v>201602151421097</v>
          </cell>
          <cell r="M4091" t="str">
            <v>严迪/罗红霉素分散片150mg*12片</v>
          </cell>
        </row>
        <row r="4092">
          <cell r="E4092" t="str">
            <v>0020030020ZYLC0010</v>
          </cell>
          <cell r="H4092" t="str">
            <v>信城街道西关社区卫生室</v>
          </cell>
          <cell r="J4092" t="str">
            <v>1855</v>
          </cell>
          <cell r="K4092" t="str">
            <v>201602151421097</v>
          </cell>
          <cell r="M4092" t="str">
            <v>乳酸菌素片/为消0.4g*36片</v>
          </cell>
        </row>
        <row r="4093">
          <cell r="E4093" t="str">
            <v>0020020021ZYLC0011</v>
          </cell>
          <cell r="H4093" t="str">
            <v>洋湖乡前刘店村卫生室</v>
          </cell>
          <cell r="J4093" t="str">
            <v>1855</v>
          </cell>
          <cell r="K4093" t="str">
            <v>201602151421097</v>
          </cell>
          <cell r="M4093" t="str">
            <v>严迪/罗红霉素分散片150mg*12片</v>
          </cell>
        </row>
        <row r="4094">
          <cell r="E4094" t="str">
            <v>0020070000SJZY0001</v>
          </cell>
          <cell r="H4094" t="str">
            <v>阳信镇唐家社区卫生室</v>
          </cell>
          <cell r="J4094" t="str">
            <v>1855</v>
          </cell>
          <cell r="K4094" t="str">
            <v>201602151421097</v>
          </cell>
          <cell r="M4094" t="str">
            <v>葡萄糖酸锌口服液10ML*12支</v>
          </cell>
        </row>
        <row r="4095">
          <cell r="E4095" t="str">
            <v>0020070000SJZY0001</v>
          </cell>
          <cell r="H4095" t="str">
            <v>商店镇张连范社区卫生室</v>
          </cell>
          <cell r="J4095" t="str">
            <v>1855</v>
          </cell>
          <cell r="K4095" t="str">
            <v>201602151421097</v>
          </cell>
          <cell r="M4095" t="str">
            <v>葡萄糖酸锌口服液10ML*12支</v>
          </cell>
        </row>
        <row r="4096">
          <cell r="E4096" t="str">
            <v>0020030001SJZY0006</v>
          </cell>
          <cell r="H4096" t="str">
            <v>商店镇张连范社区卫生室</v>
          </cell>
          <cell r="J4096" t="str">
            <v>1855</v>
          </cell>
          <cell r="K4096" t="str">
            <v>201602151421097</v>
          </cell>
          <cell r="M4096" t="str">
            <v>葡萄糖酸钙口服溶液（含糖）10ml*12支</v>
          </cell>
        </row>
        <row r="4097">
          <cell r="E4097" t="str">
            <v>0020070001ZYLC0001</v>
          </cell>
          <cell r="H4097" t="str">
            <v>商店镇张连范社区卫生室</v>
          </cell>
          <cell r="J4097" t="str">
            <v>1855</v>
          </cell>
          <cell r="K4097" t="str">
            <v>201602151421097</v>
          </cell>
          <cell r="M4097" t="str">
            <v>哈药六钙锌口服液10ml*12支</v>
          </cell>
        </row>
        <row r="4098">
          <cell r="E4098" t="str">
            <v>0020020021ZYZC0341</v>
          </cell>
          <cell r="H4098" t="str">
            <v>温店镇李大人村卫生室</v>
          </cell>
          <cell r="J4098" t="str">
            <v>1855</v>
          </cell>
          <cell r="K4098" t="str">
            <v>201602151421097</v>
          </cell>
          <cell r="M4098" t="str">
            <v>阿莫西林克拉维酸钾7:1分散片（胜艾）0.2285g*12片</v>
          </cell>
        </row>
        <row r="4099">
          <cell r="E4099" t="str">
            <v>0020030020SJSC0014</v>
          </cell>
          <cell r="H4099" t="str">
            <v>温店镇李大人村卫生室</v>
          </cell>
          <cell r="J4099" t="str">
            <v>1855</v>
          </cell>
          <cell r="K4099" t="str">
            <v>201602151421097</v>
          </cell>
          <cell r="M4099" t="str">
            <v>维D2磷酸氢钙片60片</v>
          </cell>
        </row>
        <row r="4100">
          <cell r="E4100" t="str">
            <v>0020030040SHYT0010</v>
          </cell>
          <cell r="H4100" t="str">
            <v>阳信县仁和堂医药连锁有限公司</v>
          </cell>
          <cell r="J4100" t="str">
            <v>1855</v>
          </cell>
          <cell r="K4100" t="str">
            <v>201602151421097</v>
          </cell>
          <cell r="M4100" t="str">
            <v>布洛芬颗粒0.2g*12袋</v>
          </cell>
        </row>
        <row r="4101">
          <cell r="E4101" t="str">
            <v>0020020021ZYLC0005</v>
          </cell>
          <cell r="H4101" t="str">
            <v>阳信县仁和堂医药连锁有限公司</v>
          </cell>
          <cell r="J4101" t="str">
            <v>1855</v>
          </cell>
          <cell r="K4101" t="str">
            <v>201602151421097</v>
          </cell>
          <cell r="M4101" t="str">
            <v>小儿严迪片/罗红霉素分散片50mg*12片</v>
          </cell>
        </row>
        <row r="4102">
          <cell r="E4102" t="str">
            <v>0020050090SJZY0001</v>
          </cell>
          <cell r="H4102" t="str">
            <v>阳信赵家胡同中医诊所</v>
          </cell>
          <cell r="J4102" t="str">
            <v>1855</v>
          </cell>
          <cell r="K4102" t="str">
            <v>201602151421097</v>
          </cell>
          <cell r="M4102" t="str">
            <v>双黄连口服液10ml*10支</v>
          </cell>
        </row>
        <row r="4103">
          <cell r="E4103" t="str">
            <v>0020030020ZYLC0010</v>
          </cell>
          <cell r="H4103" t="str">
            <v>阳信县河流镇卫生院（网购）</v>
          </cell>
          <cell r="J4103" t="str">
            <v>1855</v>
          </cell>
          <cell r="K4103" t="str">
            <v>201602151421097</v>
          </cell>
          <cell r="M4103" t="str">
            <v>乳酸菌素片/为消0.4g*36片</v>
          </cell>
        </row>
        <row r="4104">
          <cell r="E4104" t="str">
            <v>0020030020SJSC0014</v>
          </cell>
          <cell r="H4104" t="str">
            <v>滨州市滨城区彭李街道办事处阳光社区卫生服务站</v>
          </cell>
          <cell r="J4104" t="str">
            <v>1853</v>
          </cell>
          <cell r="K4104" t="str">
            <v>201602151421097</v>
          </cell>
          <cell r="M4104" t="str">
            <v>维D2磷酸氢钙片60片</v>
          </cell>
        </row>
        <row r="4105">
          <cell r="E4105" t="str">
            <v>0020030020ZYLC0013</v>
          </cell>
          <cell r="H4105" t="str">
            <v>无棣县聚福堂药店连锁有限公司</v>
          </cell>
          <cell r="J4105" t="str">
            <v>1856</v>
          </cell>
          <cell r="K4105" t="str">
            <v>201602151421097</v>
          </cell>
          <cell r="M4105" t="str">
            <v>“为消”牌乳酸菌素片0.4g*36片</v>
          </cell>
        </row>
        <row r="4106">
          <cell r="E4106" t="str">
            <v>0020020021ZYLC0005</v>
          </cell>
          <cell r="H4106" t="str">
            <v>苏氏诊所</v>
          </cell>
          <cell r="J4106" t="str">
            <v>1856</v>
          </cell>
          <cell r="K4106" t="str">
            <v>201602151421097</v>
          </cell>
          <cell r="M4106" t="str">
            <v>小儿严迪片/罗红霉素分散片50mg*12片</v>
          </cell>
        </row>
        <row r="4107">
          <cell r="E4107" t="str">
            <v>0020050090SJZY0001</v>
          </cell>
          <cell r="H4107" t="str">
            <v>苏氏诊所</v>
          </cell>
          <cell r="J4107" t="str">
            <v>1856</v>
          </cell>
          <cell r="K4107" t="str">
            <v>201602151421097</v>
          </cell>
          <cell r="M4107" t="str">
            <v>双黄连口服液10ml*10支</v>
          </cell>
        </row>
        <row r="4108">
          <cell r="E4108" t="str">
            <v>0020020021ZYLC0011</v>
          </cell>
          <cell r="H4108" t="str">
            <v>无棣汇仁堂药店</v>
          </cell>
          <cell r="J4108" t="str">
            <v>1856</v>
          </cell>
          <cell r="K4108" t="str">
            <v>201602151421097</v>
          </cell>
          <cell r="M4108" t="str">
            <v>严迪/罗红霉素分散片150mg*12片</v>
          </cell>
        </row>
        <row r="4109">
          <cell r="E4109" t="str">
            <v>0020070000SJZY0001</v>
          </cell>
          <cell r="H4109" t="str">
            <v>滨州市滨城区彭李街道办事处阳光社区卫生服务站</v>
          </cell>
          <cell r="J4109" t="str">
            <v>1853</v>
          </cell>
          <cell r="K4109" t="str">
            <v>201602151421097</v>
          </cell>
          <cell r="M4109" t="str">
            <v>葡萄糖酸锌口服液10ML*12支</v>
          </cell>
        </row>
        <row r="4110">
          <cell r="E4110" t="str">
            <v>0020020021ZYZC0341</v>
          </cell>
          <cell r="H4110" t="str">
            <v>邹平博祥医药连锁有限公司</v>
          </cell>
          <cell r="J4110" t="str">
            <v>1859</v>
          </cell>
          <cell r="K4110" t="str">
            <v>201602151421097</v>
          </cell>
          <cell r="M4110" t="str">
            <v>阿莫西林克拉维酸钾7:1分散片（胜艾）0.2285g*12片</v>
          </cell>
        </row>
        <row r="4111">
          <cell r="E4111" t="str">
            <v>0020030020SJSC0025</v>
          </cell>
          <cell r="H4111" t="str">
            <v>沾化济生堂大药房连锁有限公司</v>
          </cell>
          <cell r="J4111" t="str">
            <v>1857</v>
          </cell>
          <cell r="K4111" t="str">
            <v>201602151421097</v>
          </cell>
          <cell r="M4111" t="str">
            <v>复方氨酚烷胺片12片</v>
          </cell>
        </row>
        <row r="4112">
          <cell r="E4112" t="str">
            <v>0020020021ZYLC0011</v>
          </cell>
          <cell r="H4112" t="str">
            <v>商店镇商店第一社区卫生室</v>
          </cell>
          <cell r="J4112" t="str">
            <v>1855</v>
          </cell>
          <cell r="K4112" t="str">
            <v>201602151421097</v>
          </cell>
          <cell r="M4112" t="str">
            <v>严迪/罗红霉素分散片150mg*12片</v>
          </cell>
        </row>
        <row r="4113">
          <cell r="E4113" t="str">
            <v>0020050020ZYEC0019</v>
          </cell>
          <cell r="H4113" t="str">
            <v>商店镇商店第一社区卫生室</v>
          </cell>
          <cell r="J4113" t="str">
            <v>1855</v>
          </cell>
          <cell r="K4113" t="str">
            <v>201602151421097</v>
          </cell>
          <cell r="M4113" t="str">
            <v>双黄连颗粒（无蔗糖）5g*10袋</v>
          </cell>
        </row>
        <row r="4114">
          <cell r="E4114" t="str">
            <v>0020070000SJZY0001</v>
          </cell>
          <cell r="H4114" t="str">
            <v>商店镇桑西社区卫生室</v>
          </cell>
          <cell r="J4114" t="str">
            <v>1855</v>
          </cell>
          <cell r="K4114" t="str">
            <v>201602151421097</v>
          </cell>
          <cell r="M4114" t="str">
            <v>葡萄糖酸锌口服液10ML*12支</v>
          </cell>
        </row>
        <row r="4115">
          <cell r="E4115" t="str">
            <v>0020070001ZYLC0001</v>
          </cell>
          <cell r="H4115" t="str">
            <v>商店镇桑西社区卫生室</v>
          </cell>
          <cell r="J4115" t="str">
            <v>1855</v>
          </cell>
          <cell r="K4115" t="str">
            <v>201602151421097</v>
          </cell>
          <cell r="M4115" t="str">
            <v>哈药六钙锌口服液10ml*12支</v>
          </cell>
        </row>
        <row r="4116">
          <cell r="E4116" t="str">
            <v>0020020030ZYZC0508</v>
          </cell>
          <cell r="H4116" t="str">
            <v>阳信县商店镇台属大药房</v>
          </cell>
          <cell r="J4116" t="str">
            <v>1855</v>
          </cell>
          <cell r="K4116" t="str">
            <v>201602151421097</v>
          </cell>
          <cell r="M4116" t="str">
            <v>阿莫西林胶囊0.25g*20s</v>
          </cell>
        </row>
        <row r="4117">
          <cell r="E4117" t="str">
            <v>0020030040ZYLC0001</v>
          </cell>
          <cell r="H4117" t="str">
            <v>阳信县商店镇台属大药房</v>
          </cell>
          <cell r="J4117" t="str">
            <v>1855</v>
          </cell>
          <cell r="K4117" t="str">
            <v>201602151421097</v>
          </cell>
          <cell r="M4117" t="str">
            <v>护彤冲剂/小儿氨酚黄那敏颗粒2g*12袋</v>
          </cell>
        </row>
        <row r="4118">
          <cell r="E4118" t="str">
            <v>0020050020ZYEC0008</v>
          </cell>
          <cell r="H4118" t="str">
            <v>阳信县商店镇台属大药房</v>
          </cell>
          <cell r="J4118" t="str">
            <v>1855</v>
          </cell>
          <cell r="K4118" t="str">
            <v>201602151421097</v>
          </cell>
          <cell r="M4118" t="str">
            <v>感冒解毒灵颗粒5g*10袋</v>
          </cell>
        </row>
        <row r="4119">
          <cell r="E4119" t="str">
            <v>0020070000SJZY0001</v>
          </cell>
          <cell r="H4119" t="str">
            <v>阳信县商店镇台属大药房</v>
          </cell>
          <cell r="J4119" t="str">
            <v>1855</v>
          </cell>
          <cell r="K4119" t="str">
            <v>201602151421097</v>
          </cell>
          <cell r="M4119" t="str">
            <v>葡萄糖酸锌口服液10ML*12支</v>
          </cell>
        </row>
        <row r="4120">
          <cell r="E4120" t="str">
            <v>0020020030SJMS0024</v>
          </cell>
          <cell r="H4120" t="str">
            <v>阳信县商店镇台属大药房</v>
          </cell>
          <cell r="J4120" t="str">
            <v>1855</v>
          </cell>
          <cell r="K4120" t="str">
            <v>201602151421097</v>
          </cell>
          <cell r="M4120" t="str">
            <v>人工牛黄甲硝唑胶囊/牙疼安10粒*2板</v>
          </cell>
        </row>
        <row r="4121">
          <cell r="E4121" t="str">
            <v>0020030020ZYLC0005</v>
          </cell>
          <cell r="H4121" t="str">
            <v>阳信县商店镇台属大药房</v>
          </cell>
          <cell r="J4121" t="str">
            <v>1855</v>
          </cell>
          <cell r="K4121" t="str">
            <v>201602151421097</v>
          </cell>
          <cell r="M4121" t="str">
            <v>小儿氨酚黄那敏片0.125g*20片</v>
          </cell>
        </row>
        <row r="4122">
          <cell r="E4122" t="str">
            <v>0020040030SJSC0003</v>
          </cell>
          <cell r="H4122" t="str">
            <v>阳信县商店镇台属大药房</v>
          </cell>
          <cell r="J4122" t="str">
            <v>1855</v>
          </cell>
          <cell r="K4122" t="str">
            <v>201602151421097</v>
          </cell>
          <cell r="M4122" t="str">
            <v>养肝明目片0.35g*24片</v>
          </cell>
        </row>
        <row r="4123">
          <cell r="E4123" t="str">
            <v>0020050020ZYEC0019</v>
          </cell>
          <cell r="H4123" t="str">
            <v>阳信县商店镇台属大药房</v>
          </cell>
          <cell r="J4123" t="str">
            <v>1855</v>
          </cell>
          <cell r="K4123" t="str">
            <v>201602151421097</v>
          </cell>
          <cell r="M4123" t="str">
            <v>双黄连颗粒（无蔗糖）5g*10袋</v>
          </cell>
        </row>
        <row r="4124">
          <cell r="E4124" t="str">
            <v>0020040001SHYT0011</v>
          </cell>
          <cell r="H4124" t="str">
            <v>何坊街道官道张村卫生室</v>
          </cell>
          <cell r="J4124" t="str">
            <v>1854</v>
          </cell>
          <cell r="K4124" t="str">
            <v>201602151421097</v>
          </cell>
          <cell r="M4124" t="str">
            <v>牛黄解毒丸3g*10丸</v>
          </cell>
        </row>
        <row r="4125">
          <cell r="E4125" t="str">
            <v>0020040220SHYT0005</v>
          </cell>
          <cell r="H4125" t="str">
            <v>文化街康民卫生室</v>
          </cell>
          <cell r="J4125" t="str">
            <v>1854</v>
          </cell>
          <cell r="K4125" t="str">
            <v>201602151421097</v>
          </cell>
          <cell r="M4125" t="str">
            <v>妇宁栓1.6g×7枚</v>
          </cell>
        </row>
        <row r="4126">
          <cell r="E4126" t="str">
            <v>0020070000SJZY0001</v>
          </cell>
          <cell r="H4126" t="str">
            <v>滨州市沾化区中医院</v>
          </cell>
          <cell r="J4126" t="str">
            <v>1857</v>
          </cell>
          <cell r="K4126" t="str">
            <v>201602151421097</v>
          </cell>
          <cell r="M4126" t="str">
            <v>葡萄糖酸锌口服液10ML*12支</v>
          </cell>
        </row>
        <row r="4127">
          <cell r="E4127" t="str">
            <v>0020030001SJZY0006</v>
          </cell>
          <cell r="H4127" t="str">
            <v>滨州市沾化区中医院</v>
          </cell>
          <cell r="J4127" t="str">
            <v>1857</v>
          </cell>
          <cell r="K4127" t="str">
            <v>201602151421097</v>
          </cell>
          <cell r="M4127" t="str">
            <v>葡萄糖酸钙口服溶液（含糖）10ml*12支</v>
          </cell>
        </row>
        <row r="4128">
          <cell r="E4128" t="str">
            <v>0020030020SJSC0025</v>
          </cell>
          <cell r="H4128" t="str">
            <v>惠民仁和堂诊所</v>
          </cell>
          <cell r="J4128" t="str">
            <v>1854</v>
          </cell>
          <cell r="K4128" t="str">
            <v>201602151421097</v>
          </cell>
          <cell r="M4128" t="str">
            <v>复方氨酚烷胺片12片</v>
          </cell>
        </row>
        <row r="4129">
          <cell r="E4129" t="str">
            <v>0020020040ZYZC0304</v>
          </cell>
          <cell r="H4129" t="str">
            <v>惠民县康复大药堂</v>
          </cell>
          <cell r="J4129" t="str">
            <v>1854</v>
          </cell>
          <cell r="K4129" t="str">
            <v>201602151421097</v>
          </cell>
          <cell r="M4129" t="str">
            <v>阿莫西林颗粒0.125g*12袋</v>
          </cell>
        </row>
        <row r="4130">
          <cell r="E4130" t="str">
            <v>0020030020SJSC0025</v>
          </cell>
          <cell r="H4130" t="str">
            <v>滨州市滨城区市西街道办事处利民社区第二卫生服务站</v>
          </cell>
          <cell r="J4130" t="str">
            <v>1853</v>
          </cell>
          <cell r="K4130" t="str">
            <v>201602151421097</v>
          </cell>
          <cell r="M4130" t="str">
            <v>复方氨酚烷胺片12片</v>
          </cell>
        </row>
        <row r="4131">
          <cell r="E4131" t="str">
            <v>0020030020SJSC0025</v>
          </cell>
          <cell r="H4131" t="str">
            <v>山东省惠民县民康大药店有限公司</v>
          </cell>
          <cell r="J4131" t="str">
            <v>1854</v>
          </cell>
          <cell r="K4131" t="str">
            <v>201602151421097</v>
          </cell>
          <cell r="M4131" t="str">
            <v>复方氨酚烷胺片12片</v>
          </cell>
        </row>
        <row r="4132">
          <cell r="E4132" t="str">
            <v>0020070000SJZY0001</v>
          </cell>
          <cell r="H4132" t="str">
            <v>滨城区彭李街道办事处张课第一卫生室</v>
          </cell>
          <cell r="J4132" t="str">
            <v>1853</v>
          </cell>
          <cell r="K4132" t="str">
            <v>201602151421097</v>
          </cell>
          <cell r="M4132" t="str">
            <v>葡萄糖酸锌口服液10ML*12支</v>
          </cell>
        </row>
        <row r="4133">
          <cell r="E4133" t="str">
            <v>0020030001SJZY0006</v>
          </cell>
          <cell r="H4133" t="str">
            <v>滨城区彭李街道办事处张课第一卫生室</v>
          </cell>
          <cell r="J4133" t="str">
            <v>1853</v>
          </cell>
          <cell r="K4133" t="str">
            <v>201602151421097</v>
          </cell>
          <cell r="M4133" t="str">
            <v>葡萄糖酸钙口服溶液（含糖）10ml*12支</v>
          </cell>
        </row>
        <row r="4134">
          <cell r="E4134" t="str">
            <v>0020070000SJZY0001</v>
          </cell>
          <cell r="H4134" t="str">
            <v>阳信豪门社区卫生室</v>
          </cell>
          <cell r="J4134" t="str">
            <v>1855</v>
          </cell>
          <cell r="K4134" t="str">
            <v>201602151421097</v>
          </cell>
          <cell r="M4134" t="str">
            <v>葡萄糖酸锌口服液10ML*12支</v>
          </cell>
        </row>
        <row r="4135">
          <cell r="E4135" t="str">
            <v>0020020030SJMS0025</v>
          </cell>
          <cell r="H4135" t="str">
            <v>滨城区市西街道办事处社区卫生服务站</v>
          </cell>
          <cell r="J4135" t="str">
            <v>1853</v>
          </cell>
          <cell r="K4135" t="str">
            <v>201602151421097</v>
          </cell>
          <cell r="M4135" t="str">
            <v>人工牛黄甲硝唑胶囊/牙疼安10粒*3板</v>
          </cell>
        </row>
        <row r="4136">
          <cell r="E4136" t="str">
            <v>0020020030SJMS0025</v>
          </cell>
          <cell r="H4136" t="str">
            <v>博兴县城东街道办事处国康大药房</v>
          </cell>
          <cell r="J4136" t="str">
            <v>1858</v>
          </cell>
          <cell r="K4136" t="str">
            <v>201602151421097</v>
          </cell>
          <cell r="M4136" t="str">
            <v>人工牛黄甲硝唑胶囊/牙疼安10粒*3板</v>
          </cell>
        </row>
        <row r="4137">
          <cell r="E4137" t="str">
            <v>0020100000ZYLC0012</v>
          </cell>
          <cell r="H4137" t="str">
            <v>博兴县城东街道办事处国康大药房</v>
          </cell>
          <cell r="J4137" t="str">
            <v>1858</v>
          </cell>
          <cell r="K4137" t="str">
            <v>201602151421097</v>
          </cell>
          <cell r="M4137" t="str">
            <v>退热贴40mm*110mm*2贴</v>
          </cell>
        </row>
        <row r="4138">
          <cell r="E4138" t="str">
            <v>0020020030SJMS0025</v>
          </cell>
          <cell r="H4138" t="str">
            <v>博兴县康源大药房有限公司</v>
          </cell>
          <cell r="J4138" t="str">
            <v>1858</v>
          </cell>
          <cell r="K4138" t="str">
            <v>201602151421097</v>
          </cell>
          <cell r="M4138" t="str">
            <v>人工牛黄甲硝唑胶囊/牙疼安10粒*3板</v>
          </cell>
        </row>
        <row r="4139">
          <cell r="E4139" t="str">
            <v>0020030020SJSC0025</v>
          </cell>
          <cell r="H4139" t="str">
            <v>滨州市益生园大药房连锁有限公司</v>
          </cell>
          <cell r="J4139" t="str">
            <v>1858</v>
          </cell>
          <cell r="K4139" t="str">
            <v>201602151421097</v>
          </cell>
          <cell r="M4139" t="str">
            <v>复方氨酚烷胺片12片</v>
          </cell>
        </row>
        <row r="4140">
          <cell r="E4140" t="str">
            <v>0020020030SJMS0025</v>
          </cell>
          <cell r="H4140" t="str">
            <v>滨州市滨城区市西街道办事处利民社区第二卫生服务站</v>
          </cell>
          <cell r="J4140" t="str">
            <v>1853</v>
          </cell>
          <cell r="K4140" t="str">
            <v>201602151421097</v>
          </cell>
          <cell r="M4140" t="str">
            <v>人工牛黄甲硝唑胶囊/牙疼安10粒*3板</v>
          </cell>
        </row>
        <row r="4141">
          <cell r="E4141" t="str">
            <v>0020100000ZYLC0012</v>
          </cell>
          <cell r="H4141" t="str">
            <v>滨州市滨城区市西街道办事处利民社区第二卫生服务站</v>
          </cell>
          <cell r="J4141" t="str">
            <v>1853</v>
          </cell>
          <cell r="K4141" t="str">
            <v>201602151421097</v>
          </cell>
          <cell r="M4141" t="str">
            <v>退热贴40mm*110mm*2贴</v>
          </cell>
        </row>
        <row r="4142">
          <cell r="E4142" t="str">
            <v>0020100000ZYLC0012</v>
          </cell>
          <cell r="H4142" t="str">
            <v>滨州市滨城区彭李街道办事处黄河社区卫生服务站</v>
          </cell>
          <cell r="J4142" t="str">
            <v>1853</v>
          </cell>
          <cell r="K4142" t="str">
            <v>201602151421097</v>
          </cell>
          <cell r="M4142" t="str">
            <v>退热贴40mm*110mm*2贴</v>
          </cell>
        </row>
        <row r="4143">
          <cell r="E4143" t="str">
            <v>0020020021ZYLC0010</v>
          </cell>
          <cell r="H4143" t="str">
            <v>滨州市滨城区彭李街道办事处黄河社区卫生服务站</v>
          </cell>
          <cell r="J4143" t="str">
            <v>1853</v>
          </cell>
          <cell r="K4143" t="str">
            <v>201602151421097</v>
          </cell>
          <cell r="M4143" t="str">
            <v>克拉霉素分散片0.125g*12片</v>
          </cell>
        </row>
        <row r="4144">
          <cell r="E4144" t="str">
            <v>0020040220SHYT0005</v>
          </cell>
          <cell r="H4144" t="str">
            <v>滨州市滨城区彭李街道办事处黄河社区卫生服务站</v>
          </cell>
          <cell r="J4144" t="str">
            <v>1853</v>
          </cell>
          <cell r="K4144" t="str">
            <v>201602151421097</v>
          </cell>
          <cell r="M4144" t="str">
            <v>妇宁栓1.6g×7枚</v>
          </cell>
        </row>
        <row r="4145">
          <cell r="E4145" t="str">
            <v>0020020021ZYLC0010</v>
          </cell>
          <cell r="H4145" t="str">
            <v>滨州康乐医药连锁有限公司</v>
          </cell>
          <cell r="J4145" t="str">
            <v>1853</v>
          </cell>
          <cell r="K4145" t="str">
            <v>201602151421097</v>
          </cell>
          <cell r="M4145" t="str">
            <v>克拉霉素分散片0.125g*12片</v>
          </cell>
        </row>
        <row r="4146">
          <cell r="E4146" t="str">
            <v>0020100000ZYLC0012</v>
          </cell>
          <cell r="H4146" t="str">
            <v>滨州康乐医药连锁有限公司</v>
          </cell>
          <cell r="J4146" t="str">
            <v>1853</v>
          </cell>
          <cell r="K4146" t="str">
            <v>201602151421097</v>
          </cell>
          <cell r="M4146" t="str">
            <v>退热贴40mm*110mm*2贴</v>
          </cell>
        </row>
        <row r="4147">
          <cell r="E4147" t="str">
            <v>0020030020SJSC0025</v>
          </cell>
          <cell r="H4147" t="str">
            <v>滨州宁心医药有限公司</v>
          </cell>
          <cell r="J4147" t="str">
            <v>1853</v>
          </cell>
          <cell r="K4147" t="str">
            <v>201602151421097</v>
          </cell>
          <cell r="M4147" t="str">
            <v>复方氨酚烷胺片12片</v>
          </cell>
        </row>
        <row r="4148">
          <cell r="E4148" t="str">
            <v>0020020021ZYLC0010</v>
          </cell>
          <cell r="H4148" t="str">
            <v>滨州宁心医药有限公司</v>
          </cell>
          <cell r="J4148" t="str">
            <v>1853</v>
          </cell>
          <cell r="K4148" t="str">
            <v>201602151421097</v>
          </cell>
          <cell r="M4148" t="str">
            <v>克拉霉素分散片0.125g*12片</v>
          </cell>
        </row>
        <row r="4149">
          <cell r="E4149" t="str">
            <v>0020040220SHYT0005</v>
          </cell>
          <cell r="H4149" t="str">
            <v>滨州宁心医药有限公司</v>
          </cell>
          <cell r="J4149" t="str">
            <v>1853</v>
          </cell>
          <cell r="K4149" t="str">
            <v>201602151421097</v>
          </cell>
          <cell r="M4149" t="str">
            <v>妇宁栓1.6g×7枚</v>
          </cell>
        </row>
        <row r="4150">
          <cell r="E4150" t="str">
            <v>0020100000ZYLC0012</v>
          </cell>
          <cell r="H4150" t="str">
            <v>滨州宁心医药有限公司</v>
          </cell>
          <cell r="J4150" t="str">
            <v>1853</v>
          </cell>
          <cell r="K4150" t="str">
            <v>201602151421097</v>
          </cell>
          <cell r="M4150" t="str">
            <v>退热贴40mm*110mm*2贴</v>
          </cell>
        </row>
        <row r="4151">
          <cell r="E4151" t="str">
            <v>0020020030SJMS0024</v>
          </cell>
          <cell r="H4151" t="str">
            <v>山东省惠民县梦之康大药房连锁有限公司</v>
          </cell>
          <cell r="J4151" t="str">
            <v>1854</v>
          </cell>
          <cell r="K4151" t="str">
            <v>201602151421097</v>
          </cell>
          <cell r="M4151" t="str">
            <v>人工牛黄甲硝唑胶囊/牙疼安10粒*2板</v>
          </cell>
        </row>
        <row r="4152">
          <cell r="E4152" t="str">
            <v>0020100000ZYLC0012</v>
          </cell>
          <cell r="H4152" t="str">
            <v>无棣福顺康大药房</v>
          </cell>
          <cell r="J4152" t="str">
            <v>1856</v>
          </cell>
          <cell r="K4152" t="str">
            <v>201602151421097</v>
          </cell>
          <cell r="M4152" t="str">
            <v>退热贴40mm*110mm*2贴</v>
          </cell>
        </row>
        <row r="4153">
          <cell r="E4153" t="str">
            <v>0020030020SJSC0025</v>
          </cell>
          <cell r="H4153" t="str">
            <v>无棣福顺康大药房</v>
          </cell>
          <cell r="J4153" t="str">
            <v>1856</v>
          </cell>
          <cell r="K4153" t="str">
            <v>201602151421097</v>
          </cell>
          <cell r="M4153" t="str">
            <v>复方氨酚烷胺片12片</v>
          </cell>
        </row>
        <row r="4154">
          <cell r="E4154" t="str">
            <v>0020030020SJSC0025</v>
          </cell>
          <cell r="H4154" t="str">
            <v>博兴县店子镇同济堂大药店</v>
          </cell>
          <cell r="J4154" t="str">
            <v>1858</v>
          </cell>
          <cell r="K4154" t="str">
            <v>201602151421097</v>
          </cell>
          <cell r="M4154" t="str">
            <v>复方氨酚烷胺片12片</v>
          </cell>
        </row>
        <row r="4155">
          <cell r="E4155" t="str">
            <v>0020100000ZYLC0012</v>
          </cell>
          <cell r="H4155" t="str">
            <v>博兴县店子镇同济堂大药店</v>
          </cell>
          <cell r="J4155" t="str">
            <v>1858</v>
          </cell>
          <cell r="K4155" t="str">
            <v>201602151421097</v>
          </cell>
          <cell r="M4155" t="str">
            <v>退热贴40mm*110mm*2贴</v>
          </cell>
        </row>
        <row r="4156">
          <cell r="E4156" t="str">
            <v>0020020030SJMS0024</v>
          </cell>
          <cell r="H4156" t="str">
            <v>博兴县店子镇同济堂大药店</v>
          </cell>
          <cell r="J4156" t="str">
            <v>1858</v>
          </cell>
          <cell r="K4156" t="str">
            <v>201602151421097</v>
          </cell>
          <cell r="M4156" t="str">
            <v>人工牛黄甲硝唑胶囊/牙疼安10粒*2板</v>
          </cell>
        </row>
        <row r="4157">
          <cell r="E4157" t="str">
            <v>0020020021ZYZC0341</v>
          </cell>
          <cell r="H4157" t="str">
            <v>阳信县百姓大药房医药连锁有限公司</v>
          </cell>
          <cell r="J4157" t="str">
            <v>1855</v>
          </cell>
          <cell r="K4157" t="str">
            <v>201602151421097</v>
          </cell>
          <cell r="M4157" t="str">
            <v>阿莫西林克拉维酸钾7:1分散片（胜艾）0.2285g*12片</v>
          </cell>
        </row>
        <row r="4158">
          <cell r="E4158" t="str">
            <v>0020020021ZYLC0010</v>
          </cell>
          <cell r="H4158" t="str">
            <v>阳信县百姓大药房医药连锁有限公司</v>
          </cell>
          <cell r="J4158" t="str">
            <v>1855</v>
          </cell>
          <cell r="K4158" t="str">
            <v>201602151421097</v>
          </cell>
          <cell r="M4158" t="str">
            <v>克拉霉素分散片0.125g*12片</v>
          </cell>
        </row>
        <row r="4159">
          <cell r="E4159" t="str">
            <v>0020100000ZYLC0012</v>
          </cell>
          <cell r="H4159" t="str">
            <v>滨州市万全医药保健品连锁有限公司</v>
          </cell>
          <cell r="J4159" t="str">
            <v>1853</v>
          </cell>
          <cell r="K4159" t="str">
            <v>201602151421097</v>
          </cell>
          <cell r="M4159" t="str">
            <v>退热贴40mm*110mm*2贴</v>
          </cell>
        </row>
        <row r="4160">
          <cell r="E4160" t="str">
            <v>0020020021ZYLC0010</v>
          </cell>
          <cell r="H4160" t="str">
            <v>滨州市万全医药保健品连锁有限公司</v>
          </cell>
          <cell r="J4160" t="str">
            <v>1853</v>
          </cell>
          <cell r="K4160" t="str">
            <v>201602151421097</v>
          </cell>
          <cell r="M4160" t="str">
            <v>克拉霉素分散片0.125g*12片</v>
          </cell>
        </row>
        <row r="4161">
          <cell r="E4161" t="str">
            <v>0020040220SHYT0004</v>
          </cell>
          <cell r="H4161" t="str">
            <v>滨州市万全医药保健品连锁有限公司</v>
          </cell>
          <cell r="J4161" t="str">
            <v>1853</v>
          </cell>
          <cell r="K4161" t="str">
            <v>201602151421097</v>
          </cell>
          <cell r="M4161" t="str">
            <v>妇宁栓1.6g*8枚</v>
          </cell>
        </row>
        <row r="4162">
          <cell r="E4162" t="str">
            <v>0020040020SHYT0007</v>
          </cell>
          <cell r="H4162" t="str">
            <v>阳信县商店镇瑞康平民药店</v>
          </cell>
          <cell r="J4162" t="str">
            <v>1855</v>
          </cell>
          <cell r="K4162" t="str">
            <v>201602151421097</v>
          </cell>
          <cell r="M4162" t="str">
            <v>丹佛胃尔康颗粒10g*6袋</v>
          </cell>
        </row>
        <row r="4163">
          <cell r="E4163" t="str">
            <v>0020050020SHYT0016</v>
          </cell>
          <cell r="H4163" t="str">
            <v>阳信县商店镇瑞康平民药店</v>
          </cell>
          <cell r="J4163" t="str">
            <v>1855</v>
          </cell>
          <cell r="K4163" t="str">
            <v>201602151421097</v>
          </cell>
          <cell r="M4163" t="str">
            <v>复方金银花颗粒10g*10袋</v>
          </cell>
        </row>
        <row r="4164">
          <cell r="E4164" t="str">
            <v>0020020040ZYZC0304</v>
          </cell>
          <cell r="H4164" t="str">
            <v>滨州市滨源医药连锁有限公司</v>
          </cell>
          <cell r="J4164" t="str">
            <v>1853</v>
          </cell>
          <cell r="K4164" t="str">
            <v>201602151421097</v>
          </cell>
          <cell r="M4164" t="str">
            <v>阿莫西林颗粒0.125g*12袋</v>
          </cell>
        </row>
        <row r="4165">
          <cell r="E4165" t="str">
            <v>0020030020SJSC0025</v>
          </cell>
          <cell r="H4165" t="str">
            <v>滨州市修正堂医药有限公司</v>
          </cell>
          <cell r="J4165" t="str">
            <v>1853</v>
          </cell>
          <cell r="K4165" t="str">
            <v>201602151421097</v>
          </cell>
          <cell r="M4165" t="str">
            <v>复方氨酚烷胺片12片</v>
          </cell>
        </row>
        <row r="4166">
          <cell r="E4166" t="str">
            <v>0020020040ZYZC0304</v>
          </cell>
          <cell r="H4166" t="str">
            <v>滨州市修正堂医药有限公司</v>
          </cell>
          <cell r="J4166" t="str">
            <v>1853</v>
          </cell>
          <cell r="K4166" t="str">
            <v>201602151421097</v>
          </cell>
          <cell r="M4166" t="str">
            <v>阿莫西林颗粒0.125g*12袋</v>
          </cell>
        </row>
        <row r="4167">
          <cell r="E4167" t="str">
            <v>0020020030SJMS0024</v>
          </cell>
          <cell r="H4167" t="str">
            <v>滨州市修正堂医药有限公司</v>
          </cell>
          <cell r="J4167" t="str">
            <v>1853</v>
          </cell>
          <cell r="K4167" t="str">
            <v>201602151421097</v>
          </cell>
          <cell r="M4167" t="str">
            <v>人工牛黄甲硝唑胶囊/牙疼安10粒*2板</v>
          </cell>
        </row>
        <row r="4168">
          <cell r="E4168" t="str">
            <v>0020020021ZYLC0015</v>
          </cell>
          <cell r="H4168" t="str">
            <v>滨州市修正堂医药有限公司</v>
          </cell>
          <cell r="J4168" t="str">
            <v>1853</v>
          </cell>
          <cell r="K4168" t="str">
            <v>201602151421097</v>
          </cell>
          <cell r="M4168" t="str">
            <v>克拉霉素分散片/长迪0.125g*24粒</v>
          </cell>
        </row>
        <row r="4169">
          <cell r="E4169" t="str">
            <v>0020100000ZYLC0012</v>
          </cell>
          <cell r="H4169" t="str">
            <v>山东张氏君安医药有限公司</v>
          </cell>
          <cell r="J4169" t="str">
            <v>1853</v>
          </cell>
          <cell r="K4169" t="str">
            <v>201602151421097</v>
          </cell>
          <cell r="M4169" t="str">
            <v>退热贴40mm*110mm*2贴</v>
          </cell>
        </row>
        <row r="4170">
          <cell r="E4170" t="str">
            <v>0020030020SJSC0025</v>
          </cell>
          <cell r="H4170" t="str">
            <v>无棣县埕口镇万豪药店</v>
          </cell>
          <cell r="J4170" t="str">
            <v>1856</v>
          </cell>
          <cell r="K4170" t="str">
            <v>201602151421097</v>
          </cell>
          <cell r="M4170" t="str">
            <v>复方氨酚烷胺片12片</v>
          </cell>
        </row>
        <row r="4171">
          <cell r="E4171" t="str">
            <v>0020020030SJMS0024</v>
          </cell>
          <cell r="H4171" t="str">
            <v>无棣县埕口镇万豪药店</v>
          </cell>
          <cell r="J4171" t="str">
            <v>1856</v>
          </cell>
          <cell r="K4171" t="str">
            <v>201602151421097</v>
          </cell>
          <cell r="M4171" t="str">
            <v>人工牛黄甲硝唑胶囊/牙疼安10粒*2板</v>
          </cell>
        </row>
        <row r="4172">
          <cell r="E4172" t="str">
            <v>0020100000ZYLC0012</v>
          </cell>
          <cell r="H4172" t="str">
            <v>无棣县埕口镇万豪药店</v>
          </cell>
          <cell r="J4172" t="str">
            <v>1856</v>
          </cell>
          <cell r="K4172" t="str">
            <v>201602151421097</v>
          </cell>
          <cell r="M4172" t="str">
            <v>退热贴40mm*110mm*2贴</v>
          </cell>
        </row>
        <row r="4173">
          <cell r="E4173" t="str">
            <v>0020040220SHYT0005</v>
          </cell>
          <cell r="H4173" t="str">
            <v>无棣县埕口镇万豪药店</v>
          </cell>
          <cell r="J4173" t="str">
            <v>1856</v>
          </cell>
          <cell r="K4173" t="str">
            <v>201602151421097</v>
          </cell>
          <cell r="M4173" t="str">
            <v>妇宁栓1.6g×7枚</v>
          </cell>
        </row>
        <row r="4174">
          <cell r="E4174" t="str">
            <v>0020020021ZYLC0010</v>
          </cell>
          <cell r="H4174" t="str">
            <v>无棣县埕口镇万豪药店</v>
          </cell>
          <cell r="J4174" t="str">
            <v>1856</v>
          </cell>
          <cell r="K4174" t="str">
            <v>201602151421097</v>
          </cell>
          <cell r="M4174" t="str">
            <v>克拉霉素分散片0.125g*12片</v>
          </cell>
        </row>
        <row r="4175">
          <cell r="E4175" t="str">
            <v>0020020021ZYLC0011</v>
          </cell>
          <cell r="H4175" t="str">
            <v>水落坡乡大郭社区卫生室</v>
          </cell>
          <cell r="J4175" t="str">
            <v>1855</v>
          </cell>
          <cell r="K4175" t="str">
            <v>201602151421097</v>
          </cell>
          <cell r="M4175" t="str">
            <v>严迪/罗红霉素分散片150mg*12片</v>
          </cell>
        </row>
        <row r="4176">
          <cell r="E4176" t="str">
            <v>0020020021ZYLC0011</v>
          </cell>
          <cell r="H4176" t="str">
            <v>滨城万寿堂医院</v>
          </cell>
          <cell r="J4176" t="str">
            <v>1853</v>
          </cell>
          <cell r="K4176" t="str">
            <v>201602151421097</v>
          </cell>
          <cell r="M4176" t="str">
            <v>严迪/罗红霉素分散片150mg*12片</v>
          </cell>
        </row>
        <row r="4177">
          <cell r="E4177" t="str">
            <v>0020030020ZYLC0010</v>
          </cell>
          <cell r="H4177" t="str">
            <v>邹平同德堂医药有限公司</v>
          </cell>
          <cell r="J4177" t="str">
            <v>1859</v>
          </cell>
          <cell r="K4177" t="str">
            <v>201602151421097</v>
          </cell>
          <cell r="M4177" t="str">
            <v>乳酸菌素片/为消0.4g*36片</v>
          </cell>
        </row>
        <row r="4178">
          <cell r="E4178" t="str">
            <v>0020040001SHYT0011</v>
          </cell>
          <cell r="H4178" t="str">
            <v>沾化国瑞医药连锁有限责任公司</v>
          </cell>
          <cell r="J4178" t="str">
            <v>1857</v>
          </cell>
          <cell r="K4178" t="str">
            <v>201602151421097</v>
          </cell>
          <cell r="M4178" t="str">
            <v>牛黄解毒丸3g*10丸</v>
          </cell>
        </row>
        <row r="4179">
          <cell r="E4179" t="str">
            <v>0020020021ZYLC0004</v>
          </cell>
          <cell r="H4179" t="str">
            <v>惠民县康复大药堂</v>
          </cell>
          <cell r="J4179" t="str">
            <v>1854</v>
          </cell>
          <cell r="K4179" t="str">
            <v>201602151421097</v>
          </cell>
          <cell r="M4179" t="str">
            <v>大严迪片/罗红霉素分散片75mg*12片</v>
          </cell>
        </row>
        <row r="4180">
          <cell r="E4180" t="str">
            <v>0020030040SHYT0010</v>
          </cell>
          <cell r="H4180" t="str">
            <v>惠民县康复大药堂</v>
          </cell>
          <cell r="J4180" t="str">
            <v>1854</v>
          </cell>
          <cell r="K4180" t="str">
            <v>201602151421097</v>
          </cell>
          <cell r="M4180" t="str">
            <v>布洛芬颗粒0.2g*12袋</v>
          </cell>
        </row>
        <row r="4181">
          <cell r="E4181" t="str">
            <v>0020040220SHYT0005</v>
          </cell>
          <cell r="H4181" t="str">
            <v>惠民县康复大药堂</v>
          </cell>
          <cell r="J4181" t="str">
            <v>1854</v>
          </cell>
          <cell r="K4181" t="str">
            <v>201602151421097</v>
          </cell>
          <cell r="M4181" t="str">
            <v>妇宁栓1.6g×7枚</v>
          </cell>
        </row>
        <row r="4182">
          <cell r="E4182" t="str">
            <v>0020050090ZYEC0005</v>
          </cell>
          <cell r="H4182" t="str">
            <v>惠民县康复大药堂</v>
          </cell>
          <cell r="J4182" t="str">
            <v>1854</v>
          </cell>
          <cell r="K4182" t="str">
            <v>201602151421097</v>
          </cell>
          <cell r="M4182" t="str">
            <v>清热解毒口服液10ML*10支</v>
          </cell>
        </row>
        <row r="4183">
          <cell r="E4183" t="str">
            <v>0020030020SJSC0004</v>
          </cell>
          <cell r="H4183" t="str">
            <v>惠民县康复大药堂</v>
          </cell>
          <cell r="J4183" t="str">
            <v>1854</v>
          </cell>
          <cell r="K4183" t="str">
            <v>201602151421097</v>
          </cell>
          <cell r="M4183" t="str">
            <v>胃必治/复方铝酸铋片50片</v>
          </cell>
        </row>
        <row r="4184">
          <cell r="E4184" t="str">
            <v>0020050090ZYEC0004</v>
          </cell>
          <cell r="H4184" t="str">
            <v>惠民县康复大药堂</v>
          </cell>
          <cell r="J4184" t="str">
            <v>1854</v>
          </cell>
          <cell r="K4184" t="str">
            <v>201602151421097</v>
          </cell>
          <cell r="M4184" t="str">
            <v>刺五加脑灵液100ml</v>
          </cell>
        </row>
        <row r="4185">
          <cell r="E4185" t="str">
            <v>0020070000SJZY0001</v>
          </cell>
          <cell r="H4185" t="str">
            <v>惠民县康复大药堂</v>
          </cell>
          <cell r="J4185" t="str">
            <v>1854</v>
          </cell>
          <cell r="K4185" t="str">
            <v>201602151421097</v>
          </cell>
          <cell r="M4185" t="str">
            <v>葡萄糖酸锌口服液10ML*12支</v>
          </cell>
        </row>
        <row r="4186">
          <cell r="E4186" t="str">
            <v>0020020021ZYLC0011</v>
          </cell>
          <cell r="H4186" t="str">
            <v>惠民县康复大药堂</v>
          </cell>
          <cell r="J4186" t="str">
            <v>1854</v>
          </cell>
          <cell r="K4186" t="str">
            <v>201602151421097</v>
          </cell>
          <cell r="M4186" t="str">
            <v>严迪/罗红霉素分散片150mg*12片</v>
          </cell>
        </row>
        <row r="4187">
          <cell r="E4187" t="str">
            <v>0020050030SJSC0007</v>
          </cell>
          <cell r="H4187" t="str">
            <v>惠民县康复大药堂</v>
          </cell>
          <cell r="J4187" t="str">
            <v>1854</v>
          </cell>
          <cell r="K4187" t="str">
            <v>201602151421097</v>
          </cell>
          <cell r="M4187" t="str">
            <v>菊梅利咽含片1.2g*18片</v>
          </cell>
        </row>
        <row r="4188">
          <cell r="E4188" t="str">
            <v>0020030001SJZY0006</v>
          </cell>
          <cell r="H4188" t="str">
            <v>滨城心悦诊所</v>
          </cell>
          <cell r="J4188" t="str">
            <v>1853</v>
          </cell>
          <cell r="K4188" t="str">
            <v>201602151421097</v>
          </cell>
          <cell r="M4188" t="str">
            <v>葡萄糖酸钙口服溶液（含糖）10ml*12支</v>
          </cell>
        </row>
        <row r="4189">
          <cell r="E4189" t="str">
            <v>0020030020SJSC0014</v>
          </cell>
          <cell r="H4189" t="str">
            <v>滨城区彭李街道办事处山柳刘第二卫生室</v>
          </cell>
          <cell r="J4189" t="str">
            <v>1853</v>
          </cell>
          <cell r="K4189" t="str">
            <v>201602151421097</v>
          </cell>
          <cell r="M4189" t="str">
            <v>维D2磷酸氢钙片60片</v>
          </cell>
        </row>
        <row r="4190">
          <cell r="E4190" t="str">
            <v>0020050090SJZY0001</v>
          </cell>
          <cell r="H4190" t="str">
            <v>博兴县城东街道办事处国康大药房</v>
          </cell>
          <cell r="J4190" t="str">
            <v>1858</v>
          </cell>
          <cell r="K4190" t="str">
            <v>201602151421097</v>
          </cell>
          <cell r="M4190" t="str">
            <v>双黄连口服液10ml*10支</v>
          </cell>
        </row>
        <row r="4191">
          <cell r="E4191" t="str">
            <v>0020020021ZYZC0341</v>
          </cell>
          <cell r="H4191" t="str">
            <v>杜店蒋秀芬诊所</v>
          </cell>
          <cell r="J4191" t="str">
            <v>1853</v>
          </cell>
          <cell r="K4191" t="str">
            <v>201602151421097</v>
          </cell>
          <cell r="M4191" t="str">
            <v>阿莫西林克拉维酸钾7:1分散片（胜艾）0.2285g*12片</v>
          </cell>
        </row>
        <row r="4192">
          <cell r="E4192" t="str">
            <v>0020070000SJZY0001</v>
          </cell>
          <cell r="H4192" t="str">
            <v>博兴县金颖医药连锁一店</v>
          </cell>
          <cell r="J4192" t="str">
            <v>1858</v>
          </cell>
          <cell r="K4192" t="str">
            <v>201602151421097</v>
          </cell>
          <cell r="M4192" t="str">
            <v>葡萄糖酸锌口服液10ML*12支</v>
          </cell>
        </row>
        <row r="4193">
          <cell r="E4193" t="str">
            <v>0020050090SJZY0001</v>
          </cell>
          <cell r="H4193" t="str">
            <v>滨城安新岐诊所</v>
          </cell>
          <cell r="J4193" t="str">
            <v>1853</v>
          </cell>
          <cell r="K4193" t="str">
            <v>201602151421097</v>
          </cell>
          <cell r="M4193" t="str">
            <v>双黄连口服液10ml*10支</v>
          </cell>
        </row>
        <row r="4194">
          <cell r="E4194" t="str">
            <v>0020070000SJZY0001</v>
          </cell>
          <cell r="H4194" t="str">
            <v>惠民县汉康大药房</v>
          </cell>
          <cell r="J4194" t="str">
            <v>1854</v>
          </cell>
          <cell r="K4194" t="str">
            <v>201602151421097</v>
          </cell>
          <cell r="M4194" t="str">
            <v>葡萄糖酸锌口服液10ML*12支</v>
          </cell>
        </row>
        <row r="4195">
          <cell r="E4195" t="str">
            <v>0020030020ZYLC0010</v>
          </cell>
          <cell r="H4195" t="str">
            <v>阳信药材公司诊所</v>
          </cell>
          <cell r="J4195" t="str">
            <v>1855</v>
          </cell>
          <cell r="K4195" t="str">
            <v>201602151421097</v>
          </cell>
          <cell r="M4195" t="str">
            <v>乳酸菌素片/为消0.4g*36片</v>
          </cell>
        </row>
        <row r="4196">
          <cell r="E4196" t="str">
            <v>0020020020ZYLC0007</v>
          </cell>
          <cell r="H4196" t="str">
            <v>博兴县康源大药房有限公司</v>
          </cell>
          <cell r="J4196" t="str">
            <v>1858</v>
          </cell>
          <cell r="K4196" t="str">
            <v>201602151421097</v>
          </cell>
          <cell r="M4196" t="str">
            <v>盐酸氟桂利嗪片/孚瑞尔40片</v>
          </cell>
        </row>
        <row r="4197">
          <cell r="E4197" t="str">
            <v>0020070001ZYZC0383</v>
          </cell>
          <cell r="H4197" t="str">
            <v>惠民县瑞安康大药房</v>
          </cell>
          <cell r="J4197" t="str">
            <v>1854</v>
          </cell>
          <cell r="K4197" t="str">
            <v>201602151421097</v>
          </cell>
          <cell r="M4197" t="str">
            <v>哈药牌钙铁锌口服液10ml*10支</v>
          </cell>
        </row>
        <row r="4198">
          <cell r="E4198" t="str">
            <v>0020050090ZYEC0004</v>
          </cell>
          <cell r="H4198" t="str">
            <v>惠民县瑞安康大药房</v>
          </cell>
          <cell r="J4198" t="str">
            <v>1854</v>
          </cell>
          <cell r="K4198" t="str">
            <v>201602151421097</v>
          </cell>
          <cell r="M4198" t="str">
            <v>刺五加脑灵液100ml</v>
          </cell>
        </row>
        <row r="4199">
          <cell r="E4199" t="str">
            <v>0020020021ZYLC0011</v>
          </cell>
          <cell r="H4199" t="str">
            <v>惠民县瑞安康大药房</v>
          </cell>
          <cell r="J4199" t="str">
            <v>1854</v>
          </cell>
          <cell r="K4199" t="str">
            <v>201602151421097</v>
          </cell>
          <cell r="M4199" t="str">
            <v>严迪/罗红霉素分散片150mg*12片</v>
          </cell>
        </row>
        <row r="4200">
          <cell r="E4200" t="str">
            <v>0020070000SJZY0001</v>
          </cell>
          <cell r="H4200" t="str">
            <v>孙武街道高官村卫生室</v>
          </cell>
          <cell r="J4200" t="str">
            <v>1854</v>
          </cell>
          <cell r="K4200" t="str">
            <v>201602151421097</v>
          </cell>
          <cell r="M4200" t="str">
            <v>葡萄糖酸锌口服液10ML*12支</v>
          </cell>
        </row>
        <row r="4201">
          <cell r="E4201" t="str">
            <v>0020020030ZYZC0508</v>
          </cell>
          <cell r="H4201" t="str">
            <v>博兴县店子镇同济堂大药店</v>
          </cell>
          <cell r="J4201" t="str">
            <v>1858</v>
          </cell>
          <cell r="K4201" t="str">
            <v>201602151421097</v>
          </cell>
          <cell r="M4201" t="str">
            <v>阿莫西林胶囊0.25g*20s</v>
          </cell>
        </row>
        <row r="4202">
          <cell r="E4202" t="str">
            <v>0020020021ZYLC0011</v>
          </cell>
          <cell r="H4202" t="str">
            <v>博兴县店子镇同济堂大药店</v>
          </cell>
          <cell r="J4202" t="str">
            <v>1858</v>
          </cell>
          <cell r="K4202" t="str">
            <v>201602151421097</v>
          </cell>
          <cell r="M4202" t="str">
            <v>严迪/罗红霉素分散片150mg*12片</v>
          </cell>
        </row>
        <row r="4203">
          <cell r="E4203" t="str">
            <v>0020030040ZYLC0001</v>
          </cell>
          <cell r="H4203" t="str">
            <v>博兴县店子镇同济堂大药店</v>
          </cell>
          <cell r="J4203" t="str">
            <v>1858</v>
          </cell>
          <cell r="K4203" t="str">
            <v>201602151421097</v>
          </cell>
          <cell r="M4203" t="str">
            <v>护彤冲剂/小儿氨酚黄那敏颗粒2g*12袋</v>
          </cell>
        </row>
        <row r="4204">
          <cell r="E4204" t="str">
            <v>0020020030ZYZC0508</v>
          </cell>
          <cell r="H4204" t="str">
            <v>博兴县济生堂大药店</v>
          </cell>
          <cell r="J4204" t="str">
            <v>1858</v>
          </cell>
          <cell r="K4204" t="str">
            <v>201602151421097</v>
          </cell>
          <cell r="M4204" t="str">
            <v>阿莫西林胶囊0.25g*20s</v>
          </cell>
        </row>
        <row r="4205">
          <cell r="E4205" t="str">
            <v>0020020021ZYLC0011</v>
          </cell>
          <cell r="H4205" t="str">
            <v>博兴县济生堂大药店</v>
          </cell>
          <cell r="J4205" t="str">
            <v>1858</v>
          </cell>
          <cell r="K4205" t="str">
            <v>201602151421097</v>
          </cell>
          <cell r="M4205" t="str">
            <v>严迪/罗红霉素分散片150mg*12片</v>
          </cell>
        </row>
        <row r="4206">
          <cell r="E4206" t="str">
            <v>0020070000ZYLC0001</v>
          </cell>
          <cell r="H4206" t="str">
            <v xml:space="preserve">邹平县方正医药有限公司 </v>
          </cell>
          <cell r="J4206" t="str">
            <v>1859</v>
          </cell>
          <cell r="K4206" t="str">
            <v>201602151421097</v>
          </cell>
          <cell r="M4206" t="str">
            <v>新盖中盖高钙片2.5g*36P</v>
          </cell>
        </row>
        <row r="4207">
          <cell r="E4207" t="str">
            <v>0020030001SJZY0006</v>
          </cell>
          <cell r="H4207" t="str">
            <v>阳信福源堂大药房有限公司</v>
          </cell>
          <cell r="J4207" t="str">
            <v>1855</v>
          </cell>
          <cell r="K4207" t="str">
            <v>201602151421097</v>
          </cell>
          <cell r="M4207" t="str">
            <v>葡萄糖酸钙口服溶液（含糖）10ml*12支</v>
          </cell>
        </row>
        <row r="4208">
          <cell r="E4208" t="str">
            <v>0020020021ZYLC0005</v>
          </cell>
          <cell r="H4208" t="str">
            <v>阳信福源堂大药房有限公司</v>
          </cell>
          <cell r="J4208" t="str">
            <v>1855</v>
          </cell>
          <cell r="K4208" t="str">
            <v>201602151421097</v>
          </cell>
          <cell r="M4208" t="str">
            <v>小儿严迪片/罗红霉素分散片50mg*12片</v>
          </cell>
        </row>
        <row r="4209">
          <cell r="E4209" t="str">
            <v>0020030020ZYLC0013</v>
          </cell>
          <cell r="H4209" t="str">
            <v>阳信福源堂大药房有限公司</v>
          </cell>
          <cell r="J4209" t="str">
            <v>1855</v>
          </cell>
          <cell r="K4209" t="str">
            <v>201602151421097</v>
          </cell>
          <cell r="M4209" t="str">
            <v>“为消”牌乳酸菌素片0.4g*36片</v>
          </cell>
        </row>
        <row r="4210">
          <cell r="E4210" t="str">
            <v>0020070000SJZY0001</v>
          </cell>
          <cell r="H4210" t="str">
            <v>阳信福源堂大药房有限公司</v>
          </cell>
          <cell r="J4210" t="str">
            <v>1855</v>
          </cell>
          <cell r="K4210" t="str">
            <v>201602151421097</v>
          </cell>
          <cell r="M4210" t="str">
            <v>葡萄糖酸锌口服液10ML*12支</v>
          </cell>
        </row>
        <row r="4211">
          <cell r="E4211" t="str">
            <v>0020030020SJSC0004</v>
          </cell>
          <cell r="H4211" t="str">
            <v>沾化国瑞医药连锁有限责任公司</v>
          </cell>
          <cell r="J4211" t="str">
            <v>1857</v>
          </cell>
          <cell r="K4211" t="str">
            <v>201602151421097</v>
          </cell>
          <cell r="M4211" t="str">
            <v>胃必治/复方铝酸铋片50片</v>
          </cell>
        </row>
        <row r="4212">
          <cell r="E4212" t="str">
            <v>0020020013ZYZC0022</v>
          </cell>
          <cell r="H4212" t="str">
            <v>益民诊所</v>
          </cell>
          <cell r="J4212" t="str">
            <v>1857</v>
          </cell>
          <cell r="K4212" t="str">
            <v>201602151421097</v>
          </cell>
          <cell r="M4212" t="str">
            <v>注射用阿莫西林钠/益萨林1.0g</v>
          </cell>
        </row>
        <row r="4213">
          <cell r="E4213" t="str">
            <v>0020030001SJZY0006</v>
          </cell>
          <cell r="H4213" t="str">
            <v>滨州市沾化区协和大药店</v>
          </cell>
          <cell r="J4213" t="str">
            <v>1857</v>
          </cell>
          <cell r="K4213" t="str">
            <v>201602151421097</v>
          </cell>
          <cell r="M4213" t="str">
            <v>葡萄糖酸钙口服溶液（含糖）10ml*12支</v>
          </cell>
        </row>
        <row r="4214">
          <cell r="E4214" t="str">
            <v>0020070000ZYLC0001</v>
          </cell>
          <cell r="H4214" t="str">
            <v>滨州宁心医药有限公司</v>
          </cell>
          <cell r="J4214" t="str">
            <v>1853</v>
          </cell>
          <cell r="K4214" t="str">
            <v>201602151421097</v>
          </cell>
          <cell r="M4214" t="str">
            <v>新盖中盖高钙片2.5g*36P</v>
          </cell>
        </row>
        <row r="4215">
          <cell r="E4215" t="str">
            <v>0020030001SJZY0006</v>
          </cell>
          <cell r="H4215" t="str">
            <v>滨州宁心医药有限公司</v>
          </cell>
          <cell r="J4215" t="str">
            <v>1853</v>
          </cell>
          <cell r="K4215" t="str">
            <v>201602151421097</v>
          </cell>
          <cell r="M4215" t="str">
            <v>葡萄糖酸钙口服溶液（含糖）10ml*12支</v>
          </cell>
        </row>
        <row r="4216">
          <cell r="E4216" t="str">
            <v>0020020021ZYLC0011</v>
          </cell>
          <cell r="H4216" t="str">
            <v>博兴博奥华城中西医诊所</v>
          </cell>
          <cell r="J4216" t="str">
            <v>1858</v>
          </cell>
          <cell r="K4216" t="str">
            <v>201602151421097</v>
          </cell>
          <cell r="M4216" t="str">
            <v>严迪/罗红霉素分散片150mg*12片</v>
          </cell>
        </row>
        <row r="4217">
          <cell r="E4217" t="str">
            <v>0020030020SJSC0014</v>
          </cell>
          <cell r="H4217" t="str">
            <v>信城办纸坊村卫生室</v>
          </cell>
          <cell r="J4217" t="str">
            <v>1855</v>
          </cell>
          <cell r="K4217" t="str">
            <v>201602151421097</v>
          </cell>
          <cell r="M4217" t="str">
            <v>维D2磷酸氢钙片60片</v>
          </cell>
        </row>
        <row r="4218">
          <cell r="E4218" t="str">
            <v>0020100000ZYLC0012</v>
          </cell>
          <cell r="H4218" t="str">
            <v>孙武村寿俊卫生室</v>
          </cell>
          <cell r="J4218" t="str">
            <v>1854</v>
          </cell>
          <cell r="K4218" t="str">
            <v>201602151421097</v>
          </cell>
          <cell r="M4218" t="str">
            <v>退热贴40mm*110mm*2贴</v>
          </cell>
        </row>
        <row r="4219">
          <cell r="E4219" t="str">
            <v>0020030020SJSC0025</v>
          </cell>
          <cell r="H4219" t="str">
            <v>博兴县永康药店</v>
          </cell>
          <cell r="J4219" t="str">
            <v>1858</v>
          </cell>
          <cell r="K4219" t="str">
            <v>201602151421097</v>
          </cell>
          <cell r="M4219" t="str">
            <v>复方氨酚烷胺片12片</v>
          </cell>
        </row>
        <row r="4220">
          <cell r="E4220" t="str">
            <v>0020030170ZYEC0003</v>
          </cell>
          <cell r="H4220" t="str">
            <v>博兴县永康药店</v>
          </cell>
          <cell r="J4220" t="str">
            <v>1858</v>
          </cell>
          <cell r="K4220" t="str">
            <v>201602151421097</v>
          </cell>
          <cell r="M4220" t="str">
            <v>蒙脱石散3g*12袋</v>
          </cell>
        </row>
        <row r="4221">
          <cell r="E4221" t="str">
            <v>0020050090SJZY0001</v>
          </cell>
          <cell r="H4221" t="str">
            <v>博兴县永康药店</v>
          </cell>
          <cell r="J4221" t="str">
            <v>1858</v>
          </cell>
          <cell r="K4221" t="str">
            <v>201602151421097</v>
          </cell>
          <cell r="M4221" t="str">
            <v>双黄连口服液10ml*10支</v>
          </cell>
        </row>
        <row r="4222">
          <cell r="E4222" t="str">
            <v>0020030001SJZY0006</v>
          </cell>
          <cell r="H4222" t="str">
            <v>博兴县金颖医药连锁一店</v>
          </cell>
          <cell r="J4222" t="str">
            <v>1858</v>
          </cell>
          <cell r="K4222" t="str">
            <v>201602151421097</v>
          </cell>
          <cell r="M4222" t="str">
            <v>葡萄糖酸钙口服溶液（含糖）10ml*12支</v>
          </cell>
        </row>
        <row r="4223">
          <cell r="E4223" t="str">
            <v>0020100000ZYLC0012</v>
          </cell>
          <cell r="H4223" t="str">
            <v>无棣万盛堂药店连锁有限公司</v>
          </cell>
          <cell r="J4223" t="str">
            <v>1856</v>
          </cell>
          <cell r="K4223" t="str">
            <v>201602151421097</v>
          </cell>
          <cell r="M4223" t="str">
            <v>退热贴40mm*110mm*2贴</v>
          </cell>
        </row>
        <row r="4224">
          <cell r="E4224" t="str">
            <v>0020020020ZYZC0473</v>
          </cell>
          <cell r="H4224" t="str">
            <v>无棣万盛堂药店连锁有限公司</v>
          </cell>
          <cell r="J4224" t="str">
            <v>1856</v>
          </cell>
          <cell r="K4224" t="str">
            <v>201602151421097</v>
          </cell>
          <cell r="M4224" t="str">
            <v>盐酸环丙沙星片0.25g*12片</v>
          </cell>
        </row>
        <row r="4225">
          <cell r="E4225" t="str">
            <v>0020020030ZYZC0508</v>
          </cell>
          <cell r="H4225" t="str">
            <v>无棣万盛堂药店连锁有限公司</v>
          </cell>
          <cell r="J4225" t="str">
            <v>1856</v>
          </cell>
          <cell r="K4225" t="str">
            <v>201602151421097</v>
          </cell>
          <cell r="M4225" t="str">
            <v>阿莫西林胶囊0.25g*20s</v>
          </cell>
        </row>
        <row r="4226">
          <cell r="E4226" t="str">
            <v>0020030001SJZY0006</v>
          </cell>
          <cell r="H4226" t="str">
            <v>滨州市滨城区康宁药店有限公司</v>
          </cell>
          <cell r="J4226" t="str">
            <v>1853</v>
          </cell>
          <cell r="K4226" t="str">
            <v>201602151421097</v>
          </cell>
          <cell r="M4226" t="str">
            <v>葡萄糖酸钙口服溶液（含糖）10ml*12支</v>
          </cell>
        </row>
        <row r="4227">
          <cell r="E4227" t="str">
            <v>0020070000ZYLC0001</v>
          </cell>
          <cell r="H4227" t="str">
            <v>滨州市滨城区康宁药店有限公司</v>
          </cell>
          <cell r="J4227" t="str">
            <v>1853</v>
          </cell>
          <cell r="K4227" t="str">
            <v>201602151421097</v>
          </cell>
          <cell r="M4227" t="str">
            <v>新盖中盖高钙片2.5g*36P</v>
          </cell>
        </row>
        <row r="4228">
          <cell r="E4228" t="str">
            <v>0020020012SWGC0007</v>
          </cell>
          <cell r="H4228" t="str">
            <v>惠民县辛店镇卫生院（网购）</v>
          </cell>
          <cell r="J4228" t="str">
            <v>1854</v>
          </cell>
          <cell r="K4228" t="str">
            <v>201602151421097</v>
          </cell>
          <cell r="M4228" t="str">
            <v>注射用奥美拉唑钠40mg*10z</v>
          </cell>
        </row>
        <row r="4229">
          <cell r="E4229" t="str">
            <v>0020020021ZYLC0011</v>
          </cell>
          <cell r="H4229" t="str">
            <v>无棣万盛堂药店连锁有限公司</v>
          </cell>
          <cell r="J4229" t="str">
            <v>1856</v>
          </cell>
          <cell r="K4229" t="str">
            <v>201602151421097</v>
          </cell>
          <cell r="M4229" t="str">
            <v>严迪/罗红霉素分散片150mg*12片</v>
          </cell>
        </row>
        <row r="4230">
          <cell r="E4230" t="str">
            <v>0020050030SJSC0007</v>
          </cell>
          <cell r="H4230" t="str">
            <v>无棣万盛堂药店连锁有限公司</v>
          </cell>
          <cell r="J4230" t="str">
            <v>1856</v>
          </cell>
          <cell r="K4230" t="str">
            <v>201602151421097</v>
          </cell>
          <cell r="M4230" t="str">
            <v>菊梅利咽含片1.2g*18片</v>
          </cell>
        </row>
        <row r="4231">
          <cell r="E4231" t="str">
            <v>0020030020ZYLC0010</v>
          </cell>
          <cell r="H4231" t="str">
            <v>黛溪办鄢家村卫生室</v>
          </cell>
          <cell r="J4231" t="str">
            <v>1859</v>
          </cell>
          <cell r="K4231" t="str">
            <v>201602151421097</v>
          </cell>
          <cell r="M4231" t="str">
            <v>乳酸菌素片/为消0.4g*36片</v>
          </cell>
        </row>
        <row r="4232">
          <cell r="E4232" t="str">
            <v>0020030001SJZY0006</v>
          </cell>
          <cell r="H4232" t="str">
            <v>洋湖乡卫生院中医诊所</v>
          </cell>
          <cell r="J4232" t="str">
            <v>1855</v>
          </cell>
          <cell r="K4232" t="str">
            <v>201602151421097</v>
          </cell>
          <cell r="M4232" t="str">
            <v>葡萄糖酸钙口服溶液（含糖）10ml*12支</v>
          </cell>
        </row>
        <row r="4233">
          <cell r="E4233" t="str">
            <v>0020070000SJZY0001</v>
          </cell>
          <cell r="H4233" t="str">
            <v>洋湖乡卫生院中医诊所</v>
          </cell>
          <cell r="J4233" t="str">
            <v>1855</v>
          </cell>
          <cell r="K4233" t="str">
            <v>201602151421097</v>
          </cell>
          <cell r="M4233" t="str">
            <v>葡萄糖酸锌口服液10ML*12支</v>
          </cell>
        </row>
        <row r="4234">
          <cell r="E4234" t="str">
            <v>0020070000SJZY0001</v>
          </cell>
          <cell r="H4234" t="str">
            <v>邹平园春堂医药有限公司</v>
          </cell>
          <cell r="J4234" t="str">
            <v>1859</v>
          </cell>
          <cell r="K4234" t="str">
            <v>201602151421097</v>
          </cell>
          <cell r="M4234" t="str">
            <v>葡萄糖酸锌口服液10ML*12支</v>
          </cell>
        </row>
        <row r="4235">
          <cell r="E4235" t="str">
            <v>0020030020ZYZC0360</v>
          </cell>
          <cell r="H4235" t="str">
            <v xml:space="preserve">邹平县方正医药有限公司 </v>
          </cell>
          <cell r="J4235" t="str">
            <v>1859</v>
          </cell>
          <cell r="K4235" t="str">
            <v>201602151421097</v>
          </cell>
          <cell r="M4235" t="str">
            <v>维生素C咀嚼片/VC片0.1g*30片</v>
          </cell>
        </row>
        <row r="4236">
          <cell r="E4236" t="str">
            <v>0020070000SJZY0001</v>
          </cell>
          <cell r="H4236" t="str">
            <v xml:space="preserve">邹平县方正医药有限公司 </v>
          </cell>
          <cell r="J4236" t="str">
            <v>1859</v>
          </cell>
          <cell r="K4236" t="str">
            <v>201602151421097</v>
          </cell>
          <cell r="M4236" t="str">
            <v>葡萄糖酸锌口服液10ML*12支</v>
          </cell>
        </row>
        <row r="4237">
          <cell r="E4237" t="str">
            <v>0020070000ZYLC0001</v>
          </cell>
          <cell r="H4237" t="str">
            <v>阳信初心医院</v>
          </cell>
          <cell r="J4237" t="str">
            <v>1855</v>
          </cell>
          <cell r="K4237" t="str">
            <v>201602151421097</v>
          </cell>
          <cell r="M4237" t="str">
            <v>新盖中盖高钙片2.5g*36P</v>
          </cell>
        </row>
        <row r="4238">
          <cell r="E4238" t="str">
            <v>0020020020ZYLC0007</v>
          </cell>
          <cell r="H4238" t="str">
            <v>黄山办乔木新村卫生室</v>
          </cell>
          <cell r="J4238" t="str">
            <v>1859</v>
          </cell>
          <cell r="K4238" t="str">
            <v>201602151421097</v>
          </cell>
          <cell r="M4238" t="str">
            <v>盐酸氟桂利嗪片/孚瑞尔40片</v>
          </cell>
        </row>
        <row r="4239">
          <cell r="E4239" t="str">
            <v>0020030001SJZY0006</v>
          </cell>
          <cell r="H4239" t="str">
            <v>阳信县济康大药房</v>
          </cell>
          <cell r="J4239" t="str">
            <v>1855</v>
          </cell>
          <cell r="K4239" t="str">
            <v>201602151421097</v>
          </cell>
          <cell r="M4239" t="str">
            <v>葡萄糖酸钙口服溶液（含糖）10ml*12支</v>
          </cell>
        </row>
        <row r="4240">
          <cell r="E4240" t="str">
            <v>0020020021ZYLC0011</v>
          </cell>
          <cell r="H4240" t="str">
            <v>阳信县济康大药房</v>
          </cell>
          <cell r="J4240" t="str">
            <v>1855</v>
          </cell>
          <cell r="K4240" t="str">
            <v>201602151421097</v>
          </cell>
          <cell r="M4240" t="str">
            <v>严迪/罗红霉素分散片150mg*12片</v>
          </cell>
        </row>
        <row r="4241">
          <cell r="E4241" t="str">
            <v>0020070000ZYLC0003</v>
          </cell>
          <cell r="H4241" t="str">
            <v>阳信县仁和堂医药连锁有限公司</v>
          </cell>
          <cell r="J4241" t="str">
            <v>1855</v>
          </cell>
          <cell r="K4241" t="str">
            <v>201602151421097</v>
          </cell>
          <cell r="M4241" t="str">
            <v>新盖中盖牌儿童钙片1.75g*36p</v>
          </cell>
        </row>
        <row r="4242">
          <cell r="E4242" t="str">
            <v>0020030040ZYLC0001</v>
          </cell>
          <cell r="H4242" t="str">
            <v>阳信福源堂大药房有限公司</v>
          </cell>
          <cell r="J4242" t="str">
            <v>1855</v>
          </cell>
          <cell r="K4242" t="str">
            <v>201602151421097</v>
          </cell>
          <cell r="M4242" t="str">
            <v>护彤冲剂/小儿氨酚黄那敏颗粒2g*12袋</v>
          </cell>
        </row>
        <row r="4243">
          <cell r="E4243" t="str">
            <v>0020030020ZYLC0005</v>
          </cell>
          <cell r="H4243" t="str">
            <v>无棣福顺康大药房</v>
          </cell>
          <cell r="J4243" t="str">
            <v>1856</v>
          </cell>
          <cell r="K4243" t="str">
            <v>201602151421097</v>
          </cell>
          <cell r="M4243" t="str">
            <v>小儿氨酚黄那敏片0.125g*20片</v>
          </cell>
        </row>
        <row r="4244">
          <cell r="E4244" t="str">
            <v>0020040070ZYEC0005</v>
          </cell>
          <cell r="H4244" t="str">
            <v>无棣福顺康大药房</v>
          </cell>
          <cell r="J4244" t="str">
            <v>1856</v>
          </cell>
          <cell r="K4244" t="str">
            <v>201602151421097</v>
          </cell>
          <cell r="M4244" t="str">
            <v>小儿百部止咳糖浆100ml</v>
          </cell>
        </row>
        <row r="4245">
          <cell r="E4245" t="str">
            <v>0020020030ZYZC0263</v>
          </cell>
          <cell r="H4245" t="str">
            <v>无棣福顺康大药房</v>
          </cell>
          <cell r="J4245" t="str">
            <v>1856</v>
          </cell>
          <cell r="K4245" t="str">
            <v>201602151421097</v>
          </cell>
          <cell r="M4245" t="str">
            <v>盐酸依托必利胶囊50mg*20粒</v>
          </cell>
        </row>
        <row r="4246">
          <cell r="E4246" t="str">
            <v>0020020021ZYLC0011</v>
          </cell>
          <cell r="H4246" t="str">
            <v>翟王镇张宋社区卫生室</v>
          </cell>
          <cell r="J4246" t="str">
            <v>1855</v>
          </cell>
          <cell r="K4246" t="str">
            <v>201602151421097</v>
          </cell>
          <cell r="M4246" t="str">
            <v>严迪/罗红霉素分散片150mg*12片</v>
          </cell>
        </row>
        <row r="4247">
          <cell r="E4247" t="str">
            <v>0020040001SHYT0011</v>
          </cell>
          <cell r="H4247" t="str">
            <v>商店镇八里社区卫生室</v>
          </cell>
          <cell r="J4247" t="str">
            <v>1855</v>
          </cell>
          <cell r="K4247" t="str">
            <v>201602151421097</v>
          </cell>
          <cell r="M4247" t="str">
            <v>牛黄解毒丸3g*10丸</v>
          </cell>
        </row>
        <row r="4248">
          <cell r="E4248" t="str">
            <v>0020050090SJZY0001</v>
          </cell>
          <cell r="H4248" t="str">
            <v>阳信县景园大药房</v>
          </cell>
          <cell r="J4248" t="str">
            <v>1855</v>
          </cell>
          <cell r="K4248" t="str">
            <v>201602151421097</v>
          </cell>
          <cell r="M4248" t="str">
            <v>双黄连口服液10ml*10支</v>
          </cell>
        </row>
        <row r="4249">
          <cell r="E4249" t="str">
            <v>0020020020SJMS0008</v>
          </cell>
          <cell r="H4249" t="str">
            <v>滨州市万全医药保健品连锁有限公司</v>
          </cell>
          <cell r="J4249" t="str">
            <v>1853</v>
          </cell>
          <cell r="K4249" t="str">
            <v>201602151421097</v>
          </cell>
          <cell r="M4249" t="str">
            <v>拉西地平片/三精司乐平片4mg*15片</v>
          </cell>
        </row>
        <row r="4250">
          <cell r="E4250" t="str">
            <v>0020070001ZYZC0383</v>
          </cell>
          <cell r="H4250" t="str">
            <v>滨州市万全医药保健品连锁有限公司</v>
          </cell>
          <cell r="J4250" t="str">
            <v>1853</v>
          </cell>
          <cell r="K4250" t="str">
            <v>201602151421097</v>
          </cell>
          <cell r="M4250" t="str">
            <v>哈药牌钙铁锌口服液10ml*10支</v>
          </cell>
        </row>
        <row r="4251">
          <cell r="E4251" t="str">
            <v>0020070000ZYLC0001</v>
          </cell>
          <cell r="H4251" t="str">
            <v>滨州市万全医药保健品连锁有限公司</v>
          </cell>
          <cell r="J4251" t="str">
            <v>1853</v>
          </cell>
          <cell r="K4251" t="str">
            <v>201602151421097</v>
          </cell>
          <cell r="M4251" t="str">
            <v>新盖中盖高钙片2.5g*36P</v>
          </cell>
        </row>
        <row r="4252">
          <cell r="E4252" t="str">
            <v>0020020013ZYZC0491</v>
          </cell>
          <cell r="H4252" t="str">
            <v>滨城赵全红中医诊所</v>
          </cell>
          <cell r="J4252" t="str">
            <v>1853</v>
          </cell>
          <cell r="K4252" t="str">
            <v>201602151421097</v>
          </cell>
          <cell r="M4252" t="str">
            <v>阿奇针/注射用乳糖酸阿奇霉素针0.25g</v>
          </cell>
        </row>
        <row r="4253">
          <cell r="E4253" t="str">
            <v>0020020020SJMS0008</v>
          </cell>
          <cell r="H4253" t="str">
            <v>阳信县景园大药房</v>
          </cell>
          <cell r="J4253" t="str">
            <v>1855</v>
          </cell>
          <cell r="K4253" t="str">
            <v>201602151421097</v>
          </cell>
          <cell r="M4253" t="str">
            <v>拉西地平片/三精司乐平片4mg*15片</v>
          </cell>
        </row>
        <row r="4254">
          <cell r="E4254" t="str">
            <v>0020020021ZYLC0011</v>
          </cell>
          <cell r="H4254" t="str">
            <v>山东省惠民县民康大药店有限公司</v>
          </cell>
          <cell r="J4254" t="str">
            <v>1854</v>
          </cell>
          <cell r="K4254" t="str">
            <v>201602151421097</v>
          </cell>
          <cell r="M4254" t="str">
            <v>严迪/罗红霉素分散片150mg*12片</v>
          </cell>
        </row>
        <row r="4255">
          <cell r="E4255" t="str">
            <v>0020020020ZYZC0359</v>
          </cell>
          <cell r="H4255" t="str">
            <v>无棣益生堂药店连锁有限公司</v>
          </cell>
          <cell r="J4255" t="str">
            <v>1856</v>
          </cell>
          <cell r="K4255" t="str">
            <v>201602151421097</v>
          </cell>
          <cell r="M4255" t="str">
            <v>青霉素V钾片（仙芬）0.236g*24片</v>
          </cell>
        </row>
        <row r="4256">
          <cell r="E4256" t="str">
            <v>0020030001SJZY0006</v>
          </cell>
          <cell r="H4256" t="str">
            <v>河流镇沙王村社区卫生室</v>
          </cell>
          <cell r="J4256" t="str">
            <v>1855</v>
          </cell>
          <cell r="K4256" t="str">
            <v>201602151421097</v>
          </cell>
          <cell r="M4256" t="str">
            <v>葡萄糖酸钙口服溶液（含糖）10ml*12支</v>
          </cell>
        </row>
        <row r="4257">
          <cell r="E4257" t="str">
            <v>0020020021ZYLC0004</v>
          </cell>
          <cell r="H4257" t="str">
            <v>苏氏诊所</v>
          </cell>
          <cell r="J4257" t="str">
            <v>1856</v>
          </cell>
          <cell r="K4257" t="str">
            <v>201602151421097</v>
          </cell>
          <cell r="M4257" t="str">
            <v>大严迪片/罗红霉素分散片75mg*12片</v>
          </cell>
        </row>
        <row r="4258">
          <cell r="E4258" t="str">
            <v>0020070000ZYLC0003</v>
          </cell>
          <cell r="H4258" t="str">
            <v>苏氏诊所</v>
          </cell>
          <cell r="J4258" t="str">
            <v>1856</v>
          </cell>
          <cell r="K4258" t="str">
            <v>201602151421097</v>
          </cell>
          <cell r="M4258" t="str">
            <v>新盖中盖牌儿童钙片1.75g*36p</v>
          </cell>
        </row>
        <row r="4259">
          <cell r="E4259" t="str">
            <v>0020030020SJSC0004</v>
          </cell>
          <cell r="H4259" t="str">
            <v>苏氏诊所</v>
          </cell>
          <cell r="J4259" t="str">
            <v>1856</v>
          </cell>
          <cell r="K4259" t="str">
            <v>201602151421097</v>
          </cell>
          <cell r="M4259" t="str">
            <v>胃必治/复方铝酸铋片50片</v>
          </cell>
        </row>
        <row r="4260">
          <cell r="E4260" t="str">
            <v>0020030040SHYT0010</v>
          </cell>
          <cell r="H4260" t="str">
            <v>无棣锦绣城诊所</v>
          </cell>
          <cell r="J4260" t="str">
            <v>1856</v>
          </cell>
          <cell r="K4260" t="str">
            <v>201602151421097</v>
          </cell>
          <cell r="M4260" t="str">
            <v>布洛芬颗粒0.2g*12袋</v>
          </cell>
        </row>
        <row r="4261">
          <cell r="E4261" t="str">
            <v>0020030170ZYEC0003</v>
          </cell>
          <cell r="H4261" t="str">
            <v>无棣锦绣城诊所</v>
          </cell>
          <cell r="J4261" t="str">
            <v>1856</v>
          </cell>
          <cell r="K4261" t="str">
            <v>201602151421097</v>
          </cell>
          <cell r="M4261" t="str">
            <v>蒙脱石散3g*12袋</v>
          </cell>
        </row>
        <row r="4262">
          <cell r="E4262" t="str">
            <v>0020020021ZYLC0011</v>
          </cell>
          <cell r="H4262" t="str">
            <v>苏氏诊所</v>
          </cell>
          <cell r="J4262" t="str">
            <v>1856</v>
          </cell>
          <cell r="K4262" t="str">
            <v>201602151421097</v>
          </cell>
          <cell r="M4262" t="str">
            <v>严迪/罗红霉素分散片150mg*12片</v>
          </cell>
        </row>
        <row r="4263">
          <cell r="E4263" t="str">
            <v>0020050030SJSC0007</v>
          </cell>
          <cell r="H4263" t="str">
            <v>苏氏诊所</v>
          </cell>
          <cell r="J4263" t="str">
            <v>1856</v>
          </cell>
          <cell r="K4263" t="str">
            <v>201602151421097</v>
          </cell>
          <cell r="M4263" t="str">
            <v>菊梅利咽含片1.2g*18片</v>
          </cell>
        </row>
        <row r="4264">
          <cell r="E4264" t="str">
            <v>0020030020ZYLC0010</v>
          </cell>
          <cell r="H4264" t="str">
            <v>沾化静康诊所</v>
          </cell>
          <cell r="J4264" t="str">
            <v>1857</v>
          </cell>
          <cell r="K4264" t="str">
            <v>201602151421097</v>
          </cell>
          <cell r="M4264" t="str">
            <v>乳酸菌素片/为消0.4g*36片</v>
          </cell>
        </row>
        <row r="4265">
          <cell r="E4265" t="str">
            <v>0020020021ZYLC0011</v>
          </cell>
          <cell r="H4265" t="str">
            <v>滨城区市西街道办事处社区卫生服务站</v>
          </cell>
          <cell r="J4265" t="str">
            <v>1853</v>
          </cell>
          <cell r="K4265" t="str">
            <v>201602151421097</v>
          </cell>
          <cell r="M4265" t="str">
            <v>严迪/罗红霉素分散片150mg*12片</v>
          </cell>
        </row>
        <row r="4266">
          <cell r="E4266" t="str">
            <v>0020020021ZYLC0005</v>
          </cell>
          <cell r="H4266" t="str">
            <v>阳信荣军医院</v>
          </cell>
          <cell r="J4266" t="str">
            <v>1855</v>
          </cell>
          <cell r="K4266" t="str">
            <v>201602151421097</v>
          </cell>
          <cell r="M4266" t="str">
            <v>小儿严迪片/罗红霉素分散片50mg*12片</v>
          </cell>
        </row>
        <row r="4267">
          <cell r="E4267" t="str">
            <v>0020030001SJZY0006</v>
          </cell>
          <cell r="H4267" t="str">
            <v xml:space="preserve">邹平县方正医药有限公司 </v>
          </cell>
          <cell r="J4267" t="str">
            <v>1859</v>
          </cell>
          <cell r="K4267" t="str">
            <v>201602151421097</v>
          </cell>
          <cell r="M4267" t="str">
            <v>葡萄糖酸钙口服溶液（含糖）10ml*12支</v>
          </cell>
        </row>
        <row r="4268">
          <cell r="E4268" t="str">
            <v>0020070001ZYZC0369</v>
          </cell>
          <cell r="H4268" t="str">
            <v xml:space="preserve">邹平县方正医药有限公司 </v>
          </cell>
          <cell r="J4268" t="str">
            <v>1859</v>
          </cell>
          <cell r="K4268" t="str">
            <v>201602151421097</v>
          </cell>
          <cell r="M4268" t="str">
            <v>哈药牌钙铁锌口服液10ml*12支</v>
          </cell>
        </row>
        <row r="4269">
          <cell r="E4269" t="str">
            <v>0020040001SHYT0018</v>
          </cell>
          <cell r="H4269" t="str">
            <v xml:space="preserve">邹平县方正医药有限公司 </v>
          </cell>
          <cell r="J4269" t="str">
            <v>1859</v>
          </cell>
          <cell r="K4269" t="str">
            <v>201602151421097</v>
          </cell>
          <cell r="M4269" t="str">
            <v>血府逐淤丸9g*10丸</v>
          </cell>
        </row>
        <row r="4270">
          <cell r="E4270" t="str">
            <v>0020040070ZYEC0005</v>
          </cell>
          <cell r="H4270" t="str">
            <v xml:space="preserve">邹平县方正医药有限公司 </v>
          </cell>
          <cell r="J4270" t="str">
            <v>1859</v>
          </cell>
          <cell r="K4270" t="str">
            <v>201602151421097</v>
          </cell>
          <cell r="M4270" t="str">
            <v>小儿百部止咳糖浆100ml</v>
          </cell>
        </row>
        <row r="4271">
          <cell r="E4271" t="str">
            <v>0020030020SJSC0014</v>
          </cell>
          <cell r="H4271" t="str">
            <v>商店镇小牛社区卫生室</v>
          </cell>
          <cell r="J4271" t="str">
            <v>1855</v>
          </cell>
          <cell r="K4271" t="str">
            <v>201602151421097</v>
          </cell>
          <cell r="M4271" t="str">
            <v>维D2磷酸氢钙片60片</v>
          </cell>
        </row>
        <row r="4272">
          <cell r="E4272" t="str">
            <v>0020040220SHYT0005</v>
          </cell>
          <cell r="H4272" t="str">
            <v>无棣县聚福堂药店连锁有限公司</v>
          </cell>
          <cell r="J4272" t="str">
            <v>1856</v>
          </cell>
          <cell r="K4272" t="str">
            <v>201602151421097</v>
          </cell>
          <cell r="M4272" t="str">
            <v>妇宁栓1.6g×7枚</v>
          </cell>
        </row>
        <row r="4273">
          <cell r="E4273" t="str">
            <v>0020050020SHYT0016</v>
          </cell>
          <cell r="H4273" t="str">
            <v>无棣县聚福堂药店连锁有限公司</v>
          </cell>
          <cell r="J4273" t="str">
            <v>1856</v>
          </cell>
          <cell r="K4273" t="str">
            <v>201602151421097</v>
          </cell>
          <cell r="M4273" t="str">
            <v>复方金银花颗粒10g*10袋</v>
          </cell>
        </row>
        <row r="4274">
          <cell r="E4274" t="str">
            <v>0020050020ZYEC0008</v>
          </cell>
          <cell r="H4274" t="str">
            <v>无棣县聚福堂药店连锁有限公司</v>
          </cell>
          <cell r="J4274" t="str">
            <v>1856</v>
          </cell>
          <cell r="K4274" t="str">
            <v>201602151421097</v>
          </cell>
          <cell r="M4274" t="str">
            <v>感冒解毒灵颗粒5g*10袋</v>
          </cell>
        </row>
        <row r="4275">
          <cell r="E4275" t="str">
            <v>0020050090SJZY0001</v>
          </cell>
          <cell r="H4275" t="str">
            <v>无棣县聚福堂药店连锁有限公司</v>
          </cell>
          <cell r="J4275" t="str">
            <v>1856</v>
          </cell>
          <cell r="K4275" t="str">
            <v>201602151421097</v>
          </cell>
          <cell r="M4275" t="str">
            <v>双黄连口服液10ml*10支</v>
          </cell>
        </row>
        <row r="4276">
          <cell r="E4276" t="str">
            <v>0020040020SHYT0007</v>
          </cell>
          <cell r="H4276" t="str">
            <v>无棣县聚福堂药店连锁有限公司</v>
          </cell>
          <cell r="J4276" t="str">
            <v>1856</v>
          </cell>
          <cell r="K4276" t="str">
            <v>201602151421097</v>
          </cell>
          <cell r="M4276" t="str">
            <v>丹佛胃尔康颗粒10g*6袋</v>
          </cell>
        </row>
        <row r="4277">
          <cell r="E4277" t="str">
            <v>0020030020ZYZC0360</v>
          </cell>
          <cell r="H4277" t="str">
            <v>无棣县聚福堂药店连锁有限公司</v>
          </cell>
          <cell r="J4277" t="str">
            <v>1856</v>
          </cell>
          <cell r="K4277" t="str">
            <v>201602151421097</v>
          </cell>
          <cell r="M4277" t="str">
            <v>维生素C咀嚼片/VC片0.1g*30片</v>
          </cell>
        </row>
        <row r="4278">
          <cell r="E4278" t="str">
            <v>0020030170ZYEC0003</v>
          </cell>
          <cell r="H4278" t="str">
            <v>无棣县聚福堂药店连锁有限公司</v>
          </cell>
          <cell r="J4278" t="str">
            <v>1856</v>
          </cell>
          <cell r="K4278" t="str">
            <v>201602151421097</v>
          </cell>
          <cell r="M4278" t="str">
            <v>蒙脱石散3g*12袋</v>
          </cell>
        </row>
        <row r="4279">
          <cell r="E4279" t="str">
            <v>0020070001ZYLC0001</v>
          </cell>
          <cell r="H4279" t="str">
            <v>无棣县聚福堂药店连锁有限公司</v>
          </cell>
          <cell r="J4279" t="str">
            <v>1856</v>
          </cell>
          <cell r="K4279" t="str">
            <v>201602151421097</v>
          </cell>
          <cell r="M4279" t="str">
            <v>哈药六钙锌口服液10ml*12支</v>
          </cell>
        </row>
        <row r="4280">
          <cell r="E4280" t="str">
            <v>0020020021ZYLC0011</v>
          </cell>
          <cell r="H4280" t="str">
            <v>无棣香榭里诊所</v>
          </cell>
          <cell r="J4280" t="str">
            <v>1856</v>
          </cell>
          <cell r="K4280" t="str">
            <v>201602151421097</v>
          </cell>
          <cell r="M4280" t="str">
            <v>严迪/罗红霉素分散片150mg*12片</v>
          </cell>
        </row>
        <row r="4281">
          <cell r="E4281" t="str">
            <v>0020050002SHYT0013</v>
          </cell>
          <cell r="H4281" t="str">
            <v>无棣康棣医药连锁有限公司</v>
          </cell>
          <cell r="J4281" t="str">
            <v>1856</v>
          </cell>
          <cell r="K4281" t="str">
            <v>201602151421097</v>
          </cell>
          <cell r="M4281" t="str">
            <v>逍遥丸6g*10袋</v>
          </cell>
        </row>
        <row r="4282">
          <cell r="E4282" t="str">
            <v>0020020020ZYLC0010</v>
          </cell>
          <cell r="H4282" t="str">
            <v>无棣康棣医药连锁有限公司</v>
          </cell>
          <cell r="J4282" t="str">
            <v>1856</v>
          </cell>
          <cell r="K4282" t="str">
            <v>201602151421097</v>
          </cell>
          <cell r="M4282" t="str">
            <v xml:space="preserve">泻利停/颠茄磺苄啶片0.48g*10片 </v>
          </cell>
        </row>
        <row r="4283">
          <cell r="E4283" t="str">
            <v>0020040070ZYEC0005</v>
          </cell>
          <cell r="H4283" t="str">
            <v>无棣康棣医药连锁有限公司</v>
          </cell>
          <cell r="J4283" t="str">
            <v>1856</v>
          </cell>
          <cell r="K4283" t="str">
            <v>201602151421097</v>
          </cell>
          <cell r="M4283" t="str">
            <v>小儿百部止咳糖浆100ml</v>
          </cell>
        </row>
        <row r="4284">
          <cell r="E4284" t="str">
            <v>0020020021ZYLC0005</v>
          </cell>
          <cell r="H4284" t="str">
            <v>无棣康棣医药连锁有限公司</v>
          </cell>
          <cell r="J4284" t="str">
            <v>1856</v>
          </cell>
          <cell r="K4284" t="str">
            <v>201602151421097</v>
          </cell>
          <cell r="M4284" t="str">
            <v>小儿严迪片/罗红霉素分散片50mg*12片</v>
          </cell>
        </row>
        <row r="4285">
          <cell r="E4285" t="str">
            <v>0020030040ZYLC0001</v>
          </cell>
          <cell r="H4285" t="str">
            <v>无棣康棣医药连锁有限公司</v>
          </cell>
          <cell r="J4285" t="str">
            <v>1856</v>
          </cell>
          <cell r="K4285" t="str">
            <v>201602151421097</v>
          </cell>
          <cell r="M4285" t="str">
            <v>护彤冲剂/小儿氨酚黄那敏颗粒2g*12袋</v>
          </cell>
        </row>
        <row r="4286">
          <cell r="E4286" t="str">
            <v>0020070000ZYLC0001</v>
          </cell>
          <cell r="H4286" t="str">
            <v>无棣康棣医药连锁有限公司</v>
          </cell>
          <cell r="J4286" t="str">
            <v>1856</v>
          </cell>
          <cell r="K4286" t="str">
            <v>201602151421097</v>
          </cell>
          <cell r="M4286" t="str">
            <v>新盖中盖高钙片2.5g*36P</v>
          </cell>
        </row>
        <row r="4287">
          <cell r="E4287" t="str">
            <v>0020030020SJSC0004</v>
          </cell>
          <cell r="H4287" t="str">
            <v>无棣康棣医药连锁有限公司</v>
          </cell>
          <cell r="J4287" t="str">
            <v>1856</v>
          </cell>
          <cell r="K4287" t="str">
            <v>201602151421097</v>
          </cell>
          <cell r="M4287" t="str">
            <v>胃必治/复方铝酸铋片50片</v>
          </cell>
        </row>
        <row r="4288">
          <cell r="E4288" t="str">
            <v>0020030170ZYEC0003</v>
          </cell>
          <cell r="H4288" t="str">
            <v>无棣康棣医药连锁有限公司</v>
          </cell>
          <cell r="J4288" t="str">
            <v>1856</v>
          </cell>
          <cell r="K4288" t="str">
            <v>201602151421097</v>
          </cell>
          <cell r="M4288" t="str">
            <v>蒙脱石散3g*12袋</v>
          </cell>
        </row>
        <row r="4289">
          <cell r="E4289" t="str">
            <v>0020020021ZYLC0010</v>
          </cell>
          <cell r="H4289" t="str">
            <v>无棣康棣医药连锁有限公司</v>
          </cell>
          <cell r="J4289" t="str">
            <v>1856</v>
          </cell>
          <cell r="K4289" t="str">
            <v>201602151421097</v>
          </cell>
          <cell r="M4289" t="str">
            <v>克拉霉素分散片0.125g*12片</v>
          </cell>
        </row>
        <row r="4290">
          <cell r="E4290" t="str">
            <v>0020050090SJZY0001</v>
          </cell>
          <cell r="H4290" t="str">
            <v>无棣康棣医药连锁有限公司</v>
          </cell>
          <cell r="J4290" t="str">
            <v>1856</v>
          </cell>
          <cell r="K4290" t="str">
            <v>201602151421097</v>
          </cell>
          <cell r="M4290" t="str">
            <v>双黄连口服液10ml*10支</v>
          </cell>
        </row>
        <row r="4291">
          <cell r="E4291" t="str">
            <v>0020050001SHYT0037</v>
          </cell>
          <cell r="H4291" t="str">
            <v>无棣康棣医药连锁有限公司</v>
          </cell>
          <cell r="J4291" t="str">
            <v>1856</v>
          </cell>
          <cell r="K4291" t="str">
            <v>201602151421097</v>
          </cell>
          <cell r="M4291" t="str">
            <v>艾附暖宫丸9g*10丸</v>
          </cell>
        </row>
        <row r="4292">
          <cell r="E4292" t="str">
            <v>0020040030SHYT0002</v>
          </cell>
          <cell r="H4292" t="str">
            <v>无棣康棣医药连锁有限公司</v>
          </cell>
          <cell r="J4292" t="str">
            <v>1856</v>
          </cell>
          <cell r="K4292" t="str">
            <v>201602151421097</v>
          </cell>
          <cell r="M4292" t="str">
            <v>牛黄消炎片0.12g*24片</v>
          </cell>
        </row>
        <row r="4293">
          <cell r="E4293" t="str">
            <v>0020020020ZYZC0359</v>
          </cell>
          <cell r="H4293" t="str">
            <v>无棣县聚福堂药店连锁有限公司</v>
          </cell>
          <cell r="J4293" t="str">
            <v>1856</v>
          </cell>
          <cell r="K4293" t="str">
            <v>201602151421097</v>
          </cell>
          <cell r="M4293" t="str">
            <v>青霉素V钾片（仙芬）0.236g*24片</v>
          </cell>
        </row>
        <row r="4294">
          <cell r="E4294" t="str">
            <v>0020020020ZYZC0359</v>
          </cell>
          <cell r="H4294" t="str">
            <v>无棣县聚福堂药店连锁有限公司</v>
          </cell>
          <cell r="J4294" t="str">
            <v>1856</v>
          </cell>
          <cell r="K4294" t="str">
            <v>201602151421097</v>
          </cell>
          <cell r="M4294" t="str">
            <v>青霉素V钾片（仙芬）0.236g*24片</v>
          </cell>
        </row>
        <row r="4295">
          <cell r="E4295" t="str">
            <v>0020020030ZYZC0511</v>
          </cell>
          <cell r="H4295" t="str">
            <v>无棣县聚福堂药店连锁有限公司</v>
          </cell>
          <cell r="J4295" t="str">
            <v>1856</v>
          </cell>
          <cell r="K4295" t="str">
            <v>201602151421097</v>
          </cell>
          <cell r="M4295" t="str">
            <v>头孢氨苄胶囊0.125g*20粒</v>
          </cell>
        </row>
        <row r="4296">
          <cell r="E4296" t="str">
            <v>0020020030ZYZC0283</v>
          </cell>
          <cell r="H4296" t="str">
            <v>无棣县聚福堂药店连锁有限公司</v>
          </cell>
          <cell r="J4296" t="str">
            <v>1856</v>
          </cell>
          <cell r="K4296" t="str">
            <v>201602151421097</v>
          </cell>
          <cell r="M4296" t="str">
            <v>头孢拉定胶囊0.25g*24粒</v>
          </cell>
        </row>
        <row r="4297">
          <cell r="E4297" t="str">
            <v>0020020030ZYZC0508</v>
          </cell>
          <cell r="H4297" t="str">
            <v>无棣县聚福堂药店连锁有限公司</v>
          </cell>
          <cell r="J4297" t="str">
            <v>1856</v>
          </cell>
          <cell r="K4297" t="str">
            <v>201602151421097</v>
          </cell>
          <cell r="M4297" t="str">
            <v>阿莫西林胶囊0.25g*20s</v>
          </cell>
        </row>
        <row r="4298">
          <cell r="E4298" t="str">
            <v>0020020021ZYZC0341</v>
          </cell>
          <cell r="H4298" t="str">
            <v>无棣县聚福堂药店连锁有限公司</v>
          </cell>
          <cell r="J4298" t="str">
            <v>1856</v>
          </cell>
          <cell r="K4298" t="str">
            <v>201602151421097</v>
          </cell>
          <cell r="M4298" t="str">
            <v>阿莫西林克拉维酸钾7:1分散片（胜艾）0.2285g*12片</v>
          </cell>
        </row>
        <row r="4299">
          <cell r="E4299" t="str">
            <v>0020040001SHYT0026</v>
          </cell>
          <cell r="H4299" t="str">
            <v>博兴县德仁堂大药房连锁有限公司</v>
          </cell>
          <cell r="J4299" t="str">
            <v>1858</v>
          </cell>
          <cell r="K4299" t="str">
            <v>201602151421097</v>
          </cell>
          <cell r="M4299" t="str">
            <v>小活络丸3g*10丸</v>
          </cell>
        </row>
        <row r="4300">
          <cell r="E4300" t="str">
            <v>0020030020SJSC0014</v>
          </cell>
          <cell r="H4300" t="str">
            <v>阳信镇段赵村第一卫生室</v>
          </cell>
          <cell r="J4300" t="str">
            <v>1855</v>
          </cell>
          <cell r="K4300" t="str">
            <v>201602151421097</v>
          </cell>
          <cell r="M4300" t="str">
            <v>维D2磷酸氢钙片60片</v>
          </cell>
        </row>
        <row r="4301">
          <cell r="E4301" t="str">
            <v>0020020021ZYLC0011</v>
          </cell>
          <cell r="H4301" t="str">
            <v>高新区小营社区门诊</v>
          </cell>
          <cell r="J4301" t="str">
            <v>1853</v>
          </cell>
          <cell r="K4301" t="str">
            <v>201602151421097</v>
          </cell>
          <cell r="M4301" t="str">
            <v>严迪/罗红霉素分散片150mg*12片</v>
          </cell>
        </row>
        <row r="4302">
          <cell r="E4302" t="str">
            <v>0020020013ZYZC0491</v>
          </cell>
          <cell r="H4302" t="str">
            <v>滨城区市西街道办事处东碾李第一卫生室</v>
          </cell>
          <cell r="J4302" t="str">
            <v>1853</v>
          </cell>
          <cell r="K4302" t="str">
            <v>201602151421097</v>
          </cell>
          <cell r="M4302" t="str">
            <v>阿奇针/注射用乳糖酸阿奇霉素针0.25g</v>
          </cell>
        </row>
        <row r="4303">
          <cell r="E4303" t="str">
            <v>0020020020ZYLC0007</v>
          </cell>
          <cell r="H4303" t="str">
            <v>惠民杜平诊所</v>
          </cell>
          <cell r="J4303" t="str">
            <v>1854</v>
          </cell>
          <cell r="K4303" t="str">
            <v>201602151421097</v>
          </cell>
          <cell r="M4303" t="str">
            <v>盐酸氟桂利嗪片/孚瑞尔40片</v>
          </cell>
        </row>
        <row r="4304">
          <cell r="E4304" t="str">
            <v>0020020020ZYLC0007</v>
          </cell>
          <cell r="H4304" t="str">
            <v>无棣康棣医药连锁有限公司</v>
          </cell>
          <cell r="J4304" t="str">
            <v>1856</v>
          </cell>
          <cell r="K4304" t="str">
            <v>201602151421097</v>
          </cell>
          <cell r="M4304" t="str">
            <v>盐酸氟桂利嗪片/孚瑞尔40片</v>
          </cell>
        </row>
        <row r="4305">
          <cell r="E4305" t="str">
            <v>0020020021ZYLC0011</v>
          </cell>
          <cell r="H4305" t="str">
            <v>无棣康棣医药连锁有限公司</v>
          </cell>
          <cell r="J4305" t="str">
            <v>1856</v>
          </cell>
          <cell r="K4305" t="str">
            <v>201602151421097</v>
          </cell>
          <cell r="M4305" t="str">
            <v>严迪/罗红霉素分散片150mg*12片</v>
          </cell>
        </row>
        <row r="4306">
          <cell r="E4306" t="str">
            <v>0020020021ZYLC0011</v>
          </cell>
          <cell r="H4306" t="str">
            <v>金阳街道张杠社区卫生室</v>
          </cell>
          <cell r="J4306" t="str">
            <v>1855</v>
          </cell>
          <cell r="K4306" t="str">
            <v>201602151421097</v>
          </cell>
          <cell r="M4306" t="str">
            <v>严迪/罗红霉素分散片150mg*12片</v>
          </cell>
        </row>
        <row r="4307">
          <cell r="E4307" t="str">
            <v>0020070001ZYLC0001</v>
          </cell>
          <cell r="H4307" t="str">
            <v>无棣福顺康大药房</v>
          </cell>
          <cell r="J4307" t="str">
            <v>1856</v>
          </cell>
          <cell r="K4307" t="str">
            <v>201602151421097</v>
          </cell>
          <cell r="M4307" t="str">
            <v>哈药六钙锌口服液10ml*12支</v>
          </cell>
        </row>
        <row r="4308">
          <cell r="E4308" t="str">
            <v>0020030020ZYLC0010</v>
          </cell>
          <cell r="H4308" t="str">
            <v>无棣福顺康大药房</v>
          </cell>
          <cell r="J4308" t="str">
            <v>1856</v>
          </cell>
          <cell r="K4308" t="str">
            <v>201602151421097</v>
          </cell>
          <cell r="M4308" t="str">
            <v>乳酸菌素片/为消0.4g*36片</v>
          </cell>
        </row>
        <row r="4309">
          <cell r="E4309" t="str">
            <v>0020050020ZYEC0008</v>
          </cell>
          <cell r="H4309" t="str">
            <v>无棣福顺康大药房</v>
          </cell>
          <cell r="J4309" t="str">
            <v>1856</v>
          </cell>
          <cell r="K4309" t="str">
            <v>201602151421097</v>
          </cell>
          <cell r="M4309" t="str">
            <v>感冒解毒灵颗粒5g*10袋</v>
          </cell>
        </row>
        <row r="4310">
          <cell r="E4310" t="str">
            <v>0020070001ZYLC0001</v>
          </cell>
          <cell r="H4310" t="str">
            <v>邹平园春堂医药有限公司</v>
          </cell>
          <cell r="J4310" t="str">
            <v>1859</v>
          </cell>
          <cell r="K4310" t="str">
            <v>201602151421097</v>
          </cell>
          <cell r="M4310" t="str">
            <v>哈药六钙锌口服液10ml*12支</v>
          </cell>
        </row>
        <row r="4311">
          <cell r="E4311" t="str">
            <v>0020030020SJSC0004</v>
          </cell>
          <cell r="H4311" t="str">
            <v>无棣汇仁堂药店</v>
          </cell>
          <cell r="J4311" t="str">
            <v>1856</v>
          </cell>
          <cell r="K4311" t="str">
            <v>201602151421097</v>
          </cell>
          <cell r="M4311" t="str">
            <v>胃必治/复方铝酸铋片50片</v>
          </cell>
        </row>
        <row r="4312">
          <cell r="E4312" t="str">
            <v>0020030040ZYLC0001</v>
          </cell>
          <cell r="H4312" t="str">
            <v>无棣汇仁堂药店</v>
          </cell>
          <cell r="J4312" t="str">
            <v>1856</v>
          </cell>
          <cell r="K4312" t="str">
            <v>201602151421097</v>
          </cell>
          <cell r="M4312" t="str">
            <v>护彤冲剂/小儿氨酚黄那敏颗粒2g*12袋</v>
          </cell>
        </row>
        <row r="4313">
          <cell r="E4313" t="str">
            <v>0020070001ZYZC0383</v>
          </cell>
          <cell r="H4313" t="str">
            <v>无棣汇仁堂药店</v>
          </cell>
          <cell r="J4313" t="str">
            <v>1856</v>
          </cell>
          <cell r="K4313" t="str">
            <v>201602151421097</v>
          </cell>
          <cell r="M4313" t="str">
            <v>哈药牌钙铁锌口服液10ml*10支</v>
          </cell>
        </row>
        <row r="4314">
          <cell r="E4314" t="str">
            <v>0020070000ZYLC0001</v>
          </cell>
          <cell r="H4314" t="str">
            <v>滨城区彭李街道办事处张课第一卫生室</v>
          </cell>
          <cell r="J4314" t="str">
            <v>1853</v>
          </cell>
          <cell r="K4314" t="str">
            <v>201602151421097</v>
          </cell>
          <cell r="M4314" t="str">
            <v>新盖中盖高钙片2.5g*36P</v>
          </cell>
        </row>
        <row r="4315">
          <cell r="E4315" t="str">
            <v>0020020030ZYZC0508</v>
          </cell>
          <cell r="H4315" t="str">
            <v>无棣汇仁堂药店</v>
          </cell>
          <cell r="J4315" t="str">
            <v>1856</v>
          </cell>
          <cell r="K4315" t="str">
            <v>201602151421097</v>
          </cell>
          <cell r="M4315" t="str">
            <v>阿莫西林胶囊0.25g*20s</v>
          </cell>
        </row>
        <row r="4316">
          <cell r="E4316" t="str">
            <v>0020020021ZYLC0011</v>
          </cell>
          <cell r="H4316" t="str">
            <v>滨城区彭李街道办事处张课第一卫生室</v>
          </cell>
          <cell r="J4316" t="str">
            <v>1853</v>
          </cell>
          <cell r="K4316" t="str">
            <v>201602151421097</v>
          </cell>
          <cell r="M4316" t="str">
            <v>严迪/罗红霉素分散片150mg*12片</v>
          </cell>
        </row>
        <row r="4317">
          <cell r="E4317" t="str">
            <v>0020070000ZYLC0001</v>
          </cell>
          <cell r="H4317" t="str">
            <v>滨城刘虎中医诊所</v>
          </cell>
          <cell r="J4317" t="str">
            <v>1853</v>
          </cell>
          <cell r="K4317" t="str">
            <v>201602151421097</v>
          </cell>
          <cell r="M4317" t="str">
            <v>新盖中盖高钙片2.5g*36P</v>
          </cell>
        </row>
        <row r="4318">
          <cell r="E4318" t="str">
            <v>0020020021ZYLC0011</v>
          </cell>
          <cell r="H4318" t="str">
            <v>滨城刘虎中医诊所</v>
          </cell>
          <cell r="J4318" t="str">
            <v>1853</v>
          </cell>
          <cell r="K4318" t="str">
            <v>201602151421097</v>
          </cell>
          <cell r="M4318" t="str">
            <v>严迪/罗红霉素分散片150mg*12片</v>
          </cell>
        </row>
        <row r="4319">
          <cell r="E4319" t="str">
            <v>0020030020ZYLC0010</v>
          </cell>
          <cell r="H4319" t="str">
            <v>开发区韩峰卫生室</v>
          </cell>
          <cell r="J4319" t="str">
            <v>1859</v>
          </cell>
          <cell r="K4319" t="str">
            <v>201602151421097</v>
          </cell>
          <cell r="M4319" t="str">
            <v>乳酸菌素片/为消0.4g*36片</v>
          </cell>
        </row>
        <row r="4320">
          <cell r="E4320" t="str">
            <v>0020070001ZYLC0001</v>
          </cell>
          <cell r="H4320" t="str">
            <v>滨城区市西街道办事处社区卫生服务站</v>
          </cell>
          <cell r="J4320" t="str">
            <v>1853</v>
          </cell>
          <cell r="K4320" t="str">
            <v>201602151421097</v>
          </cell>
          <cell r="M4320" t="str">
            <v>哈药六钙锌口服液10ml*12支</v>
          </cell>
        </row>
        <row r="4321">
          <cell r="E4321" t="str">
            <v>0020040220SHYT0004</v>
          </cell>
          <cell r="H4321" t="str">
            <v>邹平博祥医药连锁有限公司</v>
          </cell>
          <cell r="J4321" t="str">
            <v>1859</v>
          </cell>
          <cell r="K4321" t="str">
            <v>201602151421097</v>
          </cell>
          <cell r="M4321" t="str">
            <v>妇宁栓1.6g*8枚</v>
          </cell>
        </row>
        <row r="4322">
          <cell r="E4322" t="str">
            <v>0020020020ZYLC0010</v>
          </cell>
          <cell r="H4322" t="str">
            <v>邹平博祥医药连锁有限公司</v>
          </cell>
          <cell r="J4322" t="str">
            <v>1859</v>
          </cell>
          <cell r="K4322" t="str">
            <v>201602151421097</v>
          </cell>
          <cell r="M4322" t="str">
            <v xml:space="preserve">泻利停/颠茄磺苄啶片0.48g*10片 </v>
          </cell>
        </row>
        <row r="4323">
          <cell r="E4323" t="str">
            <v>0020070000SJZY0001</v>
          </cell>
          <cell r="H4323" t="str">
            <v>无棣百姓大药房</v>
          </cell>
          <cell r="J4323" t="str">
            <v>1856</v>
          </cell>
          <cell r="K4323" t="str">
            <v>201602151421097</v>
          </cell>
          <cell r="M4323" t="str">
            <v>葡萄糖酸锌口服液10ML*12支</v>
          </cell>
        </row>
        <row r="4324">
          <cell r="E4324" t="str">
            <v>0020030001SJZY0006</v>
          </cell>
          <cell r="H4324" t="str">
            <v>无棣百姓大药房</v>
          </cell>
          <cell r="J4324" t="str">
            <v>1856</v>
          </cell>
          <cell r="K4324" t="str">
            <v>201602151421097</v>
          </cell>
          <cell r="M4324" t="str">
            <v>葡萄糖酸钙口服溶液（含糖）10ml*12支</v>
          </cell>
        </row>
        <row r="4325">
          <cell r="E4325" t="str">
            <v>0020040030SHYT0002</v>
          </cell>
          <cell r="H4325" t="str">
            <v>阳信荣军医院</v>
          </cell>
          <cell r="J4325" t="str">
            <v>1855</v>
          </cell>
          <cell r="K4325" t="str">
            <v>201602151421097</v>
          </cell>
          <cell r="M4325" t="str">
            <v>牛黄消炎片0.12g*24片</v>
          </cell>
        </row>
        <row r="4326">
          <cell r="E4326" t="str">
            <v>0020040070ZYEC0005</v>
          </cell>
          <cell r="H4326" t="str">
            <v>苏氏诊所</v>
          </cell>
          <cell r="J4326" t="str">
            <v>1856</v>
          </cell>
          <cell r="K4326" t="str">
            <v>201602151421097</v>
          </cell>
          <cell r="M4326" t="str">
            <v>小儿百部止咳糖浆100ml</v>
          </cell>
        </row>
        <row r="4327">
          <cell r="E4327" t="str">
            <v>0020020013ZYZC0213</v>
          </cell>
          <cell r="H4327" t="str">
            <v>阳信镇西关村第二卫生室</v>
          </cell>
          <cell r="J4327" t="str">
            <v>1855</v>
          </cell>
          <cell r="K4327" t="str">
            <v>201602151421097</v>
          </cell>
          <cell r="M4327" t="str">
            <v>注射用磷霉素钠2g</v>
          </cell>
        </row>
        <row r="4328">
          <cell r="E4328" t="str">
            <v>0020030020ZYZC0360</v>
          </cell>
          <cell r="H4328" t="str">
            <v>无棣县海丰街道城里村社区卫生室</v>
          </cell>
          <cell r="J4328" t="str">
            <v>1856</v>
          </cell>
          <cell r="K4328" t="str">
            <v>201602151421097</v>
          </cell>
          <cell r="M4328" t="str">
            <v>*维生素C咀嚼片/VC片0.1g*30片</v>
          </cell>
        </row>
        <row r="4329">
          <cell r="E4329" t="str">
            <v>0020020030ZYLC0006</v>
          </cell>
          <cell r="H4329" t="str">
            <v>滨州益康医药连锁有限公司邹魏一区店</v>
          </cell>
          <cell r="J4329" t="str">
            <v>1859</v>
          </cell>
          <cell r="K4329" t="str">
            <v>201602151421097</v>
          </cell>
          <cell r="M4329" t="str">
            <v>厄贝沙坦胶囊0.075g*24粒</v>
          </cell>
        </row>
        <row r="4330">
          <cell r="E4330" t="str">
            <v>0020070001ZYZC0383</v>
          </cell>
          <cell r="H4330" t="str">
            <v>焦桥镇前大城村孟芳卫生室</v>
          </cell>
          <cell r="J4330" t="str">
            <v>1859</v>
          </cell>
          <cell r="K4330" t="str">
            <v>201602151421097</v>
          </cell>
          <cell r="M4330" t="str">
            <v>哈药牌钙铁锌口服液10ml*10支</v>
          </cell>
        </row>
        <row r="4331">
          <cell r="E4331" t="str">
            <v>0020070001ZYZC0383</v>
          </cell>
          <cell r="H4331" t="str">
            <v>惠民新医诊所</v>
          </cell>
          <cell r="J4331" t="str">
            <v>1854</v>
          </cell>
          <cell r="K4331" t="str">
            <v>201602151421097</v>
          </cell>
          <cell r="M4331" t="str">
            <v>哈药牌钙铁锌口服液10ml*10支</v>
          </cell>
        </row>
        <row r="4332">
          <cell r="E4332" t="str">
            <v>0020050090ZYEC0005</v>
          </cell>
          <cell r="H4332" t="str">
            <v>滨州益康医药连锁有限公司邹平正心店</v>
          </cell>
          <cell r="J4332" t="str">
            <v>1859</v>
          </cell>
          <cell r="K4332" t="str">
            <v>201602151421097</v>
          </cell>
          <cell r="M4332" t="str">
            <v>清热解毒口服液10ml*10支</v>
          </cell>
        </row>
        <row r="4333">
          <cell r="E4333" t="str">
            <v>0020020021ZYLC0004</v>
          </cell>
          <cell r="H4333" t="str">
            <v>淄角镇铁角李村卫生室</v>
          </cell>
          <cell r="J4333" t="str">
            <v>1854</v>
          </cell>
          <cell r="K4333" t="str">
            <v>201602151421097</v>
          </cell>
          <cell r="M4333" t="str">
            <v>罗红霉素分散片/大严迪75mg*12片</v>
          </cell>
        </row>
        <row r="4334">
          <cell r="E4334" t="str">
            <v>0020030001SJZY0006</v>
          </cell>
          <cell r="H4334" t="str">
            <v>惠民县旺康医药有限公司</v>
          </cell>
          <cell r="J4334" t="str">
            <v>1854</v>
          </cell>
          <cell r="K4334" t="str">
            <v>201602151421097</v>
          </cell>
          <cell r="M4334" t="str">
            <v>葡萄糖酸钙口服溶液10ml*12支</v>
          </cell>
        </row>
        <row r="4335">
          <cell r="E4335" t="str">
            <v>0020030001SJZY0006</v>
          </cell>
          <cell r="H4335" t="str">
            <v>韩店镇三星中心卫生室</v>
          </cell>
          <cell r="J4335" t="str">
            <v>1859</v>
          </cell>
          <cell r="K4335" t="str">
            <v>201602151421097</v>
          </cell>
          <cell r="M4335" t="str">
            <v>葡萄糖酸钙口服溶液10ml*12支</v>
          </cell>
        </row>
        <row r="4336">
          <cell r="E4336" t="str">
            <v>0020070000SJZY0001</v>
          </cell>
          <cell r="H4336" t="str">
            <v>韩店镇三星中心卫生室</v>
          </cell>
          <cell r="J4336" t="str">
            <v>1859</v>
          </cell>
          <cell r="K4336" t="str">
            <v>201602151421097</v>
          </cell>
          <cell r="M4336" t="str">
            <v>葡萄糖酸锌口服液10ml*12支</v>
          </cell>
        </row>
        <row r="4337">
          <cell r="E4337" t="str">
            <v>0020070000SJZY0001</v>
          </cell>
          <cell r="H4337" t="str">
            <v>惠民县东涛大药房</v>
          </cell>
          <cell r="J4337" t="str">
            <v>1854</v>
          </cell>
          <cell r="K4337" t="str">
            <v>201602151421097</v>
          </cell>
          <cell r="M4337" t="str">
            <v>葡萄糖酸锌口服液10ml*12支</v>
          </cell>
        </row>
        <row r="4338">
          <cell r="E4338" t="str">
            <v>0020040020SHYT0007</v>
          </cell>
          <cell r="H4338" t="str">
            <v>滨州益康医药连锁有限公司邹平正心店</v>
          </cell>
          <cell r="J4338" t="str">
            <v>1859</v>
          </cell>
          <cell r="K4338" t="str">
            <v>201602151421097</v>
          </cell>
          <cell r="M4338" t="str">
            <v>丹佛胃尔康颗粒10g*6袋</v>
          </cell>
        </row>
        <row r="4339">
          <cell r="E4339" t="str">
            <v>0020020020ZYLC0003</v>
          </cell>
          <cell r="H4339" t="str">
            <v>滨州益康医药连锁有限公司邹平县礼参店</v>
          </cell>
          <cell r="J4339" t="str">
            <v>1859</v>
          </cell>
          <cell r="K4339" t="str">
            <v>201602151421097</v>
          </cell>
          <cell r="M4339" t="str">
            <v>颠茄磺苄啶片12片</v>
          </cell>
        </row>
        <row r="4340">
          <cell r="E4340" t="str">
            <v>0020070000SJZY0001</v>
          </cell>
          <cell r="H4340" t="str">
            <v>滨州益康医药连锁有限公司邹平县黄山一路店</v>
          </cell>
          <cell r="J4340" t="str">
            <v>1859</v>
          </cell>
          <cell r="K4340" t="str">
            <v>201602151421097</v>
          </cell>
          <cell r="M4340" t="str">
            <v>葡萄糖酸锌口服液10ml*12支</v>
          </cell>
        </row>
        <row r="4341">
          <cell r="E4341" t="str">
            <v>0020020030ZYLC0006</v>
          </cell>
          <cell r="H4341" t="str">
            <v>滨州益康医药连锁有限公司邹平县第九药店</v>
          </cell>
          <cell r="J4341" t="str">
            <v>1859</v>
          </cell>
          <cell r="K4341" t="str">
            <v>201602151421097</v>
          </cell>
          <cell r="M4341" t="str">
            <v>厄贝沙坦胶囊0.075g*24粒</v>
          </cell>
        </row>
        <row r="4342">
          <cell r="E4342" t="str">
            <v>0020020021ZYLC0005</v>
          </cell>
          <cell r="H4342" t="str">
            <v>码头镇孟家中心卫生室</v>
          </cell>
          <cell r="J4342" t="str">
            <v>1859</v>
          </cell>
          <cell r="K4342" t="str">
            <v>201602151421097</v>
          </cell>
          <cell r="M4342" t="str">
            <v>罗红霉素分散片/小严迪50mg*12片</v>
          </cell>
        </row>
        <row r="4343">
          <cell r="E4343" t="str">
            <v>0020070000ZYLC0052</v>
          </cell>
          <cell r="H4343" t="str">
            <v>黛溪办韩坊中心卫生室</v>
          </cell>
          <cell r="J4343" t="str">
            <v>1859</v>
          </cell>
          <cell r="K4343" t="str">
            <v>201602151421097</v>
          </cell>
          <cell r="M4343" t="str">
            <v>哈药六牌钙加锌口服液10ml*12支</v>
          </cell>
        </row>
        <row r="4344">
          <cell r="E4344" t="str">
            <v>0020020020ZYZC0359</v>
          </cell>
          <cell r="H4344" t="str">
            <v>滨州益康医药连锁有限公司邹平县第七药店</v>
          </cell>
          <cell r="J4344" t="str">
            <v>1859</v>
          </cell>
          <cell r="K4344" t="str">
            <v>201602151421097</v>
          </cell>
          <cell r="M4344" t="str">
            <v>青霉素V钾片0.236g*24片</v>
          </cell>
        </row>
        <row r="4345">
          <cell r="E4345" t="str">
            <v>0020020030ZYZC0283</v>
          </cell>
          <cell r="H4345" t="str">
            <v>滨州益康医药连锁有限公司邹平县第七药店</v>
          </cell>
          <cell r="J4345" t="str">
            <v>1859</v>
          </cell>
          <cell r="K4345" t="str">
            <v>201602151421097</v>
          </cell>
          <cell r="M4345" t="str">
            <v>头孢拉定胶囊0.25g*24粒</v>
          </cell>
        </row>
        <row r="4346">
          <cell r="E4346" t="str">
            <v>0020020020ZYZC0359</v>
          </cell>
          <cell r="H4346" t="str">
            <v>滨州益康医药连锁有限公司邹平县第十药店</v>
          </cell>
          <cell r="J4346" t="str">
            <v>1859</v>
          </cell>
          <cell r="K4346" t="str">
            <v>201602151421097</v>
          </cell>
          <cell r="M4346" t="str">
            <v>青霉素V钾片0.236g*24片</v>
          </cell>
        </row>
        <row r="4347">
          <cell r="E4347" t="str">
            <v>0020020030ZYZC0511</v>
          </cell>
          <cell r="H4347" t="str">
            <v>滨州益康医药连锁有限公司邹平县第一药店</v>
          </cell>
          <cell r="J4347" t="str">
            <v>1859</v>
          </cell>
          <cell r="K4347" t="str">
            <v>201602151421097</v>
          </cell>
          <cell r="M4347" t="str">
            <v>头孢氨苄胶囊0.125g*20粒</v>
          </cell>
        </row>
        <row r="4348">
          <cell r="E4348" t="str">
            <v>0020020030ZYZC0511</v>
          </cell>
          <cell r="H4348" t="str">
            <v>滨州益康医药连锁有限公司邹平县第七药店</v>
          </cell>
          <cell r="J4348" t="str">
            <v>1859</v>
          </cell>
          <cell r="K4348" t="str">
            <v>201602151421097</v>
          </cell>
          <cell r="M4348" t="str">
            <v>头孢氨苄胶囊0.125g*20粒</v>
          </cell>
        </row>
        <row r="4349">
          <cell r="E4349" t="str">
            <v>0020020030ZYZC0511</v>
          </cell>
          <cell r="H4349" t="str">
            <v>滨州益康医药连锁有限公司邹平县第十药店</v>
          </cell>
          <cell r="J4349" t="str">
            <v>1859</v>
          </cell>
          <cell r="K4349" t="str">
            <v>201602151421097</v>
          </cell>
          <cell r="M4349" t="str">
            <v>头孢氨苄胶囊0.125g*20粒</v>
          </cell>
        </row>
        <row r="4350">
          <cell r="E4350" t="str">
            <v>0020070000ZYLC0001</v>
          </cell>
          <cell r="H4350" t="str">
            <v>黛溪办鄢家中心卫生室</v>
          </cell>
          <cell r="J4350" t="str">
            <v>1859</v>
          </cell>
          <cell r="K4350" t="str">
            <v>201602151421097</v>
          </cell>
          <cell r="M4350" t="str">
            <v>新盖中盖高钙片(成人)/盖中盖2.5g*36片</v>
          </cell>
        </row>
        <row r="4351">
          <cell r="E4351" t="str">
            <v>0020020030ZYZC0510</v>
          </cell>
          <cell r="H4351" t="str">
            <v>滨州益康医药连锁有限公司邹平县魏纺路店</v>
          </cell>
          <cell r="J4351" t="str">
            <v>1859</v>
          </cell>
          <cell r="K4351" t="str">
            <v>201602151421097</v>
          </cell>
          <cell r="M4351" t="str">
            <v>诺氟沙星胶囊0.1g*20粒</v>
          </cell>
        </row>
        <row r="4352">
          <cell r="E4352" t="str">
            <v>0020070000SJZY0001</v>
          </cell>
          <cell r="H4352" t="str">
            <v>滨州益康医药连锁有限公司邹平县魏纺路店</v>
          </cell>
          <cell r="J4352" t="str">
            <v>1859</v>
          </cell>
          <cell r="K4352" t="str">
            <v>201602151421097</v>
          </cell>
          <cell r="M4352" t="str">
            <v>葡萄糖酸锌口服液10ml*12支</v>
          </cell>
        </row>
        <row r="4353">
          <cell r="E4353" t="str">
            <v>0020070001ZYZC0383</v>
          </cell>
          <cell r="H4353" t="str">
            <v>滨州益康医药连锁有限公司邹平县魏纺路店</v>
          </cell>
          <cell r="J4353" t="str">
            <v>1859</v>
          </cell>
          <cell r="K4353" t="str">
            <v>201602151421097</v>
          </cell>
          <cell r="M4353" t="str">
            <v>哈药牌钙铁锌口服液10ml*10支</v>
          </cell>
        </row>
        <row r="4354">
          <cell r="E4354" t="str">
            <v>0020030040ZYLC0001</v>
          </cell>
          <cell r="H4354" t="str">
            <v>滨州益康医药连锁有限公司孙镇店</v>
          </cell>
          <cell r="J4354" t="str">
            <v>1859</v>
          </cell>
          <cell r="K4354" t="str">
            <v>201602151421097</v>
          </cell>
          <cell r="M4354" t="str">
            <v>小儿氨酚黄那敏颗粒/护彤2g*12袋</v>
          </cell>
        </row>
        <row r="4355">
          <cell r="E4355" t="str">
            <v>0020020021ZYLC0004</v>
          </cell>
          <cell r="H4355" t="str">
            <v>滨州益康医药连锁有限公司邹平月河店</v>
          </cell>
          <cell r="J4355" t="str">
            <v>1859</v>
          </cell>
          <cell r="K4355" t="str">
            <v>201602151421097</v>
          </cell>
          <cell r="M4355" t="str">
            <v>罗红霉素分散片/大严迪75mg*12片</v>
          </cell>
        </row>
        <row r="4356">
          <cell r="E4356" t="str">
            <v>0020070000SJZY0001</v>
          </cell>
          <cell r="H4356" t="str">
            <v>滨州益康医药连锁有限公司邹平月河店</v>
          </cell>
          <cell r="J4356" t="str">
            <v>1859</v>
          </cell>
          <cell r="K4356" t="str">
            <v>201602151421097</v>
          </cell>
          <cell r="M4356" t="str">
            <v>葡萄糖酸锌口服液10ml*12支</v>
          </cell>
        </row>
        <row r="4357">
          <cell r="E4357" t="str">
            <v>0020050090ZYEC0005</v>
          </cell>
          <cell r="H4357" t="str">
            <v>滨州益康医药连锁有限公司邹魏一区店</v>
          </cell>
          <cell r="J4357" t="str">
            <v>1859</v>
          </cell>
          <cell r="K4357" t="str">
            <v>201602151421097</v>
          </cell>
          <cell r="M4357" t="str">
            <v>清热解毒口服液10ml*10支</v>
          </cell>
        </row>
        <row r="4358">
          <cell r="E4358" t="str">
            <v>0020030020SJSC0025</v>
          </cell>
          <cell r="H4358" t="str">
            <v>滨州益康医药连锁有限公司邹平县礼参店</v>
          </cell>
          <cell r="J4358" t="str">
            <v>1859</v>
          </cell>
          <cell r="K4358" t="str">
            <v>201602151421097</v>
          </cell>
          <cell r="M4358" t="str">
            <v>复方氨酚烷胺片12片</v>
          </cell>
        </row>
        <row r="4359">
          <cell r="E4359" t="str">
            <v>0020050090ZYEC0005</v>
          </cell>
          <cell r="H4359" t="str">
            <v>滨州益康医药连锁有限公司邹平县魏纺路店</v>
          </cell>
          <cell r="J4359" t="str">
            <v>1859</v>
          </cell>
          <cell r="K4359" t="str">
            <v>201602151421097</v>
          </cell>
          <cell r="M4359" t="str">
            <v>清热解毒口服液10ml*10支</v>
          </cell>
        </row>
        <row r="4360">
          <cell r="E4360" t="str">
            <v>0020020030ZYZC0510</v>
          </cell>
          <cell r="H4360" t="str">
            <v>滨州益康医药连锁有限公司邹平县黄山二路店</v>
          </cell>
          <cell r="J4360" t="str">
            <v>1859</v>
          </cell>
          <cell r="K4360" t="str">
            <v>201602151421097</v>
          </cell>
          <cell r="M4360" t="str">
            <v>诺氟沙星胶囊0.1g*20粒</v>
          </cell>
        </row>
        <row r="4361">
          <cell r="E4361" t="str">
            <v>0020070000ZYLC0001</v>
          </cell>
          <cell r="H4361" t="str">
            <v>高青县高城蔡旺村卫生室</v>
          </cell>
          <cell r="J4361" t="str">
            <v>1744</v>
          </cell>
          <cell r="K4361" t="str">
            <v>201602151421097</v>
          </cell>
          <cell r="M4361" t="str">
            <v>新盖中盖高钙片(成人)/盖中盖2.5g*36片</v>
          </cell>
        </row>
        <row r="4362">
          <cell r="E4362" t="str">
            <v>0020020021ZYLC0004</v>
          </cell>
          <cell r="H4362" t="str">
            <v>青阳镇辛立村卫生室</v>
          </cell>
          <cell r="J4362" t="str">
            <v>1859</v>
          </cell>
          <cell r="K4362" t="str">
            <v>201602151421097</v>
          </cell>
          <cell r="M4362" t="str">
            <v>罗红霉素分散片/大严迪75mg*12片</v>
          </cell>
        </row>
        <row r="4363">
          <cell r="E4363" t="str">
            <v>0020030020SJSC0004</v>
          </cell>
          <cell r="H4363" t="str">
            <v>滨州益康医药连锁有限公司邹平县黄山二路店</v>
          </cell>
          <cell r="J4363" t="str">
            <v>1859</v>
          </cell>
          <cell r="K4363" t="str">
            <v>201602151421097</v>
          </cell>
          <cell r="M4363" t="str">
            <v>复方铝酸铋片/新胃必治50片</v>
          </cell>
        </row>
        <row r="4364">
          <cell r="E4364" t="str">
            <v>0020040001SHYT0026</v>
          </cell>
          <cell r="H4364" t="str">
            <v>滨州益康医药连锁有限公司邹平县中心店</v>
          </cell>
          <cell r="J4364" t="str">
            <v>1859</v>
          </cell>
          <cell r="K4364" t="str">
            <v>201602151421097</v>
          </cell>
          <cell r="M4364" t="str">
            <v>小活络丸3g*10丸</v>
          </cell>
        </row>
        <row r="4365">
          <cell r="E4365" t="str">
            <v>0020040001SHYT0026</v>
          </cell>
          <cell r="H4365" t="str">
            <v>滨州益康医药连锁有限公司邹平县魏桥惠民店</v>
          </cell>
          <cell r="J4365" t="str">
            <v>1859</v>
          </cell>
          <cell r="K4365" t="str">
            <v>201602151421097</v>
          </cell>
          <cell r="M4365" t="str">
            <v>小活络丸3g*10丸</v>
          </cell>
        </row>
        <row r="4366">
          <cell r="E4366" t="str">
            <v>0020030020SJSC0004</v>
          </cell>
          <cell r="H4366" t="str">
            <v>滨州益康医药连锁有限公司邹平县魏桥惠民店</v>
          </cell>
          <cell r="J4366" t="str">
            <v>1859</v>
          </cell>
          <cell r="K4366" t="str">
            <v>201602151421097</v>
          </cell>
          <cell r="M4366" t="str">
            <v>复方铝酸铋片/新胃必治50片</v>
          </cell>
        </row>
        <row r="4367">
          <cell r="E4367" t="str">
            <v>0020030020ZYLC0010</v>
          </cell>
          <cell r="H4367" t="str">
            <v>滨州益康医药连锁有限公司邹魏一区店</v>
          </cell>
          <cell r="J4367" t="str">
            <v>1859</v>
          </cell>
          <cell r="K4367" t="str">
            <v>201602151421097</v>
          </cell>
          <cell r="M4367" t="str">
            <v>乳酸菌素片0.4g*36片</v>
          </cell>
        </row>
        <row r="4368">
          <cell r="E4368" t="str">
            <v>0020030040SJET0003</v>
          </cell>
          <cell r="H4368" t="str">
            <v>邹平百盛医药连锁有限公司</v>
          </cell>
          <cell r="J4368" t="str">
            <v>1859</v>
          </cell>
          <cell r="K4368" t="str">
            <v>201602151421097</v>
          </cell>
          <cell r="M4368" t="str">
            <v>氨金黄敏颗粒6g*10袋</v>
          </cell>
        </row>
        <row r="4369">
          <cell r="E4369" t="str">
            <v>0020020021ZYZC0341</v>
          </cell>
          <cell r="H4369" t="str">
            <v>滨州益康医药连锁有限公司邹平县黛溪三路店</v>
          </cell>
          <cell r="J4369" t="str">
            <v>1859</v>
          </cell>
          <cell r="K4369" t="str">
            <v>201602151421097</v>
          </cell>
          <cell r="M4369" t="str">
            <v>阿莫西林克拉维酸钾分散片/胜艾0.2285g*12片</v>
          </cell>
        </row>
        <row r="4370">
          <cell r="E4370" t="str">
            <v>0020030170ZYEC0003</v>
          </cell>
          <cell r="H4370" t="str">
            <v>滨州益康医药连锁有限公司邹平县黛溪三路店</v>
          </cell>
          <cell r="J4370" t="str">
            <v>1859</v>
          </cell>
          <cell r="K4370" t="str">
            <v>201602151421097</v>
          </cell>
          <cell r="M4370" t="str">
            <v>蒙脱石散3g*12袋</v>
          </cell>
        </row>
        <row r="4371">
          <cell r="E4371" t="str">
            <v>0020050090ZYEC0005</v>
          </cell>
          <cell r="H4371" t="str">
            <v>滨州益康医药连锁有限公司邹平县黛溪三路店</v>
          </cell>
          <cell r="J4371" t="str">
            <v>1859</v>
          </cell>
          <cell r="K4371" t="str">
            <v>201602151421097</v>
          </cell>
          <cell r="M4371" t="str">
            <v>清热解毒口服液10ml*10支</v>
          </cell>
        </row>
        <row r="4372">
          <cell r="E4372" t="str">
            <v>0020070000ZYLC0051</v>
          </cell>
          <cell r="H4372" t="str">
            <v>滨州益康医药连锁有限公司邹平县黛溪三路店</v>
          </cell>
          <cell r="J4372" t="str">
            <v>1859</v>
          </cell>
          <cell r="K4372" t="str">
            <v>201602151421097</v>
          </cell>
          <cell r="M4372" t="str">
            <v>朴血乳酸亚铁口服液10ml*12支</v>
          </cell>
        </row>
        <row r="4373">
          <cell r="E4373" t="str">
            <v>0020030040ZYZC0307</v>
          </cell>
          <cell r="H4373" t="str">
            <v>滨州益康医药连锁有限公司邹平县黛溪三路店</v>
          </cell>
          <cell r="J4373" t="str">
            <v>1859</v>
          </cell>
          <cell r="K4373" t="str">
            <v>201602151421097</v>
          </cell>
          <cell r="M4373" t="str">
            <v>富马酸亚铁颗粒6袋</v>
          </cell>
        </row>
        <row r="4374">
          <cell r="E4374" t="str">
            <v>0020070001ZYZC0383</v>
          </cell>
          <cell r="H4374" t="str">
            <v>滨州益康医药连锁有限公司邹平县黛溪三路店</v>
          </cell>
          <cell r="J4374" t="str">
            <v>1859</v>
          </cell>
          <cell r="K4374" t="str">
            <v>201602151421097</v>
          </cell>
          <cell r="M4374" t="str">
            <v>哈药牌钙铁锌口服液10ml*10支</v>
          </cell>
        </row>
        <row r="4375">
          <cell r="E4375" t="str">
            <v>0020050020ZYEC0008</v>
          </cell>
          <cell r="H4375" t="str">
            <v>滨州益康医药连锁有限公司邹平县黛溪三路店</v>
          </cell>
          <cell r="J4375" t="str">
            <v>1859</v>
          </cell>
          <cell r="K4375" t="str">
            <v>201602151421097</v>
          </cell>
          <cell r="M4375" t="str">
            <v>感冒解毒灵颗粒5g*10袋</v>
          </cell>
        </row>
        <row r="4376">
          <cell r="E4376" t="str">
            <v>0020070001ZYZC0383</v>
          </cell>
          <cell r="H4376" t="str">
            <v>滨州益康医药连锁有限公司邹平县第十一店</v>
          </cell>
          <cell r="J4376" t="str">
            <v>1859</v>
          </cell>
          <cell r="K4376" t="str">
            <v>201602151421097</v>
          </cell>
          <cell r="M4376" t="str">
            <v>哈药牌钙铁锌口服液10ml*10支</v>
          </cell>
        </row>
        <row r="4377">
          <cell r="E4377" t="str">
            <v>0020020030SJMS0024</v>
          </cell>
          <cell r="H4377" t="str">
            <v>滨州益康医药连锁有限公司邹平县黛溪三路店</v>
          </cell>
          <cell r="J4377" t="str">
            <v>1859</v>
          </cell>
          <cell r="K4377" t="str">
            <v>201602151421097</v>
          </cell>
          <cell r="M4377" t="str">
            <v>人工牛黄甲硝唑胶囊20粒</v>
          </cell>
        </row>
        <row r="4378">
          <cell r="E4378" t="str">
            <v>0020020030SJMS0024</v>
          </cell>
          <cell r="H4378" t="str">
            <v>滨州益康医药连锁有限公司邹平县魏桥惠民店</v>
          </cell>
          <cell r="J4378" t="str">
            <v>1859</v>
          </cell>
          <cell r="K4378" t="str">
            <v>201602151421097</v>
          </cell>
          <cell r="M4378" t="str">
            <v>人工牛黄甲硝唑胶囊20粒</v>
          </cell>
        </row>
        <row r="4379">
          <cell r="E4379" t="str">
            <v>0020070000ZYLC0051</v>
          </cell>
          <cell r="H4379" t="str">
            <v>滨州益康医药连锁有限公司邹平县第六药店</v>
          </cell>
          <cell r="J4379" t="str">
            <v>1859</v>
          </cell>
          <cell r="K4379" t="str">
            <v>201602151421097</v>
          </cell>
          <cell r="M4379" t="str">
            <v>朴血乳酸亚铁口服液10ml*12支</v>
          </cell>
        </row>
        <row r="4380">
          <cell r="E4380" t="str">
            <v>0020030020ZYLC0010</v>
          </cell>
          <cell r="H4380" t="str">
            <v>滨州益康医药连锁有限公司邹平第二药店</v>
          </cell>
          <cell r="J4380" t="str">
            <v>1859</v>
          </cell>
          <cell r="K4380" t="str">
            <v>201602151421097</v>
          </cell>
          <cell r="M4380" t="str">
            <v>乳酸菌素片0.4g*36片</v>
          </cell>
        </row>
        <row r="4381">
          <cell r="E4381" t="str">
            <v>0020020021ZYZC0341</v>
          </cell>
          <cell r="H4381" t="str">
            <v>滨州益康医药连锁有限公司邹平第二药店</v>
          </cell>
          <cell r="J4381" t="str">
            <v>1859</v>
          </cell>
          <cell r="K4381" t="str">
            <v>201602151421097</v>
          </cell>
          <cell r="M4381" t="str">
            <v>阿莫西林克拉维酸钾分散片/胜艾0.2285g*12片</v>
          </cell>
        </row>
        <row r="4382">
          <cell r="E4382" t="str">
            <v>0020050090ZYEC0005</v>
          </cell>
          <cell r="H4382" t="str">
            <v>滨州益康医药连锁有限公司邹平县第十二店</v>
          </cell>
          <cell r="J4382" t="str">
            <v>1859</v>
          </cell>
          <cell r="K4382" t="str">
            <v>201602151421097</v>
          </cell>
          <cell r="M4382" t="str">
            <v>清热解毒口服液10ml*10支</v>
          </cell>
        </row>
        <row r="4383">
          <cell r="E4383" t="str">
            <v>0020070000ZYLC0001</v>
          </cell>
          <cell r="H4383" t="str">
            <v>滨州益康医药连锁有限公司邹平县第六药店</v>
          </cell>
          <cell r="J4383" t="str">
            <v>1859</v>
          </cell>
          <cell r="K4383" t="str">
            <v>201602151421097</v>
          </cell>
          <cell r="M4383" t="str">
            <v>新盖中盖高钙片(成人)/盖中盖2.5g*36片</v>
          </cell>
        </row>
        <row r="4384">
          <cell r="E4384" t="str">
            <v>0020030020ZYLC0010</v>
          </cell>
          <cell r="H4384" t="str">
            <v>滨州益康医药连锁有限公司邹平县第六药店</v>
          </cell>
          <cell r="J4384" t="str">
            <v>1859</v>
          </cell>
          <cell r="K4384" t="str">
            <v>201602151421097</v>
          </cell>
          <cell r="M4384" t="str">
            <v>乳酸菌素片0.4g*36片</v>
          </cell>
        </row>
        <row r="4385">
          <cell r="E4385" t="str">
            <v>0020030020ZYLC0010</v>
          </cell>
          <cell r="H4385" t="str">
            <v>滨州益康医药连锁有限公司便民店</v>
          </cell>
          <cell r="J4385" t="str">
            <v>1859</v>
          </cell>
          <cell r="K4385" t="str">
            <v>201602151421097</v>
          </cell>
          <cell r="M4385" t="str">
            <v>乳酸菌素片0.4g*36片</v>
          </cell>
        </row>
        <row r="4386">
          <cell r="E4386" t="str">
            <v>0020030020ZYLC0010</v>
          </cell>
          <cell r="H4386" t="str">
            <v>滨州益康医药连锁有限公司邹平县第十二店</v>
          </cell>
          <cell r="J4386" t="str">
            <v>1859</v>
          </cell>
          <cell r="K4386" t="str">
            <v>201602151421097</v>
          </cell>
          <cell r="M4386" t="str">
            <v>乳酸菌素片0.4g*36片</v>
          </cell>
        </row>
        <row r="4387">
          <cell r="E4387" t="str">
            <v>0020020021ZYLC0004</v>
          </cell>
          <cell r="H4387" t="str">
            <v>滨州益康医药连锁有限公司邹平县黄山店</v>
          </cell>
          <cell r="J4387" t="str">
            <v>1859</v>
          </cell>
          <cell r="K4387" t="str">
            <v>201602151421097</v>
          </cell>
          <cell r="M4387" t="str">
            <v>罗红霉素分散片/大严迪75mg*12片</v>
          </cell>
        </row>
        <row r="4388">
          <cell r="E4388" t="str">
            <v>0020030020ZYLC0010</v>
          </cell>
          <cell r="H4388" t="str">
            <v>滨州益康医药连锁有限公司邹平县黄山店</v>
          </cell>
          <cell r="J4388" t="str">
            <v>1859</v>
          </cell>
          <cell r="K4388" t="str">
            <v>201602151421097</v>
          </cell>
          <cell r="M4388" t="str">
            <v>乳酸菌素片0.4g*36片</v>
          </cell>
        </row>
        <row r="4389">
          <cell r="E4389" t="str">
            <v>0020030020SJSC0025</v>
          </cell>
          <cell r="H4389" t="str">
            <v>滨州益康医药连锁有限公司邹平县黄山店</v>
          </cell>
          <cell r="J4389" t="str">
            <v>1859</v>
          </cell>
          <cell r="K4389" t="str">
            <v>201602151421097</v>
          </cell>
          <cell r="M4389" t="str">
            <v>复方氨酚烷胺片12片</v>
          </cell>
        </row>
        <row r="4390">
          <cell r="E4390" t="str">
            <v>0020050090SJZY0001</v>
          </cell>
          <cell r="H4390" t="str">
            <v>滨州益康医药连锁有限公司邹平县明珠店</v>
          </cell>
          <cell r="J4390" t="str">
            <v>1859</v>
          </cell>
          <cell r="K4390" t="str">
            <v>201602151421097</v>
          </cell>
          <cell r="M4390" t="str">
            <v>双黄连口服液10ml*10z</v>
          </cell>
        </row>
        <row r="4391">
          <cell r="E4391" t="str">
            <v>0020030020SJSC0004</v>
          </cell>
          <cell r="H4391" t="str">
            <v>滨州益康医药连锁有限公司邹平县第六药店</v>
          </cell>
          <cell r="J4391" t="str">
            <v>1859</v>
          </cell>
          <cell r="K4391" t="str">
            <v>201602151421097</v>
          </cell>
          <cell r="M4391" t="str">
            <v>复方铝酸铋片/新胃必治50片</v>
          </cell>
        </row>
        <row r="4392">
          <cell r="E4392" t="str">
            <v>0020030020ZYLC0010</v>
          </cell>
          <cell r="H4392" t="str">
            <v>滨州益康医药连锁有限公司邹平县南范店</v>
          </cell>
          <cell r="J4392" t="str">
            <v>1859</v>
          </cell>
          <cell r="K4392" t="str">
            <v>201602151421097</v>
          </cell>
          <cell r="M4392" t="str">
            <v>乳酸菌素片0.4g*36片</v>
          </cell>
        </row>
        <row r="4393">
          <cell r="E4393" t="str">
            <v>0020020030ZYZC0264</v>
          </cell>
          <cell r="H4393" t="str">
            <v>滨州益康医药连锁有限公司邹平县中心店</v>
          </cell>
          <cell r="J4393" t="str">
            <v>1859</v>
          </cell>
          <cell r="K4393" t="str">
            <v>201602151421097</v>
          </cell>
          <cell r="M4393" t="str">
            <v>阿莫西林胶囊/益萨林0.5g*20粒</v>
          </cell>
        </row>
        <row r="4394">
          <cell r="E4394" t="str">
            <v>0020030040ZYLC0001</v>
          </cell>
          <cell r="H4394" t="str">
            <v>滨州益康医药连锁有限公司邹平县魏桥惠民店</v>
          </cell>
          <cell r="J4394" t="str">
            <v>1859</v>
          </cell>
          <cell r="K4394" t="str">
            <v>201602151421097</v>
          </cell>
          <cell r="M4394" t="str">
            <v>小儿氨酚黄那敏颗粒/护彤2g*12袋</v>
          </cell>
        </row>
        <row r="4395">
          <cell r="E4395" t="str">
            <v>0020020030ZYZC0264</v>
          </cell>
          <cell r="H4395" t="str">
            <v>滨州益康医药连锁有限公司邹平县魏桥惠民店</v>
          </cell>
          <cell r="J4395" t="str">
            <v>1859</v>
          </cell>
          <cell r="K4395" t="str">
            <v>201602151421097</v>
          </cell>
          <cell r="M4395" t="str">
            <v>阿莫西林胶囊/益萨林0.5g*20粒</v>
          </cell>
        </row>
        <row r="4396">
          <cell r="E4396" t="str">
            <v>0020030020ZYLC0010</v>
          </cell>
          <cell r="H4396" t="str">
            <v>滨州益康医药连锁有限公司邹平县第十药店</v>
          </cell>
          <cell r="J4396" t="str">
            <v>1859</v>
          </cell>
          <cell r="K4396" t="str">
            <v>201602151421097</v>
          </cell>
          <cell r="M4396" t="str">
            <v>乳酸菌素片0.4g*36片</v>
          </cell>
        </row>
        <row r="4397">
          <cell r="E4397" t="str">
            <v>0020070000SJZY0001</v>
          </cell>
          <cell r="H4397" t="str">
            <v>滨州益康医药连锁有限公司孙镇店</v>
          </cell>
          <cell r="J4397" t="str">
            <v>1859</v>
          </cell>
          <cell r="K4397" t="str">
            <v>201602151421097</v>
          </cell>
          <cell r="M4397" t="str">
            <v>葡萄糖酸锌口服液10ml*12支</v>
          </cell>
        </row>
        <row r="4398">
          <cell r="E4398" t="str">
            <v>0020070000ZYLC0001</v>
          </cell>
          <cell r="H4398" t="str">
            <v>滨州益康医药连锁有限公司邹平县魏桥惠民店</v>
          </cell>
          <cell r="J4398" t="str">
            <v>1859</v>
          </cell>
          <cell r="K4398" t="str">
            <v>201602151421097</v>
          </cell>
          <cell r="M4398" t="str">
            <v>新盖中盖高钙片(成人)/盖中盖2.5g*36片</v>
          </cell>
        </row>
        <row r="4399">
          <cell r="E4399" t="str">
            <v>0020050090ZYEC0005</v>
          </cell>
          <cell r="H4399" t="str">
            <v>滨州益康医药连锁有限公司邹平县中心店</v>
          </cell>
          <cell r="J4399" t="str">
            <v>1859</v>
          </cell>
          <cell r="K4399" t="str">
            <v>201602151421097</v>
          </cell>
          <cell r="M4399" t="str">
            <v>清热解毒口服液10ml*10支</v>
          </cell>
        </row>
        <row r="4400">
          <cell r="E4400" t="str">
            <v>0020030020ZYLC0010</v>
          </cell>
          <cell r="H4400" t="str">
            <v>滨州益康医药连锁有限公司邹平县第三药店</v>
          </cell>
          <cell r="J4400" t="str">
            <v>1859</v>
          </cell>
          <cell r="K4400" t="str">
            <v>201602151421097</v>
          </cell>
          <cell r="M4400" t="str">
            <v>乳酸菌素片0.4g*36片</v>
          </cell>
        </row>
        <row r="4401">
          <cell r="E4401" t="str">
            <v>0020030020ZYLC0010</v>
          </cell>
          <cell r="H4401" t="str">
            <v>滨州益康医药连锁有限公司邹平县第九药店</v>
          </cell>
          <cell r="J4401" t="str">
            <v>1859</v>
          </cell>
          <cell r="K4401" t="str">
            <v>201602151421097</v>
          </cell>
          <cell r="M4401" t="str">
            <v>乳酸菌素片0.4g*36片</v>
          </cell>
        </row>
        <row r="4402">
          <cell r="E4402" t="str">
            <v>0020030020SJSC0025</v>
          </cell>
          <cell r="H4402" t="str">
            <v>滨州益康医药连锁有限公司邹平县第三药店</v>
          </cell>
          <cell r="J4402" t="str">
            <v>1859</v>
          </cell>
          <cell r="K4402" t="str">
            <v>201602151421097</v>
          </cell>
          <cell r="M4402" t="str">
            <v>复方氨酚烷胺片12片</v>
          </cell>
        </row>
        <row r="4403">
          <cell r="E4403" t="str">
            <v>0020050090ZYEC0005</v>
          </cell>
          <cell r="H4403" t="str">
            <v>滨州益康医药连锁有限公司邹平县第九药店</v>
          </cell>
          <cell r="J4403" t="str">
            <v>1859</v>
          </cell>
          <cell r="K4403" t="str">
            <v>201602151421097</v>
          </cell>
          <cell r="M4403" t="str">
            <v>清热解毒口服液10ml*10支</v>
          </cell>
        </row>
        <row r="4404">
          <cell r="E4404" t="str">
            <v>0020030020ZYLC0010</v>
          </cell>
          <cell r="H4404" t="str">
            <v>滨州益康医药连锁有限公司邹平县第一药店</v>
          </cell>
          <cell r="J4404" t="str">
            <v>1859</v>
          </cell>
          <cell r="K4404" t="str">
            <v>201602151421097</v>
          </cell>
          <cell r="M4404" t="str">
            <v>乳酸菌素片0.4g*36片</v>
          </cell>
        </row>
        <row r="4405">
          <cell r="E4405" t="str">
            <v>0020030001SJZY0006</v>
          </cell>
          <cell r="H4405" t="str">
            <v>滨州益康医药连锁有限公司邹平县第九药店</v>
          </cell>
          <cell r="J4405" t="str">
            <v>1859</v>
          </cell>
          <cell r="K4405" t="str">
            <v>201602151421097</v>
          </cell>
          <cell r="M4405" t="str">
            <v>葡萄糖酸钙口服溶液10ml*12支</v>
          </cell>
        </row>
        <row r="4406">
          <cell r="E4406" t="str">
            <v>0020030040ZYZC0307</v>
          </cell>
          <cell r="H4406" t="str">
            <v>滨州益康医药连锁有限公司邹平县第九药店</v>
          </cell>
          <cell r="J4406" t="str">
            <v>1859</v>
          </cell>
          <cell r="K4406" t="str">
            <v>201602151421097</v>
          </cell>
          <cell r="M4406" t="str">
            <v>富马酸亚铁颗粒6袋</v>
          </cell>
        </row>
        <row r="4407">
          <cell r="E4407" t="str">
            <v>0020070000ZYLC0052</v>
          </cell>
          <cell r="H4407" t="str">
            <v>滨州益康医药连锁有限公司邹平县第九药店</v>
          </cell>
          <cell r="J4407" t="str">
            <v>1859</v>
          </cell>
          <cell r="K4407" t="str">
            <v>201602151421097</v>
          </cell>
          <cell r="M4407" t="str">
            <v>哈药六牌钙加锌口服液10ml*12支</v>
          </cell>
        </row>
        <row r="4408">
          <cell r="E4408" t="str">
            <v>0020070001ZYZC0383</v>
          </cell>
          <cell r="H4408" t="str">
            <v>滨州益康医药连锁有限公司邹平县第七药店</v>
          </cell>
          <cell r="J4408" t="str">
            <v>1859</v>
          </cell>
          <cell r="K4408" t="str">
            <v>201602151421097</v>
          </cell>
          <cell r="M4408" t="str">
            <v>哈药牌钙铁锌口服液10ml*10支</v>
          </cell>
        </row>
        <row r="4409">
          <cell r="E4409" t="str">
            <v>0020050020ZYEC0008</v>
          </cell>
          <cell r="H4409" t="str">
            <v>滨州益康医药连锁有限公司邹平县第九药店</v>
          </cell>
          <cell r="J4409" t="str">
            <v>1859</v>
          </cell>
          <cell r="K4409" t="str">
            <v>201602151421097</v>
          </cell>
          <cell r="M4409" t="str">
            <v>感冒解毒灵颗粒5g*10袋</v>
          </cell>
        </row>
        <row r="4410">
          <cell r="E4410" t="str">
            <v>0020020030ZYZC0508</v>
          </cell>
          <cell r="H4410" t="str">
            <v>滨州益康医药连锁有限公司邹平县第九药店</v>
          </cell>
          <cell r="J4410" t="str">
            <v>1859</v>
          </cell>
          <cell r="K4410" t="str">
            <v>201602151421097</v>
          </cell>
          <cell r="M4410" t="str">
            <v>阿莫西林胶囊/益萨林0.25g*20粒</v>
          </cell>
        </row>
        <row r="4411">
          <cell r="E4411" t="str">
            <v>0020070001ZYZC0383</v>
          </cell>
          <cell r="H4411" t="str">
            <v>滨州益康医药连锁有限公司邹平县中心店</v>
          </cell>
          <cell r="J4411" t="str">
            <v>1859</v>
          </cell>
          <cell r="K4411" t="str">
            <v>201602151421097</v>
          </cell>
          <cell r="M4411" t="str">
            <v>哈药牌钙铁锌口服液10ml*10支</v>
          </cell>
        </row>
        <row r="4412">
          <cell r="E4412" t="str">
            <v>0020040001SHYT0026</v>
          </cell>
          <cell r="H4412" t="str">
            <v>码头镇大杨中心卫生室</v>
          </cell>
          <cell r="J4412" t="str">
            <v>1859</v>
          </cell>
          <cell r="K4412" t="str">
            <v>201602151421097</v>
          </cell>
          <cell r="M4412" t="str">
            <v>小活络丸3g*10丸</v>
          </cell>
        </row>
        <row r="4413">
          <cell r="E4413" t="str">
            <v>0020020030SJMS0024</v>
          </cell>
          <cell r="H4413" t="str">
            <v>滨州益康医药连锁有限公司邹平县第一药店</v>
          </cell>
          <cell r="J4413" t="str">
            <v>1859</v>
          </cell>
          <cell r="K4413" t="str">
            <v>201602151421097</v>
          </cell>
          <cell r="M4413" t="str">
            <v>人工牛黄甲硝唑胶囊20粒</v>
          </cell>
        </row>
        <row r="4414">
          <cell r="E4414" t="str">
            <v>0020020030SJMS0024</v>
          </cell>
          <cell r="H4414" t="str">
            <v>滨州益康医药连锁有限公司邹平县第九药店</v>
          </cell>
          <cell r="J4414" t="str">
            <v>1859</v>
          </cell>
          <cell r="K4414" t="str">
            <v>201602151421097</v>
          </cell>
          <cell r="M4414" t="str">
            <v>人工牛黄甲硝唑胶囊20粒</v>
          </cell>
        </row>
        <row r="4415">
          <cell r="E4415" t="str">
            <v>0020070001ZYZC0383</v>
          </cell>
          <cell r="H4415" t="str">
            <v>滨州益康医药连锁有限公司邹平月河店</v>
          </cell>
          <cell r="J4415" t="str">
            <v>1859</v>
          </cell>
          <cell r="K4415" t="str">
            <v>201602151421097</v>
          </cell>
          <cell r="M4415" t="str">
            <v>哈药牌钙铁锌口服液10ml*10支</v>
          </cell>
        </row>
        <row r="4416">
          <cell r="E4416" t="str">
            <v>0020030020SJSC0004</v>
          </cell>
          <cell r="H4416" t="str">
            <v>滨州益康医药连锁有限公司邹平月河店</v>
          </cell>
          <cell r="J4416" t="str">
            <v>1859</v>
          </cell>
          <cell r="K4416" t="str">
            <v>201602151421097</v>
          </cell>
          <cell r="M4416" t="str">
            <v>复方铝酸铋片/新胃必治50片</v>
          </cell>
        </row>
        <row r="4417">
          <cell r="E4417" t="str">
            <v>0020050090ZYEC0005</v>
          </cell>
          <cell r="H4417" t="str">
            <v>滨州益康医药连锁有限公司邹平月河店</v>
          </cell>
          <cell r="J4417" t="str">
            <v>1859</v>
          </cell>
          <cell r="K4417" t="str">
            <v>201602151421097</v>
          </cell>
          <cell r="M4417" t="str">
            <v>清热解毒口服液10ml*10支</v>
          </cell>
        </row>
        <row r="4418">
          <cell r="E4418" t="str">
            <v>0020040001SHYT0026</v>
          </cell>
          <cell r="H4418" t="str">
            <v>滨州益康医药连锁有限公司邹平县第八药店</v>
          </cell>
          <cell r="J4418" t="str">
            <v>1859</v>
          </cell>
          <cell r="K4418" t="str">
            <v>201602151421097</v>
          </cell>
          <cell r="M4418" t="str">
            <v>小活络丸3g*10丸</v>
          </cell>
        </row>
        <row r="4419">
          <cell r="E4419" t="str">
            <v>0020020030SJMS0024</v>
          </cell>
          <cell r="H4419" t="str">
            <v>滨州益康医药连锁有限公司邹平县礼参店</v>
          </cell>
          <cell r="J4419" t="str">
            <v>1859</v>
          </cell>
          <cell r="K4419" t="str">
            <v>201602151421097</v>
          </cell>
          <cell r="M4419" t="str">
            <v>人工牛黄甲硝唑胶囊20粒</v>
          </cell>
        </row>
        <row r="4420">
          <cell r="E4420" t="str">
            <v>0020030020ZYLC0010</v>
          </cell>
          <cell r="H4420" t="str">
            <v>滨州益康医药连锁有限公司邹平县第八药店</v>
          </cell>
          <cell r="J4420" t="str">
            <v>1859</v>
          </cell>
          <cell r="K4420" t="str">
            <v>201602151421097</v>
          </cell>
          <cell r="M4420" t="str">
            <v>乳酸菌素片0.4g*36片</v>
          </cell>
        </row>
        <row r="4421">
          <cell r="E4421" t="str">
            <v>0020030020ZYLC0010</v>
          </cell>
          <cell r="H4421" t="str">
            <v>滨州益康医药连锁有限公司邹平县魏纺路店</v>
          </cell>
          <cell r="J4421" t="str">
            <v>1859</v>
          </cell>
          <cell r="K4421" t="str">
            <v>201602151421097</v>
          </cell>
          <cell r="M4421" t="str">
            <v>乳酸菌素片0.4g*36片</v>
          </cell>
        </row>
        <row r="4422">
          <cell r="E4422" t="str">
            <v>0020030001SJZY0006</v>
          </cell>
          <cell r="H4422" t="str">
            <v>滨州益康医药连锁有限公司邹平月河店</v>
          </cell>
          <cell r="J4422" t="str">
            <v>1859</v>
          </cell>
          <cell r="K4422" t="str">
            <v>201602151421097</v>
          </cell>
          <cell r="M4422" t="str">
            <v>葡萄糖酸钙口服溶液10ml*12支</v>
          </cell>
        </row>
        <row r="4423">
          <cell r="E4423" t="str">
            <v>0020030020ZYLC0010</v>
          </cell>
          <cell r="H4423" t="str">
            <v>滨州益康医药连锁有限公司邹平月河店</v>
          </cell>
          <cell r="J4423" t="str">
            <v>1859</v>
          </cell>
          <cell r="K4423" t="str">
            <v>201602151421097</v>
          </cell>
          <cell r="M4423" t="str">
            <v>乳酸菌素片0.4g*36片</v>
          </cell>
        </row>
        <row r="4424">
          <cell r="E4424" t="str">
            <v>0020020030SJMS0024</v>
          </cell>
          <cell r="H4424" t="str">
            <v>滨州益康医药连锁有限公司邹平县魏纺路店</v>
          </cell>
          <cell r="J4424" t="str">
            <v>1859</v>
          </cell>
          <cell r="K4424" t="str">
            <v>201602151421097</v>
          </cell>
          <cell r="M4424" t="str">
            <v>人工牛黄甲硝唑胶囊20粒</v>
          </cell>
        </row>
        <row r="4425">
          <cell r="E4425" t="str">
            <v>0020020030SJMS0024</v>
          </cell>
          <cell r="H4425" t="str">
            <v>滨州益康医药连锁有限公司邹平县黄山二路店</v>
          </cell>
          <cell r="J4425" t="str">
            <v>1859</v>
          </cell>
          <cell r="K4425" t="str">
            <v>201602151421097</v>
          </cell>
          <cell r="M4425" t="str">
            <v>人工牛黄甲硝唑胶囊20粒</v>
          </cell>
        </row>
        <row r="4426">
          <cell r="E4426" t="str">
            <v>0020050020ZYEC0008</v>
          </cell>
          <cell r="H4426" t="str">
            <v>滨州益康医药连锁有限公司邹平县明珠店</v>
          </cell>
          <cell r="J4426" t="str">
            <v>1859</v>
          </cell>
          <cell r="K4426" t="str">
            <v>201602151421097</v>
          </cell>
          <cell r="M4426" t="str">
            <v>感冒解毒灵颗粒5g*10袋</v>
          </cell>
        </row>
        <row r="4427">
          <cell r="E4427" t="str">
            <v>0020070001ZYZC0383</v>
          </cell>
          <cell r="H4427" t="str">
            <v>滨州益康医药连锁有限公司邹平县明珠店</v>
          </cell>
          <cell r="J4427" t="str">
            <v>1859</v>
          </cell>
          <cell r="K4427" t="str">
            <v>201602151421097</v>
          </cell>
          <cell r="M4427" t="str">
            <v>哈药牌钙铁锌口服液10ml*10支</v>
          </cell>
        </row>
        <row r="4428">
          <cell r="E4428" t="str">
            <v>0020020021ZYLC0005</v>
          </cell>
          <cell r="H4428" t="str">
            <v>滨州益康医药连锁有限公司黛溪四路店</v>
          </cell>
          <cell r="J4428" t="str">
            <v>1859</v>
          </cell>
          <cell r="K4428" t="str">
            <v>201602151421097</v>
          </cell>
          <cell r="M4428" t="str">
            <v>罗红霉素分散片/小严迪50mg*12片</v>
          </cell>
        </row>
        <row r="4429">
          <cell r="E4429" t="str">
            <v>0020030020ZYLC0010</v>
          </cell>
          <cell r="H4429" t="str">
            <v>滨州益康医药连锁有限公司邹平县明珠店</v>
          </cell>
          <cell r="J4429" t="str">
            <v>1859</v>
          </cell>
          <cell r="K4429" t="str">
            <v>201602151421097</v>
          </cell>
          <cell r="M4429" t="str">
            <v>乳酸菌素片0.4g*36片</v>
          </cell>
        </row>
        <row r="4430">
          <cell r="E4430" t="str">
            <v>0020020030ZYZC0264</v>
          </cell>
          <cell r="H4430" t="str">
            <v>滨州益康医药连锁有限公司邹平县黄山二路店</v>
          </cell>
          <cell r="J4430" t="str">
            <v>1859</v>
          </cell>
          <cell r="K4430" t="str">
            <v>201602151421097</v>
          </cell>
          <cell r="M4430" t="str">
            <v>阿莫西林胶囊/益萨林0.5g*20粒</v>
          </cell>
        </row>
        <row r="4431">
          <cell r="E4431" t="str">
            <v>0020030020ZYLC0010</v>
          </cell>
          <cell r="H4431" t="str">
            <v>滨州益康医药连锁有限公司邹平县西王店</v>
          </cell>
          <cell r="J4431" t="str">
            <v>1859</v>
          </cell>
          <cell r="K4431" t="str">
            <v>201602151421097</v>
          </cell>
          <cell r="M4431" t="str">
            <v>乳酸菌素片0.4g*36片</v>
          </cell>
        </row>
        <row r="4432">
          <cell r="E4432" t="str">
            <v>0020030020ZYLC0010</v>
          </cell>
          <cell r="H4432" t="str">
            <v>滨州益康医药连锁有限公司邹平县亲民药店</v>
          </cell>
          <cell r="J4432" t="str">
            <v>1859</v>
          </cell>
          <cell r="K4432" t="str">
            <v>201602151421097</v>
          </cell>
          <cell r="M4432" t="str">
            <v>乳酸菌素片0.4g*36片</v>
          </cell>
        </row>
        <row r="4433">
          <cell r="E4433" t="str">
            <v>0020030020ZYLC0010</v>
          </cell>
          <cell r="H4433" t="str">
            <v>滨州益康医药连锁有限公司邹平县中心店</v>
          </cell>
          <cell r="J4433" t="str">
            <v>1859</v>
          </cell>
          <cell r="K4433" t="str">
            <v>201602151421097</v>
          </cell>
          <cell r="M4433" t="str">
            <v>乳酸菌素片0.4g*36片</v>
          </cell>
        </row>
        <row r="4434">
          <cell r="E4434" t="str">
            <v>0020020020ZYLC0003</v>
          </cell>
          <cell r="H4434" t="str">
            <v>滨州益康医药连锁有限公司邹平县黄山一路店</v>
          </cell>
          <cell r="J4434" t="str">
            <v>1859</v>
          </cell>
          <cell r="K4434" t="str">
            <v>201602151421097</v>
          </cell>
          <cell r="M4434" t="str">
            <v>颠茄磺苄啶片12片</v>
          </cell>
        </row>
        <row r="4435">
          <cell r="E4435" t="str">
            <v>0020030170ZYEC0003</v>
          </cell>
          <cell r="H4435" t="str">
            <v>滨州益康医药连锁有限公司邹平县明珠店</v>
          </cell>
          <cell r="J4435" t="str">
            <v>1859</v>
          </cell>
          <cell r="K4435" t="str">
            <v>201602151421097</v>
          </cell>
          <cell r="M4435" t="str">
            <v>蒙脱石散3g*12袋</v>
          </cell>
        </row>
        <row r="4436">
          <cell r="E4436" t="str">
            <v>0020050090ZYEC0005</v>
          </cell>
          <cell r="H4436" t="str">
            <v>滨州益康医药连锁有限公司邹平县明珠店</v>
          </cell>
          <cell r="J4436" t="str">
            <v>1859</v>
          </cell>
          <cell r="K4436" t="str">
            <v>201602151421097</v>
          </cell>
          <cell r="M4436" t="str">
            <v>清热解毒口服液10ml*10支</v>
          </cell>
        </row>
        <row r="4437">
          <cell r="E4437" t="str">
            <v>0020030020ZYLC0010</v>
          </cell>
          <cell r="H4437" t="str">
            <v>滨州益康医药连锁有限公司黛溪四路店</v>
          </cell>
          <cell r="J4437" t="str">
            <v>1859</v>
          </cell>
          <cell r="K4437" t="str">
            <v>201602151421097</v>
          </cell>
          <cell r="M4437" t="str">
            <v>乳酸菌素片0.4g*36片</v>
          </cell>
        </row>
        <row r="4438">
          <cell r="E4438" t="str">
            <v>0020030020ZYLC0010</v>
          </cell>
          <cell r="H4438" t="str">
            <v>滨州益康医药连锁有限公司邹平县第五药店</v>
          </cell>
          <cell r="J4438" t="str">
            <v>1859</v>
          </cell>
          <cell r="K4438" t="str">
            <v>201602151421097</v>
          </cell>
          <cell r="M4438" t="str">
            <v>乳酸菌素片0.4g*36片</v>
          </cell>
        </row>
        <row r="4439">
          <cell r="E4439" t="str">
            <v>0020030020ZYLC0010</v>
          </cell>
          <cell r="H4439" t="str">
            <v>滨州益康医药连锁有限公司邹平县黄山一路店</v>
          </cell>
          <cell r="J4439" t="str">
            <v>1859</v>
          </cell>
          <cell r="K4439" t="str">
            <v>201602151421097</v>
          </cell>
          <cell r="M4439" t="str">
            <v>乳酸菌素片0.4g*36片</v>
          </cell>
        </row>
        <row r="4440">
          <cell r="E4440" t="str">
            <v>0020020030ZYZC0510</v>
          </cell>
          <cell r="H4440" t="str">
            <v>滨州益康医药连锁有限公司邹平县明珠店</v>
          </cell>
          <cell r="J4440" t="str">
            <v>1859</v>
          </cell>
          <cell r="K4440" t="str">
            <v>201602151421097</v>
          </cell>
          <cell r="M4440" t="str">
            <v>诺氟沙星胶囊0.1g*20粒</v>
          </cell>
        </row>
        <row r="4441">
          <cell r="E4441" t="str">
            <v>0020020030ZYZC0264</v>
          </cell>
          <cell r="H4441" t="str">
            <v>滨州益康医药连锁有限公司邹平县明珠店</v>
          </cell>
          <cell r="J4441" t="str">
            <v>1859</v>
          </cell>
          <cell r="K4441" t="str">
            <v>201602151421097</v>
          </cell>
          <cell r="M4441" t="str">
            <v>阿莫西林胶囊/益萨林0.5g*20粒</v>
          </cell>
        </row>
        <row r="4442">
          <cell r="E4442" t="str">
            <v>0020020030ZYZC0264</v>
          </cell>
          <cell r="H4442" t="str">
            <v>滨州益康医药连锁有限公司黛溪四路店</v>
          </cell>
          <cell r="J4442" t="str">
            <v>1859</v>
          </cell>
          <cell r="K4442" t="str">
            <v>201602151421097</v>
          </cell>
          <cell r="M4442" t="str">
            <v>阿莫西林胶囊/益萨林0.5g*20粒</v>
          </cell>
        </row>
        <row r="4443">
          <cell r="E4443" t="str">
            <v>0020030020ZYLC0010</v>
          </cell>
          <cell r="H4443" t="str">
            <v>滨州益康医药连锁有限公司邹平县黄山二路店</v>
          </cell>
          <cell r="J4443" t="str">
            <v>1859</v>
          </cell>
          <cell r="K4443" t="str">
            <v>201602151421097</v>
          </cell>
          <cell r="M4443" t="str">
            <v>乳酸菌素片0.4g*36片</v>
          </cell>
        </row>
        <row r="4444">
          <cell r="E4444" t="str">
            <v>0020030020SJSC0004</v>
          </cell>
          <cell r="H4444" t="str">
            <v>滨州益康医药连锁有限公司邹平县第五药店</v>
          </cell>
          <cell r="J4444" t="str">
            <v>1859</v>
          </cell>
          <cell r="K4444" t="str">
            <v>201602151421097</v>
          </cell>
          <cell r="M4444" t="str">
            <v>复方铝酸铋片/新胃必治50片</v>
          </cell>
        </row>
        <row r="4445">
          <cell r="E4445" t="str">
            <v>0020030020ZYLC0010</v>
          </cell>
          <cell r="H4445" t="str">
            <v>邹平益康诊所</v>
          </cell>
          <cell r="J4445" t="str">
            <v>1859</v>
          </cell>
          <cell r="K4445" t="str">
            <v>201602151421097</v>
          </cell>
          <cell r="M4445" t="str">
            <v>乳酸菌素片0.4g*36片</v>
          </cell>
        </row>
        <row r="4446">
          <cell r="E4446" t="str">
            <v>0020030040ZYLC0001</v>
          </cell>
          <cell r="H4446" t="str">
            <v>黄山办城南中心卫生室</v>
          </cell>
          <cell r="J4446" t="str">
            <v>1859</v>
          </cell>
          <cell r="K4446" t="str">
            <v>201602151421097</v>
          </cell>
          <cell r="M4446" t="str">
            <v>小儿氨酚黄那敏颗粒/护彤2g*12袋</v>
          </cell>
        </row>
        <row r="4447">
          <cell r="E4447" t="str">
            <v>0020020020ZYLC0011</v>
          </cell>
          <cell r="H4447" t="str">
            <v>滨州益康医药连锁有限公司邹平县第三药店</v>
          </cell>
          <cell r="J4447" t="str">
            <v>1859</v>
          </cell>
          <cell r="K4447" t="str">
            <v>201602151421097</v>
          </cell>
          <cell r="M4447" t="str">
            <v>颠茄磺苄啶片/儿童0.122g*20片</v>
          </cell>
        </row>
        <row r="4448">
          <cell r="E4448" t="str">
            <v>0020050090ZYEC0005</v>
          </cell>
          <cell r="H4448" t="str">
            <v>滨州益康医药连锁有限公司邹平县第十一店</v>
          </cell>
          <cell r="J4448" t="str">
            <v>1859</v>
          </cell>
          <cell r="K4448" t="str">
            <v>201602151421097</v>
          </cell>
          <cell r="M4448" t="str">
            <v>清热解毒口服液10ml*10支</v>
          </cell>
        </row>
        <row r="4449">
          <cell r="E4449" t="str">
            <v>0020070000ZYLC0052</v>
          </cell>
          <cell r="H4449" t="str">
            <v>滨州益康医药连锁有限公司邹魏一区店</v>
          </cell>
          <cell r="J4449" t="str">
            <v>1859</v>
          </cell>
          <cell r="K4449" t="str">
            <v>201602151421097</v>
          </cell>
          <cell r="M4449" t="str">
            <v>哈药六牌钙加锌口服液10ml*12支</v>
          </cell>
        </row>
        <row r="4450">
          <cell r="E4450" t="str">
            <v>0020050020ZYEC0008</v>
          </cell>
          <cell r="H4450" t="str">
            <v>滨州益康医药连锁有限公司邹魏一区店</v>
          </cell>
          <cell r="J4450" t="str">
            <v>1859</v>
          </cell>
          <cell r="K4450" t="str">
            <v>201602151421097</v>
          </cell>
          <cell r="M4450" t="str">
            <v>感冒解毒灵颗粒5g*10袋</v>
          </cell>
        </row>
        <row r="4451">
          <cell r="E4451" t="str">
            <v>0020030001SJZY0006</v>
          </cell>
          <cell r="H4451" t="str">
            <v>滨州益康医药连锁有限公司邹魏一区店</v>
          </cell>
          <cell r="J4451" t="str">
            <v>1859</v>
          </cell>
          <cell r="K4451" t="str">
            <v>201602151421097</v>
          </cell>
          <cell r="M4451" t="str">
            <v>葡萄糖酸钙口服溶液10ml*12支</v>
          </cell>
        </row>
        <row r="4452">
          <cell r="E4452" t="str">
            <v>0020020021ZYLC0005</v>
          </cell>
          <cell r="H4452" t="str">
            <v>滨州益康医药连锁有限公司邹魏一区店</v>
          </cell>
          <cell r="J4452" t="str">
            <v>1859</v>
          </cell>
          <cell r="K4452" t="str">
            <v>201602151421097</v>
          </cell>
          <cell r="M4452" t="str">
            <v>罗红霉素分散片/小严迪50mg*12片</v>
          </cell>
        </row>
        <row r="4453">
          <cell r="E4453" t="str">
            <v>0020070000SJZY0001</v>
          </cell>
          <cell r="H4453" t="str">
            <v>滨州益康医药连锁有限公司邹魏一区店</v>
          </cell>
          <cell r="J4453" t="str">
            <v>1859</v>
          </cell>
          <cell r="K4453" t="str">
            <v>201602151421097</v>
          </cell>
          <cell r="M4453" t="str">
            <v>葡萄糖酸锌口服液10ml*12支</v>
          </cell>
        </row>
        <row r="4454">
          <cell r="E4454" t="str">
            <v>0020070000ZYLC0051</v>
          </cell>
          <cell r="H4454" t="str">
            <v>滨州益康医药连锁有限公司邹魏一区店</v>
          </cell>
          <cell r="J4454" t="str">
            <v>1859</v>
          </cell>
          <cell r="K4454" t="str">
            <v>201602151421097</v>
          </cell>
          <cell r="M4454" t="str">
            <v>朴血乳酸亚铁口服液10ml*12支</v>
          </cell>
        </row>
        <row r="4455">
          <cell r="E4455" t="str">
            <v>0020020021ZYLC0004</v>
          </cell>
          <cell r="H4455" t="str">
            <v>滨州益康医药连锁有限公司邹魏一区店</v>
          </cell>
          <cell r="J4455" t="str">
            <v>1859</v>
          </cell>
          <cell r="K4455" t="str">
            <v>201602151421097</v>
          </cell>
          <cell r="M4455" t="str">
            <v>罗红霉素分散片/大严迪75mg*12片</v>
          </cell>
        </row>
        <row r="4456">
          <cell r="E4456" t="str">
            <v>0020040020SHYT0007</v>
          </cell>
          <cell r="H4456" t="str">
            <v>滨州益康医药连锁有限公司邹魏一区店</v>
          </cell>
          <cell r="J4456" t="str">
            <v>1859</v>
          </cell>
          <cell r="K4456" t="str">
            <v>201602151421097</v>
          </cell>
          <cell r="M4456" t="str">
            <v>丹佛胃尔康颗粒10g*6袋</v>
          </cell>
        </row>
        <row r="4457">
          <cell r="E4457" t="str">
            <v>0020020030ZYZC0283</v>
          </cell>
          <cell r="H4457" t="str">
            <v>滨州益康医药连锁有限公司邹平县魏桥惠民店</v>
          </cell>
          <cell r="J4457" t="str">
            <v>1859</v>
          </cell>
          <cell r="K4457" t="str">
            <v>201602151421097</v>
          </cell>
          <cell r="M4457" t="str">
            <v>头孢拉定胶囊0.25g*24粒</v>
          </cell>
        </row>
        <row r="4458">
          <cell r="E4458" t="str">
            <v>0020040020SHYT0007</v>
          </cell>
          <cell r="H4458" t="str">
            <v>滨州益康医药连锁有限公司邹平县魏桥惠民店</v>
          </cell>
          <cell r="J4458" t="str">
            <v>1859</v>
          </cell>
          <cell r="K4458" t="str">
            <v>201602151421097</v>
          </cell>
          <cell r="M4458" t="str">
            <v>丹佛胃尔康颗粒10g*6袋</v>
          </cell>
        </row>
        <row r="4459">
          <cell r="E4459" t="str">
            <v>0020020021ZYLC0004</v>
          </cell>
          <cell r="H4459" t="str">
            <v>山东广富集团有限公司医务室</v>
          </cell>
          <cell r="J4459" t="str">
            <v>1859</v>
          </cell>
          <cell r="K4459" t="str">
            <v>201602151421097</v>
          </cell>
          <cell r="M4459" t="str">
            <v>罗红霉素分散片/大严迪75mg*12片</v>
          </cell>
        </row>
        <row r="4460">
          <cell r="E4460" t="str">
            <v>0020030001SJZY0006</v>
          </cell>
          <cell r="H4460" t="str">
            <v>高新办邹魏一园第一中心卫生室</v>
          </cell>
          <cell r="J4460" t="str">
            <v>1859</v>
          </cell>
          <cell r="K4460" t="str">
            <v>201602151421097</v>
          </cell>
          <cell r="M4460" t="str">
            <v>葡萄糖酸钙口服溶液10ml*12支</v>
          </cell>
        </row>
        <row r="4461">
          <cell r="E4461" t="str">
            <v>0020070000ZYLC0001</v>
          </cell>
          <cell r="H4461" t="str">
            <v>滨州益康医药连锁有限公司邹魏一区店</v>
          </cell>
          <cell r="J4461" t="str">
            <v>1859</v>
          </cell>
          <cell r="K4461" t="str">
            <v>201602151421097</v>
          </cell>
          <cell r="M4461" t="str">
            <v>新盖中盖高钙片(成人)/盖中盖2.5g*36片</v>
          </cell>
        </row>
        <row r="4462">
          <cell r="E4462" t="str">
            <v>0020050020SHYT0016</v>
          </cell>
          <cell r="H4462" t="str">
            <v>滨州益康医药连锁有限公司邹魏一区店</v>
          </cell>
          <cell r="J4462" t="str">
            <v>1859</v>
          </cell>
          <cell r="K4462" t="str">
            <v>201602151421097</v>
          </cell>
          <cell r="M4462" t="str">
            <v>复方金银花颗粒10g*10袋</v>
          </cell>
        </row>
        <row r="4463">
          <cell r="E4463" t="str">
            <v>0020050001SHYT0017</v>
          </cell>
          <cell r="H4463" t="str">
            <v>滨州益康医药连锁有限公司孙镇店</v>
          </cell>
          <cell r="J4463" t="str">
            <v>1859</v>
          </cell>
          <cell r="K4463" t="str">
            <v>201602151421097</v>
          </cell>
          <cell r="M4463" t="str">
            <v>附子理中丸9g*10丸</v>
          </cell>
        </row>
        <row r="4464">
          <cell r="E4464" t="str">
            <v>0020050030SJSC0011</v>
          </cell>
          <cell r="H4464" t="str">
            <v>滨州益康医药连锁有限公司邹平县黄山店</v>
          </cell>
          <cell r="J4464" t="str">
            <v>1859</v>
          </cell>
          <cell r="K4464" t="str">
            <v>201602151421097</v>
          </cell>
          <cell r="M4464" t="str">
            <v>壮肾安神片45片</v>
          </cell>
        </row>
        <row r="4465">
          <cell r="E4465" t="str">
            <v>0020050090ZYEC0005</v>
          </cell>
          <cell r="H4465" t="str">
            <v>滨州益康医药连锁有限公司邹平县黄山店</v>
          </cell>
          <cell r="J4465" t="str">
            <v>1859</v>
          </cell>
          <cell r="K4465" t="str">
            <v>201602151421097</v>
          </cell>
          <cell r="M4465" t="str">
            <v>清热解毒口服液10ml*10支</v>
          </cell>
        </row>
        <row r="4466">
          <cell r="E4466" t="str">
            <v>0020070001ZYZC0383</v>
          </cell>
          <cell r="H4466" t="str">
            <v>桓台县果里镇太平村卫生室</v>
          </cell>
          <cell r="J4466" t="str">
            <v>1743</v>
          </cell>
          <cell r="K4466" t="str">
            <v>201602151421097</v>
          </cell>
          <cell r="M4466" t="str">
            <v>哈药牌钙铁锌口服液10ml*10支</v>
          </cell>
        </row>
        <row r="4467">
          <cell r="E4467" t="str">
            <v>0020050020ZYEC0008</v>
          </cell>
          <cell r="H4467" t="str">
            <v>滨州益康医药连锁有限公司邹平县黄山店</v>
          </cell>
          <cell r="J4467" t="str">
            <v>1859</v>
          </cell>
          <cell r="K4467" t="str">
            <v>201602151421097</v>
          </cell>
          <cell r="M4467" t="str">
            <v>感冒解毒灵颗粒5g*10袋</v>
          </cell>
        </row>
        <row r="4468">
          <cell r="E4468" t="str">
            <v>0020050090ZYEC0005</v>
          </cell>
          <cell r="H4468" t="str">
            <v>滨州益康医药连锁有限公司邹平县西王店</v>
          </cell>
          <cell r="J4468" t="str">
            <v>1859</v>
          </cell>
          <cell r="K4468" t="str">
            <v>201602151421097</v>
          </cell>
          <cell r="M4468" t="str">
            <v>清热解毒口服液10ml*10支</v>
          </cell>
        </row>
        <row r="4469">
          <cell r="E4469" t="str">
            <v>0020020021ZYLC0004</v>
          </cell>
          <cell r="H4469" t="str">
            <v>滨州益康医药连锁有限公司邹平县西王店</v>
          </cell>
          <cell r="J4469" t="str">
            <v>1859</v>
          </cell>
          <cell r="K4469" t="str">
            <v>201602151421097</v>
          </cell>
          <cell r="M4469" t="str">
            <v>罗红霉素分散片/大严迪75mg*12片</v>
          </cell>
        </row>
        <row r="4470">
          <cell r="E4470" t="str">
            <v>0020020030ZYZC0283</v>
          </cell>
          <cell r="H4470" t="str">
            <v>滨州益康医药连锁有限公司邹平县西王店</v>
          </cell>
          <cell r="J4470" t="str">
            <v>1859</v>
          </cell>
          <cell r="K4470" t="str">
            <v>201602151421097</v>
          </cell>
          <cell r="M4470" t="str">
            <v>头孢拉定胶囊0.25g*24粒</v>
          </cell>
        </row>
        <row r="4471">
          <cell r="E4471" t="str">
            <v>0020020030SJMS0024</v>
          </cell>
          <cell r="H4471" t="str">
            <v>滨州益康医药连锁有限公司邹平县西王店</v>
          </cell>
          <cell r="J4471" t="str">
            <v>1859</v>
          </cell>
          <cell r="K4471" t="str">
            <v>201602151421097</v>
          </cell>
          <cell r="M4471" t="str">
            <v>人工牛黄甲硝唑胶囊20粒</v>
          </cell>
        </row>
        <row r="4472">
          <cell r="E4472" t="str">
            <v>0020020030ZYZC0508</v>
          </cell>
          <cell r="H4472" t="str">
            <v>滨州益康医药连锁有限公司邹平县西王店</v>
          </cell>
          <cell r="J4472" t="str">
            <v>1859</v>
          </cell>
          <cell r="K4472" t="str">
            <v>201602151421097</v>
          </cell>
          <cell r="M4472" t="str">
            <v>阿莫西林胶囊/益萨林0.25g*20粒</v>
          </cell>
        </row>
        <row r="4473">
          <cell r="E4473" t="str">
            <v>0020050020ZYEC0008</v>
          </cell>
          <cell r="H4473" t="str">
            <v>滨州益康医药连锁有限公司邹平县西王店</v>
          </cell>
          <cell r="J4473" t="str">
            <v>1859</v>
          </cell>
          <cell r="K4473" t="str">
            <v>201602151421097</v>
          </cell>
          <cell r="M4473" t="str">
            <v>感冒解毒灵颗粒5g*10袋</v>
          </cell>
        </row>
        <row r="4474">
          <cell r="E4474" t="str">
            <v>0020070001ZYZC0383</v>
          </cell>
          <cell r="H4474" t="str">
            <v>滨州益康医药连锁有限公司邹平县黄山二路店</v>
          </cell>
          <cell r="J4474" t="str">
            <v>1859</v>
          </cell>
          <cell r="K4474" t="str">
            <v>201602151421097</v>
          </cell>
          <cell r="M4474" t="str">
            <v>哈药牌钙铁锌口服液10ml*10支</v>
          </cell>
        </row>
        <row r="4475">
          <cell r="E4475" t="str">
            <v>0020050090ZYEC0005</v>
          </cell>
          <cell r="H4475" t="str">
            <v>滨州益康医药连锁有限公司邹平第二药店</v>
          </cell>
          <cell r="J4475" t="str">
            <v>1859</v>
          </cell>
          <cell r="K4475" t="str">
            <v>201602151421097</v>
          </cell>
          <cell r="M4475" t="str">
            <v>清热解毒口服液10ml*10支</v>
          </cell>
        </row>
        <row r="4476">
          <cell r="E4476" t="str">
            <v>0020040020SHYT0007</v>
          </cell>
          <cell r="H4476" t="str">
            <v>滨州益康医药连锁有限公司邹平县第十二店</v>
          </cell>
          <cell r="J4476" t="str">
            <v>1859</v>
          </cell>
          <cell r="K4476" t="str">
            <v>201602151421097</v>
          </cell>
          <cell r="M4476" t="str">
            <v>丹佛胃尔康颗粒10g*6袋</v>
          </cell>
        </row>
        <row r="4477">
          <cell r="E4477" t="str">
            <v>0020020030ZYZC0264</v>
          </cell>
          <cell r="H4477" t="str">
            <v>滨州益康医药连锁有限公司邹平第二药店</v>
          </cell>
          <cell r="J4477" t="str">
            <v>1859</v>
          </cell>
          <cell r="K4477" t="str">
            <v>201602151421097</v>
          </cell>
          <cell r="M4477" t="str">
            <v>阿莫西林胶囊/益萨林0.5g*20粒</v>
          </cell>
        </row>
        <row r="4478">
          <cell r="E4478" t="str">
            <v>0020030020SJSC0004</v>
          </cell>
          <cell r="H4478" t="str">
            <v>滨州益康医药连锁有限公司邹平县第十二店</v>
          </cell>
          <cell r="J4478" t="str">
            <v>1859</v>
          </cell>
          <cell r="K4478" t="str">
            <v>201602151421097</v>
          </cell>
          <cell r="M4478" t="str">
            <v>复方铝酸铋片/新胃必治50片</v>
          </cell>
        </row>
        <row r="4479">
          <cell r="E4479" t="str">
            <v>0020070001ZYZC0383</v>
          </cell>
          <cell r="H4479" t="str">
            <v>滨州益康医药连锁有限公司邹平县第十二店</v>
          </cell>
          <cell r="J4479" t="str">
            <v>1859</v>
          </cell>
          <cell r="K4479" t="str">
            <v>201602151421097</v>
          </cell>
          <cell r="M4479" t="str">
            <v>哈药牌钙铁锌口服液10ml*10支</v>
          </cell>
        </row>
        <row r="4480">
          <cell r="E4480" t="str">
            <v>0020040001SHYT0026</v>
          </cell>
          <cell r="H4480" t="str">
            <v>滨州益康医药连锁有限公司邹平县第十二店</v>
          </cell>
          <cell r="J4480" t="str">
            <v>1859</v>
          </cell>
          <cell r="K4480" t="str">
            <v>201602151421097</v>
          </cell>
          <cell r="M4480" t="str">
            <v>小活络丸3g*10丸</v>
          </cell>
        </row>
        <row r="4481">
          <cell r="E4481" t="str">
            <v>0020020030SJMS0024</v>
          </cell>
          <cell r="H4481" t="str">
            <v>滨州益康医药连锁有限公司邹平县第十二店</v>
          </cell>
          <cell r="J4481" t="str">
            <v>1859</v>
          </cell>
          <cell r="K4481" t="str">
            <v>201602151421097</v>
          </cell>
          <cell r="M4481" t="str">
            <v>人工牛黄甲硝唑胶囊20粒</v>
          </cell>
        </row>
        <row r="4482">
          <cell r="E4482" t="str">
            <v>0020030001SJZY0006</v>
          </cell>
          <cell r="H4482" t="str">
            <v>滨州益康医药连锁有限公司邹平县第七药店</v>
          </cell>
          <cell r="J4482" t="str">
            <v>1859</v>
          </cell>
          <cell r="K4482" t="str">
            <v>201602151421097</v>
          </cell>
          <cell r="M4482" t="str">
            <v>葡萄糖酸钙口服溶液10ml*12支</v>
          </cell>
        </row>
        <row r="4483">
          <cell r="E4483" t="str">
            <v>0020070000SJZY0001</v>
          </cell>
          <cell r="H4483" t="str">
            <v>滨州益康医药连锁有限公司邹平县第九药店</v>
          </cell>
          <cell r="J4483" t="str">
            <v>1859</v>
          </cell>
          <cell r="K4483" t="str">
            <v>201602151421097</v>
          </cell>
          <cell r="M4483" t="str">
            <v>葡萄糖酸锌口服液10ml*12支</v>
          </cell>
        </row>
        <row r="4484">
          <cell r="E4484" t="str">
            <v>0020020030ZYZC0264</v>
          </cell>
          <cell r="H4484" t="str">
            <v>滨州益康医药连锁有限公司邹平县第三药店</v>
          </cell>
          <cell r="J4484" t="str">
            <v>1859</v>
          </cell>
          <cell r="K4484" t="str">
            <v>201602151421097</v>
          </cell>
          <cell r="M4484" t="str">
            <v>阿莫西林胶囊/益萨林0.5g*20粒</v>
          </cell>
        </row>
        <row r="4485">
          <cell r="E4485" t="str">
            <v>0020050020SHYT0016</v>
          </cell>
          <cell r="H4485" t="str">
            <v>滨州益康医药连锁有限公司邹平县第三药店</v>
          </cell>
          <cell r="J4485" t="str">
            <v>1859</v>
          </cell>
          <cell r="K4485" t="str">
            <v>201602151421097</v>
          </cell>
          <cell r="M4485" t="str">
            <v>复方金银花颗粒10g*10袋</v>
          </cell>
        </row>
        <row r="4486">
          <cell r="E4486" t="str">
            <v>0020050090ZYEC0005</v>
          </cell>
          <cell r="H4486" t="str">
            <v>滨州益康医药连锁有限公司邹平县第三药店</v>
          </cell>
          <cell r="J4486" t="str">
            <v>1859</v>
          </cell>
          <cell r="K4486" t="str">
            <v>201602151421097</v>
          </cell>
          <cell r="M4486" t="str">
            <v>清热解毒口服液10ml*10支</v>
          </cell>
        </row>
        <row r="4487">
          <cell r="E4487" t="str">
            <v>0020020030ZYZC0283</v>
          </cell>
          <cell r="H4487" t="str">
            <v>滨州益康医药连锁有限公司邹平县南范店</v>
          </cell>
          <cell r="J4487" t="str">
            <v>1859</v>
          </cell>
          <cell r="K4487" t="str">
            <v>201602151421097</v>
          </cell>
          <cell r="M4487" t="str">
            <v>头孢拉定胶囊0.25g*24粒</v>
          </cell>
        </row>
        <row r="4488">
          <cell r="E4488" t="str">
            <v>0020070000SJZY0001</v>
          </cell>
          <cell r="H4488" t="str">
            <v>滨州益康医药连锁有限公司邹平县第十药店</v>
          </cell>
          <cell r="J4488" t="str">
            <v>1859</v>
          </cell>
          <cell r="K4488" t="str">
            <v>201602151421097</v>
          </cell>
          <cell r="M4488" t="str">
            <v>葡萄糖酸锌口服液10ml*12支</v>
          </cell>
        </row>
        <row r="4489">
          <cell r="E4489" t="str">
            <v>0020070001ZYZC0383</v>
          </cell>
          <cell r="H4489" t="str">
            <v>滨州益康医药连锁有限公司邹平至善店</v>
          </cell>
          <cell r="J4489" t="str">
            <v>1859</v>
          </cell>
          <cell r="K4489" t="str">
            <v>201602151421097</v>
          </cell>
          <cell r="M4489" t="str">
            <v>哈药牌钙铁锌口服液10ml*10支</v>
          </cell>
        </row>
        <row r="4490">
          <cell r="E4490" t="str">
            <v>0020020030SJMS0024</v>
          </cell>
          <cell r="H4490" t="str">
            <v>滨州益康医药连锁有限公司邹平县黄山三路店</v>
          </cell>
          <cell r="J4490" t="str">
            <v>1859</v>
          </cell>
          <cell r="K4490" t="str">
            <v>201602151421097</v>
          </cell>
          <cell r="M4490" t="str">
            <v>人工牛黄甲硝唑胶囊20粒</v>
          </cell>
        </row>
        <row r="4491">
          <cell r="E4491" t="str">
            <v>0020070000ZYLC0051</v>
          </cell>
          <cell r="H4491" t="str">
            <v>滨州益康医药连锁有限公司邹平月河店</v>
          </cell>
          <cell r="J4491" t="str">
            <v>1859</v>
          </cell>
          <cell r="K4491" t="str">
            <v>201602151421097</v>
          </cell>
          <cell r="M4491" t="str">
            <v>朴血乳酸亚铁口服液10ml*12支</v>
          </cell>
        </row>
        <row r="4492">
          <cell r="E4492" t="str">
            <v>0020030040SHYT0010</v>
          </cell>
          <cell r="H4492" t="str">
            <v>滨州益康医药连锁有限公司邹平县长山店</v>
          </cell>
          <cell r="J4492" t="str">
            <v>1859</v>
          </cell>
          <cell r="K4492" t="str">
            <v>201602151421097</v>
          </cell>
          <cell r="M4492" t="str">
            <v>布洛芬颗粒/小安瑞克0.2g*12袋</v>
          </cell>
        </row>
        <row r="4493">
          <cell r="E4493" t="str">
            <v>0020020021ZYZC0341</v>
          </cell>
          <cell r="H4493" t="str">
            <v>滨州益康医药连锁有限公司邹平县长山店</v>
          </cell>
          <cell r="J4493" t="str">
            <v>1859</v>
          </cell>
          <cell r="K4493" t="str">
            <v>201602151421097</v>
          </cell>
          <cell r="M4493" t="str">
            <v>阿莫西林克拉维酸钾分散片/胜艾0.2285g*12片</v>
          </cell>
        </row>
        <row r="4494">
          <cell r="E4494" t="str">
            <v>0020070000ZYLC0052</v>
          </cell>
          <cell r="H4494" t="str">
            <v>滨州益康医药连锁有限公司邹平县礼参店</v>
          </cell>
          <cell r="J4494" t="str">
            <v>1859</v>
          </cell>
          <cell r="K4494" t="str">
            <v>201602151421097</v>
          </cell>
          <cell r="M4494" t="str">
            <v>哈药六牌钙加锌口服液10ml*12支</v>
          </cell>
        </row>
        <row r="4495">
          <cell r="E4495" t="str">
            <v>0020020030ZYZC0508</v>
          </cell>
          <cell r="H4495" t="str">
            <v>滨州益康医药连锁有限公司邹平县礼参店</v>
          </cell>
          <cell r="J4495" t="str">
            <v>1859</v>
          </cell>
          <cell r="K4495" t="str">
            <v>201602151421097</v>
          </cell>
          <cell r="M4495" t="str">
            <v>阿莫西林胶囊/益萨林0.25g*20粒</v>
          </cell>
        </row>
        <row r="4496">
          <cell r="E4496" t="str">
            <v>0020070000ZYLC0052</v>
          </cell>
          <cell r="H4496" t="str">
            <v>滨州益康医药连锁有限公司邹平县魏纺路店</v>
          </cell>
          <cell r="J4496" t="str">
            <v>1859</v>
          </cell>
          <cell r="K4496" t="str">
            <v>201602151421097</v>
          </cell>
          <cell r="M4496" t="str">
            <v>哈药六牌钙加锌口服液10ml*12支</v>
          </cell>
        </row>
        <row r="4497">
          <cell r="E4497" t="str">
            <v>0020070000ZYLC0001</v>
          </cell>
          <cell r="H4497" t="str">
            <v>滨州益康医药连锁有限公司邹平县礼参店</v>
          </cell>
          <cell r="J4497" t="str">
            <v>1859</v>
          </cell>
          <cell r="K4497" t="str">
            <v>201602151421097</v>
          </cell>
          <cell r="M4497" t="str">
            <v>新盖中盖高钙片(成人)/盖中盖2.5g*36片</v>
          </cell>
        </row>
        <row r="4498">
          <cell r="E4498" t="str">
            <v>0020030001SJZY0006</v>
          </cell>
          <cell r="H4498" t="str">
            <v>滨州益康医药连锁有限公司邹平县黄山一路店</v>
          </cell>
          <cell r="J4498" t="str">
            <v>1859</v>
          </cell>
          <cell r="K4498" t="str">
            <v>201602151421097</v>
          </cell>
          <cell r="M4498" t="str">
            <v>葡萄糖酸钙口服溶液10ml*12支</v>
          </cell>
        </row>
        <row r="4499">
          <cell r="E4499" t="str">
            <v>0020070000SJZY0001</v>
          </cell>
          <cell r="H4499" t="str">
            <v>滨州益康医药连锁有限公司邹平县第五药店</v>
          </cell>
          <cell r="J4499" t="str">
            <v>1859</v>
          </cell>
          <cell r="K4499" t="str">
            <v>201602151421097</v>
          </cell>
          <cell r="M4499" t="str">
            <v>葡萄糖酸锌口服液10ml*12支</v>
          </cell>
        </row>
        <row r="4500">
          <cell r="E4500" t="str">
            <v>0020050020ZYEC0008</v>
          </cell>
          <cell r="H4500" t="str">
            <v>滨州益康医药连锁有限公司邹平县亲民药店</v>
          </cell>
          <cell r="J4500" t="str">
            <v>1859</v>
          </cell>
          <cell r="K4500" t="str">
            <v>201602151421097</v>
          </cell>
          <cell r="M4500" t="str">
            <v>感冒解毒灵颗粒5g*10袋</v>
          </cell>
        </row>
        <row r="4501">
          <cell r="E4501" t="str">
            <v>0020030001SJZY0006</v>
          </cell>
          <cell r="H4501" t="str">
            <v>台子镇官道村卫生室</v>
          </cell>
          <cell r="J4501" t="str">
            <v>1859</v>
          </cell>
          <cell r="K4501" t="str">
            <v>201602151421097</v>
          </cell>
          <cell r="M4501" t="str">
            <v>葡萄糖酸钙口服溶液10ml*12支</v>
          </cell>
        </row>
        <row r="4502">
          <cell r="E4502" t="str">
            <v>0020070000ZYLC0052</v>
          </cell>
          <cell r="H4502" t="str">
            <v>滨州益康医药连锁有限公司邹平县中心店</v>
          </cell>
          <cell r="J4502" t="str">
            <v>1859</v>
          </cell>
          <cell r="K4502" t="str">
            <v>201602151421097</v>
          </cell>
          <cell r="M4502" t="str">
            <v>哈药六牌钙加锌口服液10ml*12支</v>
          </cell>
        </row>
        <row r="4503">
          <cell r="E4503" t="str">
            <v>0020030001SJZY0006</v>
          </cell>
          <cell r="H4503" t="str">
            <v>邹平县润福堂医药有限公司</v>
          </cell>
          <cell r="J4503" t="str">
            <v>1859</v>
          </cell>
          <cell r="K4503" t="str">
            <v>201602151421097</v>
          </cell>
          <cell r="M4503" t="str">
            <v>葡萄糖酸钙口服溶液10ml*12支</v>
          </cell>
        </row>
        <row r="4504">
          <cell r="E4504" t="str">
            <v>0020070000ZYLC0001</v>
          </cell>
          <cell r="H4504" t="str">
            <v>淄博利和民医药销售有限公司</v>
          </cell>
          <cell r="J4504" t="str">
            <v>1744</v>
          </cell>
          <cell r="K4504" t="str">
            <v>201602151421097</v>
          </cell>
          <cell r="M4504" t="str">
            <v>新盖中盖高钙片(成人)/盖中盖2.5g*36片</v>
          </cell>
        </row>
        <row r="4505">
          <cell r="E4505" t="str">
            <v>0020030170ZYEC0003</v>
          </cell>
          <cell r="H4505" t="str">
            <v>西董街道办事处黄家河滩中心卫生室</v>
          </cell>
          <cell r="J4505" t="str">
            <v>1859</v>
          </cell>
          <cell r="K4505" t="str">
            <v>201602151421097</v>
          </cell>
          <cell r="M4505" t="str">
            <v>蒙脱石散3g*12袋</v>
          </cell>
        </row>
        <row r="4506">
          <cell r="E4506" t="str">
            <v>0020020021ZYZC0341</v>
          </cell>
          <cell r="H4506" t="str">
            <v>滨州益康医药连锁有限公司邹平县黄山店</v>
          </cell>
          <cell r="J4506" t="str">
            <v>1859</v>
          </cell>
          <cell r="K4506" t="str">
            <v>201602151421097</v>
          </cell>
          <cell r="M4506" t="str">
            <v>阿莫西林克拉维酸钾分散片/胜艾0.2285g*12片</v>
          </cell>
        </row>
        <row r="4507">
          <cell r="E4507" t="str">
            <v>0020050090ZYEC0005</v>
          </cell>
          <cell r="H4507" t="str">
            <v>滨州益康医药连锁有限公司便民店</v>
          </cell>
          <cell r="J4507" t="str">
            <v>1859</v>
          </cell>
          <cell r="K4507" t="str">
            <v>201602151421097</v>
          </cell>
          <cell r="M4507" t="str">
            <v>清热解毒口服液10ml*10支</v>
          </cell>
        </row>
        <row r="4508">
          <cell r="E4508" t="str">
            <v>0020030020ZYLC0006</v>
          </cell>
          <cell r="H4508" t="str">
            <v>邹平马惠霞中西医结合诊所</v>
          </cell>
          <cell r="J4508" t="str">
            <v>1859</v>
          </cell>
          <cell r="K4508" t="str">
            <v>201602151421097</v>
          </cell>
          <cell r="M4508" t="str">
            <v>复方氨酚烷胺片12片</v>
          </cell>
        </row>
        <row r="4509">
          <cell r="E4509" t="str">
            <v>0020040001SHYT0026</v>
          </cell>
          <cell r="H4509" t="str">
            <v>滨州益康医药连锁有限公司邹平县第一药店</v>
          </cell>
          <cell r="J4509" t="str">
            <v>1859</v>
          </cell>
          <cell r="K4509" t="str">
            <v>201602151421097</v>
          </cell>
          <cell r="M4509" t="str">
            <v>小活络丸3g*10丸</v>
          </cell>
        </row>
        <row r="4510">
          <cell r="E4510" t="str">
            <v>0020020021ZYLC0004</v>
          </cell>
          <cell r="H4510" t="str">
            <v>滨州益康医药连锁有限公司邹平县魏桥惠民店</v>
          </cell>
          <cell r="J4510" t="str">
            <v>1859</v>
          </cell>
          <cell r="K4510" t="str">
            <v>201602151421097</v>
          </cell>
          <cell r="M4510" t="str">
            <v>罗红霉素分散片/大严迪75mg*12片</v>
          </cell>
        </row>
        <row r="4511">
          <cell r="E4511" t="str">
            <v>0020020030ZYZC0510</v>
          </cell>
          <cell r="H4511" t="str">
            <v>码头镇中站中心卫生室</v>
          </cell>
          <cell r="J4511" t="str">
            <v>1859</v>
          </cell>
          <cell r="K4511" t="str">
            <v>201602151421097</v>
          </cell>
          <cell r="M4511" t="str">
            <v>诺氟沙星胶囊0.1g*20粒</v>
          </cell>
        </row>
        <row r="4512">
          <cell r="E4512" t="str">
            <v>0020020021ZYZC0341</v>
          </cell>
          <cell r="H4512" t="str">
            <v>邹平杏林堂医药连锁有限公司</v>
          </cell>
          <cell r="J4512" t="str">
            <v>1859</v>
          </cell>
          <cell r="K4512" t="str">
            <v>201602151421097</v>
          </cell>
          <cell r="M4512" t="str">
            <v>阿莫西林克拉维酸钾分散片/胜艾0.2285g*12片</v>
          </cell>
        </row>
        <row r="4513">
          <cell r="E4513" t="str">
            <v>0020030001SJZY0006</v>
          </cell>
          <cell r="H4513" t="str">
            <v>博兴益康诊所</v>
          </cell>
          <cell r="J4513" t="str">
            <v>1858</v>
          </cell>
          <cell r="K4513" t="str">
            <v>201602151421097</v>
          </cell>
          <cell r="M4513" t="str">
            <v>葡萄糖酸钙口服溶液10ml*12支</v>
          </cell>
        </row>
        <row r="4514">
          <cell r="E4514" t="str">
            <v>0020020021ZYLC0005</v>
          </cell>
          <cell r="H4514" t="str">
            <v>邹平杏林堂医药连锁有限公司</v>
          </cell>
          <cell r="J4514" t="str">
            <v>1859</v>
          </cell>
          <cell r="K4514" t="str">
            <v>201602151421097</v>
          </cell>
          <cell r="M4514" t="str">
            <v>罗红霉素分散片/小严迪50mg*12片</v>
          </cell>
        </row>
        <row r="4515">
          <cell r="E4515" t="str">
            <v>0020020030SJMS0024</v>
          </cell>
          <cell r="H4515" t="str">
            <v>滨州益康医药连锁有限公司邹平县第八药店</v>
          </cell>
          <cell r="J4515" t="str">
            <v>1859</v>
          </cell>
          <cell r="K4515" t="str">
            <v>201602151421097</v>
          </cell>
          <cell r="M4515" t="str">
            <v>人工牛黄甲硝唑胶囊20粒</v>
          </cell>
        </row>
        <row r="4516">
          <cell r="E4516" t="str">
            <v>0020050001SHYT0017</v>
          </cell>
          <cell r="H4516" t="str">
            <v>邹平杏林堂医药连锁有限公司</v>
          </cell>
          <cell r="J4516" t="str">
            <v>1859</v>
          </cell>
          <cell r="K4516" t="str">
            <v>201602151421097</v>
          </cell>
          <cell r="M4516" t="str">
            <v>附子理中丸9g*10丸</v>
          </cell>
        </row>
        <row r="4517">
          <cell r="E4517" t="str">
            <v>0020040001SHYT0026</v>
          </cell>
          <cell r="H4517" t="str">
            <v>邹平杏林堂医药连锁有限公司</v>
          </cell>
          <cell r="J4517" t="str">
            <v>1859</v>
          </cell>
          <cell r="K4517" t="str">
            <v>201602151421097</v>
          </cell>
          <cell r="M4517" t="str">
            <v>小活络丸3g*10丸</v>
          </cell>
        </row>
        <row r="4518">
          <cell r="E4518" t="str">
            <v>0020070000ZYLC0001</v>
          </cell>
          <cell r="H4518" t="str">
            <v>韩店镇旧口中心卫生室</v>
          </cell>
          <cell r="J4518" t="str">
            <v>1859</v>
          </cell>
          <cell r="K4518" t="str">
            <v>201602151421097</v>
          </cell>
          <cell r="M4518" t="str">
            <v>新盖中盖高钙片(成人)/盖中盖2.5g*36片</v>
          </cell>
        </row>
        <row r="4519">
          <cell r="E4519" t="str">
            <v>0020040001SHYT0026</v>
          </cell>
          <cell r="H4519" t="str">
            <v>滨州益康医药连锁有限公司黛溪四路店</v>
          </cell>
          <cell r="J4519" t="str">
            <v>1859</v>
          </cell>
          <cell r="K4519" t="str">
            <v>201602151421097</v>
          </cell>
          <cell r="M4519" t="str">
            <v>小活络丸3g*10丸</v>
          </cell>
        </row>
        <row r="4520">
          <cell r="E4520" t="str">
            <v>0020050001SHYT0017</v>
          </cell>
          <cell r="H4520" t="str">
            <v>滨州益康医药连锁有限公司黛溪四路店</v>
          </cell>
          <cell r="J4520" t="str">
            <v>1859</v>
          </cell>
          <cell r="K4520" t="str">
            <v>201602151421097</v>
          </cell>
          <cell r="M4520" t="str">
            <v>附子理中丸9g*10丸</v>
          </cell>
        </row>
        <row r="4521">
          <cell r="E4521" t="str">
            <v>0020020030ZYZC0508</v>
          </cell>
          <cell r="H4521" t="str">
            <v>滨州益康医药连锁有限公司黛溪四路店</v>
          </cell>
          <cell r="J4521" t="str">
            <v>1859</v>
          </cell>
          <cell r="K4521" t="str">
            <v>201602151421097</v>
          </cell>
          <cell r="M4521" t="str">
            <v>阿莫西林胶囊/益萨林0.25g*20粒</v>
          </cell>
        </row>
        <row r="4522">
          <cell r="E4522" t="str">
            <v>0020020030SJMS0024</v>
          </cell>
          <cell r="H4522" t="str">
            <v>滨州益康医药连锁有限公司邹平县第五药店</v>
          </cell>
          <cell r="J4522" t="str">
            <v>1859</v>
          </cell>
          <cell r="K4522" t="str">
            <v>201602151421097</v>
          </cell>
          <cell r="M4522" t="str">
            <v>人工牛黄甲硝唑胶囊20粒</v>
          </cell>
        </row>
        <row r="4523">
          <cell r="E4523" t="str">
            <v>0020030040ZYZC0307</v>
          </cell>
          <cell r="H4523" t="str">
            <v>滨州益康医药连锁有限公司黛溪四路店</v>
          </cell>
          <cell r="J4523" t="str">
            <v>1859</v>
          </cell>
          <cell r="K4523" t="str">
            <v>201602151421097</v>
          </cell>
          <cell r="M4523" t="str">
            <v>富马酸亚铁颗粒6袋</v>
          </cell>
        </row>
        <row r="4524">
          <cell r="E4524" t="str">
            <v>0020020020ZYLC0003</v>
          </cell>
          <cell r="H4524" t="str">
            <v>滨州益康医药连锁有限公司邹平县黄山二路店</v>
          </cell>
          <cell r="J4524" t="str">
            <v>1859</v>
          </cell>
          <cell r="K4524" t="str">
            <v>201602151421097</v>
          </cell>
          <cell r="M4524" t="str">
            <v>颠茄磺苄啶片12片</v>
          </cell>
        </row>
        <row r="4525">
          <cell r="E4525" t="str">
            <v>0020050090ZYEC0005</v>
          </cell>
          <cell r="H4525" t="str">
            <v>滨州益康医药连锁有限公司黛溪四路店</v>
          </cell>
          <cell r="J4525" t="str">
            <v>1859</v>
          </cell>
          <cell r="K4525" t="str">
            <v>201602151421097</v>
          </cell>
          <cell r="M4525" t="str">
            <v>清热解毒口服液10ml*10支</v>
          </cell>
        </row>
        <row r="4526">
          <cell r="E4526" t="str">
            <v>0020070000ZYLC0051</v>
          </cell>
          <cell r="H4526" t="str">
            <v>滨州益康医药连锁有限公司邹平县黄山一路店</v>
          </cell>
          <cell r="J4526" t="str">
            <v>1859</v>
          </cell>
          <cell r="K4526" t="str">
            <v>201602151421097</v>
          </cell>
          <cell r="M4526" t="str">
            <v>朴血乳酸亚铁口服液10ml*12支</v>
          </cell>
        </row>
        <row r="4527">
          <cell r="E4527" t="str">
            <v>0020020030ZYZC0283</v>
          </cell>
          <cell r="H4527" t="str">
            <v>滨州益康医药连锁有限公司邹平县黄山一路店</v>
          </cell>
          <cell r="J4527" t="str">
            <v>1859</v>
          </cell>
          <cell r="K4527" t="str">
            <v>201602151421097</v>
          </cell>
          <cell r="M4527" t="str">
            <v>头孢拉定胶囊0.25g*24粒</v>
          </cell>
        </row>
        <row r="4528">
          <cell r="E4528" t="str">
            <v>0020040020SHYT0007</v>
          </cell>
          <cell r="H4528" t="str">
            <v>滨州益康医药连锁有限公司邹平县黄山一路店</v>
          </cell>
          <cell r="J4528" t="str">
            <v>1859</v>
          </cell>
          <cell r="K4528" t="str">
            <v>201602151421097</v>
          </cell>
          <cell r="M4528" t="str">
            <v>丹佛胃尔康颗粒10g*6袋</v>
          </cell>
        </row>
        <row r="4529">
          <cell r="E4529" t="str">
            <v>0020020020ZYLC0011</v>
          </cell>
          <cell r="H4529" t="str">
            <v>滨州益康医药连锁有限公司邹平县亲民药店</v>
          </cell>
          <cell r="J4529" t="str">
            <v>1859</v>
          </cell>
          <cell r="K4529" t="str">
            <v>201602151421097</v>
          </cell>
          <cell r="M4529" t="str">
            <v>颠茄磺苄啶片/儿童0.122g*20片</v>
          </cell>
        </row>
        <row r="4530">
          <cell r="E4530" t="str">
            <v>0020050020ZYEC0008</v>
          </cell>
          <cell r="H4530" t="str">
            <v>滨州益康医药连锁有限公司黛溪四路店</v>
          </cell>
          <cell r="J4530" t="str">
            <v>1859</v>
          </cell>
          <cell r="K4530" t="str">
            <v>201602151421097</v>
          </cell>
          <cell r="M4530" t="str">
            <v>感冒解毒灵颗粒5g*10袋</v>
          </cell>
        </row>
        <row r="4531">
          <cell r="E4531" t="str">
            <v>0020050020ZYEC0008</v>
          </cell>
          <cell r="H4531" t="str">
            <v>滨州益康医药连锁有限公司邹平县黄山一路店</v>
          </cell>
          <cell r="J4531" t="str">
            <v>1859</v>
          </cell>
          <cell r="K4531" t="str">
            <v>201602151421097</v>
          </cell>
          <cell r="M4531" t="str">
            <v>感冒解毒灵颗粒5g*10袋</v>
          </cell>
        </row>
        <row r="4532">
          <cell r="E4532" t="str">
            <v>0020020030SJMS0024</v>
          </cell>
          <cell r="H4532" t="str">
            <v>滨州益康医药连锁有限公司邹平县第五药店</v>
          </cell>
          <cell r="J4532" t="str">
            <v>1859</v>
          </cell>
          <cell r="K4532" t="str">
            <v>201602151421097</v>
          </cell>
          <cell r="M4532" t="str">
            <v>人工牛黄甲硝唑胶囊20粒</v>
          </cell>
        </row>
        <row r="4533">
          <cell r="E4533" t="str">
            <v>0020020030SJMS0024</v>
          </cell>
          <cell r="H4533" t="str">
            <v>滨州益康医药连锁有限公司黛溪四路店</v>
          </cell>
          <cell r="J4533" t="str">
            <v>1859</v>
          </cell>
          <cell r="K4533" t="str">
            <v>201602151421097</v>
          </cell>
          <cell r="M4533" t="str">
            <v>人工牛黄甲硝唑胶囊20粒</v>
          </cell>
        </row>
        <row r="4534">
          <cell r="E4534" t="str">
            <v>0020020030SJMS0024</v>
          </cell>
          <cell r="H4534" t="str">
            <v>滨州益康医药连锁有限公司邹平县黄山一路店</v>
          </cell>
          <cell r="J4534" t="str">
            <v>1859</v>
          </cell>
          <cell r="K4534" t="str">
            <v>201602151421097</v>
          </cell>
          <cell r="M4534" t="str">
            <v>人工牛黄甲硝唑胶囊20粒</v>
          </cell>
        </row>
        <row r="4535">
          <cell r="E4535" t="str">
            <v>0020020030SJMS0024</v>
          </cell>
          <cell r="H4535" t="str">
            <v>滨州益康医药连锁有限公司邹平县明珠店</v>
          </cell>
          <cell r="J4535" t="str">
            <v>1859</v>
          </cell>
          <cell r="K4535" t="str">
            <v>201602151421097</v>
          </cell>
          <cell r="M4535" t="str">
            <v>人工牛黄甲硝唑胶囊20粒</v>
          </cell>
        </row>
        <row r="4536">
          <cell r="E4536" t="str">
            <v>0020020030SJMS0024</v>
          </cell>
          <cell r="H4536" t="str">
            <v>滨州益康医药连锁有限公司邹平县黛溪一路店</v>
          </cell>
          <cell r="J4536" t="str">
            <v>1859</v>
          </cell>
          <cell r="K4536" t="str">
            <v>201602151421097</v>
          </cell>
          <cell r="M4536" t="str">
            <v>人工牛黄甲硝唑胶囊20粒</v>
          </cell>
        </row>
        <row r="4537">
          <cell r="E4537" t="str">
            <v>0020030020SJSC0025</v>
          </cell>
          <cell r="H4537" t="str">
            <v>滨州益康医药连锁有限公司邹平县魏桥惠民店</v>
          </cell>
          <cell r="J4537" t="str">
            <v>1859</v>
          </cell>
          <cell r="K4537" t="str">
            <v>201602151421097</v>
          </cell>
          <cell r="M4537" t="str">
            <v>复方氨酚烷胺片12片</v>
          </cell>
        </row>
        <row r="4538">
          <cell r="E4538" t="str">
            <v>0020030040ZYLC0001</v>
          </cell>
          <cell r="H4538" t="str">
            <v>邹平县魏桥镇郑家中心卫生室</v>
          </cell>
          <cell r="J4538" t="str">
            <v>1859</v>
          </cell>
          <cell r="K4538" t="str">
            <v>201602151421097</v>
          </cell>
          <cell r="M4538" t="str">
            <v>小儿氨酚黄那敏颗粒/护彤2g*12袋</v>
          </cell>
        </row>
        <row r="4539">
          <cell r="E4539" t="str">
            <v>0020020020ZYZC0473</v>
          </cell>
          <cell r="H4539" t="str">
            <v>邹平县码头镇南高中心卫生室</v>
          </cell>
          <cell r="J4539" t="str">
            <v>1859</v>
          </cell>
          <cell r="K4539" t="str">
            <v>201602151421097</v>
          </cell>
          <cell r="M4539" t="str">
            <v>盐酸环丙沙星片0.25g*12片</v>
          </cell>
        </row>
        <row r="4540">
          <cell r="E4540" t="str">
            <v>0020020021ZYLC0005</v>
          </cell>
          <cell r="H4540" t="str">
            <v>滨州益康医药连锁有限公司邹平第二药店</v>
          </cell>
          <cell r="J4540" t="str">
            <v>1859</v>
          </cell>
          <cell r="K4540" t="str">
            <v>201602151421097</v>
          </cell>
          <cell r="M4540" t="str">
            <v>罗红霉素分散片/小严迪50mg*12片</v>
          </cell>
        </row>
        <row r="4541">
          <cell r="E4541" t="str">
            <v>0020030020SJSC0004</v>
          </cell>
          <cell r="H4541" t="str">
            <v>滨州益康医药连锁有限公司邹平县第三药店</v>
          </cell>
          <cell r="J4541" t="str">
            <v>1859</v>
          </cell>
          <cell r="K4541" t="str">
            <v>201602151421097</v>
          </cell>
          <cell r="M4541" t="str">
            <v>复方铝酸铋片/新胃必治50片</v>
          </cell>
        </row>
        <row r="4542">
          <cell r="E4542" t="str">
            <v>0020050090ZYEC0005</v>
          </cell>
          <cell r="H4542" t="str">
            <v>滨州益康医药连锁有限公司邹平至善店</v>
          </cell>
          <cell r="J4542" t="str">
            <v>1859</v>
          </cell>
          <cell r="K4542" t="str">
            <v>201602151421097</v>
          </cell>
          <cell r="M4542" t="str">
            <v>清热解毒口服液10ml*10支</v>
          </cell>
        </row>
        <row r="4543">
          <cell r="E4543" t="str">
            <v>0020030020ZYLC0006</v>
          </cell>
          <cell r="H4543" t="str">
            <v>滨州益康医药连锁有限公司邹平至善店</v>
          </cell>
          <cell r="J4543" t="str">
            <v>1859</v>
          </cell>
          <cell r="K4543" t="str">
            <v>201602151421097</v>
          </cell>
          <cell r="M4543" t="str">
            <v>复方氨酚烷胺片12片</v>
          </cell>
        </row>
        <row r="4544">
          <cell r="E4544" t="str">
            <v>0020050030SJSC0011</v>
          </cell>
          <cell r="H4544" t="str">
            <v>滨州益康医药连锁有限公司邹平至善店</v>
          </cell>
          <cell r="J4544" t="str">
            <v>1859</v>
          </cell>
          <cell r="K4544" t="str">
            <v>201602151421097</v>
          </cell>
          <cell r="M4544" t="str">
            <v>壮肾安神片45片</v>
          </cell>
        </row>
        <row r="4545">
          <cell r="E4545" t="str">
            <v>0020030001SJZY0006</v>
          </cell>
          <cell r="H4545" t="str">
            <v>邹平杏林堂医药连锁有限公司</v>
          </cell>
          <cell r="J4545" t="str">
            <v>1859</v>
          </cell>
          <cell r="K4545" t="str">
            <v>201602151421097</v>
          </cell>
          <cell r="M4545" t="str">
            <v>葡萄糖酸钙口服溶液10ml*12支</v>
          </cell>
        </row>
        <row r="4546">
          <cell r="E4546" t="str">
            <v>0020040001SHYT0026</v>
          </cell>
          <cell r="H4546" t="str">
            <v>滨州益康医药连锁有限公司邹平县第六药店</v>
          </cell>
          <cell r="J4546" t="str">
            <v>1859</v>
          </cell>
          <cell r="K4546" t="str">
            <v>201602151421097</v>
          </cell>
          <cell r="M4546" t="str">
            <v>小活络丸3g*10丸</v>
          </cell>
        </row>
        <row r="4547">
          <cell r="E4547" t="str">
            <v>0020040020SHYT0007</v>
          </cell>
          <cell r="H4547" t="str">
            <v>滨州益康医药连锁有限公司便民店</v>
          </cell>
          <cell r="J4547" t="str">
            <v>1859</v>
          </cell>
          <cell r="K4547" t="str">
            <v>201602151421097</v>
          </cell>
          <cell r="M4547" t="str">
            <v>丹佛胃尔康颗粒10g*6袋</v>
          </cell>
        </row>
        <row r="4548">
          <cell r="E4548" t="str">
            <v>0020020030ZYZC0510</v>
          </cell>
          <cell r="H4548" t="str">
            <v>邹平县韩店镇小白中心卫生室</v>
          </cell>
          <cell r="J4548" t="str">
            <v>1859</v>
          </cell>
          <cell r="K4548" t="str">
            <v>201602151421097</v>
          </cell>
          <cell r="M4548" t="str">
            <v>诺氟沙星胶囊0.1g*20粒</v>
          </cell>
        </row>
        <row r="4549">
          <cell r="E4549" t="str">
            <v>0020030020SJSC0025</v>
          </cell>
          <cell r="H4549" t="str">
            <v>滨州益康医药连锁有限公司邹平县第十二店</v>
          </cell>
          <cell r="J4549" t="str">
            <v>1859</v>
          </cell>
          <cell r="K4549" t="str">
            <v>201602151421097</v>
          </cell>
          <cell r="M4549" t="str">
            <v>复方氨酚烷胺片12片</v>
          </cell>
        </row>
        <row r="4550">
          <cell r="E4550" t="str">
            <v>0020050090ZYEC0005</v>
          </cell>
          <cell r="H4550" t="str">
            <v>滨州益康医药连锁有限公司邹平县礼参店</v>
          </cell>
          <cell r="J4550" t="str">
            <v>1859</v>
          </cell>
          <cell r="K4550" t="str">
            <v>201602151421097</v>
          </cell>
          <cell r="M4550" t="str">
            <v>清热解毒口服液10ml*10支</v>
          </cell>
        </row>
        <row r="4551">
          <cell r="E4551" t="str">
            <v>0020020020ZYLC0003</v>
          </cell>
          <cell r="H4551" t="str">
            <v>滨州益康医药连锁有限公司邹平县第九药店</v>
          </cell>
          <cell r="J4551" t="str">
            <v>1859</v>
          </cell>
          <cell r="K4551" t="str">
            <v>201602151421097</v>
          </cell>
          <cell r="M4551" t="str">
            <v>颠茄磺苄啶片12片</v>
          </cell>
        </row>
        <row r="4552">
          <cell r="E4552" t="str">
            <v>0020030170ZYEC0003</v>
          </cell>
          <cell r="H4552" t="str">
            <v>滨州益康医药连锁有限公司邹平县第十药店</v>
          </cell>
          <cell r="J4552" t="str">
            <v>1859</v>
          </cell>
          <cell r="K4552" t="str">
            <v>201602151421097</v>
          </cell>
          <cell r="M4552" t="str">
            <v>蒙脱石散3g*12袋</v>
          </cell>
        </row>
        <row r="4553">
          <cell r="E4553" t="str">
            <v>0020030170ZYEC0003</v>
          </cell>
          <cell r="H4553" t="str">
            <v>台子镇店子中心卫生室</v>
          </cell>
          <cell r="J4553" t="str">
            <v>1859</v>
          </cell>
          <cell r="K4553" t="str">
            <v>201602151421097</v>
          </cell>
          <cell r="M4553" t="str">
            <v>蒙脱石散3g*12袋</v>
          </cell>
        </row>
        <row r="4554">
          <cell r="E4554" t="str">
            <v>0020020021ZYLC0004</v>
          </cell>
          <cell r="H4554" t="str">
            <v>开发区韩峰卫生室</v>
          </cell>
          <cell r="J4554" t="str">
            <v>1859</v>
          </cell>
          <cell r="K4554" t="str">
            <v>201602151421097</v>
          </cell>
          <cell r="M4554" t="str">
            <v>罗红霉素分散片/大严迪75mg*12片</v>
          </cell>
        </row>
        <row r="4555">
          <cell r="E4555" t="str">
            <v>0020020021ZYZC0341</v>
          </cell>
          <cell r="H4555" t="str">
            <v>滨州益康医药连锁有限公司邹平至善店</v>
          </cell>
          <cell r="J4555" t="str">
            <v>1859</v>
          </cell>
          <cell r="K4555" t="str">
            <v>201602151421097</v>
          </cell>
          <cell r="M4555" t="str">
            <v>阿莫西林克拉维酸钾分散片/胜艾0.2285g*12片</v>
          </cell>
        </row>
        <row r="4556">
          <cell r="E4556" t="str">
            <v>0020020030ZYZC0283</v>
          </cell>
          <cell r="H4556" t="str">
            <v>滨州益康医药连锁有限公司邹平至善店</v>
          </cell>
          <cell r="J4556" t="str">
            <v>1859</v>
          </cell>
          <cell r="K4556" t="str">
            <v>201602151421097</v>
          </cell>
          <cell r="M4556" t="str">
            <v>头孢拉定胶囊0.25g*24粒</v>
          </cell>
        </row>
        <row r="4557">
          <cell r="E4557" t="str">
            <v>0020070001ZYZC0383</v>
          </cell>
          <cell r="H4557" t="str">
            <v>邹平县韩店镇福源大药店</v>
          </cell>
          <cell r="J4557" t="str">
            <v>1859</v>
          </cell>
          <cell r="K4557" t="str">
            <v>201602151421097</v>
          </cell>
          <cell r="M4557" t="str">
            <v>哈药牌钙铁锌口服液10ml*10支</v>
          </cell>
        </row>
        <row r="4558">
          <cell r="E4558" t="str">
            <v>0020050001SHYT0017</v>
          </cell>
          <cell r="H4558" t="str">
            <v>滨州益康医药连锁有限公司邹平至善店</v>
          </cell>
          <cell r="J4558" t="str">
            <v>1859</v>
          </cell>
          <cell r="K4558" t="str">
            <v>201602151421097</v>
          </cell>
          <cell r="M4558" t="str">
            <v>附子理中丸9g*10丸</v>
          </cell>
        </row>
        <row r="4559">
          <cell r="E4559" t="str">
            <v>0020070000ZYLC0001</v>
          </cell>
          <cell r="H4559" t="str">
            <v>滨州益康医药连锁有限公司邹平至善店</v>
          </cell>
          <cell r="J4559" t="str">
            <v>1859</v>
          </cell>
          <cell r="K4559" t="str">
            <v>201602151421097</v>
          </cell>
          <cell r="M4559" t="str">
            <v>新盖中盖高钙片(成人)/盖中盖2.5g*36片</v>
          </cell>
        </row>
        <row r="4560">
          <cell r="E4560" t="str">
            <v>0020020012SWGC0007</v>
          </cell>
          <cell r="H4560" t="str">
            <v>山东九州通医药有限公司</v>
          </cell>
          <cell r="J4560" t="str">
            <v>1720</v>
          </cell>
          <cell r="M4560" t="str">
            <v>注射用奥美拉唑钠40mg</v>
          </cell>
        </row>
        <row r="4561">
          <cell r="E4561" t="str">
            <v>0020070000SJZY0001</v>
          </cell>
          <cell r="H4561" t="str">
            <v>连锁29店</v>
          </cell>
          <cell r="J4561" t="str">
            <v>1859</v>
          </cell>
          <cell r="K4561" t="str">
            <v>201602151421097</v>
          </cell>
          <cell r="M4561" t="str">
            <v>葡萄糖酸锌口服液12支/盒</v>
          </cell>
        </row>
        <row r="4562">
          <cell r="E4562" t="str">
            <v>0020030032ZYZC0300</v>
          </cell>
          <cell r="H4562" t="str">
            <v>连锁38店</v>
          </cell>
          <cell r="J4562" t="str">
            <v>1859</v>
          </cell>
          <cell r="K4562" t="str">
            <v>201602151421097</v>
          </cell>
          <cell r="M4562" t="str">
            <v>维生素E软胶囊100mg*30粒</v>
          </cell>
        </row>
        <row r="4563">
          <cell r="E4563" t="str">
            <v>0020020021ZYLC0005</v>
          </cell>
          <cell r="H4563" t="str">
            <v>连锁20店</v>
          </cell>
          <cell r="J4563" t="str">
            <v>1859</v>
          </cell>
          <cell r="K4563" t="str">
            <v>201602151421097</v>
          </cell>
          <cell r="M4563" t="str">
            <v>罗红霉素分散片-小严迪12片/盒</v>
          </cell>
        </row>
        <row r="4564">
          <cell r="E4564" t="str">
            <v>0020020021ZYLC0010</v>
          </cell>
          <cell r="H4564" t="str">
            <v>连锁20店</v>
          </cell>
          <cell r="J4564" t="str">
            <v>1859</v>
          </cell>
          <cell r="K4564" t="str">
            <v>201602151421097</v>
          </cell>
          <cell r="M4564" t="str">
            <v>长迪*克拉霉素分散片12片</v>
          </cell>
        </row>
        <row r="4565">
          <cell r="E4565" t="str">
            <v>0020050090SJZY0001</v>
          </cell>
          <cell r="H4565" t="str">
            <v>滨1店</v>
          </cell>
          <cell r="J4565" t="str">
            <v>1853</v>
          </cell>
          <cell r="K4565" t="str">
            <v>201602151421097</v>
          </cell>
          <cell r="M4565" t="str">
            <v>双黄连口服液10ml*10</v>
          </cell>
        </row>
        <row r="4566">
          <cell r="E4566" t="str">
            <v>0020030032ZYZC0300</v>
          </cell>
          <cell r="H4566" t="str">
            <v>滨1店</v>
          </cell>
          <cell r="J4566" t="str">
            <v>1853</v>
          </cell>
          <cell r="K4566" t="str">
            <v>201602151421097</v>
          </cell>
          <cell r="M4566" t="str">
            <v>维生素E软胶囊100mg*30粒</v>
          </cell>
        </row>
        <row r="4567">
          <cell r="E4567" t="str">
            <v>0020040070ZYEC0005</v>
          </cell>
          <cell r="H4567" t="str">
            <v>连锁43店</v>
          </cell>
          <cell r="J4567" t="str">
            <v>1859</v>
          </cell>
          <cell r="K4567" t="str">
            <v>201602151421097</v>
          </cell>
          <cell r="M4567" t="str">
            <v>小儿百部止咳糖浆100ml</v>
          </cell>
        </row>
        <row r="4568">
          <cell r="E4568" t="str">
            <v>0020040070ZYEC0005</v>
          </cell>
          <cell r="H4568" t="str">
            <v>连锁3店</v>
          </cell>
          <cell r="J4568" t="str">
            <v>1859</v>
          </cell>
          <cell r="K4568" t="str">
            <v>201602151421097</v>
          </cell>
          <cell r="M4568" t="str">
            <v>小儿百部止咳糖浆100ml</v>
          </cell>
        </row>
        <row r="4569">
          <cell r="E4569" t="str">
            <v>0020040070ZYEC0005</v>
          </cell>
          <cell r="H4569" t="str">
            <v>连锁35店</v>
          </cell>
          <cell r="J4569" t="str">
            <v>1859</v>
          </cell>
          <cell r="K4569" t="str">
            <v>201602151421097</v>
          </cell>
          <cell r="M4569" t="str">
            <v>小儿百部止咳糖浆100ml</v>
          </cell>
        </row>
        <row r="4570">
          <cell r="E4570" t="str">
            <v>0020070001ZYZC0383</v>
          </cell>
          <cell r="H4570" t="str">
            <v>连锁17店</v>
          </cell>
          <cell r="J4570" t="str">
            <v>1859</v>
          </cell>
          <cell r="K4570" t="str">
            <v>201602151421097</v>
          </cell>
          <cell r="M4570" t="str">
            <v>哈药牌钙铁锌口服液10ml*10支</v>
          </cell>
        </row>
        <row r="4571">
          <cell r="E4571" t="str">
            <v>0020040070ZYEC0005</v>
          </cell>
          <cell r="H4571" t="str">
            <v>连锁23店</v>
          </cell>
          <cell r="J4571" t="str">
            <v>1859</v>
          </cell>
          <cell r="K4571" t="str">
            <v>201602151421097</v>
          </cell>
          <cell r="M4571" t="str">
            <v>小儿百部止咳糖浆100ml</v>
          </cell>
        </row>
        <row r="4572">
          <cell r="E4572" t="str">
            <v>0020020021ZYLC0004</v>
          </cell>
          <cell r="H4572" t="str">
            <v>连锁2店</v>
          </cell>
          <cell r="J4572" t="str">
            <v>1859</v>
          </cell>
          <cell r="K4572" t="str">
            <v>201602151421097</v>
          </cell>
          <cell r="M4572" t="str">
            <v>严迪*罗红霉素分散片75mg*12</v>
          </cell>
        </row>
        <row r="4573">
          <cell r="E4573" t="str">
            <v>0020050090SJZY0001</v>
          </cell>
          <cell r="H4573" t="str">
            <v>连锁13店</v>
          </cell>
          <cell r="J4573" t="str">
            <v>1859</v>
          </cell>
          <cell r="K4573" t="str">
            <v>201602151421097</v>
          </cell>
          <cell r="M4573" t="str">
            <v>双黄连口服液10ml*10</v>
          </cell>
        </row>
        <row r="4574">
          <cell r="E4574" t="str">
            <v>0020070000ZYLC0001</v>
          </cell>
          <cell r="H4574" t="str">
            <v>连锁5店</v>
          </cell>
          <cell r="J4574" t="str">
            <v>1859</v>
          </cell>
          <cell r="K4574" t="str">
            <v>201602151421097</v>
          </cell>
          <cell r="M4574" t="str">
            <v>高钙片36片</v>
          </cell>
        </row>
        <row r="4575">
          <cell r="E4575" t="str">
            <v>0020030040ZYLC0001</v>
          </cell>
          <cell r="H4575" t="str">
            <v>连锁40店</v>
          </cell>
          <cell r="J4575" t="str">
            <v>1859</v>
          </cell>
          <cell r="K4575" t="str">
            <v>201602151421097</v>
          </cell>
          <cell r="M4575" t="str">
            <v>护彤*小儿氨酚黄那敏颗粒12袋</v>
          </cell>
        </row>
        <row r="4576">
          <cell r="E4576" t="str">
            <v>0020030040SJET0003</v>
          </cell>
          <cell r="H4576" t="str">
            <v>连锁39店</v>
          </cell>
          <cell r="J4576" t="str">
            <v>1859</v>
          </cell>
          <cell r="K4576" t="str">
            <v>201602151421097</v>
          </cell>
          <cell r="M4576" t="str">
            <v>氨金黄敏颗粒6g*10袋/盒</v>
          </cell>
        </row>
        <row r="4577">
          <cell r="E4577" t="str">
            <v>0020040070ZYEC0005</v>
          </cell>
          <cell r="H4577" t="str">
            <v>连锁34店</v>
          </cell>
          <cell r="J4577" t="str">
            <v>1859</v>
          </cell>
          <cell r="K4577" t="str">
            <v>201602151421097</v>
          </cell>
          <cell r="M4577" t="str">
            <v>小儿百部止咳糖浆100ml</v>
          </cell>
        </row>
        <row r="4578">
          <cell r="E4578" t="str">
            <v>0020040070ZYEC0005</v>
          </cell>
          <cell r="H4578" t="str">
            <v>连锁38店</v>
          </cell>
          <cell r="J4578" t="str">
            <v>1859</v>
          </cell>
          <cell r="K4578" t="str">
            <v>201602151421097</v>
          </cell>
          <cell r="M4578" t="str">
            <v>小儿百部止咳糖浆100ml</v>
          </cell>
        </row>
        <row r="4579">
          <cell r="E4579" t="str">
            <v>0020030001SJZY0006</v>
          </cell>
          <cell r="H4579" t="str">
            <v>连锁20店</v>
          </cell>
          <cell r="J4579" t="str">
            <v>1859</v>
          </cell>
          <cell r="K4579" t="str">
            <v>201602151421097</v>
          </cell>
          <cell r="M4579" t="str">
            <v>葡萄糖酸钙口服液12支/盒</v>
          </cell>
        </row>
        <row r="4580">
          <cell r="E4580" t="str">
            <v>0020040070ZYEC0005</v>
          </cell>
          <cell r="H4580" t="str">
            <v>连锁27店</v>
          </cell>
          <cell r="J4580" t="str">
            <v>1859</v>
          </cell>
          <cell r="K4580" t="str">
            <v>201602151421097</v>
          </cell>
          <cell r="M4580" t="str">
            <v>小儿百部止咳糖浆100ml</v>
          </cell>
        </row>
        <row r="4581">
          <cell r="E4581" t="str">
            <v>0020020030ZYZC0289</v>
          </cell>
          <cell r="H4581" t="str">
            <v>连锁46店</v>
          </cell>
          <cell r="J4581" t="str">
            <v>1859</v>
          </cell>
          <cell r="K4581" t="str">
            <v>201602151421097</v>
          </cell>
          <cell r="M4581" t="str">
            <v>阿莫西林胶囊0.5g*36粒</v>
          </cell>
        </row>
        <row r="4582">
          <cell r="E4582" t="str">
            <v>0020020030ZYZC0289</v>
          </cell>
          <cell r="H4582" t="str">
            <v>连锁7店</v>
          </cell>
          <cell r="J4582" t="str">
            <v>1859</v>
          </cell>
          <cell r="K4582" t="str">
            <v>201602151421097</v>
          </cell>
          <cell r="M4582" t="str">
            <v>阿莫西林胶囊0.5g*36粒</v>
          </cell>
        </row>
        <row r="4583">
          <cell r="E4583" t="str">
            <v>0020040070ZYEC0005</v>
          </cell>
          <cell r="H4583" t="str">
            <v>连锁32店</v>
          </cell>
          <cell r="J4583" t="str">
            <v>1859</v>
          </cell>
          <cell r="K4583" t="str">
            <v>201602151421097</v>
          </cell>
          <cell r="M4583" t="str">
            <v>小儿百部止咳糖浆100ml</v>
          </cell>
        </row>
        <row r="4584">
          <cell r="E4584" t="str">
            <v>0020070000SJZY0001</v>
          </cell>
          <cell r="H4584" t="str">
            <v>连锁33店</v>
          </cell>
          <cell r="J4584" t="str">
            <v>1859</v>
          </cell>
          <cell r="K4584" t="str">
            <v>201602151421097</v>
          </cell>
          <cell r="M4584" t="str">
            <v>葡萄糖酸锌口服液12支/盒</v>
          </cell>
        </row>
        <row r="4585">
          <cell r="E4585" t="str">
            <v>0020040070ZYEC0005</v>
          </cell>
          <cell r="H4585" t="str">
            <v>滨11店</v>
          </cell>
          <cell r="J4585" t="str">
            <v>1853</v>
          </cell>
          <cell r="K4585" t="str">
            <v>201602151421097</v>
          </cell>
          <cell r="M4585" t="str">
            <v>小儿百部止咳糖浆100ml</v>
          </cell>
        </row>
        <row r="4586">
          <cell r="E4586" t="str">
            <v>0020020021ZYZC0341</v>
          </cell>
          <cell r="H4586" t="str">
            <v>滨15店</v>
          </cell>
          <cell r="J4586" t="str">
            <v>1853</v>
          </cell>
          <cell r="K4586" t="str">
            <v>201602151421097</v>
          </cell>
          <cell r="M4586" t="str">
            <v>胜艾*阿莫西林克拉维酸钾分散片0.2285g*12pian</v>
          </cell>
        </row>
        <row r="4587">
          <cell r="E4587" t="str">
            <v>0020020030ZYZC0289</v>
          </cell>
          <cell r="H4587" t="str">
            <v>滨16店</v>
          </cell>
          <cell r="J4587" t="str">
            <v>1853</v>
          </cell>
          <cell r="K4587" t="str">
            <v>201602151421097</v>
          </cell>
          <cell r="M4587" t="str">
            <v>阿莫西林胶囊0.5g*36粒</v>
          </cell>
        </row>
        <row r="4588">
          <cell r="E4588" t="str">
            <v>0020040070ZYEC0005</v>
          </cell>
          <cell r="H4588" t="str">
            <v>滨旗舰店</v>
          </cell>
          <cell r="J4588" t="str">
            <v>1853</v>
          </cell>
          <cell r="K4588" t="str">
            <v>201602151421097</v>
          </cell>
          <cell r="M4588" t="str">
            <v>小儿百部止咳糖浆100ml</v>
          </cell>
        </row>
        <row r="4589">
          <cell r="E4589" t="str">
            <v>0020070000SJZY0001</v>
          </cell>
          <cell r="H4589" t="str">
            <v>连锁27店</v>
          </cell>
          <cell r="J4589" t="str">
            <v>1859</v>
          </cell>
          <cell r="K4589" t="str">
            <v>201602151421097</v>
          </cell>
          <cell r="M4589" t="str">
            <v>葡萄糖酸锌口服液12支/盒</v>
          </cell>
        </row>
        <row r="4590">
          <cell r="E4590" t="str">
            <v>0020030020SJSC0004</v>
          </cell>
          <cell r="H4590" t="str">
            <v>连锁48店</v>
          </cell>
          <cell r="J4590" t="str">
            <v>1859</v>
          </cell>
          <cell r="K4590" t="str">
            <v>201602151421097</v>
          </cell>
          <cell r="M4590" t="str">
            <v>胃必治*复方铝酸铋片50片</v>
          </cell>
        </row>
        <row r="4591">
          <cell r="E4591" t="str">
            <v>0020070001ZYZC0383</v>
          </cell>
          <cell r="H4591" t="str">
            <v>连锁23店</v>
          </cell>
          <cell r="J4591" t="str">
            <v>1859</v>
          </cell>
          <cell r="K4591" t="str">
            <v>201602151421097</v>
          </cell>
          <cell r="M4591" t="str">
            <v>哈药牌钙铁锌口服液10ml*10支</v>
          </cell>
        </row>
        <row r="4592">
          <cell r="E4592" t="str">
            <v>0020070000SJZY0001</v>
          </cell>
          <cell r="H4592" t="str">
            <v>连锁5店</v>
          </cell>
          <cell r="J4592" t="str">
            <v>1859</v>
          </cell>
          <cell r="K4592" t="str">
            <v>201602151421097</v>
          </cell>
          <cell r="M4592" t="str">
            <v>葡萄糖酸锌口服液12支/盒</v>
          </cell>
        </row>
        <row r="4593">
          <cell r="E4593" t="str">
            <v>0020070000SJZY0001</v>
          </cell>
          <cell r="H4593" t="str">
            <v>连锁31店</v>
          </cell>
          <cell r="J4593" t="str">
            <v>1859</v>
          </cell>
          <cell r="K4593" t="str">
            <v>201602151421097</v>
          </cell>
          <cell r="M4593" t="str">
            <v>葡萄糖酸锌口服液12支/盒</v>
          </cell>
        </row>
        <row r="4594">
          <cell r="E4594" t="str">
            <v>0020040070ZYEC0005</v>
          </cell>
          <cell r="H4594" t="str">
            <v>滨3店</v>
          </cell>
          <cell r="J4594" t="str">
            <v>1853</v>
          </cell>
          <cell r="K4594" t="str">
            <v>201602151421097</v>
          </cell>
          <cell r="M4594" t="str">
            <v>小儿百部止咳糖浆100ml</v>
          </cell>
        </row>
        <row r="4595">
          <cell r="E4595" t="str">
            <v>0020020021ZYLC0005</v>
          </cell>
          <cell r="H4595" t="str">
            <v>连锁27店</v>
          </cell>
          <cell r="J4595" t="str">
            <v>1859</v>
          </cell>
          <cell r="K4595" t="str">
            <v>201602151421097</v>
          </cell>
          <cell r="M4595" t="str">
            <v>罗红霉素分散片-小严迪12片/盒</v>
          </cell>
        </row>
        <row r="4596">
          <cell r="E4596" t="str">
            <v>0020030032ZYZC0300</v>
          </cell>
          <cell r="H4596" t="str">
            <v>滨17店</v>
          </cell>
          <cell r="J4596" t="str">
            <v>1853</v>
          </cell>
          <cell r="K4596" t="str">
            <v>201602151421097</v>
          </cell>
          <cell r="M4596" t="str">
            <v>维生素E软胶囊100mg*30粒</v>
          </cell>
        </row>
        <row r="4597">
          <cell r="E4597" t="str">
            <v>0020040070ZYEC0005</v>
          </cell>
          <cell r="H4597" t="str">
            <v>连锁40店</v>
          </cell>
          <cell r="J4597" t="str">
            <v>1859</v>
          </cell>
          <cell r="K4597" t="str">
            <v>201602151421097</v>
          </cell>
          <cell r="M4597" t="str">
            <v>小儿百部止咳糖浆100ml</v>
          </cell>
        </row>
        <row r="4598">
          <cell r="E4598" t="str">
            <v>0020020020ZYLC0010</v>
          </cell>
          <cell r="H4598" t="str">
            <v>连锁40店</v>
          </cell>
          <cell r="J4598" t="str">
            <v>1859</v>
          </cell>
          <cell r="K4598" t="str">
            <v>201602151421097</v>
          </cell>
          <cell r="M4598" t="str">
            <v>泻利停*颠茄磺苄啶片10片</v>
          </cell>
        </row>
        <row r="4599">
          <cell r="E4599" t="str">
            <v>0020050090SJZY0001</v>
          </cell>
          <cell r="H4599" t="str">
            <v>连锁37店</v>
          </cell>
          <cell r="J4599" t="str">
            <v>1859</v>
          </cell>
          <cell r="K4599" t="str">
            <v>201602151421097</v>
          </cell>
          <cell r="M4599" t="str">
            <v>双黄连口服液10ml*10</v>
          </cell>
        </row>
        <row r="4600">
          <cell r="E4600" t="str">
            <v>0020020020ZYLC0010</v>
          </cell>
          <cell r="H4600" t="str">
            <v>连锁3店</v>
          </cell>
          <cell r="J4600" t="str">
            <v>1859</v>
          </cell>
          <cell r="K4600" t="str">
            <v>201602151421097</v>
          </cell>
          <cell r="M4600" t="str">
            <v>泻利停*颠茄磺苄啶片10片</v>
          </cell>
        </row>
        <row r="4601">
          <cell r="E4601" t="str">
            <v>0020070001ZYZC0383</v>
          </cell>
          <cell r="H4601" t="str">
            <v>连锁43店</v>
          </cell>
          <cell r="J4601" t="str">
            <v>1859</v>
          </cell>
          <cell r="K4601" t="str">
            <v>201602151421097</v>
          </cell>
          <cell r="M4601" t="str">
            <v>哈药牌钙铁锌口服液10ml*10支</v>
          </cell>
        </row>
        <row r="4602">
          <cell r="E4602" t="str">
            <v>0020020021ZYLC0004</v>
          </cell>
          <cell r="H4602" t="str">
            <v>连锁43店</v>
          </cell>
          <cell r="J4602" t="str">
            <v>1859</v>
          </cell>
          <cell r="K4602" t="str">
            <v>201602151421097</v>
          </cell>
          <cell r="M4602" t="str">
            <v>严迪*罗红霉素分散片75mg*12</v>
          </cell>
        </row>
        <row r="4603">
          <cell r="E4603" t="str">
            <v>0020070000SJZY0001</v>
          </cell>
          <cell r="H4603" t="str">
            <v>连锁47店</v>
          </cell>
          <cell r="J4603" t="str">
            <v>1859</v>
          </cell>
          <cell r="K4603" t="str">
            <v>201602151421097</v>
          </cell>
          <cell r="M4603" t="str">
            <v>葡萄糖酸锌口服液12支/盒</v>
          </cell>
        </row>
        <row r="4604">
          <cell r="E4604" t="str">
            <v>0020030032ZYZC0300</v>
          </cell>
          <cell r="H4604" t="str">
            <v>连锁23店</v>
          </cell>
          <cell r="J4604" t="str">
            <v>1859</v>
          </cell>
          <cell r="K4604" t="str">
            <v>201602151421097</v>
          </cell>
          <cell r="M4604" t="str">
            <v>维生素E软胶囊100mg*30粒</v>
          </cell>
        </row>
        <row r="4605">
          <cell r="E4605" t="str">
            <v>0020020020ZYLC0010</v>
          </cell>
          <cell r="H4605" t="str">
            <v>连锁42店</v>
          </cell>
          <cell r="J4605" t="str">
            <v>1859</v>
          </cell>
          <cell r="K4605" t="str">
            <v>201602151421097</v>
          </cell>
          <cell r="M4605" t="str">
            <v>泻利停*颠茄磺苄啶片10片</v>
          </cell>
        </row>
        <row r="4606">
          <cell r="E4606" t="str">
            <v>0020020020ZYLC0010</v>
          </cell>
          <cell r="H4606" t="str">
            <v>连锁31店</v>
          </cell>
          <cell r="J4606" t="str">
            <v>1859</v>
          </cell>
          <cell r="K4606" t="str">
            <v>201602151421097</v>
          </cell>
          <cell r="M4606" t="str">
            <v>泻利停*颠茄磺苄啶片10片</v>
          </cell>
        </row>
        <row r="4607">
          <cell r="E4607" t="str">
            <v>0020070000SJZY0001</v>
          </cell>
          <cell r="H4607" t="str">
            <v>连锁11店</v>
          </cell>
          <cell r="J4607" t="str">
            <v>1859</v>
          </cell>
          <cell r="K4607" t="str">
            <v>201602151421097</v>
          </cell>
          <cell r="M4607" t="str">
            <v>葡萄糖酸锌口服液12支/盒</v>
          </cell>
        </row>
        <row r="4608">
          <cell r="E4608" t="str">
            <v>0020030001SJZY0006</v>
          </cell>
          <cell r="H4608" t="str">
            <v>连锁29店</v>
          </cell>
          <cell r="J4608" t="str">
            <v>1859</v>
          </cell>
          <cell r="K4608" t="str">
            <v>201602151421097</v>
          </cell>
          <cell r="M4608" t="str">
            <v>葡萄糖酸钙口服液12支/盒</v>
          </cell>
        </row>
        <row r="4609">
          <cell r="E4609" t="str">
            <v>0020040220SHYT0005</v>
          </cell>
          <cell r="H4609" t="str">
            <v>连锁6店</v>
          </cell>
          <cell r="J4609" t="str">
            <v>1859</v>
          </cell>
          <cell r="K4609" t="str">
            <v>201602151421097</v>
          </cell>
          <cell r="M4609" t="str">
            <v>妇宁栓1.6g*7粒</v>
          </cell>
        </row>
        <row r="4610">
          <cell r="E4610" t="str">
            <v>0020030040ZYLC0001</v>
          </cell>
          <cell r="H4610" t="str">
            <v>连锁26店</v>
          </cell>
          <cell r="J4610" t="str">
            <v>1859</v>
          </cell>
          <cell r="K4610" t="str">
            <v>201602151421097</v>
          </cell>
          <cell r="M4610" t="str">
            <v>护彤*小儿氨酚黄那敏颗粒12袋</v>
          </cell>
        </row>
        <row r="4611">
          <cell r="E4611" t="str">
            <v>0020030040ZYLC0001</v>
          </cell>
          <cell r="H4611" t="str">
            <v>连锁50店</v>
          </cell>
          <cell r="J4611" t="str">
            <v>1859</v>
          </cell>
          <cell r="K4611" t="str">
            <v>201602151421097</v>
          </cell>
          <cell r="M4611" t="str">
            <v>护彤*小儿氨酚黄那敏颗粒12袋</v>
          </cell>
        </row>
        <row r="4612">
          <cell r="E4612" t="str">
            <v>0020020021ZYLC0005</v>
          </cell>
          <cell r="H4612" t="str">
            <v>连锁15店</v>
          </cell>
          <cell r="J4612" t="str">
            <v>1859</v>
          </cell>
          <cell r="K4612" t="str">
            <v>201602151421097</v>
          </cell>
          <cell r="M4612" t="str">
            <v>罗红霉素分散片-小严迪12片/盒</v>
          </cell>
        </row>
        <row r="4613">
          <cell r="E4613" t="str">
            <v>0020030170ZYEC0003</v>
          </cell>
          <cell r="H4613" t="str">
            <v>连锁10店</v>
          </cell>
          <cell r="J4613" t="str">
            <v>1859</v>
          </cell>
          <cell r="K4613" t="str">
            <v>201602151421097</v>
          </cell>
          <cell r="M4613" t="str">
            <v>蒙脱石散*泻利停3克*12袋</v>
          </cell>
        </row>
        <row r="4614">
          <cell r="E4614" t="str">
            <v>0020040220SHYT0005</v>
          </cell>
          <cell r="H4614" t="str">
            <v>连锁17店</v>
          </cell>
          <cell r="J4614" t="str">
            <v>1859</v>
          </cell>
          <cell r="K4614" t="str">
            <v>201602151421097</v>
          </cell>
          <cell r="M4614" t="str">
            <v>妇宁栓1.6g*7粒</v>
          </cell>
        </row>
        <row r="4615">
          <cell r="E4615" t="str">
            <v>0020070000ZYLC0001</v>
          </cell>
          <cell r="H4615" t="str">
            <v>连锁38店</v>
          </cell>
          <cell r="J4615" t="str">
            <v>1859</v>
          </cell>
          <cell r="K4615" t="str">
            <v>201602151421097</v>
          </cell>
          <cell r="M4615" t="str">
            <v>高钙片36片</v>
          </cell>
        </row>
        <row r="4616">
          <cell r="E4616" t="str">
            <v>0020070001ZYZC0383</v>
          </cell>
          <cell r="H4616" t="str">
            <v>连锁33店</v>
          </cell>
          <cell r="J4616" t="str">
            <v>1859</v>
          </cell>
          <cell r="K4616" t="str">
            <v>201602151421097</v>
          </cell>
          <cell r="M4616" t="str">
            <v>哈药牌钙铁锌口服液10ml*10支</v>
          </cell>
        </row>
        <row r="4617">
          <cell r="E4617" t="str">
            <v>0020030170ZYEC0003</v>
          </cell>
          <cell r="H4617" t="str">
            <v>连锁50店</v>
          </cell>
          <cell r="J4617" t="str">
            <v>1859</v>
          </cell>
          <cell r="K4617" t="str">
            <v>201602151421097</v>
          </cell>
          <cell r="M4617" t="str">
            <v>蒙脱石散*泻利停3克*12袋</v>
          </cell>
        </row>
        <row r="4618">
          <cell r="E4618" t="str">
            <v>0020030020SJSC0004</v>
          </cell>
          <cell r="H4618" t="str">
            <v>滨旗舰店</v>
          </cell>
          <cell r="J4618" t="str">
            <v>1853</v>
          </cell>
          <cell r="K4618" t="str">
            <v>201602151421097</v>
          </cell>
          <cell r="M4618" t="str">
            <v>胃必治*复方铝酸铋片50片</v>
          </cell>
        </row>
        <row r="4619">
          <cell r="E4619" t="str">
            <v>0020030170ZYEC0003</v>
          </cell>
          <cell r="H4619" t="str">
            <v>滨1店</v>
          </cell>
          <cell r="J4619" t="str">
            <v>1853</v>
          </cell>
          <cell r="K4619" t="str">
            <v>201602151421097</v>
          </cell>
          <cell r="M4619" t="str">
            <v>蒙脱石散*泻利停3克*12袋</v>
          </cell>
        </row>
        <row r="4620">
          <cell r="E4620" t="str">
            <v>0020020021ZYLC0010</v>
          </cell>
          <cell r="H4620" t="str">
            <v>滨15店</v>
          </cell>
          <cell r="J4620" t="str">
            <v>1853</v>
          </cell>
          <cell r="K4620" t="str">
            <v>201602151421097</v>
          </cell>
          <cell r="M4620" t="str">
            <v>长迪*克拉霉素分散片12片</v>
          </cell>
        </row>
        <row r="4621">
          <cell r="E4621" t="str">
            <v>0020040220SHYT0005</v>
          </cell>
          <cell r="H4621" t="str">
            <v>连锁20店</v>
          </cell>
          <cell r="J4621" t="str">
            <v>1859</v>
          </cell>
          <cell r="K4621" t="str">
            <v>201602151421097</v>
          </cell>
          <cell r="M4621" t="str">
            <v>妇宁栓1.6g*7粒</v>
          </cell>
        </row>
        <row r="4622">
          <cell r="E4622" t="str">
            <v>0020040070ZYEC0005</v>
          </cell>
          <cell r="H4622" t="str">
            <v>滨16店</v>
          </cell>
          <cell r="J4622" t="str">
            <v>1853</v>
          </cell>
          <cell r="K4622" t="str">
            <v>201602151421097</v>
          </cell>
          <cell r="M4622" t="str">
            <v>小儿百部止咳糖浆100ml</v>
          </cell>
        </row>
        <row r="4623">
          <cell r="E4623" t="str">
            <v>0020020030ZYZC0289</v>
          </cell>
          <cell r="H4623" t="str">
            <v>连锁13店</v>
          </cell>
          <cell r="J4623" t="str">
            <v>1859</v>
          </cell>
          <cell r="K4623" t="str">
            <v>201602151421097</v>
          </cell>
          <cell r="M4623" t="str">
            <v>阿莫西林胶囊0.5g*36粒</v>
          </cell>
        </row>
        <row r="4624">
          <cell r="E4624" t="str">
            <v>0020070000SJZY0001</v>
          </cell>
          <cell r="H4624" t="str">
            <v>连锁13店</v>
          </cell>
          <cell r="J4624" t="str">
            <v>1859</v>
          </cell>
          <cell r="K4624" t="str">
            <v>201602151421097</v>
          </cell>
          <cell r="M4624" t="str">
            <v>葡萄糖酸锌口服液12支/盒</v>
          </cell>
        </row>
        <row r="4625">
          <cell r="E4625" t="str">
            <v>0020070001ZYZC0369</v>
          </cell>
          <cell r="H4625" t="str">
            <v>连锁11店</v>
          </cell>
          <cell r="J4625" t="str">
            <v>1859</v>
          </cell>
          <cell r="K4625" t="str">
            <v>201602151421097</v>
          </cell>
          <cell r="M4625" t="str">
            <v>哈药*钙铁锌口服液10ml*12支</v>
          </cell>
        </row>
        <row r="4626">
          <cell r="E4626" t="str">
            <v>0020040220SHYT0005</v>
          </cell>
          <cell r="H4626" t="str">
            <v>连锁34店</v>
          </cell>
          <cell r="J4626" t="str">
            <v>1859</v>
          </cell>
          <cell r="K4626" t="str">
            <v>201602151421097</v>
          </cell>
          <cell r="M4626" t="str">
            <v>妇宁栓1.6g*7粒</v>
          </cell>
        </row>
        <row r="4627">
          <cell r="E4627" t="str">
            <v>0020040220SHYT0005</v>
          </cell>
          <cell r="H4627" t="str">
            <v>连锁4店</v>
          </cell>
          <cell r="J4627" t="str">
            <v>1859</v>
          </cell>
          <cell r="K4627" t="str">
            <v>201602151421097</v>
          </cell>
          <cell r="M4627" t="str">
            <v>妇宁栓1.6g*7粒</v>
          </cell>
        </row>
        <row r="4628">
          <cell r="E4628" t="str">
            <v>0020020021ZYLC0004</v>
          </cell>
          <cell r="H4628" t="str">
            <v>连锁40店</v>
          </cell>
          <cell r="J4628" t="str">
            <v>1859</v>
          </cell>
          <cell r="K4628" t="str">
            <v>201602151421097</v>
          </cell>
          <cell r="M4628" t="str">
            <v>严迪*罗红霉素分散片75mg*12</v>
          </cell>
        </row>
        <row r="4629">
          <cell r="E4629" t="str">
            <v>0020070000SJZY0001</v>
          </cell>
          <cell r="H4629" t="str">
            <v>连锁15店</v>
          </cell>
          <cell r="J4629" t="str">
            <v>1859</v>
          </cell>
          <cell r="K4629" t="str">
            <v>201602151421097</v>
          </cell>
          <cell r="M4629" t="str">
            <v>葡萄糖酸锌口服液12支/盒</v>
          </cell>
        </row>
        <row r="4630">
          <cell r="E4630" t="str">
            <v>0020070000SJZY0001</v>
          </cell>
          <cell r="H4630" t="str">
            <v>连锁16店</v>
          </cell>
          <cell r="J4630" t="str">
            <v>1859</v>
          </cell>
          <cell r="K4630" t="str">
            <v>201602151421097</v>
          </cell>
          <cell r="M4630" t="str">
            <v>葡萄糖酸锌口服液12支/盒</v>
          </cell>
        </row>
        <row r="4631">
          <cell r="E4631" t="str">
            <v>0020030040ZYLC0001</v>
          </cell>
          <cell r="H4631" t="str">
            <v>连锁37店</v>
          </cell>
          <cell r="J4631" t="str">
            <v>1859</v>
          </cell>
          <cell r="K4631" t="str">
            <v>201602151421097</v>
          </cell>
          <cell r="M4631" t="str">
            <v>护彤*小儿氨酚黄那敏颗粒12袋</v>
          </cell>
        </row>
        <row r="4632">
          <cell r="E4632" t="str">
            <v>0020040220SHYT0005</v>
          </cell>
          <cell r="H4632" t="str">
            <v>连锁10店</v>
          </cell>
          <cell r="J4632" t="str">
            <v>1859</v>
          </cell>
          <cell r="K4632" t="str">
            <v>201602151421097</v>
          </cell>
          <cell r="M4632" t="str">
            <v>妇宁栓1.6g*7粒</v>
          </cell>
        </row>
        <row r="4633">
          <cell r="E4633" t="str">
            <v>0020040220SHYT0005</v>
          </cell>
          <cell r="H4633" t="str">
            <v>连锁1店</v>
          </cell>
          <cell r="J4633" t="str">
            <v>1859</v>
          </cell>
          <cell r="K4633" t="str">
            <v>201602151421097</v>
          </cell>
          <cell r="M4633" t="str">
            <v>妇宁栓1.6g*7粒</v>
          </cell>
        </row>
        <row r="4634">
          <cell r="E4634" t="str">
            <v>0020070001ZYZC0383</v>
          </cell>
          <cell r="H4634" t="str">
            <v>连锁47店</v>
          </cell>
          <cell r="J4634" t="str">
            <v>1859</v>
          </cell>
          <cell r="K4634" t="str">
            <v>201602151421097</v>
          </cell>
          <cell r="M4634" t="str">
            <v>哈药牌钙铁锌口服液10ml*10支</v>
          </cell>
        </row>
        <row r="4635">
          <cell r="E4635" t="str">
            <v>0020070000ZYLC0001</v>
          </cell>
          <cell r="H4635" t="str">
            <v>连锁48店</v>
          </cell>
          <cell r="J4635" t="str">
            <v>1859</v>
          </cell>
          <cell r="K4635" t="str">
            <v>201602151421097</v>
          </cell>
          <cell r="M4635" t="str">
            <v>高钙片36片</v>
          </cell>
        </row>
        <row r="4636">
          <cell r="E4636" t="str">
            <v>0020040220SHYT0005</v>
          </cell>
          <cell r="H4636" t="str">
            <v>连锁48店</v>
          </cell>
          <cell r="J4636" t="str">
            <v>1859</v>
          </cell>
          <cell r="K4636" t="str">
            <v>201602151421097</v>
          </cell>
          <cell r="M4636" t="str">
            <v>妇宁栓1.6g*7粒</v>
          </cell>
        </row>
        <row r="4637">
          <cell r="E4637" t="str">
            <v>0020040220SHYT0005</v>
          </cell>
          <cell r="H4637" t="str">
            <v>连锁8店</v>
          </cell>
          <cell r="J4637" t="str">
            <v>1859</v>
          </cell>
          <cell r="K4637" t="str">
            <v>201602151421097</v>
          </cell>
          <cell r="M4637" t="str">
            <v>妇宁栓1.6g*7粒</v>
          </cell>
        </row>
        <row r="4638">
          <cell r="E4638" t="str">
            <v>0020030020SJSC0004</v>
          </cell>
          <cell r="H4638" t="str">
            <v>连锁42店</v>
          </cell>
          <cell r="J4638" t="str">
            <v>1859</v>
          </cell>
          <cell r="K4638" t="str">
            <v>201602151421097</v>
          </cell>
          <cell r="M4638" t="str">
            <v>胃必治*复方铝酸铋片50片</v>
          </cell>
        </row>
        <row r="4639">
          <cell r="E4639" t="str">
            <v>0020040070ZYEC0005</v>
          </cell>
          <cell r="H4639" t="str">
            <v>连锁30店</v>
          </cell>
          <cell r="J4639" t="str">
            <v>1859</v>
          </cell>
          <cell r="K4639" t="str">
            <v>201602151421097</v>
          </cell>
          <cell r="M4639" t="str">
            <v>小儿百部止咳糖浆100ml</v>
          </cell>
        </row>
        <row r="4640">
          <cell r="E4640" t="str">
            <v>0020030170ZYEC0003</v>
          </cell>
          <cell r="H4640" t="str">
            <v>连锁21店</v>
          </cell>
          <cell r="J4640" t="str">
            <v>1859</v>
          </cell>
          <cell r="K4640" t="str">
            <v>201602151421097</v>
          </cell>
          <cell r="M4640" t="str">
            <v>蒙脱石散*泻利停3克*12袋</v>
          </cell>
        </row>
        <row r="4641">
          <cell r="E4641" t="str">
            <v>0020040070ZYEC0005</v>
          </cell>
          <cell r="H4641" t="str">
            <v>连锁25店</v>
          </cell>
          <cell r="J4641" t="str">
            <v>1859</v>
          </cell>
          <cell r="K4641" t="str">
            <v>201602151421097</v>
          </cell>
          <cell r="M4641" t="str">
            <v>小儿百部止咳糖浆100ml</v>
          </cell>
        </row>
        <row r="4642">
          <cell r="E4642" t="str">
            <v>0020020021ZYLC0005</v>
          </cell>
          <cell r="H4642" t="str">
            <v>连锁2店</v>
          </cell>
          <cell r="J4642" t="str">
            <v>1859</v>
          </cell>
          <cell r="K4642" t="str">
            <v>201602151421097</v>
          </cell>
          <cell r="M4642" t="str">
            <v>罗红霉素分散片-小严迪12片/盒</v>
          </cell>
        </row>
        <row r="4643">
          <cell r="E4643" t="str">
            <v>0020040220SHYT0005</v>
          </cell>
          <cell r="H4643" t="str">
            <v>连锁31店</v>
          </cell>
          <cell r="J4643" t="str">
            <v>1859</v>
          </cell>
          <cell r="K4643" t="str">
            <v>201602151421097</v>
          </cell>
          <cell r="M4643" t="str">
            <v>妇宁栓1.6g*7粒</v>
          </cell>
        </row>
        <row r="4644">
          <cell r="E4644" t="str">
            <v>0020070000ZYLC0001</v>
          </cell>
          <cell r="H4644" t="str">
            <v>连锁11店</v>
          </cell>
          <cell r="J4644" t="str">
            <v>1859</v>
          </cell>
          <cell r="K4644" t="str">
            <v>201602151421097</v>
          </cell>
          <cell r="M4644" t="str">
            <v>高钙片36片</v>
          </cell>
        </row>
        <row r="4645">
          <cell r="E4645" t="str">
            <v>0020040220SHYT0005</v>
          </cell>
          <cell r="H4645" t="str">
            <v>连锁22店</v>
          </cell>
          <cell r="J4645" t="str">
            <v>1859</v>
          </cell>
          <cell r="K4645" t="str">
            <v>201602151421097</v>
          </cell>
          <cell r="M4645" t="str">
            <v>妇宁栓1.6g*7粒</v>
          </cell>
        </row>
        <row r="4646">
          <cell r="E4646" t="str">
            <v>0020070000SJZY0001</v>
          </cell>
          <cell r="H4646" t="str">
            <v>连锁34店</v>
          </cell>
          <cell r="J4646" t="str">
            <v>1859</v>
          </cell>
          <cell r="K4646" t="str">
            <v>201602151421097</v>
          </cell>
          <cell r="M4646" t="str">
            <v>葡萄糖酸锌口服液12支/盒</v>
          </cell>
        </row>
        <row r="4647">
          <cell r="E4647" t="str">
            <v>0020040220SHYT0005</v>
          </cell>
          <cell r="H4647" t="str">
            <v>中心店</v>
          </cell>
          <cell r="J4647" t="str">
            <v>1859</v>
          </cell>
          <cell r="K4647" t="str">
            <v>201602151421097</v>
          </cell>
          <cell r="M4647" t="str">
            <v>妇宁栓1.6g*7粒</v>
          </cell>
        </row>
        <row r="4648">
          <cell r="E4648" t="str">
            <v>0020070001ZYZC0369</v>
          </cell>
          <cell r="H4648" t="str">
            <v>连锁51店</v>
          </cell>
          <cell r="J4648" t="str">
            <v>1859</v>
          </cell>
          <cell r="K4648" t="str">
            <v>201602151421097</v>
          </cell>
          <cell r="M4648" t="str">
            <v>哈药*钙铁锌口服液10ml*12支</v>
          </cell>
        </row>
        <row r="4649">
          <cell r="E4649" t="str">
            <v>0020020021ZYLC0010</v>
          </cell>
          <cell r="H4649" t="str">
            <v>滨旗舰店</v>
          </cell>
          <cell r="J4649" t="str">
            <v>1853</v>
          </cell>
          <cell r="K4649" t="str">
            <v>201602151421097</v>
          </cell>
          <cell r="M4649" t="str">
            <v>长迪*克拉霉素分散片12片</v>
          </cell>
        </row>
        <row r="4650">
          <cell r="E4650" t="str">
            <v>0020030170ZYEC0003</v>
          </cell>
          <cell r="H4650" t="str">
            <v>滨旗舰店</v>
          </cell>
          <cell r="J4650" t="str">
            <v>1853</v>
          </cell>
          <cell r="K4650" t="str">
            <v>201602151421097</v>
          </cell>
          <cell r="M4650" t="str">
            <v>蒙脱石散*泻利停3克*12袋</v>
          </cell>
        </row>
        <row r="4651">
          <cell r="E4651" t="str">
            <v>0020040220SHYT0005</v>
          </cell>
          <cell r="H4651" t="str">
            <v>滨旗舰店</v>
          </cell>
          <cell r="J4651" t="str">
            <v>1853</v>
          </cell>
          <cell r="K4651" t="str">
            <v>201602151421097</v>
          </cell>
          <cell r="M4651" t="str">
            <v>妇宁栓1.6g*7粒</v>
          </cell>
        </row>
        <row r="4652">
          <cell r="E4652" t="str">
            <v>0020030032ZYZC0300</v>
          </cell>
          <cell r="H4652" t="str">
            <v>滨6店</v>
          </cell>
          <cell r="J4652" t="str">
            <v>1853</v>
          </cell>
          <cell r="K4652" t="str">
            <v>201602151421097</v>
          </cell>
          <cell r="M4652" t="str">
            <v>维生素E软胶囊100mg*30粒</v>
          </cell>
        </row>
        <row r="4653">
          <cell r="E4653" t="str">
            <v>0020040070ZYEC0005</v>
          </cell>
          <cell r="H4653" t="str">
            <v>滨6店</v>
          </cell>
          <cell r="J4653" t="str">
            <v>1853</v>
          </cell>
          <cell r="K4653" t="str">
            <v>201602151421097</v>
          </cell>
          <cell r="M4653" t="str">
            <v>小儿百部止咳糖浆100ml</v>
          </cell>
        </row>
        <row r="4654">
          <cell r="E4654" t="str">
            <v>0020030170ZYEC0003</v>
          </cell>
          <cell r="H4654" t="str">
            <v>滨6店</v>
          </cell>
          <cell r="J4654" t="str">
            <v>1853</v>
          </cell>
          <cell r="K4654" t="str">
            <v>201602151421097</v>
          </cell>
          <cell r="M4654" t="str">
            <v>蒙脱石散*泻利停3克*12袋</v>
          </cell>
        </row>
        <row r="4655">
          <cell r="E4655" t="str">
            <v>0020030170ZYEC0003</v>
          </cell>
          <cell r="H4655" t="str">
            <v>连锁48店</v>
          </cell>
          <cell r="J4655" t="str">
            <v>1859</v>
          </cell>
          <cell r="K4655" t="str">
            <v>201602151421097</v>
          </cell>
          <cell r="M4655" t="str">
            <v>蒙脱石散*泻利停3克*12袋</v>
          </cell>
        </row>
        <row r="4656">
          <cell r="E4656" t="str">
            <v>0020020020ZYLC0010</v>
          </cell>
          <cell r="H4656" t="str">
            <v>连锁1店</v>
          </cell>
          <cell r="J4656" t="str">
            <v>1859</v>
          </cell>
          <cell r="K4656" t="str">
            <v>201602151421097</v>
          </cell>
          <cell r="M4656" t="str">
            <v>泻利停*颠茄磺苄啶片10片</v>
          </cell>
        </row>
        <row r="4657">
          <cell r="E4657" t="str">
            <v>0020070001ZYZC0369</v>
          </cell>
          <cell r="H4657" t="str">
            <v>连锁9店</v>
          </cell>
          <cell r="J4657" t="str">
            <v>1859</v>
          </cell>
          <cell r="K4657" t="str">
            <v>201602151421097</v>
          </cell>
          <cell r="M4657" t="str">
            <v>哈药*钙铁锌口服液10ml*12支</v>
          </cell>
        </row>
        <row r="4658">
          <cell r="E4658" t="str">
            <v>0020030040SJET0003</v>
          </cell>
          <cell r="H4658" t="str">
            <v>连锁17店</v>
          </cell>
          <cell r="J4658" t="str">
            <v>1859</v>
          </cell>
          <cell r="K4658" t="str">
            <v>201602151421097</v>
          </cell>
          <cell r="M4658" t="str">
            <v>氨金黄敏颗粒6g*10袋/盒</v>
          </cell>
        </row>
        <row r="4659">
          <cell r="E4659" t="str">
            <v>0020070000SJZY0001</v>
          </cell>
          <cell r="H4659" t="str">
            <v>连锁51店</v>
          </cell>
          <cell r="J4659" t="str">
            <v>1859</v>
          </cell>
          <cell r="K4659" t="str">
            <v>201602151421097</v>
          </cell>
          <cell r="M4659" t="str">
            <v>葡萄糖酸锌口服液12支/盒</v>
          </cell>
        </row>
        <row r="4660">
          <cell r="E4660" t="str">
            <v>0020020021ZYZC0341</v>
          </cell>
          <cell r="H4660" t="str">
            <v>滨6店</v>
          </cell>
          <cell r="J4660" t="str">
            <v>1853</v>
          </cell>
          <cell r="K4660" t="str">
            <v>201602151421097</v>
          </cell>
          <cell r="M4660" t="str">
            <v>胜艾*阿莫西林克拉维酸钾分散片0.2285g*12pian</v>
          </cell>
        </row>
        <row r="4661">
          <cell r="E4661" t="str">
            <v>0020070000ZYLC0052</v>
          </cell>
          <cell r="H4661" t="str">
            <v>滨6店</v>
          </cell>
          <cell r="J4661" t="str">
            <v>1853</v>
          </cell>
          <cell r="K4661" t="str">
            <v>201602151421097</v>
          </cell>
          <cell r="M4661" t="str">
            <v>钙加锌口服液10ml*12支</v>
          </cell>
        </row>
        <row r="4662">
          <cell r="E4662" t="str">
            <v>0020020021ZYLC0010</v>
          </cell>
          <cell r="H4662" t="str">
            <v>滨6店</v>
          </cell>
          <cell r="J4662" t="str">
            <v>1853</v>
          </cell>
          <cell r="K4662" t="str">
            <v>201602151421097</v>
          </cell>
          <cell r="M4662" t="str">
            <v>长迪*克拉霉素分散片12片</v>
          </cell>
        </row>
        <row r="4663">
          <cell r="E4663" t="str">
            <v>0020030001SJZY0006</v>
          </cell>
          <cell r="H4663" t="str">
            <v>滨6店</v>
          </cell>
          <cell r="J4663" t="str">
            <v>1853</v>
          </cell>
          <cell r="K4663" t="str">
            <v>201602151421097</v>
          </cell>
          <cell r="M4663" t="str">
            <v>葡萄糖酸钙口服液12支/盒</v>
          </cell>
        </row>
        <row r="4664">
          <cell r="E4664" t="str">
            <v>0020070000SJZY0001</v>
          </cell>
          <cell r="H4664" t="str">
            <v>滨6店</v>
          </cell>
          <cell r="J4664" t="str">
            <v>1853</v>
          </cell>
          <cell r="K4664" t="str">
            <v>201602151421097</v>
          </cell>
          <cell r="M4664" t="str">
            <v>葡萄糖酸锌口服液12支/盒</v>
          </cell>
        </row>
        <row r="4665">
          <cell r="E4665" t="str">
            <v>0020070000ZYLC0051</v>
          </cell>
          <cell r="H4665" t="str">
            <v>滨6店</v>
          </cell>
          <cell r="J4665" t="str">
            <v>1853</v>
          </cell>
          <cell r="K4665" t="str">
            <v>201602151421097</v>
          </cell>
          <cell r="M4665" t="str">
            <v>朴雪乳酸亚铁口服液10ml*12支</v>
          </cell>
        </row>
        <row r="4666">
          <cell r="E4666" t="str">
            <v>0020070000ZYLC0001</v>
          </cell>
          <cell r="H4666" t="str">
            <v>连锁39店</v>
          </cell>
          <cell r="J4666" t="str">
            <v>1859</v>
          </cell>
          <cell r="K4666" t="str">
            <v>201602151421097</v>
          </cell>
          <cell r="M4666" t="str">
            <v>高钙片36片</v>
          </cell>
        </row>
        <row r="4667">
          <cell r="E4667" t="str">
            <v>0020020030ZYZC0289</v>
          </cell>
          <cell r="H4667" t="str">
            <v>连锁4店</v>
          </cell>
          <cell r="J4667" t="str">
            <v>1859</v>
          </cell>
          <cell r="K4667" t="str">
            <v>201602151421097</v>
          </cell>
          <cell r="M4667" t="str">
            <v>阿莫西林胶囊0.5g*36粒</v>
          </cell>
        </row>
        <row r="4668">
          <cell r="E4668" t="str">
            <v>0020070000ZYLC0001</v>
          </cell>
          <cell r="H4668" t="str">
            <v>连锁33店</v>
          </cell>
          <cell r="J4668" t="str">
            <v>1859</v>
          </cell>
          <cell r="K4668" t="str">
            <v>201602151421097</v>
          </cell>
          <cell r="M4668" t="str">
            <v>高钙片36片</v>
          </cell>
        </row>
        <row r="4669">
          <cell r="E4669" t="str">
            <v>0020050090SJZY0001</v>
          </cell>
          <cell r="H4669" t="str">
            <v>连锁40店</v>
          </cell>
          <cell r="J4669" t="str">
            <v>1859</v>
          </cell>
          <cell r="K4669" t="str">
            <v>201602151421097</v>
          </cell>
          <cell r="M4669" t="str">
            <v>双黄连口服液10ml*10</v>
          </cell>
        </row>
        <row r="4670">
          <cell r="E4670" t="str">
            <v>0020070000SJZY0001</v>
          </cell>
          <cell r="H4670" t="str">
            <v>连锁41店</v>
          </cell>
          <cell r="J4670" t="str">
            <v>1859</v>
          </cell>
          <cell r="K4670" t="str">
            <v>201602151421097</v>
          </cell>
          <cell r="M4670" t="str">
            <v>葡萄糖酸锌口服液12支/盒</v>
          </cell>
        </row>
        <row r="4671">
          <cell r="E4671" t="str">
            <v>0020030020SJSC0004</v>
          </cell>
          <cell r="H4671" t="str">
            <v>连锁16店</v>
          </cell>
          <cell r="J4671" t="str">
            <v>1859</v>
          </cell>
          <cell r="K4671" t="str">
            <v>201602151421097</v>
          </cell>
          <cell r="M4671" t="str">
            <v>胃必治*复方铝酸铋片50片</v>
          </cell>
        </row>
        <row r="4672">
          <cell r="E4672" t="str">
            <v>0020070000ZYLC0052</v>
          </cell>
          <cell r="H4672" t="str">
            <v>连锁47店</v>
          </cell>
          <cell r="J4672" t="str">
            <v>1859</v>
          </cell>
          <cell r="K4672" t="str">
            <v>201602151421097</v>
          </cell>
          <cell r="M4672" t="str">
            <v>钙加锌口服液10ml*12支</v>
          </cell>
        </row>
        <row r="4673">
          <cell r="E4673" t="str">
            <v>0020020021ZYLC0010</v>
          </cell>
          <cell r="H4673" t="str">
            <v>连锁47店</v>
          </cell>
          <cell r="J4673" t="str">
            <v>1859</v>
          </cell>
          <cell r="K4673" t="str">
            <v>201602151421097</v>
          </cell>
          <cell r="M4673" t="str">
            <v>长迪*克拉霉素分散片12片</v>
          </cell>
        </row>
        <row r="4674">
          <cell r="E4674" t="str">
            <v>0020030020SJSC0004</v>
          </cell>
          <cell r="H4674" t="str">
            <v>连锁47店</v>
          </cell>
          <cell r="J4674" t="str">
            <v>1859</v>
          </cell>
          <cell r="K4674" t="str">
            <v>201602151421097</v>
          </cell>
          <cell r="M4674" t="str">
            <v>胃必治*复方铝酸铋片50片</v>
          </cell>
        </row>
        <row r="4675">
          <cell r="E4675" t="str">
            <v>0020030170ZYEC0003</v>
          </cell>
          <cell r="H4675" t="str">
            <v>连锁47店</v>
          </cell>
          <cell r="J4675" t="str">
            <v>1859</v>
          </cell>
          <cell r="K4675" t="str">
            <v>201602151421097</v>
          </cell>
          <cell r="M4675" t="str">
            <v>蒙脱石散*泻利停3克*12袋</v>
          </cell>
        </row>
        <row r="4676">
          <cell r="E4676" t="str">
            <v>0020030020SJSC0004</v>
          </cell>
          <cell r="H4676" t="str">
            <v>连锁7店</v>
          </cell>
          <cell r="J4676" t="str">
            <v>1859</v>
          </cell>
          <cell r="K4676" t="str">
            <v>201602151421097</v>
          </cell>
          <cell r="M4676" t="str">
            <v>胃必治*复方铝酸铋片50片</v>
          </cell>
        </row>
        <row r="4677">
          <cell r="E4677" t="str">
            <v>0020070000ZYLC0052</v>
          </cell>
          <cell r="H4677" t="str">
            <v>连锁13店</v>
          </cell>
          <cell r="J4677" t="str">
            <v>1859</v>
          </cell>
          <cell r="K4677" t="str">
            <v>201602151421097</v>
          </cell>
          <cell r="M4677" t="str">
            <v>钙加锌口服液10ml*12支</v>
          </cell>
        </row>
        <row r="4678">
          <cell r="E4678" t="str">
            <v>0020030040ZYLC0001</v>
          </cell>
          <cell r="H4678" t="str">
            <v>连锁2店</v>
          </cell>
          <cell r="J4678" t="str">
            <v>1859</v>
          </cell>
          <cell r="K4678" t="str">
            <v>201602151421097</v>
          </cell>
          <cell r="M4678" t="str">
            <v>护彤*小儿氨酚黄那敏颗粒12袋</v>
          </cell>
        </row>
        <row r="4679">
          <cell r="E4679" t="str">
            <v>0020040220SHYT0005</v>
          </cell>
          <cell r="H4679" t="str">
            <v>连锁5店</v>
          </cell>
          <cell r="J4679" t="str">
            <v>1859</v>
          </cell>
          <cell r="K4679" t="str">
            <v>201602151421097</v>
          </cell>
          <cell r="M4679" t="str">
            <v>妇宁栓1.6g*7粒</v>
          </cell>
        </row>
        <row r="4680">
          <cell r="E4680" t="str">
            <v>0020020021ZYZC0341</v>
          </cell>
          <cell r="H4680" t="str">
            <v>连锁31店</v>
          </cell>
          <cell r="J4680" t="str">
            <v>1859</v>
          </cell>
          <cell r="K4680" t="str">
            <v>201602151421097</v>
          </cell>
          <cell r="M4680" t="str">
            <v>胜艾*阿莫西林克拉维酸钾分散片0.2285g*12pian</v>
          </cell>
        </row>
        <row r="4681">
          <cell r="E4681" t="str">
            <v>0020020030ZYZC0289</v>
          </cell>
          <cell r="H4681" t="str">
            <v>连锁34店</v>
          </cell>
          <cell r="J4681" t="str">
            <v>1859</v>
          </cell>
          <cell r="K4681" t="str">
            <v>201602151421097</v>
          </cell>
          <cell r="M4681" t="str">
            <v>阿莫西林胶囊0.5g*36粒</v>
          </cell>
        </row>
        <row r="4682">
          <cell r="E4682" t="str">
            <v>0020020021ZYLC0010</v>
          </cell>
          <cell r="H4682" t="str">
            <v>连锁51店</v>
          </cell>
          <cell r="J4682" t="str">
            <v>1859</v>
          </cell>
          <cell r="K4682" t="str">
            <v>201602151421097</v>
          </cell>
          <cell r="M4682" t="str">
            <v>长迪*克拉霉素分散片12片</v>
          </cell>
        </row>
        <row r="4683">
          <cell r="E4683" t="str">
            <v>0020050090SJZY0001</v>
          </cell>
          <cell r="H4683" t="str">
            <v>连锁20店</v>
          </cell>
          <cell r="J4683" t="str">
            <v>1859</v>
          </cell>
          <cell r="K4683" t="str">
            <v>201602151421097</v>
          </cell>
          <cell r="M4683" t="str">
            <v>双黄连口服液10ml*10</v>
          </cell>
        </row>
        <row r="4684">
          <cell r="E4684" t="str">
            <v>0020030020SJSC0004</v>
          </cell>
          <cell r="H4684" t="str">
            <v>连锁1店</v>
          </cell>
          <cell r="J4684" t="str">
            <v>1859</v>
          </cell>
          <cell r="K4684" t="str">
            <v>201602151421097</v>
          </cell>
          <cell r="M4684" t="str">
            <v>胃必治*复方铝酸铋片50片</v>
          </cell>
        </row>
        <row r="4685">
          <cell r="E4685" t="str">
            <v>0020030040ZYLC0001</v>
          </cell>
          <cell r="H4685" t="str">
            <v>连锁17店</v>
          </cell>
          <cell r="J4685" t="str">
            <v>1859</v>
          </cell>
          <cell r="K4685" t="str">
            <v>201602151421097</v>
          </cell>
          <cell r="M4685" t="str">
            <v>护彤*小儿氨酚黄那敏颗粒12袋</v>
          </cell>
        </row>
        <row r="4686">
          <cell r="E4686" t="str">
            <v>0020070000SJZY0001</v>
          </cell>
          <cell r="H4686" t="str">
            <v>连锁14店</v>
          </cell>
          <cell r="J4686" t="str">
            <v>1859</v>
          </cell>
          <cell r="K4686" t="str">
            <v>201602151421097</v>
          </cell>
          <cell r="M4686" t="str">
            <v>葡萄糖酸锌口服液12支/盒</v>
          </cell>
        </row>
        <row r="4687">
          <cell r="E4687" t="str">
            <v>0020070000ZYLC0052</v>
          </cell>
          <cell r="H4687" t="str">
            <v>连锁33店</v>
          </cell>
          <cell r="J4687" t="str">
            <v>1859</v>
          </cell>
          <cell r="K4687" t="str">
            <v>201602151421097</v>
          </cell>
          <cell r="M4687" t="str">
            <v>钙加锌口服液10ml*12支</v>
          </cell>
        </row>
        <row r="4688">
          <cell r="E4688" t="str">
            <v>0020070000SJZY0001</v>
          </cell>
          <cell r="H4688" t="str">
            <v>中心店</v>
          </cell>
          <cell r="J4688" t="str">
            <v>1859</v>
          </cell>
          <cell r="K4688" t="str">
            <v>201602151421097</v>
          </cell>
          <cell r="M4688" t="str">
            <v>葡萄糖酸锌口服液12支/盒</v>
          </cell>
        </row>
        <row r="4689">
          <cell r="E4689" t="str">
            <v>0020050090SJZY0001</v>
          </cell>
          <cell r="H4689" t="str">
            <v>中心店</v>
          </cell>
          <cell r="J4689" t="str">
            <v>1859</v>
          </cell>
          <cell r="K4689" t="str">
            <v>201602151421097</v>
          </cell>
          <cell r="M4689" t="str">
            <v>双黄连口服液10ml*10</v>
          </cell>
        </row>
        <row r="4690">
          <cell r="E4690" t="str">
            <v>0020040220SHYT0005</v>
          </cell>
          <cell r="H4690" t="str">
            <v>连锁49店</v>
          </cell>
          <cell r="J4690" t="str">
            <v>1859</v>
          </cell>
          <cell r="K4690" t="str">
            <v>201602151421097</v>
          </cell>
          <cell r="M4690" t="str">
            <v>妇宁栓1.6g*7粒</v>
          </cell>
        </row>
        <row r="4691">
          <cell r="E4691" t="str">
            <v>0020020020ZYLC0010</v>
          </cell>
          <cell r="H4691" t="str">
            <v>连锁36店</v>
          </cell>
          <cell r="J4691" t="str">
            <v>1859</v>
          </cell>
          <cell r="K4691" t="str">
            <v>201602151421097</v>
          </cell>
          <cell r="M4691" t="str">
            <v>泻利停*颠茄磺苄啶片10片</v>
          </cell>
        </row>
        <row r="4692">
          <cell r="E4692" t="str">
            <v>0020040220SHYT0005</v>
          </cell>
          <cell r="H4692" t="str">
            <v>连锁51店</v>
          </cell>
          <cell r="J4692" t="str">
            <v>1859</v>
          </cell>
          <cell r="K4692" t="str">
            <v>201602151421097</v>
          </cell>
          <cell r="M4692" t="str">
            <v>妇宁栓1.6g*7粒</v>
          </cell>
        </row>
        <row r="4693">
          <cell r="E4693" t="str">
            <v>0020030040ZYLC0001</v>
          </cell>
          <cell r="H4693" t="str">
            <v>连锁27店</v>
          </cell>
          <cell r="J4693" t="str">
            <v>1859</v>
          </cell>
          <cell r="K4693" t="str">
            <v>201602151421097</v>
          </cell>
          <cell r="M4693" t="str">
            <v>护彤*小儿氨酚黄那敏颗粒12袋</v>
          </cell>
        </row>
        <row r="4694">
          <cell r="E4694" t="str">
            <v>0020030040SJET0003</v>
          </cell>
          <cell r="H4694" t="str">
            <v>连锁19店</v>
          </cell>
          <cell r="J4694" t="str">
            <v>1859</v>
          </cell>
          <cell r="K4694" t="str">
            <v>201602151421097</v>
          </cell>
          <cell r="M4694" t="str">
            <v>氨金黄敏颗粒6g*10袋/盒</v>
          </cell>
        </row>
        <row r="4695">
          <cell r="E4695" t="str">
            <v>0020020030ZYZC0289</v>
          </cell>
          <cell r="H4695" t="str">
            <v>滨1店</v>
          </cell>
          <cell r="J4695" t="str">
            <v>1853</v>
          </cell>
          <cell r="K4695" t="str">
            <v>201602151421097</v>
          </cell>
          <cell r="M4695" t="str">
            <v>阿莫西林胶囊0.5g*36粒</v>
          </cell>
        </row>
        <row r="4696">
          <cell r="E4696" t="str">
            <v>0020070000ZYLC0001</v>
          </cell>
          <cell r="H4696" t="str">
            <v>滨15店</v>
          </cell>
          <cell r="J4696" t="str">
            <v>1853</v>
          </cell>
          <cell r="K4696" t="str">
            <v>201602151421097</v>
          </cell>
          <cell r="M4696" t="str">
            <v>高钙片36片</v>
          </cell>
        </row>
        <row r="4697">
          <cell r="E4697" t="str">
            <v>0020070000SJZY0001</v>
          </cell>
          <cell r="H4697" t="str">
            <v>连锁20店</v>
          </cell>
          <cell r="J4697" t="str">
            <v>1859</v>
          </cell>
          <cell r="K4697" t="str">
            <v>201602151421097</v>
          </cell>
          <cell r="M4697" t="str">
            <v>葡萄糖酸锌口服液12支/盒</v>
          </cell>
        </row>
        <row r="4698">
          <cell r="E4698" t="str">
            <v>0020070000SJZY0001</v>
          </cell>
          <cell r="H4698" t="str">
            <v>连锁19店</v>
          </cell>
          <cell r="J4698" t="str">
            <v>1859</v>
          </cell>
          <cell r="K4698" t="str">
            <v>201602151421097</v>
          </cell>
          <cell r="M4698" t="str">
            <v>葡萄糖酸锌口服液12支/盒</v>
          </cell>
        </row>
        <row r="4699">
          <cell r="E4699" t="str">
            <v>0020050090SJZY0001</v>
          </cell>
          <cell r="H4699" t="str">
            <v>连锁19店</v>
          </cell>
          <cell r="J4699" t="str">
            <v>1859</v>
          </cell>
          <cell r="K4699" t="str">
            <v>201602151421097</v>
          </cell>
          <cell r="M4699" t="str">
            <v>双黄连口服液10ml*10</v>
          </cell>
        </row>
        <row r="4700">
          <cell r="E4700" t="str">
            <v>0020040220SHYT0005</v>
          </cell>
          <cell r="H4700" t="str">
            <v>连锁19店</v>
          </cell>
          <cell r="J4700" t="str">
            <v>1859</v>
          </cell>
          <cell r="K4700" t="str">
            <v>201602151421097</v>
          </cell>
          <cell r="M4700" t="str">
            <v>妇宁栓1.6g*7粒</v>
          </cell>
        </row>
        <row r="4701">
          <cell r="E4701" t="str">
            <v>0020030040ZYLC0001</v>
          </cell>
          <cell r="H4701" t="str">
            <v>连锁39店</v>
          </cell>
          <cell r="J4701" t="str">
            <v>1859</v>
          </cell>
          <cell r="K4701" t="str">
            <v>201602151421097</v>
          </cell>
          <cell r="M4701" t="str">
            <v>护彤*小儿氨酚黄那敏颗粒12袋</v>
          </cell>
        </row>
        <row r="4702">
          <cell r="E4702" t="str">
            <v>0020030040ZYLC0001</v>
          </cell>
          <cell r="H4702" t="str">
            <v>中心店</v>
          </cell>
          <cell r="J4702" t="str">
            <v>1859</v>
          </cell>
          <cell r="K4702" t="str">
            <v>201602151421097</v>
          </cell>
          <cell r="M4702" t="str">
            <v>护彤*小儿氨酚黄那敏颗粒12袋</v>
          </cell>
        </row>
        <row r="4703">
          <cell r="E4703" t="str">
            <v>0020040001SHYT0018</v>
          </cell>
          <cell r="H4703" t="str">
            <v>连锁16店</v>
          </cell>
          <cell r="J4703" t="str">
            <v>1859</v>
          </cell>
          <cell r="K4703" t="str">
            <v>201602151421097</v>
          </cell>
          <cell r="M4703" t="str">
            <v>血府逐瘀丸9g*10丸</v>
          </cell>
        </row>
        <row r="4704">
          <cell r="E4704" t="str">
            <v>0020050090SJZY0001</v>
          </cell>
          <cell r="H4704" t="str">
            <v>连锁26店</v>
          </cell>
          <cell r="J4704" t="str">
            <v>1859</v>
          </cell>
          <cell r="K4704" t="str">
            <v>201602151421097</v>
          </cell>
          <cell r="M4704" t="str">
            <v>双黄连口服液10ml*10</v>
          </cell>
        </row>
        <row r="4705">
          <cell r="E4705" t="str">
            <v>0020040220SHYT0005</v>
          </cell>
          <cell r="H4705" t="str">
            <v>连锁16店</v>
          </cell>
          <cell r="J4705" t="str">
            <v>1859</v>
          </cell>
          <cell r="K4705" t="str">
            <v>201602151421097</v>
          </cell>
          <cell r="M4705" t="str">
            <v>妇宁栓1.6g*7粒</v>
          </cell>
        </row>
        <row r="4706">
          <cell r="E4706" t="str">
            <v>0020040220SHYT0005</v>
          </cell>
          <cell r="H4706" t="str">
            <v>连锁15店</v>
          </cell>
          <cell r="J4706" t="str">
            <v>1859</v>
          </cell>
          <cell r="K4706" t="str">
            <v>201602151421097</v>
          </cell>
          <cell r="M4706" t="str">
            <v>妇宁栓1.6g*7粒</v>
          </cell>
        </row>
        <row r="4707">
          <cell r="E4707" t="str">
            <v>0020040001SHYT0018</v>
          </cell>
          <cell r="H4707" t="str">
            <v>连锁32店</v>
          </cell>
          <cell r="J4707" t="str">
            <v>1859</v>
          </cell>
          <cell r="K4707" t="str">
            <v>201602151421097</v>
          </cell>
          <cell r="M4707" t="str">
            <v>血府逐瘀丸9g*10丸</v>
          </cell>
        </row>
        <row r="4708">
          <cell r="E4708" t="str">
            <v>0020040220SHYT0005</v>
          </cell>
          <cell r="H4708" t="str">
            <v>连锁32店</v>
          </cell>
          <cell r="J4708" t="str">
            <v>1859</v>
          </cell>
          <cell r="K4708" t="str">
            <v>201602151421097</v>
          </cell>
          <cell r="M4708" t="str">
            <v>妇宁栓1.6g*7粒</v>
          </cell>
        </row>
        <row r="4709">
          <cell r="E4709" t="str">
            <v>0020020030ZYZC0289</v>
          </cell>
          <cell r="H4709" t="str">
            <v>连锁8店</v>
          </cell>
          <cell r="J4709" t="str">
            <v>1859</v>
          </cell>
          <cell r="K4709" t="str">
            <v>201602151421097</v>
          </cell>
          <cell r="M4709" t="str">
            <v>阿莫西林胶囊0.5g*36粒</v>
          </cell>
        </row>
        <row r="4710">
          <cell r="E4710" t="str">
            <v>0020030020ZYZC0360</v>
          </cell>
          <cell r="H4710" t="str">
            <v>连锁29店</v>
          </cell>
          <cell r="J4710" t="str">
            <v>1859</v>
          </cell>
          <cell r="K4710" t="str">
            <v>201602151421097</v>
          </cell>
          <cell r="M4710" t="str">
            <v>维生素c咀嚼片0.1g*30片</v>
          </cell>
        </row>
        <row r="4711">
          <cell r="E4711" t="str">
            <v>0020020020ZYLC0010</v>
          </cell>
          <cell r="H4711" t="str">
            <v>连锁26店</v>
          </cell>
          <cell r="J4711" t="str">
            <v>1859</v>
          </cell>
          <cell r="K4711" t="str">
            <v>201602151421097</v>
          </cell>
          <cell r="M4711" t="str">
            <v>泻利停*颠茄磺苄啶片10片</v>
          </cell>
        </row>
        <row r="4712">
          <cell r="E4712" t="str">
            <v>0020040220SHYT0005</v>
          </cell>
          <cell r="H4712" t="str">
            <v>连锁26店</v>
          </cell>
          <cell r="J4712" t="str">
            <v>1859</v>
          </cell>
          <cell r="K4712" t="str">
            <v>201602151421097</v>
          </cell>
          <cell r="M4712" t="str">
            <v>妇宁栓1.6g*7粒</v>
          </cell>
        </row>
        <row r="4713">
          <cell r="E4713" t="str">
            <v>0020030040ZYLC0001</v>
          </cell>
          <cell r="H4713" t="str">
            <v>连锁38店</v>
          </cell>
          <cell r="J4713" t="str">
            <v>1859</v>
          </cell>
          <cell r="K4713" t="str">
            <v>201602151421097</v>
          </cell>
          <cell r="M4713" t="str">
            <v>护彤*小儿氨酚黄那敏颗粒12袋</v>
          </cell>
        </row>
        <row r="4714">
          <cell r="E4714" t="str">
            <v>0020030020ZYZC0360</v>
          </cell>
          <cell r="H4714" t="str">
            <v>滨1店</v>
          </cell>
          <cell r="J4714" t="str">
            <v>1853</v>
          </cell>
          <cell r="K4714" t="str">
            <v>201602151421097</v>
          </cell>
          <cell r="M4714" t="str">
            <v>维生素c咀嚼片0.1g*30片</v>
          </cell>
        </row>
        <row r="4715">
          <cell r="E4715" t="str">
            <v>0020030020SJSC0025</v>
          </cell>
          <cell r="H4715" t="str">
            <v>连锁37店</v>
          </cell>
          <cell r="J4715" t="str">
            <v>1859</v>
          </cell>
          <cell r="K4715" t="str">
            <v>201602151421097</v>
          </cell>
          <cell r="M4715" t="str">
            <v>复方氨酚烷胺片12片</v>
          </cell>
        </row>
        <row r="4716">
          <cell r="E4716" t="str">
            <v>0020030020ZYZC0360</v>
          </cell>
          <cell r="H4716" t="str">
            <v>连锁37店</v>
          </cell>
          <cell r="J4716" t="str">
            <v>1859</v>
          </cell>
          <cell r="K4716" t="str">
            <v>201602151421097</v>
          </cell>
          <cell r="M4716" t="str">
            <v>维生素c咀嚼片0.1g*30片</v>
          </cell>
        </row>
        <row r="4717">
          <cell r="E4717" t="str">
            <v>0020070000SJZY0001</v>
          </cell>
          <cell r="H4717" t="str">
            <v>连锁3店</v>
          </cell>
          <cell r="J4717" t="str">
            <v>1859</v>
          </cell>
          <cell r="K4717" t="str">
            <v>201602151421097</v>
          </cell>
          <cell r="M4717" t="str">
            <v>葡萄糖酸锌口服液12支/盒</v>
          </cell>
        </row>
        <row r="4718">
          <cell r="E4718" t="str">
            <v>0020030001SJZY0006</v>
          </cell>
          <cell r="H4718" t="str">
            <v>连锁10店</v>
          </cell>
          <cell r="J4718" t="str">
            <v>1859</v>
          </cell>
          <cell r="K4718" t="str">
            <v>201602151421097</v>
          </cell>
          <cell r="M4718" t="str">
            <v>葡萄糖酸钙口服液12支/盒</v>
          </cell>
        </row>
        <row r="4719">
          <cell r="E4719" t="str">
            <v>0020020021ZYLC0004</v>
          </cell>
          <cell r="H4719" t="str">
            <v>连锁10店</v>
          </cell>
          <cell r="J4719" t="str">
            <v>1859</v>
          </cell>
          <cell r="K4719" t="str">
            <v>201602151421097</v>
          </cell>
          <cell r="M4719" t="str">
            <v>严迪*罗红霉素分散片75mg*12</v>
          </cell>
        </row>
        <row r="4720">
          <cell r="E4720" t="str">
            <v>0020030020SJSC0025</v>
          </cell>
          <cell r="H4720" t="str">
            <v>连锁17店</v>
          </cell>
          <cell r="J4720" t="str">
            <v>1859</v>
          </cell>
          <cell r="K4720" t="str">
            <v>201602151421097</v>
          </cell>
          <cell r="M4720" t="str">
            <v>复方氨酚烷胺片12片</v>
          </cell>
        </row>
        <row r="4721">
          <cell r="E4721" t="str">
            <v>0020070000SJZY0001</v>
          </cell>
          <cell r="H4721" t="str">
            <v>连锁24店</v>
          </cell>
          <cell r="J4721" t="str">
            <v>1859</v>
          </cell>
          <cell r="K4721" t="str">
            <v>201602151421097</v>
          </cell>
          <cell r="M4721" t="str">
            <v>葡萄糖酸锌口服液12支/盒</v>
          </cell>
        </row>
        <row r="4722">
          <cell r="E4722" t="str">
            <v>0020050090SJZY0001</v>
          </cell>
          <cell r="H4722" t="str">
            <v>连锁24店</v>
          </cell>
          <cell r="J4722" t="str">
            <v>1859</v>
          </cell>
          <cell r="K4722" t="str">
            <v>201602151421097</v>
          </cell>
          <cell r="M4722" t="str">
            <v>双黄连口服液10ml*10</v>
          </cell>
        </row>
        <row r="4723">
          <cell r="E4723" t="str">
            <v>0020020030SJMS0024</v>
          </cell>
          <cell r="H4723" t="str">
            <v>连锁8店</v>
          </cell>
          <cell r="J4723" t="str">
            <v>1859</v>
          </cell>
          <cell r="K4723" t="str">
            <v>201602151421097</v>
          </cell>
          <cell r="M4723" t="str">
            <v>人工牛黄甲硝唑胶囊20粒</v>
          </cell>
        </row>
        <row r="4724">
          <cell r="E4724" t="str">
            <v>0020030040SJET0003</v>
          </cell>
          <cell r="H4724" t="str">
            <v>连锁7店</v>
          </cell>
          <cell r="J4724" t="str">
            <v>1859</v>
          </cell>
          <cell r="K4724" t="str">
            <v>201602151421097</v>
          </cell>
          <cell r="M4724" t="str">
            <v>氨金黄敏颗粒6g*10袋/盒</v>
          </cell>
        </row>
        <row r="4725">
          <cell r="E4725" t="str">
            <v>0020030020ZYZC0360</v>
          </cell>
          <cell r="H4725" t="str">
            <v>连锁2店</v>
          </cell>
          <cell r="J4725" t="str">
            <v>1859</v>
          </cell>
          <cell r="K4725" t="str">
            <v>201602151421097</v>
          </cell>
          <cell r="M4725" t="str">
            <v>维生素c咀嚼片0.1g*30片</v>
          </cell>
        </row>
        <row r="4726">
          <cell r="E4726" t="str">
            <v>0020030032ZYZC0300</v>
          </cell>
          <cell r="H4726" t="str">
            <v>连锁2店</v>
          </cell>
          <cell r="J4726" t="str">
            <v>1859</v>
          </cell>
          <cell r="K4726" t="str">
            <v>201602151421097</v>
          </cell>
          <cell r="M4726" t="str">
            <v>维生素E软胶囊100mg*30粒</v>
          </cell>
        </row>
        <row r="4727">
          <cell r="E4727" t="str">
            <v>0020030020SJSC0004</v>
          </cell>
          <cell r="H4727" t="str">
            <v>连锁31店</v>
          </cell>
          <cell r="J4727" t="str">
            <v>1859</v>
          </cell>
          <cell r="K4727" t="str">
            <v>201602151421097</v>
          </cell>
          <cell r="M4727" t="str">
            <v>胃必治*复方铝酸铋片50片</v>
          </cell>
        </row>
        <row r="4728">
          <cell r="E4728" t="str">
            <v>0020040220SHYT0005</v>
          </cell>
          <cell r="H4728" t="str">
            <v>连锁37店</v>
          </cell>
          <cell r="J4728" t="str">
            <v>1859</v>
          </cell>
          <cell r="K4728" t="str">
            <v>201602151421097</v>
          </cell>
          <cell r="M4728" t="str">
            <v>妇宁栓1.6g*7粒</v>
          </cell>
        </row>
        <row r="4729">
          <cell r="E4729" t="str">
            <v>0020030020ZYZC0360</v>
          </cell>
          <cell r="H4729" t="str">
            <v>连锁39店</v>
          </cell>
          <cell r="J4729" t="str">
            <v>1859</v>
          </cell>
          <cell r="K4729" t="str">
            <v>201602151421097</v>
          </cell>
          <cell r="M4729" t="str">
            <v>维生素c咀嚼片0.1g*30片</v>
          </cell>
        </row>
        <row r="4730">
          <cell r="E4730" t="str">
            <v>0020020030SJMS0024</v>
          </cell>
          <cell r="H4730" t="str">
            <v>连锁50店</v>
          </cell>
          <cell r="J4730" t="str">
            <v>1859</v>
          </cell>
          <cell r="K4730" t="str">
            <v>201602151421097</v>
          </cell>
          <cell r="M4730" t="str">
            <v>人工牛黄甲硝唑胶囊20粒</v>
          </cell>
        </row>
        <row r="4731">
          <cell r="E4731" t="str">
            <v>0020030040ZYLC0001</v>
          </cell>
          <cell r="H4731" t="str">
            <v>连锁49店</v>
          </cell>
          <cell r="J4731" t="str">
            <v>1859</v>
          </cell>
          <cell r="K4731" t="str">
            <v>201602151421097</v>
          </cell>
          <cell r="M4731" t="str">
            <v>护彤*小儿氨酚黄那敏颗粒12袋</v>
          </cell>
        </row>
        <row r="4732">
          <cell r="E4732" t="str">
            <v>0020040220SHYT0004</v>
          </cell>
          <cell r="H4732" t="str">
            <v>连锁27店</v>
          </cell>
          <cell r="J4732" t="str">
            <v>1859</v>
          </cell>
          <cell r="K4732" t="str">
            <v>201602151421097</v>
          </cell>
          <cell r="M4732" t="str">
            <v>妇宁栓1.6g*8粒</v>
          </cell>
        </row>
        <row r="4733">
          <cell r="E4733" t="str">
            <v>0020020012SWGC0007</v>
          </cell>
          <cell r="H4733" t="str">
            <v>大胡卫生院</v>
          </cell>
          <cell r="J4733" t="str">
            <v>1835</v>
          </cell>
          <cell r="M4733" t="str">
            <v>注射用奥美拉唑钠40mg</v>
          </cell>
        </row>
        <row r="4734">
          <cell r="E4734" t="str">
            <v>0020020012SWGC0007</v>
          </cell>
          <cell r="H4734" t="str">
            <v>青州市何官卫生院</v>
          </cell>
          <cell r="J4734" t="str">
            <v>1779</v>
          </cell>
          <cell r="M4734" t="str">
            <v>注射用奥美拉唑钠40mg</v>
          </cell>
        </row>
        <row r="4735">
          <cell r="E4735" t="str">
            <v>0020020012SWGC0007</v>
          </cell>
          <cell r="H4735" t="str">
            <v>青州市邵庄卫生院</v>
          </cell>
          <cell r="J4735" t="str">
            <v>1779</v>
          </cell>
          <cell r="M4735" t="str">
            <v>注射用奥美拉唑钠40mg</v>
          </cell>
        </row>
        <row r="4736">
          <cell r="E4736" t="str">
            <v>0020020012SWGC0007</v>
          </cell>
          <cell r="H4736" t="str">
            <v>庆云县中丁乡卫生院</v>
          </cell>
          <cell r="J4736" t="str">
            <v>1835</v>
          </cell>
          <cell r="M4736" t="str">
            <v>注射用奥美拉唑钠40mg</v>
          </cell>
        </row>
        <row r="4737">
          <cell r="E4737" t="str">
            <v>0020020012SWGC0007</v>
          </cell>
          <cell r="H4737" t="str">
            <v>平原县王打卦镇卫生院</v>
          </cell>
          <cell r="J4737" t="str">
            <v>1838</v>
          </cell>
          <cell r="M4737" t="str">
            <v>注射用奥美拉唑钠40mg</v>
          </cell>
        </row>
        <row r="4738">
          <cell r="E4738" t="str">
            <v>0020020012SWGC0007</v>
          </cell>
          <cell r="H4738" t="str">
            <v>齐河县晏城街道卫生院</v>
          </cell>
          <cell r="J4738" t="str">
            <v>1837</v>
          </cell>
          <cell r="M4738" t="str">
            <v>注射用奥美拉唑钠40mg</v>
          </cell>
        </row>
        <row r="4739">
          <cell r="E4739" t="str">
            <v>0020020012SWGC0007</v>
          </cell>
          <cell r="H4739" t="str">
            <v>庆云县东辛店镇卫生院</v>
          </cell>
          <cell r="J4739" t="str">
            <v>1835</v>
          </cell>
          <cell r="M4739" t="str">
            <v>注射用奥美拉唑钠40mg</v>
          </cell>
        </row>
        <row r="4740">
          <cell r="E4740" t="str">
            <v>0020020012SWGC0007</v>
          </cell>
          <cell r="H4740" t="str">
            <v>商河县郑路中心卫生院</v>
          </cell>
          <cell r="J4740" t="str">
            <v>1724</v>
          </cell>
          <cell r="M4740" t="str">
            <v>注射用奥美拉唑钠40mg</v>
          </cell>
        </row>
        <row r="4741">
          <cell r="E4741" t="str">
            <v>0020020012SWGC0007</v>
          </cell>
          <cell r="H4741" t="str">
            <v>菏泽九州通医药有限公司</v>
          </cell>
          <cell r="J4741" t="str">
            <v>1869</v>
          </cell>
          <cell r="M4741" t="str">
            <v>注射用奥美拉唑钠40mg</v>
          </cell>
        </row>
        <row r="4742">
          <cell r="E4742" t="str">
            <v>0020020012SWGC0007</v>
          </cell>
          <cell r="H4742" t="str">
            <v>济阳县仁风镇中心卫生院</v>
          </cell>
          <cell r="J4742" t="str">
            <v>1723</v>
          </cell>
          <cell r="M4742" t="str">
            <v>注射用奥美拉唑钠40mg</v>
          </cell>
        </row>
        <row r="4743">
          <cell r="E4743" t="str">
            <v>0020020012SWGC0007</v>
          </cell>
          <cell r="H4743" t="str">
            <v>庆云县常家镇中心卫生院</v>
          </cell>
          <cell r="J4743" t="str">
            <v>1835</v>
          </cell>
          <cell r="M4743" t="str">
            <v>注射用奥美拉唑钠40mg</v>
          </cell>
        </row>
        <row r="4744">
          <cell r="E4744" t="str">
            <v>0020020012SWGC0007</v>
          </cell>
          <cell r="H4744" t="str">
            <v>潍坊市潍城区望留镇卫生院</v>
          </cell>
          <cell r="J4744" t="str">
            <v>1773</v>
          </cell>
          <cell r="M4744" t="str">
            <v>注射用奥美拉唑钠40mg</v>
          </cell>
        </row>
        <row r="4745">
          <cell r="E4745" t="str">
            <v>0020020012SWGC0007</v>
          </cell>
          <cell r="H4745" t="str">
            <v>潍坊市潍城区于河镇卫生院</v>
          </cell>
          <cell r="J4745" t="str">
            <v>1773</v>
          </cell>
          <cell r="M4745" t="str">
            <v>注射用奥美拉唑钠40mg</v>
          </cell>
        </row>
        <row r="4746">
          <cell r="E4746" t="str">
            <v>0020020012SWGC0007</v>
          </cell>
          <cell r="H4746" t="str">
            <v>陵城区安德街道办事处卫生院</v>
          </cell>
          <cell r="J4746" t="str">
            <v>1833</v>
          </cell>
          <cell r="M4746" t="str">
            <v>注射用奥美拉唑钠40mg</v>
          </cell>
        </row>
        <row r="4747">
          <cell r="E4747" t="str">
            <v>0020020012SWGC0007</v>
          </cell>
          <cell r="H4747" t="str">
            <v>齐河县城区社区卫生服务中心</v>
          </cell>
          <cell r="J4747" t="str">
            <v>1837</v>
          </cell>
          <cell r="M4747" t="str">
            <v>注射用奥美拉唑钠40mg</v>
          </cell>
        </row>
        <row r="4748">
          <cell r="E4748" t="str">
            <v>0020020012SWGC0007</v>
          </cell>
          <cell r="H4748" t="str">
            <v>潍坊市潍城区杏埠中心卫生院</v>
          </cell>
          <cell r="J4748" t="str">
            <v>1773</v>
          </cell>
          <cell r="M4748" t="str">
            <v>注射用奥美拉唑钠40mg</v>
          </cell>
        </row>
        <row r="4749">
          <cell r="E4749" t="str">
            <v>0020020012SWGC0007</v>
          </cell>
          <cell r="H4749" t="str">
            <v>潍城区西关街道豪德社区卫生服务中心</v>
          </cell>
          <cell r="J4749" t="str">
            <v>1773</v>
          </cell>
          <cell r="M4749" t="str">
            <v>注射用奥美拉唑钠40mg</v>
          </cell>
        </row>
        <row r="4750">
          <cell r="E4750" t="str">
            <v>0020020012SWGC0007</v>
          </cell>
          <cell r="H4750" t="str">
            <v>潍城区西关街道中和街社区卫生服务站</v>
          </cell>
          <cell r="J4750" t="str">
            <v>1773</v>
          </cell>
          <cell r="M4750" t="str">
            <v>注射用奥美拉唑钠40mg</v>
          </cell>
        </row>
        <row r="4751">
          <cell r="E4751" t="str">
            <v>0020020012SWGC0007</v>
          </cell>
          <cell r="H4751" t="str">
            <v>济阳县回河街道办事处社区卫生服务中心</v>
          </cell>
          <cell r="J4751" t="str">
            <v>1723</v>
          </cell>
          <cell r="M4751" t="str">
            <v>注射用奥美拉唑钠40mg</v>
          </cell>
        </row>
        <row r="4752">
          <cell r="E4752" t="str">
            <v>0020020012SWGC0007</v>
          </cell>
          <cell r="H4752" t="str">
            <v>济阳县太平街道办事处社区卫生服务中心</v>
          </cell>
          <cell r="J4752" t="str">
            <v>1723</v>
          </cell>
          <cell r="M4752" t="str">
            <v>注射用奥美拉唑钠40mg</v>
          </cell>
        </row>
        <row r="4753">
          <cell r="E4753" t="str">
            <v>0020020012SWGC0007</v>
          </cell>
          <cell r="H4753" t="str">
            <v>德州经济开发区宋官屯镇社区卫生服务中心</v>
          </cell>
          <cell r="J4753" t="str">
            <v>1832</v>
          </cell>
          <cell r="M4753" t="str">
            <v>注射用奥美拉唑钠40mg</v>
          </cell>
        </row>
        <row r="4754">
          <cell r="E4754" t="str">
            <v>0020020012SWGC0007</v>
          </cell>
          <cell r="H4754" t="str">
            <v>济南市历下区东关办事处历下二院社区卫生服务站</v>
          </cell>
          <cell r="J4754" t="str">
            <v>1716</v>
          </cell>
          <cell r="M4754" t="str">
            <v>注射用奥美拉唑钠40mg</v>
          </cell>
        </row>
        <row r="4755">
          <cell r="E4755" t="str">
            <v>0020020012SWGC0007</v>
          </cell>
          <cell r="H4755" t="str">
            <v>济南市历下区姚家办事处名士豪庭社区卫生服务站</v>
          </cell>
          <cell r="J4755" t="str">
            <v>1716</v>
          </cell>
          <cell r="M4755" t="str">
            <v>注射用奥美拉唑钠40mg</v>
          </cell>
        </row>
        <row r="4756">
          <cell r="E4756" t="str">
            <v>0020030040ZYLC0001</v>
          </cell>
          <cell r="H4756" t="str">
            <v>济生堂龙居店</v>
          </cell>
          <cell r="J4756" t="str">
            <v>1857</v>
          </cell>
          <cell r="K4756" t="str">
            <v>201602151421097</v>
          </cell>
          <cell r="M4756" t="str">
            <v>小儿氨酚黄那敏颗粒 护彤 2g*12袋</v>
          </cell>
        </row>
        <row r="4757">
          <cell r="E4757" t="str">
            <v>0020030040ZYLC0001</v>
          </cell>
          <cell r="H4757" t="str">
            <v>济生堂金海店</v>
          </cell>
          <cell r="J4757" t="str">
            <v>1857</v>
          </cell>
          <cell r="K4757" t="str">
            <v>201602151421097</v>
          </cell>
          <cell r="M4757" t="str">
            <v>小儿氨酚黄那敏颗粒 护彤 2g*12袋</v>
          </cell>
        </row>
        <row r="4758">
          <cell r="E4758" t="str">
            <v>0020030040ZYLC0001</v>
          </cell>
          <cell r="H4758" t="str">
            <v>济生堂中心店</v>
          </cell>
          <cell r="J4758" t="str">
            <v>1857</v>
          </cell>
          <cell r="K4758" t="str">
            <v>201602151421097</v>
          </cell>
          <cell r="M4758" t="str">
            <v>小儿氨酚黄那敏颗粒 护彤 2g*12袋</v>
          </cell>
        </row>
        <row r="4759">
          <cell r="E4759" t="str">
            <v>0020030040ZYLC0001</v>
          </cell>
          <cell r="H4759" t="str">
            <v>济生堂冯家二店</v>
          </cell>
          <cell r="J4759" t="str">
            <v>1857</v>
          </cell>
          <cell r="K4759" t="str">
            <v>201602151421097</v>
          </cell>
          <cell r="M4759" t="str">
            <v>小儿氨酚黄那敏颗粒 护彤 2g*12袋</v>
          </cell>
        </row>
        <row r="4760">
          <cell r="E4760" t="str">
            <v>0020030040ZYLC0001</v>
          </cell>
          <cell r="H4760" t="str">
            <v>济生堂富城店</v>
          </cell>
          <cell r="J4760" t="str">
            <v>1857</v>
          </cell>
          <cell r="K4760" t="str">
            <v>201602151421097</v>
          </cell>
          <cell r="M4760" t="str">
            <v>小儿氨酚黄那敏颗粒 护彤 2g*12袋</v>
          </cell>
        </row>
        <row r="4761">
          <cell r="E4761" t="str">
            <v>0020030040ZYLC0001</v>
          </cell>
          <cell r="H4761" t="str">
            <v>济生堂同济店</v>
          </cell>
          <cell r="J4761" t="str">
            <v>1857</v>
          </cell>
          <cell r="K4761" t="str">
            <v>201602151421097</v>
          </cell>
          <cell r="M4761" t="str">
            <v>小儿氨酚黄那敏颗粒 护彤 2g*12袋</v>
          </cell>
        </row>
        <row r="4762">
          <cell r="E4762" t="str">
            <v>0020050090SJZY0001</v>
          </cell>
          <cell r="H4762" t="str">
            <v>济生堂广场店</v>
          </cell>
          <cell r="J4762" t="str">
            <v>1857</v>
          </cell>
          <cell r="K4762" t="str">
            <v>201602151421097</v>
          </cell>
          <cell r="M4762" t="str">
            <v>双黄连口服液10ml*10支</v>
          </cell>
        </row>
        <row r="4763">
          <cell r="E4763" t="str">
            <v>0020050090SJZY0001</v>
          </cell>
          <cell r="H4763" t="str">
            <v>济生堂昌盛店</v>
          </cell>
          <cell r="J4763" t="str">
            <v>1857</v>
          </cell>
          <cell r="K4763" t="str">
            <v>201602151421097</v>
          </cell>
          <cell r="M4763" t="str">
            <v>双黄连口服液10ml*10支</v>
          </cell>
        </row>
        <row r="4764">
          <cell r="E4764" t="str">
            <v>0020050090SJZY0001</v>
          </cell>
          <cell r="H4764" t="str">
            <v>济生堂永丰店</v>
          </cell>
          <cell r="J4764" t="str">
            <v>1857</v>
          </cell>
          <cell r="K4764" t="str">
            <v>201602151421097</v>
          </cell>
          <cell r="M4764" t="str">
            <v>双黄连口服液10ml*10支</v>
          </cell>
        </row>
        <row r="4765">
          <cell r="E4765" t="str">
            <v>0020050090SJZY0001</v>
          </cell>
          <cell r="H4765" t="str">
            <v>济生堂中心店</v>
          </cell>
          <cell r="J4765" t="str">
            <v>1857</v>
          </cell>
          <cell r="K4765" t="str">
            <v>201602151421097</v>
          </cell>
          <cell r="M4765" t="str">
            <v>双黄连口服液10ml*10支</v>
          </cell>
        </row>
        <row r="4766">
          <cell r="E4766" t="str">
            <v>0020050090SJZY0001</v>
          </cell>
          <cell r="H4766" t="str">
            <v>济生堂富桥店</v>
          </cell>
          <cell r="J4766" t="str">
            <v>1857</v>
          </cell>
          <cell r="K4766" t="str">
            <v>201602151421097</v>
          </cell>
          <cell r="M4766" t="str">
            <v>双黄连口服液10ml*10支</v>
          </cell>
        </row>
        <row r="4767">
          <cell r="E4767" t="str">
            <v>0020050090SJZY0001</v>
          </cell>
          <cell r="H4767" t="str">
            <v>济生堂同济店</v>
          </cell>
          <cell r="J4767" t="str">
            <v>1857</v>
          </cell>
          <cell r="K4767" t="str">
            <v>201602151421097</v>
          </cell>
          <cell r="M4767" t="str">
            <v>双黄连口服液10ml*10支</v>
          </cell>
        </row>
        <row r="4768">
          <cell r="E4768" t="str">
            <v>0020050090SJZY0001</v>
          </cell>
          <cell r="H4768" t="str">
            <v>济生堂金海店</v>
          </cell>
          <cell r="J4768" t="str">
            <v>1857</v>
          </cell>
          <cell r="K4768" t="str">
            <v>201602151421097</v>
          </cell>
          <cell r="M4768" t="str">
            <v>双黄连口服液10ml*10支</v>
          </cell>
        </row>
        <row r="4769">
          <cell r="E4769" t="str">
            <v>0020050090SJZY0001</v>
          </cell>
          <cell r="H4769" t="str">
            <v>济生堂冯家店</v>
          </cell>
          <cell r="J4769" t="str">
            <v>1857</v>
          </cell>
          <cell r="K4769" t="str">
            <v>201602151421097</v>
          </cell>
          <cell r="M4769" t="str">
            <v>双黄连口服液10ml*10支</v>
          </cell>
        </row>
        <row r="4770">
          <cell r="E4770" t="str">
            <v>0020050090SJZY0001</v>
          </cell>
          <cell r="H4770" t="str">
            <v>济生堂金康店</v>
          </cell>
          <cell r="J4770" t="str">
            <v>1857</v>
          </cell>
          <cell r="K4770" t="str">
            <v>201602151421097</v>
          </cell>
          <cell r="M4770" t="str">
            <v>双黄连口服液10ml*10支</v>
          </cell>
        </row>
        <row r="4771">
          <cell r="E4771" t="str">
            <v>0020050090SJZY0001</v>
          </cell>
          <cell r="H4771" t="str">
            <v>济生堂新华店</v>
          </cell>
          <cell r="J4771" t="str">
            <v>1857</v>
          </cell>
          <cell r="K4771" t="str">
            <v>201602151421097</v>
          </cell>
          <cell r="M4771" t="str">
            <v>双黄连口服液10ml*10支</v>
          </cell>
        </row>
        <row r="4772">
          <cell r="E4772" t="str">
            <v>0020070000ZYLC0052</v>
          </cell>
          <cell r="H4772" t="str">
            <v>济生堂龙居店</v>
          </cell>
          <cell r="J4772" t="str">
            <v>1857</v>
          </cell>
          <cell r="K4772" t="str">
            <v>201602151421097</v>
          </cell>
          <cell r="M4772" t="str">
            <v>钙加锌口服液12支</v>
          </cell>
        </row>
        <row r="4773">
          <cell r="E4773" t="str">
            <v>0020070000ZYLC0052</v>
          </cell>
          <cell r="H4773" t="str">
            <v>济生堂同济店</v>
          </cell>
          <cell r="J4773" t="str">
            <v>1857</v>
          </cell>
          <cell r="K4773" t="str">
            <v>201602151421097</v>
          </cell>
          <cell r="M4773" t="str">
            <v>钙加锌口服液12支</v>
          </cell>
        </row>
        <row r="4774">
          <cell r="E4774" t="str">
            <v>0020070000ZYLC0052</v>
          </cell>
          <cell r="H4774" t="str">
            <v>济生堂济仁堂店</v>
          </cell>
          <cell r="J4774" t="str">
            <v>1857</v>
          </cell>
          <cell r="K4774" t="str">
            <v>201602151421097</v>
          </cell>
          <cell r="M4774" t="str">
            <v>钙加锌口服液12支</v>
          </cell>
        </row>
        <row r="4775">
          <cell r="E4775" t="str">
            <v>0020070000ZYLC0052</v>
          </cell>
          <cell r="H4775" t="str">
            <v>济生堂广场店</v>
          </cell>
          <cell r="J4775" t="str">
            <v>1857</v>
          </cell>
          <cell r="K4775" t="str">
            <v>201602151421097</v>
          </cell>
          <cell r="M4775" t="str">
            <v>钙加锌口服液12支</v>
          </cell>
        </row>
        <row r="4776">
          <cell r="E4776" t="str">
            <v>0020070000ZYLC0052</v>
          </cell>
          <cell r="H4776" t="str">
            <v>济生堂永丰店</v>
          </cell>
          <cell r="J4776" t="str">
            <v>1857</v>
          </cell>
          <cell r="K4776" t="str">
            <v>201602151421097</v>
          </cell>
          <cell r="M4776" t="str">
            <v>钙加锌口服液12支</v>
          </cell>
        </row>
        <row r="4777">
          <cell r="E4777" t="str">
            <v>0020070000ZYLC0052</v>
          </cell>
          <cell r="H4777" t="str">
            <v>济生堂富桥店</v>
          </cell>
          <cell r="J4777" t="str">
            <v>1857</v>
          </cell>
          <cell r="K4777" t="str">
            <v>201602151421097</v>
          </cell>
          <cell r="M4777" t="str">
            <v>钙加锌口服液12支</v>
          </cell>
        </row>
        <row r="4778">
          <cell r="E4778" t="str">
            <v>0020070000ZYLC0052</v>
          </cell>
          <cell r="H4778" t="str">
            <v>济生堂清华园店</v>
          </cell>
          <cell r="J4778" t="str">
            <v>1857</v>
          </cell>
          <cell r="K4778" t="str">
            <v>201602151421097</v>
          </cell>
          <cell r="M4778" t="str">
            <v>钙加锌口服液12支</v>
          </cell>
        </row>
        <row r="4779">
          <cell r="E4779" t="str">
            <v>0020070000ZYLC0052</v>
          </cell>
          <cell r="H4779" t="str">
            <v>济生堂影院店</v>
          </cell>
          <cell r="J4779" t="str">
            <v>1857</v>
          </cell>
          <cell r="K4779" t="str">
            <v>201602151421097</v>
          </cell>
          <cell r="M4779" t="str">
            <v>钙加锌口服液12支</v>
          </cell>
        </row>
        <row r="4780">
          <cell r="E4780" t="str">
            <v>0020070000ZYLC0052</v>
          </cell>
          <cell r="H4780" t="str">
            <v>济生堂金海店</v>
          </cell>
          <cell r="J4780" t="str">
            <v>1857</v>
          </cell>
          <cell r="K4780" t="str">
            <v>201602151421097</v>
          </cell>
          <cell r="M4780" t="str">
            <v>钙加锌口服液12支</v>
          </cell>
        </row>
        <row r="4781">
          <cell r="E4781" t="str">
            <v>0020070000ZYLC0052</v>
          </cell>
          <cell r="H4781" t="str">
            <v>济生堂新华店</v>
          </cell>
          <cell r="J4781" t="str">
            <v>1857</v>
          </cell>
          <cell r="K4781" t="str">
            <v>201602151421097</v>
          </cell>
          <cell r="M4781" t="str">
            <v>钙加锌口服液12支</v>
          </cell>
        </row>
        <row r="4782">
          <cell r="E4782" t="str">
            <v>0020070000ZYLC0052</v>
          </cell>
          <cell r="H4782" t="str">
            <v>济生堂中心店</v>
          </cell>
          <cell r="J4782" t="str">
            <v>1857</v>
          </cell>
          <cell r="K4782" t="str">
            <v>201602151421097</v>
          </cell>
          <cell r="M4782" t="str">
            <v>钙加锌口服液12支</v>
          </cell>
        </row>
        <row r="4783">
          <cell r="E4783" t="str">
            <v>0020070000ZYLC0052</v>
          </cell>
          <cell r="H4783" t="str">
            <v>济生堂昌盛店</v>
          </cell>
          <cell r="J4783" t="str">
            <v>1857</v>
          </cell>
          <cell r="K4783" t="str">
            <v>201602151421097</v>
          </cell>
          <cell r="M4783" t="str">
            <v>钙加锌口服液12支</v>
          </cell>
        </row>
        <row r="4784">
          <cell r="E4784" t="str">
            <v>0020030020SJSC0004</v>
          </cell>
          <cell r="H4784" t="str">
            <v>济生堂新合作店</v>
          </cell>
          <cell r="J4784" t="str">
            <v>1857</v>
          </cell>
          <cell r="K4784" t="str">
            <v>201602151421097</v>
          </cell>
          <cell r="M4784" t="str">
            <v>复方铝酸铋片  123450片</v>
          </cell>
        </row>
        <row r="4785">
          <cell r="E4785" t="str">
            <v>0020030020SJSC0004</v>
          </cell>
          <cell r="H4785" t="str">
            <v>济生堂永丰店</v>
          </cell>
          <cell r="J4785" t="str">
            <v>1857</v>
          </cell>
          <cell r="K4785" t="str">
            <v>201602151421097</v>
          </cell>
          <cell r="M4785" t="str">
            <v>复方铝酸铋片  123450片</v>
          </cell>
        </row>
        <row r="4786">
          <cell r="E4786" t="str">
            <v>0020030020SJSC0004</v>
          </cell>
          <cell r="H4786" t="str">
            <v>济生堂广场店</v>
          </cell>
          <cell r="J4786" t="str">
            <v>1857</v>
          </cell>
          <cell r="K4786" t="str">
            <v>201602151421097</v>
          </cell>
          <cell r="M4786" t="str">
            <v>复方铝酸铋片  123450片</v>
          </cell>
        </row>
        <row r="4787">
          <cell r="E4787" t="str">
            <v>0020030020SJSC0004</v>
          </cell>
          <cell r="H4787" t="str">
            <v>济生堂下洼店</v>
          </cell>
          <cell r="J4787" t="str">
            <v>1857</v>
          </cell>
          <cell r="K4787" t="str">
            <v>201602151421097</v>
          </cell>
          <cell r="M4787" t="str">
            <v>复方铝酸铋片  123450片</v>
          </cell>
        </row>
        <row r="4788">
          <cell r="E4788" t="str">
            <v>0020030020SJSC0004</v>
          </cell>
          <cell r="H4788" t="str">
            <v>济生堂中心店</v>
          </cell>
          <cell r="J4788" t="str">
            <v>1857</v>
          </cell>
          <cell r="K4788" t="str">
            <v>201602151421097</v>
          </cell>
          <cell r="M4788" t="str">
            <v>复方铝酸铋片  123450片</v>
          </cell>
        </row>
        <row r="4789">
          <cell r="E4789" t="str">
            <v>0020030020SJSC0004</v>
          </cell>
          <cell r="H4789" t="str">
            <v>济生堂冯家店</v>
          </cell>
          <cell r="J4789" t="str">
            <v>1857</v>
          </cell>
          <cell r="K4789" t="str">
            <v>201602151421097</v>
          </cell>
          <cell r="M4789" t="str">
            <v>复方铝酸铋片  123450片</v>
          </cell>
        </row>
        <row r="4790">
          <cell r="E4790" t="str">
            <v>0020030020SJSC0004</v>
          </cell>
          <cell r="H4790" t="str">
            <v>济生堂清华园店</v>
          </cell>
          <cell r="J4790" t="str">
            <v>1857</v>
          </cell>
          <cell r="K4790" t="str">
            <v>201602151421097</v>
          </cell>
          <cell r="M4790" t="str">
            <v>复方铝酸铋片  123450片</v>
          </cell>
        </row>
        <row r="4791">
          <cell r="E4791" t="str">
            <v>0020030020SJSC0004</v>
          </cell>
          <cell r="H4791" t="str">
            <v>济生堂富城店</v>
          </cell>
          <cell r="J4791" t="str">
            <v>1857</v>
          </cell>
          <cell r="K4791" t="str">
            <v>201602151421097</v>
          </cell>
          <cell r="M4791" t="str">
            <v>复方铝酸铋片  123450片</v>
          </cell>
        </row>
        <row r="4792">
          <cell r="E4792" t="str">
            <v>0020030020SJSC0004</v>
          </cell>
          <cell r="H4792" t="str">
            <v>济生堂王见南店</v>
          </cell>
          <cell r="J4792" t="str">
            <v>1857</v>
          </cell>
          <cell r="K4792" t="str">
            <v>201602151421097</v>
          </cell>
          <cell r="M4792" t="str">
            <v>复方铝酸铋片  123450片</v>
          </cell>
        </row>
        <row r="4793">
          <cell r="E4793" t="str">
            <v>0020030020SJSC0004</v>
          </cell>
          <cell r="H4793" t="str">
            <v>济生堂龙居店</v>
          </cell>
          <cell r="J4793" t="str">
            <v>1857</v>
          </cell>
          <cell r="K4793" t="str">
            <v>201602151421097</v>
          </cell>
          <cell r="M4793" t="str">
            <v>复方铝酸铋片  123450片</v>
          </cell>
        </row>
        <row r="4794">
          <cell r="E4794" t="str">
            <v>0020030020SJSC0004</v>
          </cell>
          <cell r="H4794" t="str">
            <v>济生堂环宇店</v>
          </cell>
          <cell r="J4794" t="str">
            <v>1857</v>
          </cell>
          <cell r="K4794" t="str">
            <v>201602151421097</v>
          </cell>
          <cell r="M4794" t="str">
            <v>复方铝酸铋片  123450片</v>
          </cell>
        </row>
        <row r="4795">
          <cell r="E4795" t="str">
            <v>0020030020SJSC0004</v>
          </cell>
          <cell r="H4795" t="str">
            <v>济生堂明珠店</v>
          </cell>
          <cell r="J4795" t="str">
            <v>1857</v>
          </cell>
          <cell r="K4795" t="str">
            <v>201602151421097</v>
          </cell>
          <cell r="M4795" t="str">
            <v>复方铝酸铋片  123450片</v>
          </cell>
        </row>
        <row r="4796">
          <cell r="E4796" t="str">
            <v>0020030020SJSC0004</v>
          </cell>
          <cell r="H4796" t="str">
            <v>济生堂大高店</v>
          </cell>
          <cell r="J4796" t="str">
            <v>1857</v>
          </cell>
          <cell r="K4796" t="str">
            <v>201602151421097</v>
          </cell>
          <cell r="M4796" t="str">
            <v>复方铝酸铋片  123450片</v>
          </cell>
        </row>
        <row r="4797">
          <cell r="E4797" t="str">
            <v>0020030020SJSC0004</v>
          </cell>
          <cell r="H4797" t="str">
            <v>济生堂金康店</v>
          </cell>
          <cell r="J4797" t="str">
            <v>1857</v>
          </cell>
          <cell r="K4797" t="str">
            <v>201602151421097</v>
          </cell>
          <cell r="M4797" t="str">
            <v>复方铝酸铋片  123450片</v>
          </cell>
        </row>
        <row r="4798">
          <cell r="E4798" t="str">
            <v>0020030020SJSC0004</v>
          </cell>
          <cell r="H4798" t="str">
            <v>济生堂富桥店</v>
          </cell>
          <cell r="J4798" t="str">
            <v>1857</v>
          </cell>
          <cell r="K4798" t="str">
            <v>201602151421097</v>
          </cell>
          <cell r="M4798" t="str">
            <v>复方铝酸铋片  123450片</v>
          </cell>
        </row>
        <row r="4799">
          <cell r="E4799" t="str">
            <v>0020030020SJSC0004</v>
          </cell>
          <cell r="H4799" t="str">
            <v>济生堂济仁堂店</v>
          </cell>
          <cell r="J4799" t="str">
            <v>1857</v>
          </cell>
          <cell r="K4799" t="str">
            <v>201602151421097</v>
          </cell>
          <cell r="M4799" t="str">
            <v>复方铝酸铋片  123450片</v>
          </cell>
        </row>
        <row r="4800">
          <cell r="E4800" t="str">
            <v>0020030020SJSC0004</v>
          </cell>
          <cell r="H4800" t="str">
            <v>济生堂金海店</v>
          </cell>
          <cell r="J4800" t="str">
            <v>1857</v>
          </cell>
          <cell r="K4800" t="str">
            <v>201602151421097</v>
          </cell>
          <cell r="M4800" t="str">
            <v>复方铝酸铋片  123450片</v>
          </cell>
        </row>
        <row r="4801">
          <cell r="E4801" t="str">
            <v>0020030020SJSC0004</v>
          </cell>
          <cell r="H4801" t="str">
            <v>济生堂体育场店</v>
          </cell>
          <cell r="J4801" t="str">
            <v>1857</v>
          </cell>
          <cell r="K4801" t="str">
            <v>201602151421097</v>
          </cell>
          <cell r="M4801" t="str">
            <v>复方铝酸铋片  123450片</v>
          </cell>
        </row>
        <row r="4802">
          <cell r="E4802" t="str">
            <v>0020020021ZYLC0004</v>
          </cell>
          <cell r="H4802" t="str">
            <v>济生堂新华店</v>
          </cell>
          <cell r="J4802" t="str">
            <v>1857</v>
          </cell>
          <cell r="K4802" t="str">
            <v>201602151421097</v>
          </cell>
          <cell r="M4802" t="str">
            <v>罗红霉素分散片 严迪75mg*12片</v>
          </cell>
        </row>
        <row r="4803">
          <cell r="E4803" t="str">
            <v>0020020021ZYLC0004</v>
          </cell>
          <cell r="H4803" t="str">
            <v>济生堂济仁堂店</v>
          </cell>
          <cell r="J4803" t="str">
            <v>1857</v>
          </cell>
          <cell r="K4803" t="str">
            <v>201602151421097</v>
          </cell>
          <cell r="M4803" t="str">
            <v>罗红霉素分散片 严迪75mg*12片</v>
          </cell>
        </row>
        <row r="4804">
          <cell r="E4804" t="str">
            <v>0020020021ZYLC0004</v>
          </cell>
          <cell r="H4804" t="str">
            <v>济生堂同济店</v>
          </cell>
          <cell r="J4804" t="str">
            <v>1857</v>
          </cell>
          <cell r="K4804" t="str">
            <v>201602151421097</v>
          </cell>
          <cell r="M4804" t="str">
            <v>罗红霉素分散片 严迪75mg*12片</v>
          </cell>
        </row>
        <row r="4805">
          <cell r="E4805" t="str">
            <v>0020020021ZYLC0004</v>
          </cell>
          <cell r="H4805" t="str">
            <v>济生堂富桥店</v>
          </cell>
          <cell r="J4805" t="str">
            <v>1857</v>
          </cell>
          <cell r="K4805" t="str">
            <v>201602151421097</v>
          </cell>
          <cell r="M4805" t="str">
            <v>罗红霉素分散片 严迪75mg*12片</v>
          </cell>
        </row>
        <row r="4806">
          <cell r="E4806" t="str">
            <v>0020020021ZYLC0004</v>
          </cell>
          <cell r="H4806" t="str">
            <v>济生堂下洼店</v>
          </cell>
          <cell r="J4806" t="str">
            <v>1857</v>
          </cell>
          <cell r="K4806" t="str">
            <v>201602151421097</v>
          </cell>
          <cell r="M4806" t="str">
            <v>罗红霉素分散片 严迪75mg*12片</v>
          </cell>
        </row>
        <row r="4807">
          <cell r="E4807" t="str">
            <v>0020020021ZYLC0004</v>
          </cell>
          <cell r="H4807" t="str">
            <v>济生堂金海店</v>
          </cell>
          <cell r="J4807" t="str">
            <v>1857</v>
          </cell>
          <cell r="K4807" t="str">
            <v>201602151421097</v>
          </cell>
          <cell r="M4807" t="str">
            <v>罗红霉素分散片 严迪75mg*12片</v>
          </cell>
        </row>
        <row r="4808">
          <cell r="E4808" t="str">
            <v>0020020021ZYLC0004</v>
          </cell>
          <cell r="H4808" t="str">
            <v>济生堂清华园店</v>
          </cell>
          <cell r="J4808" t="str">
            <v>1857</v>
          </cell>
          <cell r="K4808" t="str">
            <v>201602151421097</v>
          </cell>
          <cell r="M4808" t="str">
            <v>罗红霉素分散片 严迪75mg*12片</v>
          </cell>
        </row>
        <row r="4809">
          <cell r="E4809" t="str">
            <v>0020020021ZYLC0004</v>
          </cell>
          <cell r="H4809" t="str">
            <v>济生堂冯家二店</v>
          </cell>
          <cell r="J4809" t="str">
            <v>1857</v>
          </cell>
          <cell r="K4809" t="str">
            <v>201602151421097</v>
          </cell>
          <cell r="M4809" t="str">
            <v>罗红霉素分散片 严迪75mg*12片</v>
          </cell>
        </row>
        <row r="4810">
          <cell r="E4810" t="str">
            <v>0020070000ZYLC0001</v>
          </cell>
          <cell r="H4810" t="str">
            <v>济生堂下洼店</v>
          </cell>
          <cell r="J4810" t="str">
            <v>1857</v>
          </cell>
          <cell r="K4810" t="str">
            <v>201602151421097</v>
          </cell>
          <cell r="M4810" t="str">
            <v>新盖中盖高钙片36片</v>
          </cell>
        </row>
        <row r="4811">
          <cell r="E4811" t="str">
            <v>0020070000ZYLC0001</v>
          </cell>
          <cell r="H4811" t="str">
            <v>济生堂昌盛店</v>
          </cell>
          <cell r="J4811" t="str">
            <v>1857</v>
          </cell>
          <cell r="K4811" t="str">
            <v>201602151421097</v>
          </cell>
          <cell r="M4811" t="str">
            <v>新盖中盖高钙片36片</v>
          </cell>
        </row>
        <row r="4812">
          <cell r="E4812" t="str">
            <v>0020070000ZYLC0001</v>
          </cell>
          <cell r="H4812" t="str">
            <v>济生堂同济店</v>
          </cell>
          <cell r="J4812" t="str">
            <v>1857</v>
          </cell>
          <cell r="K4812" t="str">
            <v>201602151421097</v>
          </cell>
          <cell r="M4812" t="str">
            <v>新盖中盖高钙片36片</v>
          </cell>
        </row>
        <row r="4813">
          <cell r="E4813" t="str">
            <v>0020070000ZYLC0001</v>
          </cell>
          <cell r="H4813" t="str">
            <v>济生堂环宇店</v>
          </cell>
          <cell r="J4813" t="str">
            <v>1857</v>
          </cell>
          <cell r="K4813" t="str">
            <v>201602151421097</v>
          </cell>
          <cell r="M4813" t="str">
            <v>新盖中盖高钙片36片</v>
          </cell>
        </row>
        <row r="4814">
          <cell r="E4814" t="str">
            <v>0020070000ZYLC0001</v>
          </cell>
          <cell r="H4814" t="str">
            <v>济生堂金海店</v>
          </cell>
          <cell r="J4814" t="str">
            <v>1857</v>
          </cell>
          <cell r="K4814" t="str">
            <v>201602151421097</v>
          </cell>
          <cell r="M4814" t="str">
            <v>新盖中盖高钙片36片</v>
          </cell>
        </row>
        <row r="4815">
          <cell r="E4815" t="str">
            <v>0020070000ZYLC0001</v>
          </cell>
          <cell r="H4815" t="str">
            <v>济生堂龙居店</v>
          </cell>
          <cell r="J4815" t="str">
            <v>1857</v>
          </cell>
          <cell r="K4815" t="str">
            <v>201602151421097</v>
          </cell>
          <cell r="M4815" t="str">
            <v>新盖中盖高钙片36片</v>
          </cell>
        </row>
        <row r="4816">
          <cell r="E4816" t="str">
            <v>0020070000ZYLC0001</v>
          </cell>
          <cell r="H4816" t="str">
            <v>济生堂广场店</v>
          </cell>
          <cell r="J4816" t="str">
            <v>1857</v>
          </cell>
          <cell r="K4816" t="str">
            <v>201602151421097</v>
          </cell>
          <cell r="M4816" t="str">
            <v>新盖中盖高钙片36片</v>
          </cell>
        </row>
        <row r="4817">
          <cell r="E4817" t="str">
            <v>0020070000ZYLC0001</v>
          </cell>
          <cell r="H4817" t="str">
            <v>济生堂永丰店</v>
          </cell>
          <cell r="J4817" t="str">
            <v>1857</v>
          </cell>
          <cell r="K4817" t="str">
            <v>201602151421097</v>
          </cell>
          <cell r="M4817" t="str">
            <v>新盖中盖高钙片36片</v>
          </cell>
        </row>
        <row r="4818">
          <cell r="E4818" t="str">
            <v>0020070000ZYLC0001</v>
          </cell>
          <cell r="H4818" t="str">
            <v>济生堂清华园店</v>
          </cell>
          <cell r="J4818" t="str">
            <v>1857</v>
          </cell>
          <cell r="K4818" t="str">
            <v>201602151421097</v>
          </cell>
          <cell r="M4818" t="str">
            <v>新盖中盖高钙片36片</v>
          </cell>
        </row>
        <row r="4819">
          <cell r="E4819" t="str">
            <v>0020070000ZYLC0001</v>
          </cell>
          <cell r="H4819" t="str">
            <v>济生堂明珠店</v>
          </cell>
          <cell r="J4819" t="str">
            <v>1857</v>
          </cell>
          <cell r="K4819" t="str">
            <v>201602151421097</v>
          </cell>
          <cell r="M4819" t="str">
            <v>新盖中盖高钙片36片</v>
          </cell>
        </row>
        <row r="4820">
          <cell r="E4820" t="str">
            <v>0020070000ZYLC0001</v>
          </cell>
          <cell r="H4820" t="str">
            <v>济生堂影院店</v>
          </cell>
          <cell r="J4820" t="str">
            <v>1857</v>
          </cell>
          <cell r="K4820" t="str">
            <v>201602151421097</v>
          </cell>
          <cell r="M4820" t="str">
            <v>新盖中盖高钙片36片</v>
          </cell>
        </row>
        <row r="4821">
          <cell r="E4821" t="str">
            <v>0020070000ZYLC0001</v>
          </cell>
          <cell r="H4821" t="str">
            <v>济生堂新华店</v>
          </cell>
          <cell r="J4821" t="str">
            <v>1857</v>
          </cell>
          <cell r="K4821" t="str">
            <v>201602151421097</v>
          </cell>
          <cell r="M4821" t="str">
            <v>新盖中盖高钙片36片</v>
          </cell>
        </row>
        <row r="4822">
          <cell r="E4822" t="str">
            <v>0020070000ZYLC0001</v>
          </cell>
          <cell r="H4822" t="str">
            <v>济生堂金康店</v>
          </cell>
          <cell r="J4822" t="str">
            <v>1857</v>
          </cell>
          <cell r="K4822" t="str">
            <v>201602151421097</v>
          </cell>
          <cell r="M4822" t="str">
            <v>新盖中盖高钙片36片</v>
          </cell>
        </row>
        <row r="4823">
          <cell r="E4823" t="str">
            <v>0020020021ZYLC0010</v>
          </cell>
          <cell r="H4823" t="str">
            <v>济生堂昌盛店</v>
          </cell>
          <cell r="J4823" t="str">
            <v>1857</v>
          </cell>
          <cell r="K4823" t="str">
            <v>201602151421097</v>
          </cell>
          <cell r="M4823" t="str">
            <v>克拉霉素分散片 哈药0.125g*12片</v>
          </cell>
        </row>
        <row r="4824">
          <cell r="E4824" t="str">
            <v>0020020021ZYLC0010</v>
          </cell>
          <cell r="H4824" t="str">
            <v>济生堂广场店</v>
          </cell>
          <cell r="J4824" t="str">
            <v>1857</v>
          </cell>
          <cell r="K4824" t="str">
            <v>201602151421097</v>
          </cell>
          <cell r="M4824" t="str">
            <v>克拉霉素分散片 哈药0.125g*12片</v>
          </cell>
        </row>
        <row r="4825">
          <cell r="E4825" t="str">
            <v>0020020021ZYLC0010</v>
          </cell>
          <cell r="H4825" t="str">
            <v>济生堂永丰店</v>
          </cell>
          <cell r="J4825" t="str">
            <v>1857</v>
          </cell>
          <cell r="K4825" t="str">
            <v>201602151421097</v>
          </cell>
          <cell r="M4825" t="str">
            <v>克拉霉素分散片 哈药0.125g*12片</v>
          </cell>
        </row>
        <row r="4826">
          <cell r="E4826" t="str">
            <v>0020070000SJZY0001</v>
          </cell>
          <cell r="H4826" t="str">
            <v>济生堂中心店</v>
          </cell>
          <cell r="J4826" t="str">
            <v>1857</v>
          </cell>
          <cell r="K4826" t="str">
            <v>201602151421097</v>
          </cell>
          <cell r="M4826" t="str">
            <v>葡萄糖酸锌口服液 三精12支</v>
          </cell>
        </row>
        <row r="4827">
          <cell r="E4827" t="str">
            <v>0020070000SJZY0001</v>
          </cell>
          <cell r="H4827" t="str">
            <v>济生堂明珠店</v>
          </cell>
          <cell r="J4827" t="str">
            <v>1857</v>
          </cell>
          <cell r="K4827" t="str">
            <v>201602151421097</v>
          </cell>
          <cell r="M4827" t="str">
            <v>葡萄糖酸锌口服液 三精12支</v>
          </cell>
        </row>
        <row r="4828">
          <cell r="E4828" t="str">
            <v>0020070000SJZY0001</v>
          </cell>
          <cell r="H4828" t="str">
            <v>济生堂金康店</v>
          </cell>
          <cell r="J4828" t="str">
            <v>1857</v>
          </cell>
          <cell r="K4828" t="str">
            <v>201602151421097</v>
          </cell>
          <cell r="M4828" t="str">
            <v>葡萄糖酸锌口服液 三精12支</v>
          </cell>
        </row>
        <row r="4829">
          <cell r="E4829" t="str">
            <v>0020070000SJZY0001</v>
          </cell>
          <cell r="H4829" t="str">
            <v>济生堂富桥店</v>
          </cell>
          <cell r="J4829" t="str">
            <v>1857</v>
          </cell>
          <cell r="K4829" t="str">
            <v>201602151421097</v>
          </cell>
          <cell r="M4829" t="str">
            <v>葡萄糖酸锌口服液 三精12支</v>
          </cell>
        </row>
        <row r="4830">
          <cell r="E4830" t="str">
            <v>0020070000SJZY0001</v>
          </cell>
          <cell r="H4830" t="str">
            <v>济生堂同济店</v>
          </cell>
          <cell r="J4830" t="str">
            <v>1857</v>
          </cell>
          <cell r="K4830" t="str">
            <v>201602151421097</v>
          </cell>
          <cell r="M4830" t="str">
            <v>葡萄糖酸锌口服液 三精12支</v>
          </cell>
        </row>
        <row r="4831">
          <cell r="E4831" t="str">
            <v>0020070000SJZY0001</v>
          </cell>
          <cell r="H4831" t="str">
            <v>济生堂广场店</v>
          </cell>
          <cell r="J4831" t="str">
            <v>1857</v>
          </cell>
          <cell r="K4831" t="str">
            <v>201602151421097</v>
          </cell>
          <cell r="M4831" t="str">
            <v>葡萄糖酸锌口服液 三精12支</v>
          </cell>
        </row>
        <row r="4832">
          <cell r="E4832" t="str">
            <v>0020070000SJZY0001</v>
          </cell>
          <cell r="H4832" t="str">
            <v>济生堂下洼店</v>
          </cell>
          <cell r="J4832" t="str">
            <v>1857</v>
          </cell>
          <cell r="K4832" t="str">
            <v>201602151421097</v>
          </cell>
          <cell r="M4832" t="str">
            <v>葡萄糖酸锌口服液 三精12支</v>
          </cell>
        </row>
        <row r="4833">
          <cell r="E4833" t="str">
            <v>0020070000SJZY0001</v>
          </cell>
          <cell r="H4833" t="str">
            <v>济生堂新华店</v>
          </cell>
          <cell r="J4833" t="str">
            <v>1857</v>
          </cell>
          <cell r="K4833" t="str">
            <v>201602151421097</v>
          </cell>
          <cell r="M4833" t="str">
            <v>葡萄糖酸锌口服液 三精12支</v>
          </cell>
        </row>
        <row r="4834">
          <cell r="E4834" t="str">
            <v>0020070000SJZY0001</v>
          </cell>
          <cell r="H4834" t="str">
            <v>济生堂影院店</v>
          </cell>
          <cell r="J4834" t="str">
            <v>1857</v>
          </cell>
          <cell r="K4834" t="str">
            <v>201602151421097</v>
          </cell>
          <cell r="M4834" t="str">
            <v>葡萄糖酸锌口服液 三精12支</v>
          </cell>
        </row>
        <row r="4835">
          <cell r="E4835" t="str">
            <v>0020070000SJZY0001</v>
          </cell>
          <cell r="H4835" t="str">
            <v>济生堂金海店</v>
          </cell>
          <cell r="J4835" t="str">
            <v>1857</v>
          </cell>
          <cell r="K4835" t="str">
            <v>201602151421097</v>
          </cell>
          <cell r="M4835" t="str">
            <v>葡萄糖酸锌口服液 三精12支</v>
          </cell>
        </row>
        <row r="4836">
          <cell r="E4836" t="str">
            <v>0020070000SJZY0001</v>
          </cell>
          <cell r="H4836" t="str">
            <v>济生堂永丰店</v>
          </cell>
          <cell r="J4836" t="str">
            <v>1857</v>
          </cell>
          <cell r="K4836" t="str">
            <v>201602151421097</v>
          </cell>
          <cell r="M4836" t="str">
            <v>葡萄糖酸锌口服液 三精12支</v>
          </cell>
        </row>
        <row r="4837">
          <cell r="E4837" t="str">
            <v>0020070000SJZY0001</v>
          </cell>
          <cell r="H4837" t="str">
            <v>济生堂龙居店</v>
          </cell>
          <cell r="J4837" t="str">
            <v>1857</v>
          </cell>
          <cell r="K4837" t="str">
            <v>201602151421097</v>
          </cell>
          <cell r="M4837" t="str">
            <v>葡萄糖酸锌口服液 三精12支</v>
          </cell>
        </row>
        <row r="4838">
          <cell r="E4838" t="str">
            <v>0020070000SJZY0001</v>
          </cell>
          <cell r="H4838" t="str">
            <v>济生堂冯家店</v>
          </cell>
          <cell r="J4838" t="str">
            <v>1857</v>
          </cell>
          <cell r="K4838" t="str">
            <v>201602151421097</v>
          </cell>
          <cell r="M4838" t="str">
            <v>葡萄糖酸锌口服液 三精12支</v>
          </cell>
        </row>
        <row r="4839">
          <cell r="E4839" t="str">
            <v>0020070000SJZY0001</v>
          </cell>
          <cell r="H4839" t="str">
            <v>济生堂富国店</v>
          </cell>
          <cell r="J4839" t="str">
            <v>1857</v>
          </cell>
          <cell r="K4839" t="str">
            <v>201602151421097</v>
          </cell>
          <cell r="M4839" t="str">
            <v>葡萄糖酸锌口服液 三精12支</v>
          </cell>
        </row>
        <row r="4840">
          <cell r="E4840" t="str">
            <v>0020070000SJZY0001</v>
          </cell>
          <cell r="H4840" t="str">
            <v>济生堂济仁堂店</v>
          </cell>
          <cell r="J4840" t="str">
            <v>1857</v>
          </cell>
          <cell r="K4840" t="str">
            <v>201602151421097</v>
          </cell>
          <cell r="M4840" t="str">
            <v>葡萄糖酸锌口服液 三精12支</v>
          </cell>
        </row>
        <row r="4841">
          <cell r="E4841" t="str">
            <v>0020070000SJZY0001</v>
          </cell>
          <cell r="H4841" t="str">
            <v>济生堂体育场店</v>
          </cell>
          <cell r="J4841" t="str">
            <v>1857</v>
          </cell>
          <cell r="K4841" t="str">
            <v>201602151421097</v>
          </cell>
          <cell r="M4841" t="str">
            <v>葡萄糖酸锌口服液 三精12支</v>
          </cell>
        </row>
        <row r="4842">
          <cell r="E4842" t="str">
            <v>0020070000SJZY0001</v>
          </cell>
          <cell r="H4842" t="str">
            <v>济生堂富城店</v>
          </cell>
          <cell r="J4842" t="str">
            <v>1857</v>
          </cell>
          <cell r="K4842" t="str">
            <v>201602151421097</v>
          </cell>
          <cell r="M4842" t="str">
            <v>葡萄糖酸锌口服液 三精12支</v>
          </cell>
        </row>
        <row r="4843">
          <cell r="E4843" t="str">
            <v>0020070000SJZY0001</v>
          </cell>
          <cell r="H4843" t="str">
            <v>济生堂新合作店</v>
          </cell>
          <cell r="J4843" t="str">
            <v>1857</v>
          </cell>
          <cell r="K4843" t="str">
            <v>201602151421097</v>
          </cell>
          <cell r="M4843" t="str">
            <v>葡萄糖酸锌口服液 三精12支</v>
          </cell>
        </row>
        <row r="4844">
          <cell r="E4844" t="str">
            <v>0020070000SJZY0001</v>
          </cell>
          <cell r="H4844" t="str">
            <v>济生堂清华园店</v>
          </cell>
          <cell r="J4844" t="str">
            <v>1857</v>
          </cell>
          <cell r="K4844" t="str">
            <v>201602151421097</v>
          </cell>
          <cell r="M4844" t="str">
            <v>葡萄糖酸锌口服液 三精12支</v>
          </cell>
        </row>
        <row r="4845">
          <cell r="E4845" t="str">
            <v>0020070000SJZY0001</v>
          </cell>
          <cell r="H4845" t="str">
            <v>济生堂冯家二店</v>
          </cell>
          <cell r="J4845" t="str">
            <v>1857</v>
          </cell>
          <cell r="K4845" t="str">
            <v>201602151421097</v>
          </cell>
          <cell r="M4845" t="str">
            <v>葡萄糖酸锌口服液 三精12支</v>
          </cell>
        </row>
        <row r="4846">
          <cell r="E4846" t="str">
            <v>0020070000SJZY0001</v>
          </cell>
          <cell r="H4846" t="str">
            <v>济生堂昌盛店</v>
          </cell>
          <cell r="J4846" t="str">
            <v>1857</v>
          </cell>
          <cell r="K4846" t="str">
            <v>201602151421097</v>
          </cell>
          <cell r="M4846" t="str">
            <v>葡萄糖酸锌口服液 三精12支</v>
          </cell>
        </row>
        <row r="4847">
          <cell r="E4847" t="str">
            <v>0020070000SJZY0001</v>
          </cell>
          <cell r="H4847" t="str">
            <v>济生堂环宇店</v>
          </cell>
          <cell r="J4847" t="str">
            <v>1857</v>
          </cell>
          <cell r="K4847" t="str">
            <v>201602151421097</v>
          </cell>
          <cell r="M4847" t="str">
            <v>葡萄糖酸锌口服液 三精12支</v>
          </cell>
        </row>
        <row r="4848">
          <cell r="E4848" t="str">
            <v>0020070000ZYLC0051</v>
          </cell>
          <cell r="H4848" t="str">
            <v>济生堂中心店</v>
          </cell>
          <cell r="J4848" t="str">
            <v>1857</v>
          </cell>
          <cell r="K4848" t="str">
            <v>201602151421097</v>
          </cell>
          <cell r="M4848" t="str">
            <v>乳酸亚铁口服液（朴雪）12支</v>
          </cell>
        </row>
        <row r="4849">
          <cell r="E4849" t="str">
            <v>0020070000ZYLC0051</v>
          </cell>
          <cell r="H4849" t="str">
            <v>济生堂龙居店</v>
          </cell>
          <cell r="J4849" t="str">
            <v>1857</v>
          </cell>
          <cell r="K4849" t="str">
            <v>201602151421097</v>
          </cell>
          <cell r="M4849" t="str">
            <v>乳酸亚铁口服液（朴雪）12支</v>
          </cell>
        </row>
        <row r="4850">
          <cell r="E4850" t="str">
            <v>0020070000ZYLC0051</v>
          </cell>
          <cell r="H4850" t="str">
            <v>济生堂富桥店</v>
          </cell>
          <cell r="J4850" t="str">
            <v>1857</v>
          </cell>
          <cell r="K4850" t="str">
            <v>201602151421097</v>
          </cell>
          <cell r="M4850" t="str">
            <v>乳酸亚铁口服液（朴雪）12支</v>
          </cell>
        </row>
        <row r="4851">
          <cell r="E4851" t="str">
            <v>0020070000ZYLC0051</v>
          </cell>
          <cell r="H4851" t="str">
            <v>济生堂永丰店</v>
          </cell>
          <cell r="J4851" t="str">
            <v>1857</v>
          </cell>
          <cell r="K4851" t="str">
            <v>201602151421097</v>
          </cell>
          <cell r="M4851" t="str">
            <v>乳酸亚铁口服液（朴雪）12支</v>
          </cell>
        </row>
        <row r="4852">
          <cell r="E4852" t="str">
            <v>0020070000ZYLC0051</v>
          </cell>
          <cell r="H4852" t="str">
            <v>济生堂广场店</v>
          </cell>
          <cell r="J4852" t="str">
            <v>1857</v>
          </cell>
          <cell r="K4852" t="str">
            <v>201602151421097</v>
          </cell>
          <cell r="M4852" t="str">
            <v>乳酸亚铁口服液（朴雪）12支</v>
          </cell>
        </row>
        <row r="4853">
          <cell r="E4853" t="str">
            <v>0020040070ZYEC0005</v>
          </cell>
          <cell r="H4853" t="str">
            <v>济生堂明珠店</v>
          </cell>
          <cell r="J4853" t="str">
            <v>1857</v>
          </cell>
          <cell r="K4853" t="str">
            <v>201602151421097</v>
          </cell>
          <cell r="M4853" t="str">
            <v>小儿百部止咳糖浆100ml</v>
          </cell>
        </row>
        <row r="4854">
          <cell r="E4854" t="str">
            <v>0020040070ZYEC0005</v>
          </cell>
          <cell r="H4854" t="str">
            <v>济生堂清华园店</v>
          </cell>
          <cell r="J4854" t="str">
            <v>1857</v>
          </cell>
          <cell r="K4854" t="str">
            <v>201602151421097</v>
          </cell>
          <cell r="M4854" t="str">
            <v>小儿百部止咳糖浆100ml</v>
          </cell>
        </row>
        <row r="4855">
          <cell r="E4855" t="str">
            <v>0020040070ZYEC0005</v>
          </cell>
          <cell r="H4855" t="str">
            <v>济生堂同济店</v>
          </cell>
          <cell r="J4855" t="str">
            <v>1857</v>
          </cell>
          <cell r="K4855" t="str">
            <v>201602151421097</v>
          </cell>
          <cell r="M4855" t="str">
            <v>小儿百部止咳糖浆100ml</v>
          </cell>
        </row>
        <row r="4856">
          <cell r="E4856" t="str">
            <v>0020030020SJSC0025</v>
          </cell>
          <cell r="H4856" t="str">
            <v>无棣益生堂药店连锁有限公司</v>
          </cell>
          <cell r="J4856" t="str">
            <v>1856</v>
          </cell>
          <cell r="K4856" t="str">
            <v>201602151421097</v>
          </cell>
          <cell r="M4856" t="str">
            <v>复方氨酚烷胺片12片</v>
          </cell>
        </row>
        <row r="4857">
          <cell r="E4857" t="str">
            <v>0020030020SJSC0025</v>
          </cell>
          <cell r="H4857" t="str">
            <v>滨州市沾化区鲁康医药连锁有限公司</v>
          </cell>
          <cell r="J4857" t="str">
            <v>1857</v>
          </cell>
          <cell r="K4857" t="str">
            <v>201602151421097</v>
          </cell>
          <cell r="M4857" t="str">
            <v>复方氨酚烷胺片12片</v>
          </cell>
        </row>
        <row r="4858">
          <cell r="E4858" t="str">
            <v>0020030020SJSC0025</v>
          </cell>
          <cell r="H4858" t="str">
            <v>滨州市滨城区妇幼保健站</v>
          </cell>
          <cell r="J4858" t="str">
            <v>1853</v>
          </cell>
          <cell r="K4858" t="str">
            <v>201602151421097</v>
          </cell>
          <cell r="M4858" t="str">
            <v>复方氨酚烷胺片12片</v>
          </cell>
        </row>
        <row r="4859">
          <cell r="E4859" t="str">
            <v>0020030020SJSC0025</v>
          </cell>
          <cell r="H4859" t="str">
            <v>惠民县丰好大药房</v>
          </cell>
          <cell r="J4859" t="str">
            <v>1854</v>
          </cell>
          <cell r="K4859" t="str">
            <v>201602151421097</v>
          </cell>
          <cell r="M4859" t="str">
            <v>复方氨酚烷胺片12片</v>
          </cell>
        </row>
        <row r="4860">
          <cell r="E4860" t="str">
            <v>0020050020ZYEC0008</v>
          </cell>
          <cell r="H4860" t="str">
            <v>滨州华健医院</v>
          </cell>
          <cell r="J4860" t="str">
            <v>1853</v>
          </cell>
          <cell r="K4860" t="str">
            <v>201602151421097</v>
          </cell>
          <cell r="M4860" t="str">
            <v>感冒解毒灵颗粒5g*10袋</v>
          </cell>
        </row>
        <row r="4861">
          <cell r="E4861" t="str">
            <v>0020020020ZYLC0010</v>
          </cell>
          <cell r="H4861" t="str">
            <v>滨州市滨城区市西街道办事处利民社区第二卫生服务站</v>
          </cell>
          <cell r="J4861" t="str">
            <v>1853</v>
          </cell>
          <cell r="K4861" t="str">
            <v>201602151421097</v>
          </cell>
          <cell r="M4861" t="str">
            <v xml:space="preserve">泻利停/颠茄磺苄啶片0.48g*10片 </v>
          </cell>
        </row>
        <row r="4862">
          <cell r="E4862" t="str">
            <v>0020020020ZYLC0010</v>
          </cell>
          <cell r="H4862" t="str">
            <v>洋湖乡史张社区卫生室</v>
          </cell>
          <cell r="J4862" t="str">
            <v>1855</v>
          </cell>
          <cell r="K4862" t="str">
            <v>201602151421097</v>
          </cell>
          <cell r="M4862" t="str">
            <v xml:space="preserve">泻利停/颠茄磺苄啶片0.48g*10片 </v>
          </cell>
        </row>
        <row r="4863">
          <cell r="E4863" t="str">
            <v>0020020020ZYLC0010</v>
          </cell>
          <cell r="H4863" t="str">
            <v>水落坡镇秦家社区卫生室</v>
          </cell>
          <cell r="J4863" t="str">
            <v>1855</v>
          </cell>
          <cell r="K4863" t="str">
            <v>201602151421097</v>
          </cell>
          <cell r="M4863" t="str">
            <v xml:space="preserve">泻利停/颠茄磺苄啶片0.48g*10片 </v>
          </cell>
        </row>
        <row r="4864">
          <cell r="E4864" t="str">
            <v>0020020020ZYLC0010</v>
          </cell>
          <cell r="H4864" t="str">
            <v>沾化区黄升镇黄四中心卫生室</v>
          </cell>
          <cell r="J4864" t="str">
            <v>1857</v>
          </cell>
          <cell r="K4864" t="str">
            <v>201602151421097</v>
          </cell>
          <cell r="M4864" t="str">
            <v xml:space="preserve">泻利停/颠茄磺苄啶片0.48g*10片 </v>
          </cell>
        </row>
        <row r="4865">
          <cell r="E4865" t="str">
            <v>0020020020ZYLC0010</v>
          </cell>
          <cell r="H4865" t="str">
            <v>商店镇魏宅社区卫生室</v>
          </cell>
          <cell r="J4865" t="str">
            <v>1855</v>
          </cell>
          <cell r="K4865" t="str">
            <v>201602151421097</v>
          </cell>
          <cell r="M4865" t="str">
            <v xml:space="preserve">泻利停/颠茄磺苄啶片0.48g*10片 </v>
          </cell>
        </row>
        <row r="4866">
          <cell r="E4866" t="str">
            <v>0020020020ZYLC0010</v>
          </cell>
          <cell r="H4866" t="str">
            <v>惠民县寿康大药房有限责任公司</v>
          </cell>
          <cell r="J4866" t="str">
            <v>1854</v>
          </cell>
          <cell r="K4866" t="str">
            <v>201602151421097</v>
          </cell>
          <cell r="M4866" t="str">
            <v xml:space="preserve">泻利停/颠茄磺苄啶片0.48g*10片 </v>
          </cell>
        </row>
        <row r="4867">
          <cell r="E4867" t="str">
            <v>0020020020ZYLC0010</v>
          </cell>
          <cell r="H4867" t="str">
            <v>惠民县丰好大药房</v>
          </cell>
          <cell r="J4867" t="str">
            <v>1854</v>
          </cell>
          <cell r="K4867" t="str">
            <v>201602151421097</v>
          </cell>
          <cell r="M4867" t="str">
            <v xml:space="preserve">泻利停/颠茄磺苄啶片0.48g*10片 </v>
          </cell>
        </row>
        <row r="4868">
          <cell r="E4868" t="str">
            <v>0020020020ZYLC0010</v>
          </cell>
          <cell r="H4868" t="str">
            <v>翟王镇南夏社区卫生室</v>
          </cell>
          <cell r="J4868" t="str">
            <v>1855</v>
          </cell>
          <cell r="K4868" t="str">
            <v>201602151421097</v>
          </cell>
          <cell r="M4868" t="str">
            <v xml:space="preserve">泻利停/颠茄磺苄啶片0.48g*10片 </v>
          </cell>
        </row>
        <row r="4869">
          <cell r="E4869" t="str">
            <v>0020020021ZYLC0004</v>
          </cell>
          <cell r="H4869" t="str">
            <v>惠民仁和堂诊所</v>
          </cell>
          <cell r="J4869" t="str">
            <v>1854</v>
          </cell>
          <cell r="K4869" t="str">
            <v>201602151421097</v>
          </cell>
          <cell r="M4869" t="str">
            <v>大严迪片/罗红霉素分散片75mg*12片</v>
          </cell>
        </row>
        <row r="4870">
          <cell r="E4870" t="str">
            <v>0020020021ZYLC0004</v>
          </cell>
          <cell r="H4870" t="str">
            <v>阳信县河流镇餐具厂卫生所</v>
          </cell>
          <cell r="J4870" t="str">
            <v>1855</v>
          </cell>
          <cell r="K4870" t="str">
            <v>201602151421097</v>
          </cell>
          <cell r="M4870" t="str">
            <v>大严迪片/罗红霉素分散片75mg*12片</v>
          </cell>
        </row>
        <row r="4871">
          <cell r="E4871" t="str">
            <v>0020020021ZYLC0004</v>
          </cell>
          <cell r="H4871" t="str">
            <v>惠民县宝芝林医药连锁有限公司</v>
          </cell>
          <cell r="J4871" t="str">
            <v>1854</v>
          </cell>
          <cell r="K4871" t="str">
            <v>201602151421097</v>
          </cell>
          <cell r="M4871" t="str">
            <v>大严迪片/罗红霉素分散片75mg*12片</v>
          </cell>
        </row>
        <row r="4872">
          <cell r="E4872" t="str">
            <v>0020020021ZYLC0004</v>
          </cell>
          <cell r="H4872" t="str">
            <v>惠民润德堂诊所</v>
          </cell>
          <cell r="J4872" t="str">
            <v>1854</v>
          </cell>
          <cell r="K4872" t="str">
            <v>201602151421097</v>
          </cell>
          <cell r="M4872" t="str">
            <v>大严迪片/罗红霉素分散片75mg*12片</v>
          </cell>
        </row>
        <row r="4873">
          <cell r="E4873" t="str">
            <v>0020020021ZYLC0004</v>
          </cell>
          <cell r="H4873" t="str">
            <v>阳信县仁和堂医药连锁有限公司</v>
          </cell>
          <cell r="J4873" t="str">
            <v>1855</v>
          </cell>
          <cell r="K4873" t="str">
            <v>201602151421097</v>
          </cell>
          <cell r="M4873" t="str">
            <v>大严迪片/罗红霉素分散片75mg*12片</v>
          </cell>
        </row>
        <row r="4874">
          <cell r="E4874" t="str">
            <v>0020020021ZYLC0004</v>
          </cell>
          <cell r="H4874" t="str">
            <v>滨州市沾化区泊头镇卫生院</v>
          </cell>
          <cell r="J4874" t="str">
            <v>1857</v>
          </cell>
          <cell r="K4874" t="str">
            <v>201602151421097</v>
          </cell>
          <cell r="M4874" t="str">
            <v>大严迪片/罗红霉素分散片75mg*12片</v>
          </cell>
        </row>
        <row r="4875">
          <cell r="E4875" t="str">
            <v>0020050090SJZY0001</v>
          </cell>
          <cell r="H4875" t="str">
            <v>滨州市康之元大药房医药有限公司</v>
          </cell>
          <cell r="J4875" t="str">
            <v>1853</v>
          </cell>
          <cell r="K4875" t="str">
            <v>201602151421097</v>
          </cell>
          <cell r="M4875" t="str">
            <v>双黄连口服液10ml*10支</v>
          </cell>
        </row>
        <row r="4876">
          <cell r="E4876" t="str">
            <v>0020050090SJZY0001</v>
          </cell>
          <cell r="H4876" t="str">
            <v>流坡坞镇西李昂社区卫生室</v>
          </cell>
          <cell r="J4876" t="str">
            <v>1855</v>
          </cell>
          <cell r="K4876" t="str">
            <v>201602151421097</v>
          </cell>
          <cell r="M4876" t="str">
            <v>双黄连口服液10ml*10支</v>
          </cell>
        </row>
        <row r="4877">
          <cell r="E4877" t="str">
            <v>0020050090SJZY0001</v>
          </cell>
          <cell r="H4877" t="str">
            <v>水落坡乡雷家社区卫生室</v>
          </cell>
          <cell r="J4877" t="str">
            <v>1855</v>
          </cell>
          <cell r="K4877" t="str">
            <v>201602151421097</v>
          </cell>
          <cell r="M4877" t="str">
            <v>双黄连口服液10ml*10支</v>
          </cell>
        </row>
        <row r="4878">
          <cell r="E4878" t="str">
            <v>0020050090SJZY0001</v>
          </cell>
          <cell r="H4878" t="str">
            <v>邹平仁济堂医药有限公司</v>
          </cell>
          <cell r="J4878" t="str">
            <v>1859</v>
          </cell>
          <cell r="K4878" t="str">
            <v>201602151421097</v>
          </cell>
          <cell r="M4878" t="str">
            <v>双黄连口服液10ml*10支</v>
          </cell>
        </row>
        <row r="4879">
          <cell r="E4879" t="str">
            <v>0020050090SJZY0001</v>
          </cell>
          <cell r="H4879" t="str">
            <v>滨州市万全医药保健品连锁有限公司</v>
          </cell>
          <cell r="J4879" t="str">
            <v>1853</v>
          </cell>
          <cell r="K4879" t="str">
            <v>201602151421097</v>
          </cell>
          <cell r="M4879" t="str">
            <v>双黄连口服液10ml*10支</v>
          </cell>
        </row>
        <row r="4880">
          <cell r="E4880" t="str">
            <v>0020050090SJZY0001</v>
          </cell>
          <cell r="H4880" t="str">
            <v>阳信福瑞源大药房</v>
          </cell>
          <cell r="J4880" t="str">
            <v>1855</v>
          </cell>
          <cell r="K4880" t="str">
            <v>201602151421097</v>
          </cell>
          <cell r="M4880" t="str">
            <v>双黄连口服液10ml*10支</v>
          </cell>
        </row>
        <row r="4881">
          <cell r="E4881" t="str">
            <v>0020030001SJZY0006</v>
          </cell>
          <cell r="H4881" t="str">
            <v>滨城区市东街道办事处毕家第二卫生室</v>
          </cell>
          <cell r="J4881" t="str">
            <v>1853</v>
          </cell>
          <cell r="K4881" t="str">
            <v>201602151421097</v>
          </cell>
          <cell r="M4881" t="str">
            <v>葡萄糖酸钙口服溶液（含糖）10ml*12支</v>
          </cell>
        </row>
        <row r="4882">
          <cell r="E4882" t="str">
            <v>0020030001SJZY0006</v>
          </cell>
          <cell r="H4882" t="str">
            <v>金阳街道蔡王社区卫生室</v>
          </cell>
          <cell r="J4882" t="str">
            <v>1855</v>
          </cell>
          <cell r="K4882" t="str">
            <v>201602151421097</v>
          </cell>
          <cell r="M4882" t="str">
            <v>葡萄糖酸钙口服溶液（含糖）10ml*12支</v>
          </cell>
        </row>
        <row r="4883">
          <cell r="E4883" t="str">
            <v>0020030001SJZY0006</v>
          </cell>
          <cell r="H4883" t="str">
            <v>滨州市滨城区泰华堂大药房</v>
          </cell>
          <cell r="J4883" t="str">
            <v>1853</v>
          </cell>
          <cell r="K4883" t="str">
            <v>201602151421097</v>
          </cell>
          <cell r="M4883" t="str">
            <v>葡萄糖酸钙口服溶液（含糖）10ml*12支</v>
          </cell>
        </row>
        <row r="4884">
          <cell r="E4884" t="str">
            <v>0020030001SJZY0006</v>
          </cell>
          <cell r="H4884" t="str">
            <v>水落坡乡雷家社区卫生室</v>
          </cell>
          <cell r="J4884" t="str">
            <v>1855</v>
          </cell>
          <cell r="K4884" t="str">
            <v>201602151421097</v>
          </cell>
          <cell r="M4884" t="str">
            <v>葡萄糖酸钙口服溶液（含糖）10ml*12支</v>
          </cell>
        </row>
        <row r="4885">
          <cell r="E4885" t="str">
            <v>0020030001SJZY0006</v>
          </cell>
          <cell r="H4885" t="str">
            <v>桑落墅镇大道张村卫生室</v>
          </cell>
          <cell r="J4885" t="str">
            <v>1854</v>
          </cell>
          <cell r="K4885" t="str">
            <v>201602151421097</v>
          </cell>
          <cell r="M4885" t="str">
            <v>葡萄糖酸钙口服溶液（含糖）10ml*12支</v>
          </cell>
        </row>
        <row r="4886">
          <cell r="E4886" t="str">
            <v>0020030001SJZY0006</v>
          </cell>
          <cell r="H4886" t="str">
            <v>滨城区市西街道办事处魏家卫生室</v>
          </cell>
          <cell r="J4886" t="str">
            <v>1853</v>
          </cell>
          <cell r="K4886" t="str">
            <v>201602151421097</v>
          </cell>
          <cell r="M4886" t="str">
            <v>葡萄糖酸钙口服溶液（含糖）10ml*12支</v>
          </cell>
        </row>
        <row r="4887">
          <cell r="E4887" t="str">
            <v>0020030001SJZY0006</v>
          </cell>
          <cell r="H4887" t="str">
            <v xml:space="preserve">惠民县李庄镇民健大药房 </v>
          </cell>
          <cell r="J4887" t="str">
            <v>1854</v>
          </cell>
          <cell r="K4887" t="str">
            <v>201602151421097</v>
          </cell>
          <cell r="M4887" t="str">
            <v>葡萄糖酸钙口服溶液（含糖）10ml*12支</v>
          </cell>
        </row>
        <row r="4888">
          <cell r="E4888" t="str">
            <v>0020030001SJZY0009</v>
          </cell>
          <cell r="H4888" t="str">
            <v>滨城区市东街道办事处毕家第二卫生室</v>
          </cell>
          <cell r="J4888" t="str">
            <v>1853</v>
          </cell>
          <cell r="K4888" t="str">
            <v>201602151421097</v>
          </cell>
          <cell r="M4888" t="str">
            <v>葡萄糖酸锌口服液10ML*12支</v>
          </cell>
        </row>
        <row r="4889">
          <cell r="E4889" t="str">
            <v>0020030001SJZY0009</v>
          </cell>
          <cell r="H4889" t="str">
            <v>三胞联谊诊所</v>
          </cell>
          <cell r="J4889" t="str">
            <v>1855</v>
          </cell>
          <cell r="K4889" t="str">
            <v>201602151421097</v>
          </cell>
          <cell r="M4889" t="str">
            <v>葡萄糖酸锌口服液10ML*12支</v>
          </cell>
        </row>
        <row r="4890">
          <cell r="E4890" t="str">
            <v>0020030001SJZY0009</v>
          </cell>
          <cell r="H4890" t="str">
            <v>金阳街道蔡王社区卫生室</v>
          </cell>
          <cell r="J4890" t="str">
            <v>1855</v>
          </cell>
          <cell r="K4890" t="str">
            <v>201602151421097</v>
          </cell>
          <cell r="M4890" t="str">
            <v>葡萄糖酸锌口服液10ML*12支</v>
          </cell>
        </row>
        <row r="4891">
          <cell r="E4891" t="str">
            <v>0020030001SJZY0009</v>
          </cell>
          <cell r="H4891" t="str">
            <v>滨城区彭李街道办事处张课第一卫生室</v>
          </cell>
          <cell r="J4891" t="str">
            <v>1853</v>
          </cell>
          <cell r="K4891" t="str">
            <v>201602151421097</v>
          </cell>
          <cell r="M4891" t="str">
            <v>葡萄糖酸锌口服液10ML*12支</v>
          </cell>
        </row>
        <row r="4892">
          <cell r="E4892" t="str">
            <v>0020030001SJZY0009</v>
          </cell>
          <cell r="H4892" t="str">
            <v>惠民县康之家药房</v>
          </cell>
          <cell r="J4892" t="str">
            <v>1854</v>
          </cell>
          <cell r="K4892" t="str">
            <v>201602151421097</v>
          </cell>
          <cell r="M4892" t="str">
            <v>葡萄糖酸锌口服液10ML*12支</v>
          </cell>
        </row>
        <row r="4893">
          <cell r="E4893" t="str">
            <v>0020030001SJZY0009</v>
          </cell>
          <cell r="H4893" t="str">
            <v>翟王镇穆家社区卫生室</v>
          </cell>
          <cell r="J4893" t="str">
            <v>1855</v>
          </cell>
          <cell r="K4893" t="str">
            <v>201602151421097</v>
          </cell>
          <cell r="M4893" t="str">
            <v>葡萄糖酸锌口服液10ML*12支</v>
          </cell>
        </row>
        <row r="4894">
          <cell r="E4894" t="str">
            <v>0020030001SJZY0009</v>
          </cell>
          <cell r="H4894" t="str">
            <v>惠民润德堂诊所</v>
          </cell>
          <cell r="J4894" t="str">
            <v>1854</v>
          </cell>
          <cell r="K4894" t="str">
            <v>201602151421097</v>
          </cell>
          <cell r="M4894" t="str">
            <v>葡萄糖酸锌口服液10ML*12支</v>
          </cell>
        </row>
        <row r="4895">
          <cell r="E4895" t="str">
            <v>0020030001SJZY0009</v>
          </cell>
          <cell r="H4895" t="str">
            <v>惠民县汉康大药房</v>
          </cell>
          <cell r="J4895" t="str">
            <v>1854</v>
          </cell>
          <cell r="K4895" t="str">
            <v>201602151421097</v>
          </cell>
          <cell r="M4895" t="str">
            <v>葡萄糖酸锌口服液10ML*12支</v>
          </cell>
        </row>
        <row r="4896">
          <cell r="E4896" t="str">
            <v>0020030001SJZY0009</v>
          </cell>
          <cell r="H4896" t="str">
            <v>滨州市滨城区泰华堂大药房</v>
          </cell>
          <cell r="J4896" t="str">
            <v>1853</v>
          </cell>
          <cell r="K4896" t="str">
            <v>201602151421097</v>
          </cell>
          <cell r="M4896" t="str">
            <v>葡萄糖酸锌口服液10ML*12支</v>
          </cell>
        </row>
        <row r="4897">
          <cell r="E4897" t="str">
            <v>0020030001SJZY0009</v>
          </cell>
          <cell r="H4897" t="str">
            <v>水落坡乡雷家社区卫生室</v>
          </cell>
          <cell r="J4897" t="str">
            <v>1855</v>
          </cell>
          <cell r="K4897" t="str">
            <v>201602151421097</v>
          </cell>
          <cell r="M4897" t="str">
            <v>葡萄糖酸锌口服液10ML*12支</v>
          </cell>
        </row>
        <row r="4898">
          <cell r="E4898" t="str">
            <v>0020030001SJZY0009</v>
          </cell>
          <cell r="H4898" t="str">
            <v>滨州市沾化区中医院</v>
          </cell>
          <cell r="J4898" t="str">
            <v>1857</v>
          </cell>
          <cell r="K4898" t="str">
            <v>201602151421097</v>
          </cell>
          <cell r="M4898" t="str">
            <v>葡萄糖酸锌口服液10ML*12支</v>
          </cell>
        </row>
        <row r="4899">
          <cell r="E4899" t="str">
            <v>0020030001SJZY0009</v>
          </cell>
          <cell r="H4899" t="str">
            <v>滨城区市西街道办事处魏家卫生室</v>
          </cell>
          <cell r="J4899" t="str">
            <v>1853</v>
          </cell>
          <cell r="K4899" t="str">
            <v>201602151421097</v>
          </cell>
          <cell r="M4899" t="str">
            <v>葡萄糖酸锌口服液10ML*12支</v>
          </cell>
        </row>
        <row r="4900">
          <cell r="E4900" t="str">
            <v>0020030001SJZY0009</v>
          </cell>
          <cell r="H4900" t="str">
            <v>阳信县商店镇瑞康平民药店</v>
          </cell>
          <cell r="J4900" t="str">
            <v>1855</v>
          </cell>
          <cell r="K4900" t="str">
            <v>201602151421097</v>
          </cell>
          <cell r="M4900" t="str">
            <v>葡萄糖酸锌口服液10ML*12支</v>
          </cell>
        </row>
        <row r="4901">
          <cell r="E4901" t="str">
            <v>0020030001SJZY0009</v>
          </cell>
          <cell r="H4901" t="str">
            <v>阳信镇边家社区卫生室</v>
          </cell>
          <cell r="J4901" t="str">
            <v>1855</v>
          </cell>
          <cell r="K4901" t="str">
            <v>201602151421097</v>
          </cell>
          <cell r="M4901" t="str">
            <v>葡萄糖酸锌口服液10ML*12支</v>
          </cell>
        </row>
        <row r="4902">
          <cell r="E4902" t="str">
            <v>0020030001SJZY0009</v>
          </cell>
          <cell r="H4902" t="str">
            <v>阳信县百姓大药房医药连锁有限公司</v>
          </cell>
          <cell r="J4902" t="str">
            <v>1855</v>
          </cell>
          <cell r="K4902" t="str">
            <v>201602151421097</v>
          </cell>
          <cell r="M4902" t="str">
            <v>葡萄糖酸锌口服液10ML*12支</v>
          </cell>
        </row>
        <row r="4903">
          <cell r="E4903" t="str">
            <v>0020030001SJZY0009</v>
          </cell>
          <cell r="H4903" t="str">
            <v>滨州市滨城区彭李街道办事处吉泰阳光社区卫生服务站</v>
          </cell>
          <cell r="J4903" t="str">
            <v>1853</v>
          </cell>
          <cell r="K4903" t="str">
            <v>201602151421097</v>
          </cell>
          <cell r="M4903" t="str">
            <v>葡萄糖酸锌口服液10ML*12支</v>
          </cell>
        </row>
        <row r="4904">
          <cell r="E4904" t="str">
            <v>0020030001SJZY0009</v>
          </cell>
          <cell r="H4904" t="str">
            <v>沙河钟芹诊所</v>
          </cell>
          <cell r="J4904" t="str">
            <v>1853</v>
          </cell>
          <cell r="K4904" t="str">
            <v>201602151421097</v>
          </cell>
          <cell r="M4904" t="str">
            <v>葡萄糖酸锌口服液10ML*12支</v>
          </cell>
        </row>
        <row r="4905">
          <cell r="E4905" t="str">
            <v>0020030001SJZY0009</v>
          </cell>
          <cell r="H4905" t="str">
            <v xml:space="preserve">惠民县李庄镇民健大药房 </v>
          </cell>
          <cell r="J4905" t="str">
            <v>1854</v>
          </cell>
          <cell r="K4905" t="str">
            <v>201602151421097</v>
          </cell>
          <cell r="M4905" t="str">
            <v>葡萄糖酸锌口服液10ML*12支</v>
          </cell>
        </row>
        <row r="4906">
          <cell r="E4906" t="str">
            <v>0020030001SJZY0009</v>
          </cell>
          <cell r="H4906" t="str">
            <v>流坡坞镇褚家社区卫生室</v>
          </cell>
          <cell r="J4906" t="str">
            <v>1855</v>
          </cell>
          <cell r="K4906" t="str">
            <v>201602151421097</v>
          </cell>
          <cell r="M4906" t="str">
            <v>葡萄糖酸锌口服液10ML*12支</v>
          </cell>
        </row>
        <row r="4907">
          <cell r="E4907" t="str">
            <v>0020030001SJZY0009</v>
          </cell>
          <cell r="H4907" t="str">
            <v>惠民县旺康医药有限公司</v>
          </cell>
          <cell r="J4907" t="str">
            <v>1854</v>
          </cell>
          <cell r="K4907" t="str">
            <v>201602151421097</v>
          </cell>
          <cell r="M4907" t="str">
            <v>葡萄糖酸锌口服液10ML*12支</v>
          </cell>
        </row>
        <row r="4908">
          <cell r="E4908" t="str">
            <v>0020070000ZYLC0051</v>
          </cell>
          <cell r="H4908" t="str">
            <v>信诚街道接官亭村第一卫生室</v>
          </cell>
          <cell r="J4908" t="str">
            <v>1855</v>
          </cell>
          <cell r="K4908" t="str">
            <v>201602151421097</v>
          </cell>
          <cell r="M4908" t="str">
            <v>朴血/乳酸亚铁口服液12支*10ml</v>
          </cell>
        </row>
        <row r="4909">
          <cell r="E4909" t="str">
            <v>0020070000ZYLC0051</v>
          </cell>
          <cell r="H4909" t="str">
            <v>惠民润德堂诊所</v>
          </cell>
          <cell r="J4909" t="str">
            <v>1854</v>
          </cell>
          <cell r="K4909" t="str">
            <v>201602151421097</v>
          </cell>
          <cell r="M4909" t="str">
            <v>朴血/乳酸亚铁口服液12支*10ml</v>
          </cell>
        </row>
        <row r="4910">
          <cell r="E4910" t="str">
            <v>0020070000ZYLC0051</v>
          </cell>
          <cell r="H4910" t="str">
            <v>阳信县仁和堂医药连锁有限公司</v>
          </cell>
          <cell r="J4910" t="str">
            <v>1855</v>
          </cell>
          <cell r="K4910" t="str">
            <v>201602151421097</v>
          </cell>
          <cell r="M4910" t="str">
            <v>朴血/乳酸亚铁口服液12支*10ml</v>
          </cell>
        </row>
        <row r="4911">
          <cell r="E4911" t="str">
            <v>0020030020ZYLC0013</v>
          </cell>
          <cell r="H4911" t="str">
            <v>阳信县百姓大药房医药连锁有限公司</v>
          </cell>
          <cell r="J4911" t="str">
            <v>1855</v>
          </cell>
          <cell r="K4911" t="str">
            <v>201602151421097</v>
          </cell>
          <cell r="M4911" t="str">
            <v>乳酸菌素片0.4g*36片</v>
          </cell>
        </row>
        <row r="4912">
          <cell r="E4912" t="str">
            <v>0020030020ZYLC0013</v>
          </cell>
          <cell r="H4912" t="str">
            <v>滨州市康之元大药房医药有限公司</v>
          </cell>
          <cell r="J4912" t="str">
            <v>1853</v>
          </cell>
          <cell r="K4912" t="str">
            <v>201602151421097</v>
          </cell>
          <cell r="M4912" t="str">
            <v>乳酸菌素片0.4g*36片</v>
          </cell>
        </row>
        <row r="4913">
          <cell r="E4913" t="str">
            <v>0020030020ZYLC0013</v>
          </cell>
          <cell r="H4913" t="str">
            <v>贾家台村卫生室</v>
          </cell>
          <cell r="J4913" t="str">
            <v>1854</v>
          </cell>
          <cell r="K4913" t="str">
            <v>201602151421097</v>
          </cell>
          <cell r="M4913" t="str">
            <v>乳酸菌素片0.4g*36片</v>
          </cell>
        </row>
        <row r="4914">
          <cell r="E4914" t="str">
            <v>0020030020ZYLC0013</v>
          </cell>
          <cell r="H4914" t="str">
            <v>商店镇商店第一社区卫生室</v>
          </cell>
          <cell r="J4914" t="str">
            <v>1855</v>
          </cell>
          <cell r="K4914" t="str">
            <v>201602151421097</v>
          </cell>
          <cell r="M4914" t="str">
            <v>乳酸菌素片0.4g*36片</v>
          </cell>
        </row>
        <row r="4915">
          <cell r="E4915" t="str">
            <v>0020030020ZYLC0013</v>
          </cell>
          <cell r="H4915" t="str">
            <v>惠民仁和堂诊所</v>
          </cell>
          <cell r="J4915" t="str">
            <v>1854</v>
          </cell>
          <cell r="K4915" t="str">
            <v>201602151421097</v>
          </cell>
          <cell r="M4915" t="str">
            <v>乳酸菌素片0.4g*36片</v>
          </cell>
        </row>
        <row r="4916">
          <cell r="E4916" t="str">
            <v>0020030020ZYLC0013</v>
          </cell>
          <cell r="H4916" t="str">
            <v>阳信县商店镇台属大药房</v>
          </cell>
          <cell r="J4916" t="str">
            <v>1855</v>
          </cell>
          <cell r="K4916" t="str">
            <v>201602151421097</v>
          </cell>
          <cell r="M4916" t="str">
            <v>乳酸菌素片0.4g*36片</v>
          </cell>
        </row>
        <row r="4917">
          <cell r="E4917" t="str">
            <v>0020030020ZYLC0013</v>
          </cell>
          <cell r="H4917" t="str">
            <v>无棣万盛堂药店连锁有限公司</v>
          </cell>
          <cell r="J4917" t="str">
            <v>1856</v>
          </cell>
          <cell r="K4917" t="str">
            <v>201602151421097</v>
          </cell>
          <cell r="M4917" t="str">
            <v>乳酸菌素片0.4g*36片</v>
          </cell>
        </row>
        <row r="4918">
          <cell r="E4918" t="str">
            <v>0020070000ZYLC0001</v>
          </cell>
          <cell r="H4918" t="str">
            <v>滨城区市西街道办事处社区卫生服务站</v>
          </cell>
          <cell r="J4918" t="str">
            <v>1853</v>
          </cell>
          <cell r="K4918" t="str">
            <v>201602151421097</v>
          </cell>
          <cell r="M4918" t="str">
            <v>新盖中盖高钙片2.5g*36P</v>
          </cell>
        </row>
        <row r="4919">
          <cell r="E4919" t="str">
            <v>0020070000ZYLC0001</v>
          </cell>
          <cell r="H4919" t="str">
            <v>滨城区市东街道办事处毕家第二卫生室</v>
          </cell>
          <cell r="J4919" t="str">
            <v>1853</v>
          </cell>
          <cell r="K4919" t="str">
            <v>201602151421097</v>
          </cell>
          <cell r="M4919" t="str">
            <v>新盖中盖高钙片2.5g*36P</v>
          </cell>
        </row>
        <row r="4920">
          <cell r="E4920" t="str">
            <v>0020070000ZYLC0001</v>
          </cell>
          <cell r="H4920" t="str">
            <v>三胞联谊诊所</v>
          </cell>
          <cell r="J4920" t="str">
            <v>1855</v>
          </cell>
          <cell r="K4920" t="str">
            <v>201602151421097</v>
          </cell>
          <cell r="M4920" t="str">
            <v>新盖中盖高钙片2.5g*36P</v>
          </cell>
        </row>
        <row r="4921">
          <cell r="E4921" t="str">
            <v>0020070000ZYLC0001</v>
          </cell>
          <cell r="H4921" t="str">
            <v>滨城区市东街道办事处毕家第二卫生室</v>
          </cell>
          <cell r="J4921" t="str">
            <v>1853</v>
          </cell>
          <cell r="K4921" t="str">
            <v>201602151421097</v>
          </cell>
          <cell r="M4921" t="str">
            <v>新盖中盖高钙片2.5g*36P</v>
          </cell>
        </row>
        <row r="4922">
          <cell r="E4922" t="str">
            <v>0020070000ZYLC0001</v>
          </cell>
          <cell r="H4922" t="str">
            <v>阳信荣军诊所</v>
          </cell>
          <cell r="J4922" t="str">
            <v>1855</v>
          </cell>
          <cell r="K4922" t="str">
            <v>201602151421097</v>
          </cell>
          <cell r="M4922" t="str">
            <v>新盖中盖高钙片2.5g*36P</v>
          </cell>
        </row>
        <row r="4923">
          <cell r="E4923" t="str">
            <v>0020070000ZYLC0001</v>
          </cell>
          <cell r="H4923" t="str">
            <v>无棣万盛堂药店连锁有限公司</v>
          </cell>
          <cell r="J4923" t="str">
            <v>1856</v>
          </cell>
          <cell r="K4923" t="str">
            <v>201602151421097</v>
          </cell>
          <cell r="M4923" t="str">
            <v>新盖中盖高钙片2.5g*36P</v>
          </cell>
        </row>
        <row r="4924">
          <cell r="E4924" t="str">
            <v>0020070000ZYLC0001</v>
          </cell>
          <cell r="H4924" t="str">
            <v>圣济堂医药连锁有限公司</v>
          </cell>
          <cell r="J4924" t="str">
            <v>1853</v>
          </cell>
          <cell r="K4924" t="str">
            <v>201602151421097</v>
          </cell>
          <cell r="M4924" t="str">
            <v>新盖中盖高钙片2.5g*36P</v>
          </cell>
        </row>
        <row r="4925">
          <cell r="E4925" t="str">
            <v>0020070000ZYLC0001</v>
          </cell>
          <cell r="H4925" t="str">
            <v>信诚街道办事处东南村卫生室</v>
          </cell>
          <cell r="J4925" t="str">
            <v>1855</v>
          </cell>
          <cell r="K4925" t="str">
            <v>201602151421097</v>
          </cell>
          <cell r="M4925" t="str">
            <v>新盖中盖高钙片2.5g*36P</v>
          </cell>
        </row>
        <row r="4926">
          <cell r="E4926" t="str">
            <v>0020020021ZYLC0005</v>
          </cell>
          <cell r="H4926" t="str">
            <v>阳信荣军医院</v>
          </cell>
          <cell r="J4926" t="str">
            <v>1855</v>
          </cell>
          <cell r="K4926" t="str">
            <v>201602151421097</v>
          </cell>
          <cell r="M4926" t="str">
            <v>小儿严迪片/罗红霉素分散片12片*50mg</v>
          </cell>
        </row>
        <row r="4927">
          <cell r="E4927" t="str">
            <v>0020020021ZYLC0005</v>
          </cell>
          <cell r="H4927" t="str">
            <v>流坡坞镇红门堂村卫生室</v>
          </cell>
          <cell r="J4927" t="str">
            <v>1855</v>
          </cell>
          <cell r="K4927" t="str">
            <v>201602151421097</v>
          </cell>
          <cell r="M4927" t="str">
            <v>小儿严迪片/罗红霉素分散片12片*50mg</v>
          </cell>
        </row>
        <row r="4928">
          <cell r="E4928" t="str">
            <v>0020020021ZYLC0005</v>
          </cell>
          <cell r="H4928" t="str">
            <v>文化街康民卫生室</v>
          </cell>
          <cell r="J4928" t="str">
            <v>1854</v>
          </cell>
          <cell r="K4928" t="str">
            <v>201602151421097</v>
          </cell>
          <cell r="M4928" t="str">
            <v>小儿严迪片/罗红霉素分散片12片*50mg</v>
          </cell>
        </row>
        <row r="4929">
          <cell r="E4929" t="str">
            <v>0020020021ZYLC0005</v>
          </cell>
          <cell r="H4929" t="str">
            <v>惠民仁和堂诊所</v>
          </cell>
          <cell r="J4929" t="str">
            <v>1854</v>
          </cell>
          <cell r="K4929" t="str">
            <v>201602151421097</v>
          </cell>
          <cell r="M4929" t="str">
            <v>小儿严迪片/罗红霉素分散片12片*50mg</v>
          </cell>
        </row>
        <row r="4930">
          <cell r="E4930" t="str">
            <v>0020020021ZYLC0005</v>
          </cell>
          <cell r="H4930" t="str">
            <v>无棣万盛堂药店连锁有限公司</v>
          </cell>
          <cell r="J4930" t="str">
            <v>1856</v>
          </cell>
          <cell r="K4930" t="str">
            <v>201602151421097</v>
          </cell>
          <cell r="M4930" t="str">
            <v>小儿严迪片/罗红霉素分散片12片*50mg</v>
          </cell>
        </row>
        <row r="4931">
          <cell r="E4931" t="str">
            <v>0020020021ZYLC0005</v>
          </cell>
          <cell r="H4931" t="str">
            <v>海丰冯铺社区卫生室</v>
          </cell>
          <cell r="J4931" t="str">
            <v>1856</v>
          </cell>
          <cell r="K4931" t="str">
            <v>201602151421097</v>
          </cell>
          <cell r="M4931" t="str">
            <v>小儿严迪片/罗红霉素分散片12片*50mg</v>
          </cell>
        </row>
        <row r="4932">
          <cell r="E4932" t="str">
            <v>0020020021ZYLC0005</v>
          </cell>
          <cell r="H4932" t="str">
            <v>无棣福顺康大药房</v>
          </cell>
          <cell r="J4932" t="str">
            <v>1856</v>
          </cell>
          <cell r="K4932" t="str">
            <v>201602151421097</v>
          </cell>
          <cell r="M4932" t="str">
            <v>小儿严迪片/罗红霉素分散片12片*50mg</v>
          </cell>
        </row>
        <row r="4933">
          <cell r="E4933" t="str">
            <v>0020020021ZYLC0005</v>
          </cell>
          <cell r="H4933" t="str">
            <v>沾化国瑞医药连锁有限责任公司</v>
          </cell>
          <cell r="J4933" t="str">
            <v>1857</v>
          </cell>
          <cell r="K4933" t="str">
            <v>201602151421097</v>
          </cell>
          <cell r="M4933" t="str">
            <v>小儿严迪片/罗红霉素分散片12片*50mg</v>
          </cell>
        </row>
        <row r="4934">
          <cell r="E4934" t="str">
            <v>0020020021ZYLC0005</v>
          </cell>
          <cell r="H4934" t="str">
            <v>阳信县仁和堂医药连锁有限公司</v>
          </cell>
          <cell r="J4934" t="str">
            <v>1855</v>
          </cell>
          <cell r="K4934" t="str">
            <v>201602151421097</v>
          </cell>
          <cell r="M4934" t="str">
            <v>小儿严迪片/罗红霉素分散片12片*50mg</v>
          </cell>
        </row>
        <row r="4935">
          <cell r="E4935" t="str">
            <v>0020020021ZYLC0005</v>
          </cell>
          <cell r="H4935" t="str">
            <v>商店镇魏宅社区卫生室</v>
          </cell>
          <cell r="J4935" t="str">
            <v>1855</v>
          </cell>
          <cell r="K4935" t="str">
            <v>201602151421097</v>
          </cell>
          <cell r="M4935" t="str">
            <v>小儿严迪片/罗红霉素分散片12片*50mg</v>
          </cell>
        </row>
        <row r="4936">
          <cell r="E4936" t="str">
            <v>0020020021ZYLC0005</v>
          </cell>
          <cell r="H4936" t="str">
            <v>滨州市益生园大药房连锁有限公司</v>
          </cell>
          <cell r="J4936" t="str">
            <v>1858</v>
          </cell>
          <cell r="K4936" t="str">
            <v>201602151421097</v>
          </cell>
          <cell r="M4936" t="str">
            <v>小儿严迪片/罗红霉素分散片12片*50mg</v>
          </cell>
        </row>
        <row r="4937">
          <cell r="E4937" t="str">
            <v>0020020021ZYLC0005</v>
          </cell>
          <cell r="H4937" t="str">
            <v>杜店蒋秀芬诊所</v>
          </cell>
          <cell r="J4937" t="str">
            <v>1853</v>
          </cell>
          <cell r="K4937" t="str">
            <v>201602151421097</v>
          </cell>
          <cell r="M4937" t="str">
            <v>小儿严迪片/罗红霉素分散片12片*50mg</v>
          </cell>
        </row>
        <row r="4938">
          <cell r="E4938" t="str">
            <v>0020030020SJSC0004</v>
          </cell>
          <cell r="H4938" t="str">
            <v>水落坡乡郭赵湾社区卫生室</v>
          </cell>
          <cell r="J4938" t="str">
            <v>1855</v>
          </cell>
          <cell r="K4938" t="str">
            <v>201602151421097</v>
          </cell>
          <cell r="M4938" t="str">
            <v>胃必治/复方铝酸铋片50片</v>
          </cell>
        </row>
        <row r="4939">
          <cell r="E4939" t="str">
            <v>0020030020SJSC0004</v>
          </cell>
          <cell r="H4939" t="str">
            <v>阳信县商店镇瑞康平民药店</v>
          </cell>
          <cell r="J4939" t="str">
            <v>1855</v>
          </cell>
          <cell r="K4939" t="str">
            <v>201602151421097</v>
          </cell>
          <cell r="M4939" t="str">
            <v>胃必治/复方铝酸铋片50片</v>
          </cell>
        </row>
        <row r="4940">
          <cell r="E4940" t="str">
            <v>0020030020SJSC0004</v>
          </cell>
          <cell r="H4940" t="str">
            <v>滨州市滨城区彭李街道办事处安民社区卫生服务站</v>
          </cell>
          <cell r="J4940" t="str">
            <v>1853</v>
          </cell>
          <cell r="K4940" t="str">
            <v>201602151421097</v>
          </cell>
          <cell r="M4940" t="str">
            <v>胃必治/复方铝酸铋片50片</v>
          </cell>
        </row>
        <row r="4941">
          <cell r="E4941" t="str">
            <v>0020030020SJSC0004</v>
          </cell>
          <cell r="H4941" t="str">
            <v>滨城区市西街道办事处社区卫生服务站</v>
          </cell>
          <cell r="J4941" t="str">
            <v>1853</v>
          </cell>
          <cell r="K4941" t="str">
            <v>201602151421097</v>
          </cell>
          <cell r="M4941" t="str">
            <v>胃必治/复方铝酸铋片50片</v>
          </cell>
        </row>
        <row r="4942">
          <cell r="E4942" t="str">
            <v>0020030020SJSC0004</v>
          </cell>
          <cell r="H4942" t="str">
            <v>滨城区市东街道办事处毕家第二卫生室</v>
          </cell>
          <cell r="J4942" t="str">
            <v>1853</v>
          </cell>
          <cell r="K4942" t="str">
            <v>201602151421097</v>
          </cell>
          <cell r="M4942" t="str">
            <v>胃必治/复方铝酸铋片50片</v>
          </cell>
        </row>
        <row r="4943">
          <cell r="E4943" t="str">
            <v>0020030020SJSC0004</v>
          </cell>
          <cell r="H4943" t="str">
            <v>洋湖乡史张社区卫生室</v>
          </cell>
          <cell r="J4943" t="str">
            <v>1855</v>
          </cell>
          <cell r="K4943" t="str">
            <v>201602151421097</v>
          </cell>
          <cell r="M4943" t="str">
            <v>胃必治/复方铝酸铋片50片</v>
          </cell>
        </row>
        <row r="4944">
          <cell r="E4944" t="str">
            <v>0020030020SJSC0004</v>
          </cell>
          <cell r="H4944" t="str">
            <v>圣济堂医药连锁有限公司</v>
          </cell>
          <cell r="J4944" t="str">
            <v>1853</v>
          </cell>
          <cell r="K4944" t="str">
            <v>201602151421097</v>
          </cell>
          <cell r="M4944" t="str">
            <v>胃必治/复方铝酸铋片50片</v>
          </cell>
        </row>
        <row r="4945">
          <cell r="E4945" t="str">
            <v>0020030020SJSC0004</v>
          </cell>
          <cell r="H4945" t="str">
            <v>滨州市沾化区鲁康医药连锁有限公司</v>
          </cell>
          <cell r="J4945" t="str">
            <v>1857</v>
          </cell>
          <cell r="K4945" t="str">
            <v>201602151421097</v>
          </cell>
          <cell r="M4945" t="str">
            <v>胃必治/复方铝酸铋片50片</v>
          </cell>
        </row>
        <row r="4946">
          <cell r="E4946" t="str">
            <v>0020030020SJSC0004</v>
          </cell>
          <cell r="H4946" t="str">
            <v>欣康诊所</v>
          </cell>
          <cell r="J4946" t="str">
            <v>1857</v>
          </cell>
          <cell r="K4946" t="str">
            <v>201602151421097</v>
          </cell>
          <cell r="M4946" t="str">
            <v>胃必治/复方铝酸铋片50片</v>
          </cell>
        </row>
        <row r="4947">
          <cell r="E4947" t="str">
            <v>0020030020SJSC0004</v>
          </cell>
          <cell r="H4947" t="str">
            <v>交通诊所</v>
          </cell>
          <cell r="J4947" t="str">
            <v>1856</v>
          </cell>
          <cell r="K4947" t="str">
            <v>201602151421097</v>
          </cell>
          <cell r="M4947" t="str">
            <v>胃必治/复方铝酸铋片50片</v>
          </cell>
        </row>
        <row r="4948">
          <cell r="E4948" t="str">
            <v>0020020021ZYLC0011</v>
          </cell>
          <cell r="H4948" t="str">
            <v>阳信县第二中学卫生室</v>
          </cell>
          <cell r="J4948" t="str">
            <v>1855</v>
          </cell>
          <cell r="K4948" t="str">
            <v>201602151421097</v>
          </cell>
          <cell r="M4948" t="str">
            <v>严迪/罗红霉素分散片150mg*12p</v>
          </cell>
        </row>
        <row r="4949">
          <cell r="E4949" t="str">
            <v>0020020021ZYLC0011</v>
          </cell>
          <cell r="H4949" t="str">
            <v>滨城区市东街道办事处毕家第二卫生室</v>
          </cell>
          <cell r="J4949" t="str">
            <v>1853</v>
          </cell>
          <cell r="K4949" t="str">
            <v>201602151421097</v>
          </cell>
          <cell r="M4949" t="str">
            <v>严迪/罗红霉素分散片150mg*12p</v>
          </cell>
        </row>
        <row r="4950">
          <cell r="E4950" t="str">
            <v>0020020021ZYLC0011</v>
          </cell>
          <cell r="H4950" t="str">
            <v>滨城区市西街道办事处社区卫生服务站</v>
          </cell>
          <cell r="J4950" t="str">
            <v>1853</v>
          </cell>
          <cell r="K4950" t="str">
            <v>201602151421097</v>
          </cell>
          <cell r="M4950" t="str">
            <v>严迪/罗红霉素分散片150mg*12p</v>
          </cell>
        </row>
        <row r="4951">
          <cell r="E4951" t="str">
            <v>0020020021ZYLC0011</v>
          </cell>
          <cell r="H4951" t="str">
            <v>阳信县天天平价医药连锁有限公司</v>
          </cell>
          <cell r="J4951" t="str">
            <v>1855</v>
          </cell>
          <cell r="K4951" t="str">
            <v>201602151421097</v>
          </cell>
          <cell r="M4951" t="str">
            <v>严迪/罗红霉素分散片150mg*12p</v>
          </cell>
        </row>
        <row r="4952">
          <cell r="E4952" t="str">
            <v>0020020021ZYLC0011</v>
          </cell>
          <cell r="H4952" t="str">
            <v>沾化县康宁诊所</v>
          </cell>
          <cell r="J4952" t="str">
            <v>1857</v>
          </cell>
          <cell r="K4952" t="str">
            <v>201602151421097</v>
          </cell>
          <cell r="M4952" t="str">
            <v>严迪/罗红霉素分散片150mg*12p</v>
          </cell>
        </row>
        <row r="4953">
          <cell r="E4953" t="str">
            <v>0020020021ZYLC0011</v>
          </cell>
          <cell r="H4953" t="str">
            <v>阳信荣军医院</v>
          </cell>
          <cell r="J4953" t="str">
            <v>1855</v>
          </cell>
          <cell r="K4953" t="str">
            <v>201602151421097</v>
          </cell>
          <cell r="M4953" t="str">
            <v>严迪/罗红霉素分散片150mg*12p</v>
          </cell>
        </row>
        <row r="4954">
          <cell r="E4954" t="str">
            <v>0020020021ZYLC0011</v>
          </cell>
          <cell r="H4954" t="str">
            <v>流坡坞镇红门堂村卫生室</v>
          </cell>
          <cell r="J4954" t="str">
            <v>1855</v>
          </cell>
          <cell r="K4954" t="str">
            <v>201602151421097</v>
          </cell>
          <cell r="M4954" t="str">
            <v>严迪/罗红霉素分散片150mg*12p</v>
          </cell>
        </row>
        <row r="4955">
          <cell r="E4955" t="str">
            <v>0020020021ZYLC0011</v>
          </cell>
          <cell r="H4955" t="str">
            <v>商店镇魏宅社区卫生室</v>
          </cell>
          <cell r="J4955" t="str">
            <v>1855</v>
          </cell>
          <cell r="K4955" t="str">
            <v>201602151421097</v>
          </cell>
          <cell r="M4955" t="str">
            <v>严迪/罗红霉素分散片150mg*12p</v>
          </cell>
        </row>
        <row r="4956">
          <cell r="E4956" t="str">
            <v>0020020021ZYLC0011</v>
          </cell>
          <cell r="H4956" t="str">
            <v>邹平仁济堂医药有限公司</v>
          </cell>
          <cell r="J4956" t="str">
            <v>1859</v>
          </cell>
          <cell r="K4956" t="str">
            <v>201602151421097</v>
          </cell>
          <cell r="M4956" t="str">
            <v>严迪/罗红霉素分散片150mg*12p</v>
          </cell>
        </row>
        <row r="4957">
          <cell r="E4957" t="str">
            <v>0020020021ZYLC0011</v>
          </cell>
          <cell r="H4957" t="str">
            <v>博兴县济生堂大药店</v>
          </cell>
          <cell r="J4957" t="str">
            <v>1858</v>
          </cell>
          <cell r="K4957" t="str">
            <v>201602151421097</v>
          </cell>
          <cell r="M4957" t="str">
            <v>严迪/罗红霉素分散片150mg*12p</v>
          </cell>
        </row>
        <row r="4958">
          <cell r="E4958" t="str">
            <v>0020020021ZYLC0011</v>
          </cell>
          <cell r="H4958" t="str">
            <v>博兴县店子镇同济堂大药店</v>
          </cell>
          <cell r="J4958" t="str">
            <v>1858</v>
          </cell>
          <cell r="K4958" t="str">
            <v>201602151421097</v>
          </cell>
          <cell r="M4958" t="str">
            <v>严迪/罗红霉素分散片150mg*12p</v>
          </cell>
        </row>
        <row r="4959">
          <cell r="E4959" t="str">
            <v>0020070000ZYLC0003</v>
          </cell>
          <cell r="H4959" t="str">
            <v>阳信荣军诊所</v>
          </cell>
          <cell r="J4959" t="str">
            <v>1855</v>
          </cell>
          <cell r="K4959" t="str">
            <v>201602151421097</v>
          </cell>
          <cell r="M4959" t="str">
            <v>小儿/新盖中盖牌儿童钙片1.75g*36p</v>
          </cell>
        </row>
        <row r="4960">
          <cell r="E4960" t="str">
            <v>0020070000ZYLC0003</v>
          </cell>
          <cell r="H4960" t="str">
            <v>信诚街道办事处东南村卫生室</v>
          </cell>
          <cell r="J4960" t="str">
            <v>1855</v>
          </cell>
          <cell r="K4960" t="str">
            <v>201602151421097</v>
          </cell>
          <cell r="M4960" t="str">
            <v>小儿/新盖中盖牌儿童钙片1.75g*36p</v>
          </cell>
        </row>
        <row r="4961">
          <cell r="E4961" t="str">
            <v>0020070000ZYLC0003</v>
          </cell>
          <cell r="H4961" t="str">
            <v>阳信县百姓大药房医药连锁有限公司</v>
          </cell>
          <cell r="J4961" t="str">
            <v>1855</v>
          </cell>
          <cell r="K4961" t="str">
            <v>201602151421097</v>
          </cell>
          <cell r="M4961" t="str">
            <v>小儿/新盖中盖牌儿童钙片1.75g*36p</v>
          </cell>
        </row>
        <row r="4962">
          <cell r="E4962" t="str">
            <v>0020020012SJJY0013</v>
          </cell>
          <cell r="H4962" t="str">
            <v>阳信县商店镇中心卫生院（网购）</v>
          </cell>
          <cell r="J4962" t="str">
            <v>1855</v>
          </cell>
          <cell r="K4962" t="str">
            <v>201602151421097</v>
          </cell>
          <cell r="M4962" t="str">
            <v>注射用炎琥宁粉针80MG*12支</v>
          </cell>
        </row>
        <row r="4963">
          <cell r="E4963" t="str">
            <v>0020020021ZYZC0341</v>
          </cell>
          <cell r="H4963" t="str">
            <v>无棣益生堂药店连锁有限公司</v>
          </cell>
          <cell r="J4963" t="str">
            <v>1856</v>
          </cell>
          <cell r="K4963" t="str">
            <v>201602151421097</v>
          </cell>
          <cell r="M4963" t="str">
            <v>阿莫西林克拉维酸钾分散片0.2285g*12片</v>
          </cell>
        </row>
        <row r="4964">
          <cell r="E4964" t="str">
            <v>0020020021ZYZC0341</v>
          </cell>
          <cell r="H4964" t="str">
            <v>滨州市万全医药保健品连锁有限公司</v>
          </cell>
          <cell r="J4964" t="str">
            <v>1853</v>
          </cell>
          <cell r="K4964" t="str">
            <v>201602151421097</v>
          </cell>
          <cell r="M4964" t="str">
            <v>阿莫西林克拉维酸钾分散片0.2285g*12片</v>
          </cell>
        </row>
        <row r="4965">
          <cell r="E4965" t="str">
            <v>0020020021ZYZC0341</v>
          </cell>
          <cell r="H4965" t="str">
            <v>滨州市修正堂医药有限公司</v>
          </cell>
          <cell r="J4965" t="str">
            <v>1853</v>
          </cell>
          <cell r="K4965" t="str">
            <v>201602151421097</v>
          </cell>
          <cell r="M4965" t="str">
            <v>阿莫西林克拉维酸钾分散片0.2285g*12片</v>
          </cell>
        </row>
        <row r="4966">
          <cell r="E4966" t="str">
            <v>0020020021ZYZC0341</v>
          </cell>
          <cell r="H4966" t="str">
            <v>滨州康乐医药连锁有限公司</v>
          </cell>
          <cell r="J4966" t="str">
            <v>1853</v>
          </cell>
          <cell r="K4966" t="str">
            <v>201602151421097</v>
          </cell>
          <cell r="M4966" t="str">
            <v>阿莫西林克拉维酸钾分散片0.2285g*12片</v>
          </cell>
        </row>
        <row r="4967">
          <cell r="E4967" t="str">
            <v>0020020021ZYZC0341</v>
          </cell>
          <cell r="H4967" t="str">
            <v>滨州市滨城区国美大药房有限公司</v>
          </cell>
          <cell r="J4967" t="str">
            <v>1853</v>
          </cell>
          <cell r="K4967" t="str">
            <v>201602151421097</v>
          </cell>
          <cell r="M4967" t="str">
            <v>阿莫西林克拉维酸钾分散片0.2285g*12片</v>
          </cell>
        </row>
        <row r="4968">
          <cell r="E4968" t="str">
            <v>0020020021ZYZC0341</v>
          </cell>
          <cell r="H4968" t="str">
            <v>惠民仁和堂诊所</v>
          </cell>
          <cell r="J4968" t="str">
            <v>1854</v>
          </cell>
          <cell r="K4968" t="str">
            <v>201602151421097</v>
          </cell>
          <cell r="M4968" t="str">
            <v>阿莫西林克拉维酸钾分散片0.2285g*12片</v>
          </cell>
        </row>
        <row r="4969">
          <cell r="E4969" t="str">
            <v>0020020021ZYZC0341</v>
          </cell>
          <cell r="H4969" t="str">
            <v>邹平博祥医药连锁有限公司</v>
          </cell>
          <cell r="J4969" t="str">
            <v>1859</v>
          </cell>
          <cell r="K4969" t="str">
            <v>201602151421097</v>
          </cell>
          <cell r="M4969" t="str">
            <v>阿莫西林克拉维酸钾分散片0.2285g*12片</v>
          </cell>
        </row>
        <row r="4970">
          <cell r="E4970" t="str">
            <v>0020020021ZYZC0341</v>
          </cell>
          <cell r="H4970" t="str">
            <v>滨州华健医院</v>
          </cell>
          <cell r="J4970" t="str">
            <v>1853</v>
          </cell>
          <cell r="K4970" t="str">
            <v>201602151421097</v>
          </cell>
          <cell r="M4970" t="str">
            <v>阿莫西林克拉维酸钾分散片0.2285g*12片</v>
          </cell>
        </row>
        <row r="4971">
          <cell r="E4971" t="str">
            <v>0020020021ZYZC0341</v>
          </cell>
          <cell r="H4971" t="str">
            <v>沾化三易诊所</v>
          </cell>
          <cell r="J4971" t="str">
            <v>1857</v>
          </cell>
          <cell r="K4971" t="str">
            <v>201602151421097</v>
          </cell>
          <cell r="M4971" t="str">
            <v>阿莫西林克拉维酸钾分散片0.2285g*12片</v>
          </cell>
        </row>
        <row r="4972">
          <cell r="E4972" t="str">
            <v>0020020021ZYZC0341</v>
          </cell>
          <cell r="H4972" t="str">
            <v>沾化济生堂大药房连锁有限公司</v>
          </cell>
          <cell r="J4972" t="str">
            <v>1857</v>
          </cell>
          <cell r="K4972" t="str">
            <v>201602151421097</v>
          </cell>
          <cell r="M4972" t="str">
            <v>阿莫西林克拉维酸钾分散片0.2285g*12片</v>
          </cell>
        </row>
        <row r="4973">
          <cell r="E4973" t="str">
            <v>0020020021ZYZC0341</v>
          </cell>
          <cell r="H4973" t="str">
            <v>滨州市沾化区协和大药店</v>
          </cell>
          <cell r="J4973" t="str">
            <v>1857</v>
          </cell>
          <cell r="K4973" t="str">
            <v>201602151421097</v>
          </cell>
          <cell r="M4973" t="str">
            <v>阿莫西林克拉维酸钾分散片0.2285g*12片</v>
          </cell>
        </row>
        <row r="4974">
          <cell r="E4974" t="str">
            <v>0020020021ZYZC0341</v>
          </cell>
          <cell r="H4974" t="str">
            <v>玉东诊所</v>
          </cell>
          <cell r="J4974" t="str">
            <v>1857</v>
          </cell>
          <cell r="K4974" t="str">
            <v>201602151421097</v>
          </cell>
          <cell r="M4974" t="str">
            <v>阿莫西林克拉维酸钾分散片0.2285g*12片</v>
          </cell>
        </row>
        <row r="4975">
          <cell r="E4975" t="str">
            <v>0020020021ZYZC0341</v>
          </cell>
          <cell r="H4975" t="str">
            <v>滨州市沾化区鲁康医药连锁有限公司</v>
          </cell>
          <cell r="J4975" t="str">
            <v>1857</v>
          </cell>
          <cell r="K4975" t="str">
            <v>201602151421097</v>
          </cell>
          <cell r="M4975" t="str">
            <v>阿莫西林克拉维酸钾分散片0.2285g*12片</v>
          </cell>
        </row>
        <row r="4976">
          <cell r="E4976" t="str">
            <v>0020020021ZYZC0341</v>
          </cell>
          <cell r="H4976" t="str">
            <v>杜店蒋秀芬诊所</v>
          </cell>
          <cell r="J4976" t="str">
            <v>1853</v>
          </cell>
          <cell r="K4976" t="str">
            <v>201602151421097</v>
          </cell>
          <cell r="M4976" t="str">
            <v>阿莫西林克拉维酸钾分散片0.2285g*12片</v>
          </cell>
        </row>
        <row r="4977">
          <cell r="E4977" t="str">
            <v>0020030040ZYLC0001</v>
          </cell>
          <cell r="H4977" t="str">
            <v>滨城区市西街道办事处社区卫生服务站</v>
          </cell>
          <cell r="J4977" t="str">
            <v>1853</v>
          </cell>
          <cell r="K4977" t="str">
            <v>201602151421097</v>
          </cell>
          <cell r="M4977" t="str">
            <v>护彤冲剂/小儿氨酚黄那敏颗粒2g*12袋</v>
          </cell>
        </row>
        <row r="4978">
          <cell r="E4978" t="str">
            <v>0020030040ZYLC0001</v>
          </cell>
          <cell r="H4978" t="str">
            <v>滨城区市东街道办事处毕家第二卫生室</v>
          </cell>
          <cell r="J4978" t="str">
            <v>1853</v>
          </cell>
          <cell r="K4978" t="str">
            <v>201602151421097</v>
          </cell>
          <cell r="M4978" t="str">
            <v>护彤冲剂/小儿氨酚黄那敏颗粒2g*12袋</v>
          </cell>
        </row>
        <row r="4979">
          <cell r="E4979" t="str">
            <v>0020030040ZYLC0001</v>
          </cell>
          <cell r="H4979" t="str">
            <v>惠民县淄角镇东街本草堂药店</v>
          </cell>
          <cell r="J4979" t="str">
            <v>1854</v>
          </cell>
          <cell r="K4979" t="str">
            <v>201602151421097</v>
          </cell>
          <cell r="M4979" t="str">
            <v>护彤冲剂/小儿氨酚黄那敏颗粒2g*12袋</v>
          </cell>
        </row>
        <row r="4980">
          <cell r="E4980" t="str">
            <v>0020030040ZYLC0001</v>
          </cell>
          <cell r="H4980" t="str">
            <v>惠民县益达康大药房连锁有限公司</v>
          </cell>
          <cell r="J4980" t="str">
            <v>1854</v>
          </cell>
          <cell r="K4980" t="str">
            <v>201602151421097</v>
          </cell>
          <cell r="M4980" t="str">
            <v>护彤冲剂/小儿氨酚黄那敏颗粒2g*12袋</v>
          </cell>
        </row>
        <row r="4981">
          <cell r="E4981" t="str">
            <v>0020020030ZYZC0283</v>
          </cell>
          <cell r="H4981" t="str">
            <v>沾化国瑞医药连锁有限责任公司</v>
          </cell>
          <cell r="J4981" t="str">
            <v>1857</v>
          </cell>
          <cell r="K4981" t="str">
            <v>201602151421097</v>
          </cell>
          <cell r="M4981" t="str">
            <v>头孢拉定胶囊0.25g*24粒</v>
          </cell>
        </row>
        <row r="4982">
          <cell r="E4982" t="str">
            <v>0020020030ZYZC0283</v>
          </cell>
          <cell r="H4982" t="str">
            <v>邹平园春堂医药有限公司</v>
          </cell>
          <cell r="J4982" t="str">
            <v>1859</v>
          </cell>
          <cell r="K4982" t="str">
            <v>201602151421097</v>
          </cell>
          <cell r="M4982" t="str">
            <v>头孢拉定胶囊0.25g*24粒</v>
          </cell>
        </row>
        <row r="4983">
          <cell r="E4983" t="str">
            <v>0020020030ZYZC0283</v>
          </cell>
          <cell r="H4983" t="str">
            <v>玉东诊所</v>
          </cell>
          <cell r="J4983" t="str">
            <v>1857</v>
          </cell>
          <cell r="K4983" t="str">
            <v>201602151421097</v>
          </cell>
          <cell r="M4983" t="str">
            <v>头孢拉定胶囊0.25g*24粒</v>
          </cell>
        </row>
        <row r="4984">
          <cell r="E4984" t="str">
            <v>0020020030ZYZC0283</v>
          </cell>
          <cell r="H4984" t="str">
            <v>沾化济生堂大药房连锁有限公司</v>
          </cell>
          <cell r="J4984" t="str">
            <v>1857</v>
          </cell>
          <cell r="K4984" t="str">
            <v>201602151421097</v>
          </cell>
          <cell r="M4984" t="str">
            <v>头孢拉定胶囊0.25g*24粒</v>
          </cell>
        </row>
        <row r="4985">
          <cell r="E4985" t="str">
            <v>0020020030ZYZC0283</v>
          </cell>
          <cell r="H4985" t="str">
            <v>沾化三易诊所</v>
          </cell>
          <cell r="J4985" t="str">
            <v>1857</v>
          </cell>
          <cell r="K4985" t="str">
            <v>201602151421097</v>
          </cell>
          <cell r="M4985" t="str">
            <v>头孢拉定胶囊0.25g*24粒</v>
          </cell>
        </row>
        <row r="4986">
          <cell r="E4986" t="str">
            <v>0020020030ZYZC0283</v>
          </cell>
          <cell r="H4986" t="str">
            <v>滨州市沾化区泊头镇卫生院</v>
          </cell>
          <cell r="J4986" t="str">
            <v>1857</v>
          </cell>
          <cell r="K4986" t="str">
            <v>201602151421097</v>
          </cell>
          <cell r="M4986" t="str">
            <v>头孢拉定胶囊0.25g*24粒</v>
          </cell>
        </row>
        <row r="4987">
          <cell r="E4987" t="str">
            <v>0020020030ZYZC0283</v>
          </cell>
          <cell r="H4987" t="str">
            <v>无棣益生堂药店连锁有限公司</v>
          </cell>
          <cell r="J4987" t="str">
            <v>1856</v>
          </cell>
          <cell r="K4987" t="str">
            <v>201602151421097</v>
          </cell>
          <cell r="M4987" t="str">
            <v>头孢拉定胶囊0.25g*24粒</v>
          </cell>
        </row>
        <row r="4988">
          <cell r="E4988" t="str">
            <v>0020030040SJET0003</v>
          </cell>
          <cell r="H4988" t="str">
            <v>滨州市沾化区鲁康医药连锁有限公司</v>
          </cell>
          <cell r="J4988" t="str">
            <v>1857</v>
          </cell>
          <cell r="K4988" t="str">
            <v>201602151421097</v>
          </cell>
          <cell r="M4988" t="str">
            <v>氨金黄敏颗粒6g*10袋</v>
          </cell>
        </row>
        <row r="4989">
          <cell r="E4989" t="str">
            <v>0020050020ZYEC0019</v>
          </cell>
          <cell r="H4989" t="str">
            <v>阳信县中医医院</v>
          </cell>
          <cell r="J4989" t="str">
            <v>1855</v>
          </cell>
          <cell r="K4989" t="str">
            <v>201602151421097</v>
          </cell>
          <cell r="M4989" t="str">
            <v>双黄连颗粒（无蔗糖）5g*10袋</v>
          </cell>
        </row>
        <row r="4990">
          <cell r="E4990" t="str">
            <v>0020050020ZYEC0019</v>
          </cell>
          <cell r="H4990" t="str">
            <v>阳信县流坡坞镇卫生院（网购）</v>
          </cell>
          <cell r="J4990" t="str">
            <v>1855</v>
          </cell>
          <cell r="K4990" t="str">
            <v>201602151421097</v>
          </cell>
          <cell r="M4990" t="str">
            <v>双黄连颗粒（无蔗糖）5g*10袋</v>
          </cell>
        </row>
        <row r="4991">
          <cell r="E4991" t="str">
            <v>0020050090ZYEC0005</v>
          </cell>
          <cell r="H4991" t="str">
            <v>滨州市沾化区鲁康医药连锁有限公司</v>
          </cell>
          <cell r="J4991" t="str">
            <v>1857</v>
          </cell>
          <cell r="K4991" t="str">
            <v>201602151421097</v>
          </cell>
          <cell r="M4991" t="str">
            <v>清热解毒口服液10ML*10支</v>
          </cell>
        </row>
        <row r="4992">
          <cell r="E4992" t="str">
            <v>0020020020SJMS0008</v>
          </cell>
          <cell r="H4992" t="str">
            <v>惠民县众可万寿堂大药房连锁有限公司</v>
          </cell>
          <cell r="J4992" t="str">
            <v>1854</v>
          </cell>
          <cell r="K4992" t="str">
            <v>201602151421097</v>
          </cell>
          <cell r="M4992" t="str">
            <v>拉西地平片/三精司乐平片4mg*15s</v>
          </cell>
        </row>
        <row r="4993">
          <cell r="E4993" t="str">
            <v>0020020020SJMS0008</v>
          </cell>
          <cell r="H4993" t="str">
            <v>无棣万盛堂药店连锁有限公司</v>
          </cell>
          <cell r="J4993" t="str">
            <v>1856</v>
          </cell>
          <cell r="K4993" t="str">
            <v>201602151421097</v>
          </cell>
          <cell r="M4993" t="str">
            <v>拉西地平片/三精司乐平片4mg*15s</v>
          </cell>
        </row>
        <row r="4994">
          <cell r="E4994" t="str">
            <v>0020020020SJMS0008</v>
          </cell>
          <cell r="H4994" t="str">
            <v>邹平仁济堂医药有限公司</v>
          </cell>
          <cell r="J4994" t="str">
            <v>1859</v>
          </cell>
          <cell r="K4994" t="str">
            <v>201602151421097</v>
          </cell>
          <cell r="M4994" t="str">
            <v>拉西地平片/三精司乐平片4mg*15s</v>
          </cell>
        </row>
        <row r="4995">
          <cell r="E4995" t="str">
            <v>0020020020SJMS0008</v>
          </cell>
          <cell r="H4995" t="str">
            <v>滨州市万全医药保健品连锁有限公司</v>
          </cell>
          <cell r="J4995" t="str">
            <v>1853</v>
          </cell>
          <cell r="K4995" t="str">
            <v>201602151421097</v>
          </cell>
          <cell r="M4995" t="str">
            <v>拉西地平片/三精司乐平片4mg*15s</v>
          </cell>
        </row>
        <row r="4996">
          <cell r="E4996" t="str">
            <v>0020030020SJSC0014</v>
          </cell>
          <cell r="H4996" t="str">
            <v>阳信初心医院</v>
          </cell>
          <cell r="J4996" t="str">
            <v>1855</v>
          </cell>
          <cell r="K4996" t="str">
            <v>201602151421097</v>
          </cell>
          <cell r="M4996" t="str">
            <v>维D2磷酸氢钙片60片</v>
          </cell>
        </row>
        <row r="4997">
          <cell r="E4997" t="str">
            <v>0020030020SJSC0014</v>
          </cell>
          <cell r="H4997" t="str">
            <v>滨城区市东街道办事处北杨第一卫生室</v>
          </cell>
          <cell r="J4997" t="str">
            <v>1853</v>
          </cell>
          <cell r="K4997" t="str">
            <v>201602151421097</v>
          </cell>
          <cell r="M4997" t="str">
            <v>维D2磷酸氢钙片60片</v>
          </cell>
        </row>
        <row r="4998">
          <cell r="E4998" t="str">
            <v>0020020030SJMS0024</v>
          </cell>
          <cell r="H4998" t="str">
            <v>滨城魏玲玲诊所</v>
          </cell>
          <cell r="J4998" t="str">
            <v>1853</v>
          </cell>
          <cell r="K4998" t="str">
            <v>201602151421097</v>
          </cell>
          <cell r="M4998" t="str">
            <v>人工牛黄甲硝唑胶囊/牙疼安10粒*2板</v>
          </cell>
        </row>
        <row r="4999">
          <cell r="E4999" t="str">
            <v>0020020012SWGC0007</v>
          </cell>
          <cell r="H4999" t="str">
            <v>阳信县水落坡镇卫生院（网购1）</v>
          </cell>
          <cell r="J4999" t="str">
            <v>1855</v>
          </cell>
          <cell r="K4999" t="str">
            <v>201602151421097</v>
          </cell>
          <cell r="M4999" t="str">
            <v>注射用奥美拉唑钠40mg*10z</v>
          </cell>
        </row>
        <row r="5000">
          <cell r="E5000" t="str">
            <v>0020020012SWGC0007</v>
          </cell>
          <cell r="H5000" t="str">
            <v>孙武街道后娘娘坟村卫生室</v>
          </cell>
          <cell r="J5000" t="str">
            <v>1854</v>
          </cell>
          <cell r="K5000" t="str">
            <v>201602151421097</v>
          </cell>
          <cell r="M5000" t="str">
            <v>注射用奥美拉唑钠40mg*10z</v>
          </cell>
        </row>
        <row r="5001">
          <cell r="E5001" t="str">
            <v>0020020012SWGC0007</v>
          </cell>
          <cell r="H5001" t="str">
            <v>高新区小营社区门诊</v>
          </cell>
          <cell r="J5001" t="str">
            <v>1853</v>
          </cell>
          <cell r="K5001" t="str">
            <v>201602151421097</v>
          </cell>
          <cell r="M5001" t="str">
            <v>注射用奥美拉唑钠40mg*10z</v>
          </cell>
        </row>
        <row r="5002">
          <cell r="E5002" t="str">
            <v>0020020021ZYLC0010</v>
          </cell>
          <cell r="H5002" t="str">
            <v>邹平孙辉诊所</v>
          </cell>
          <cell r="J5002" t="str">
            <v>1859</v>
          </cell>
          <cell r="K5002" t="str">
            <v>201602151421097</v>
          </cell>
          <cell r="M5002" t="str">
            <v>克拉霉素分散片0.125g*12片</v>
          </cell>
        </row>
        <row r="5003">
          <cell r="E5003" t="str">
            <v>0020040220SHYT0005</v>
          </cell>
          <cell r="H5003" t="str">
            <v>三胞联谊诊所</v>
          </cell>
          <cell r="J5003" t="str">
            <v>1855</v>
          </cell>
          <cell r="K5003" t="str">
            <v>201602151421097</v>
          </cell>
          <cell r="M5003" t="str">
            <v>妇宁栓7粒*1.6克</v>
          </cell>
        </row>
        <row r="5004">
          <cell r="E5004" t="str">
            <v>0020040220SHYT0005</v>
          </cell>
          <cell r="H5004" t="str">
            <v>阳信县商店镇台属大药房</v>
          </cell>
          <cell r="J5004" t="str">
            <v>1855</v>
          </cell>
          <cell r="K5004" t="str">
            <v>201602151421097</v>
          </cell>
          <cell r="M5004" t="str">
            <v>妇宁栓7粒*1.6克</v>
          </cell>
        </row>
        <row r="5005">
          <cell r="E5005" t="str">
            <v>0020040220SHYT0005</v>
          </cell>
          <cell r="H5005" t="str">
            <v>滨州市沾化区鲁康医药连锁有限公司</v>
          </cell>
          <cell r="J5005" t="str">
            <v>1857</v>
          </cell>
          <cell r="K5005" t="str">
            <v>201602151421097</v>
          </cell>
          <cell r="M5005" t="str">
            <v>妇宁栓7粒*1.6克</v>
          </cell>
        </row>
        <row r="5006">
          <cell r="E5006" t="str">
            <v>0020040220SHYT0005</v>
          </cell>
          <cell r="H5006" t="str">
            <v>滨州北海经济开发区马山子镇济堂药店</v>
          </cell>
          <cell r="J5006" t="str">
            <v>1856</v>
          </cell>
          <cell r="K5006" t="str">
            <v>201602151421097</v>
          </cell>
          <cell r="M5006" t="str">
            <v>妇宁栓7粒*1.6克</v>
          </cell>
        </row>
        <row r="5007">
          <cell r="E5007" t="str">
            <v>0020040001SHYT0026</v>
          </cell>
          <cell r="H5007" t="str">
            <v>滨州市滨城区市西街道办事处利民社区第二卫生服务站</v>
          </cell>
          <cell r="J5007" t="str">
            <v>1853</v>
          </cell>
          <cell r="K5007" t="str">
            <v>201602151421097</v>
          </cell>
          <cell r="M5007" t="str">
            <v>小活络丸3g*10丸</v>
          </cell>
        </row>
        <row r="5008">
          <cell r="E5008" t="str">
            <v>0020070000ZYLC0052</v>
          </cell>
          <cell r="H5008" t="str">
            <v>信城街道西关社区卫生室</v>
          </cell>
          <cell r="J5008" t="str">
            <v>1855</v>
          </cell>
          <cell r="K5008" t="str">
            <v>201602151421097</v>
          </cell>
          <cell r="M5008" t="str">
            <v>钙加锌口服液10ml*12支</v>
          </cell>
        </row>
        <row r="5009">
          <cell r="E5009" t="str">
            <v>0020070000ZYLC0052</v>
          </cell>
          <cell r="H5009" t="str">
            <v>阳信颐和医院</v>
          </cell>
          <cell r="J5009" t="str">
            <v>1855</v>
          </cell>
          <cell r="K5009" t="str">
            <v>201602151421097</v>
          </cell>
          <cell r="M5009" t="str">
            <v>钙加锌口服液10ml*12支</v>
          </cell>
        </row>
        <row r="5010">
          <cell r="E5010" t="str">
            <v>0020070000ZYLC0052</v>
          </cell>
          <cell r="H5010" t="str">
            <v>滨州华健医院</v>
          </cell>
          <cell r="J5010" t="str">
            <v>1853</v>
          </cell>
          <cell r="K5010" t="str">
            <v>201602151421097</v>
          </cell>
          <cell r="M5010" t="str">
            <v>钙加锌口服液10ml*12支</v>
          </cell>
        </row>
        <row r="5011">
          <cell r="E5011" t="str">
            <v>0020070000ZYLC0052</v>
          </cell>
          <cell r="H5011" t="str">
            <v>滨城区市中办事处万全社区卫生服务站</v>
          </cell>
          <cell r="J5011" t="str">
            <v>1853</v>
          </cell>
          <cell r="K5011" t="str">
            <v>201602151421097</v>
          </cell>
          <cell r="M5011" t="str">
            <v>钙加锌口服液10ml*12支</v>
          </cell>
        </row>
        <row r="5012">
          <cell r="E5012" t="str">
            <v>0020070000ZYLC0052</v>
          </cell>
          <cell r="H5012" t="str">
            <v>无棣万盛堂药店连锁有限公司</v>
          </cell>
          <cell r="J5012" t="str">
            <v>1856</v>
          </cell>
          <cell r="K5012" t="str">
            <v>201602151421097</v>
          </cell>
          <cell r="M5012" t="str">
            <v>钙加锌口服液10ml*12支</v>
          </cell>
        </row>
        <row r="5013">
          <cell r="E5013" t="str">
            <v>0020070000ZYLC0052</v>
          </cell>
          <cell r="H5013" t="str">
            <v>阳信县仁和堂医药连锁有限公司</v>
          </cell>
          <cell r="J5013" t="str">
            <v>1855</v>
          </cell>
          <cell r="K5013" t="str">
            <v>201602151421097</v>
          </cell>
          <cell r="M5013" t="str">
            <v>钙加锌口服液10ml*12支</v>
          </cell>
        </row>
        <row r="5014">
          <cell r="E5014" t="str">
            <v>0020070000ZYLC0052</v>
          </cell>
          <cell r="H5014" t="str">
            <v>翟王镇粉刘中心卫生室</v>
          </cell>
          <cell r="J5014" t="str">
            <v>1855</v>
          </cell>
          <cell r="K5014" t="str">
            <v>201602151421097</v>
          </cell>
          <cell r="M5014" t="str">
            <v>钙加锌口服液10ml*12支</v>
          </cell>
        </row>
        <row r="5015">
          <cell r="E5015" t="str">
            <v>0020070000ZYLC0052</v>
          </cell>
          <cell r="H5015" t="str">
            <v>滨城区市西街道办事处魏家卫生室</v>
          </cell>
          <cell r="J5015" t="str">
            <v>1853</v>
          </cell>
          <cell r="K5015" t="str">
            <v>201602151421097</v>
          </cell>
          <cell r="M5015" t="str">
            <v>钙加锌口服液10ml*12支</v>
          </cell>
        </row>
        <row r="5016">
          <cell r="E5016" t="str">
            <v>0020070000ZYLC0052</v>
          </cell>
          <cell r="H5016" t="str">
            <v>三胞联谊诊所</v>
          </cell>
          <cell r="J5016" t="str">
            <v>1855</v>
          </cell>
          <cell r="K5016" t="str">
            <v>201602151421097</v>
          </cell>
          <cell r="M5016" t="str">
            <v>钙加锌口服液10ml*12支</v>
          </cell>
        </row>
        <row r="5017">
          <cell r="E5017" t="str">
            <v>0020070000ZYLC0052</v>
          </cell>
          <cell r="H5017" t="str">
            <v>阳信镇边家社区卫生室</v>
          </cell>
          <cell r="J5017" t="str">
            <v>1855</v>
          </cell>
          <cell r="K5017" t="str">
            <v>201602151421097</v>
          </cell>
          <cell r="M5017" t="str">
            <v>钙加锌口服液10ml*12支</v>
          </cell>
        </row>
        <row r="5018">
          <cell r="E5018" t="str">
            <v>0020030020ZYLC0005</v>
          </cell>
          <cell r="H5018" t="str">
            <v>商店镇王朝正社区卫生室</v>
          </cell>
          <cell r="J5018" t="str">
            <v>1855</v>
          </cell>
          <cell r="K5018" t="str">
            <v>201602151421097</v>
          </cell>
          <cell r="M5018" t="str">
            <v>小儿氨酚黄那敏片0.125g*20片</v>
          </cell>
        </row>
        <row r="5019">
          <cell r="E5019" t="str">
            <v>0020020030ZYZC0508</v>
          </cell>
          <cell r="H5019" t="str">
            <v>阳信镇行宫庙村卫生室</v>
          </cell>
          <cell r="J5019" t="str">
            <v>1855</v>
          </cell>
          <cell r="K5019" t="str">
            <v>201602151421097</v>
          </cell>
          <cell r="M5019" t="str">
            <v>阿莫西林胶囊0.25g*20s</v>
          </cell>
        </row>
        <row r="5020">
          <cell r="E5020" t="str">
            <v>0020020030ZYZC0508</v>
          </cell>
          <cell r="H5020" t="str">
            <v>滨州市康之元大药房医药有限公司</v>
          </cell>
          <cell r="J5020" t="str">
            <v>1853</v>
          </cell>
          <cell r="K5020" t="str">
            <v>201602151421097</v>
          </cell>
          <cell r="M5020" t="str">
            <v>阿莫西林胶囊0.25g*20s</v>
          </cell>
        </row>
        <row r="5021">
          <cell r="E5021" t="str">
            <v>0020020030ZYZC0508</v>
          </cell>
          <cell r="H5021" t="str">
            <v>玉东诊所</v>
          </cell>
          <cell r="J5021" t="str">
            <v>1857</v>
          </cell>
          <cell r="K5021" t="str">
            <v>201602151421097</v>
          </cell>
          <cell r="M5021" t="str">
            <v>阿莫西林胶囊0.25g*20s</v>
          </cell>
        </row>
        <row r="5022">
          <cell r="E5022" t="str">
            <v>0020020030ZYZC0508</v>
          </cell>
          <cell r="H5022" t="str">
            <v>沾化三易诊所</v>
          </cell>
          <cell r="J5022" t="str">
            <v>1857</v>
          </cell>
          <cell r="K5022" t="str">
            <v>201602151421097</v>
          </cell>
          <cell r="M5022" t="str">
            <v>阿莫西林胶囊0.25g*20s</v>
          </cell>
        </row>
        <row r="5023">
          <cell r="E5023" t="str">
            <v>0020020030ZYZC0508</v>
          </cell>
          <cell r="H5023" t="str">
            <v>无棣益生堂药店连锁有限公司</v>
          </cell>
          <cell r="J5023" t="str">
            <v>1856</v>
          </cell>
          <cell r="K5023" t="str">
            <v>201602151421097</v>
          </cell>
          <cell r="M5023" t="str">
            <v>阿莫西林胶囊0.25g*20s</v>
          </cell>
        </row>
        <row r="5024">
          <cell r="E5024" t="str">
            <v>0020020030ZYZC0508</v>
          </cell>
          <cell r="H5024" t="str">
            <v>滨州市沾化区鲁康医药连锁有限公司</v>
          </cell>
          <cell r="J5024" t="str">
            <v>1857</v>
          </cell>
          <cell r="K5024" t="str">
            <v>201602151421097</v>
          </cell>
          <cell r="M5024" t="str">
            <v>阿莫西林胶囊0.25g*20s</v>
          </cell>
        </row>
        <row r="5025">
          <cell r="E5025" t="str">
            <v>0020030020ZYLC0010</v>
          </cell>
          <cell r="H5025" t="str">
            <v>滨州市康之元大药房医药有限公司</v>
          </cell>
          <cell r="J5025" t="str">
            <v>1853</v>
          </cell>
          <cell r="K5025" t="str">
            <v>201602151421097</v>
          </cell>
          <cell r="M5025" t="str">
            <v>乳酸菌素片/为消0.4g*36片</v>
          </cell>
        </row>
        <row r="5026">
          <cell r="E5026" t="str">
            <v>0020030020ZYLC0010</v>
          </cell>
          <cell r="H5026" t="str">
            <v>滨城区市西办事处大有崔第三卫生室</v>
          </cell>
          <cell r="J5026" t="str">
            <v>1853</v>
          </cell>
          <cell r="K5026" t="str">
            <v>201602151421097</v>
          </cell>
          <cell r="M5026" t="str">
            <v>乳酸菌素片/为消0.4g*36片</v>
          </cell>
        </row>
        <row r="5027">
          <cell r="E5027" t="str">
            <v>0020030020ZYLC0010</v>
          </cell>
          <cell r="H5027" t="str">
            <v>商店镇小桑园区第一社区卫生室</v>
          </cell>
          <cell r="J5027" t="str">
            <v>1855</v>
          </cell>
          <cell r="K5027" t="str">
            <v>201602151421097</v>
          </cell>
          <cell r="M5027" t="str">
            <v>乳酸菌素片/为消0.4g*36片</v>
          </cell>
        </row>
        <row r="5028">
          <cell r="E5028" t="str">
            <v>0020030020ZYLC0010</v>
          </cell>
          <cell r="H5028" t="str">
            <v>孙武街道法义卫生室</v>
          </cell>
          <cell r="J5028" t="str">
            <v>1854</v>
          </cell>
          <cell r="K5028" t="str">
            <v>201602151421097</v>
          </cell>
          <cell r="M5028" t="str">
            <v>乳酸菌素片/为消0.4g*36片</v>
          </cell>
        </row>
        <row r="5029">
          <cell r="E5029" t="str">
            <v>0020030020ZYLC0010</v>
          </cell>
          <cell r="H5029" t="str">
            <v>玉东诊所</v>
          </cell>
          <cell r="J5029" t="str">
            <v>1857</v>
          </cell>
          <cell r="K5029" t="str">
            <v>201602151421097</v>
          </cell>
          <cell r="M5029" t="str">
            <v>乳酸菌素片/为消0.4g*36片</v>
          </cell>
        </row>
        <row r="5030">
          <cell r="E5030" t="str">
            <v>0020030020ZYLC0010</v>
          </cell>
          <cell r="H5030" t="str">
            <v>惠民县桑落墅镇弘轩大药房</v>
          </cell>
          <cell r="J5030" t="str">
            <v>1854</v>
          </cell>
          <cell r="K5030" t="str">
            <v>201602151421097</v>
          </cell>
          <cell r="M5030" t="str">
            <v>乳酸菌素片/为消0.4g*36片</v>
          </cell>
        </row>
        <row r="5031">
          <cell r="E5031" t="str">
            <v>0020030020ZYLC0010</v>
          </cell>
          <cell r="H5031" t="str">
            <v>滨城济滨医院</v>
          </cell>
          <cell r="J5031" t="str">
            <v>1853</v>
          </cell>
          <cell r="K5031" t="str">
            <v>201602151421097</v>
          </cell>
          <cell r="M5031" t="str">
            <v>乳酸菌素片/为消0.4g*36片</v>
          </cell>
        </row>
        <row r="5032">
          <cell r="E5032" t="str">
            <v>0020030020ZYLC0010</v>
          </cell>
          <cell r="H5032" t="str">
            <v>温店镇李大人村卫生室</v>
          </cell>
          <cell r="J5032" t="str">
            <v>1855</v>
          </cell>
          <cell r="K5032" t="str">
            <v>201602151421097</v>
          </cell>
          <cell r="M5032" t="str">
            <v>乳酸菌素片/为消0.4g*36片</v>
          </cell>
        </row>
        <row r="5033">
          <cell r="E5033" t="str">
            <v>0020030020ZYLC0010</v>
          </cell>
          <cell r="H5033" t="str">
            <v>商店镇桑西社区卫生室</v>
          </cell>
          <cell r="J5033" t="str">
            <v>1855</v>
          </cell>
          <cell r="K5033" t="str">
            <v>201602151421097</v>
          </cell>
          <cell r="M5033" t="str">
            <v>乳酸菌素片/为消0.4g*36片</v>
          </cell>
        </row>
        <row r="5034">
          <cell r="E5034" t="str">
            <v>0020030020ZYLC0010</v>
          </cell>
          <cell r="H5034" t="str">
            <v>孙武村寿俊卫生室</v>
          </cell>
          <cell r="J5034" t="str">
            <v>1854</v>
          </cell>
          <cell r="K5034" t="str">
            <v>201602151421097</v>
          </cell>
          <cell r="M5034" t="str">
            <v>乳酸菌素片/为消0.4g*36片</v>
          </cell>
        </row>
        <row r="5035">
          <cell r="E5035" t="str">
            <v>0020030020ZYLC0010</v>
          </cell>
          <cell r="H5035" t="str">
            <v>阳信镇边家社区卫生室</v>
          </cell>
          <cell r="J5035" t="str">
            <v>1855</v>
          </cell>
          <cell r="K5035" t="str">
            <v>201602151421097</v>
          </cell>
          <cell r="M5035" t="str">
            <v>乳酸菌素片/为消0.4g*36片</v>
          </cell>
        </row>
        <row r="5036">
          <cell r="E5036" t="str">
            <v>0020030020ZYLC0010</v>
          </cell>
          <cell r="H5036" t="str">
            <v>阳信荣军医院</v>
          </cell>
          <cell r="J5036" t="str">
            <v>1855</v>
          </cell>
          <cell r="K5036" t="str">
            <v>201602151421097</v>
          </cell>
          <cell r="M5036" t="str">
            <v>乳酸菌素片/为消0.4g*36片</v>
          </cell>
        </row>
        <row r="5037">
          <cell r="E5037" t="str">
            <v>0020030020ZYLC0010</v>
          </cell>
          <cell r="H5037" t="str">
            <v>翟王镇翟王社区卫生室</v>
          </cell>
          <cell r="J5037" t="str">
            <v>1855</v>
          </cell>
          <cell r="K5037" t="str">
            <v>201602151421097</v>
          </cell>
          <cell r="M5037" t="str">
            <v>乳酸菌素片/为消0.4g*36片</v>
          </cell>
        </row>
        <row r="5038">
          <cell r="E5038" t="str">
            <v>0020030020ZYLC0010</v>
          </cell>
          <cell r="H5038" t="str">
            <v>交通诊所</v>
          </cell>
          <cell r="J5038" t="str">
            <v>1856</v>
          </cell>
          <cell r="K5038" t="str">
            <v>201602151421097</v>
          </cell>
          <cell r="M5038" t="str">
            <v>乳酸菌素片/为消0.4g*36片</v>
          </cell>
        </row>
        <row r="5039">
          <cell r="E5039" t="str">
            <v>0020030020ZYLC0010</v>
          </cell>
          <cell r="H5039" t="str">
            <v>商店镇魏宅社区卫生室</v>
          </cell>
          <cell r="J5039" t="str">
            <v>1855</v>
          </cell>
          <cell r="K5039" t="str">
            <v>201602151421097</v>
          </cell>
          <cell r="M5039" t="str">
            <v>乳酸菌素片/为消0.4g*36片</v>
          </cell>
        </row>
        <row r="5040">
          <cell r="E5040" t="str">
            <v>0020030020ZYZC0360</v>
          </cell>
          <cell r="H5040" t="str">
            <v>滨城魏玲玲诊所</v>
          </cell>
          <cell r="J5040" t="str">
            <v>1853</v>
          </cell>
          <cell r="K5040" t="str">
            <v>201602151421097</v>
          </cell>
          <cell r="M5040" t="str">
            <v>维生素C咀嚼片/VC片0.1g*30片</v>
          </cell>
        </row>
        <row r="5041">
          <cell r="E5041" t="str">
            <v>0020030020ZYZC0360</v>
          </cell>
          <cell r="H5041" t="str">
            <v>商店镇王朝正社区卫生室</v>
          </cell>
          <cell r="J5041" t="str">
            <v>1855</v>
          </cell>
          <cell r="K5041" t="str">
            <v>201602151421097</v>
          </cell>
          <cell r="M5041" t="str">
            <v>维生素C咀嚼片/VC片0.1g*30片</v>
          </cell>
        </row>
        <row r="5042">
          <cell r="E5042" t="str">
            <v>0020030020ZYZC0360</v>
          </cell>
          <cell r="H5042" t="str">
            <v>邹平园春堂医药有限公司</v>
          </cell>
          <cell r="J5042" t="str">
            <v>1859</v>
          </cell>
          <cell r="K5042" t="str">
            <v>201602151421097</v>
          </cell>
          <cell r="M5042" t="str">
            <v>维生素C咀嚼片/VC片0.1g*30片</v>
          </cell>
        </row>
        <row r="5043">
          <cell r="E5043" t="str">
            <v>0020070001ZYZC0383</v>
          </cell>
          <cell r="H5043" t="str">
            <v>杜店周双进诊所</v>
          </cell>
          <cell r="J5043" t="str">
            <v>1853</v>
          </cell>
          <cell r="K5043" t="str">
            <v>201602151421097</v>
          </cell>
          <cell r="M5043" t="str">
            <v>哈药牌钙铁锌口服液10ml*10支</v>
          </cell>
        </row>
        <row r="5044">
          <cell r="E5044" t="str">
            <v>0020030040SHYT0010</v>
          </cell>
          <cell r="H5044" t="str">
            <v>滨州市滨城区市西街道办事处利民社区第二卫生服务站</v>
          </cell>
          <cell r="J5044" t="str">
            <v>1853</v>
          </cell>
          <cell r="K5044" t="str">
            <v>201602151421097</v>
          </cell>
          <cell r="M5044" t="str">
            <v>布洛芬颗粒0.2g*12袋</v>
          </cell>
        </row>
        <row r="5045">
          <cell r="E5045" t="str">
            <v>0020030040SHYT0010</v>
          </cell>
          <cell r="H5045" t="str">
            <v>滨州市沾化区鲁康医药连锁有限公司</v>
          </cell>
          <cell r="J5045" t="str">
            <v>1857</v>
          </cell>
          <cell r="K5045" t="str">
            <v>201602151421097</v>
          </cell>
          <cell r="M5045" t="str">
            <v>布洛芬颗粒0.2g*12袋</v>
          </cell>
        </row>
        <row r="5046">
          <cell r="E5046" t="str">
            <v>0020030040SHYT0010</v>
          </cell>
          <cell r="H5046" t="str">
            <v>滨州市沾化区泊头镇卫生院</v>
          </cell>
          <cell r="J5046" t="str">
            <v>1857</v>
          </cell>
          <cell r="K5046" t="str">
            <v>201602151421097</v>
          </cell>
          <cell r="M5046" t="str">
            <v>布洛芬颗粒0.2g*12袋</v>
          </cell>
        </row>
        <row r="5047">
          <cell r="E5047" t="str">
            <v>0020050020SHYT0016</v>
          </cell>
          <cell r="H5047" t="str">
            <v>博兴县店子镇同济堂大药店</v>
          </cell>
          <cell r="J5047" t="str">
            <v>1858</v>
          </cell>
          <cell r="K5047" t="str">
            <v>201602151421097</v>
          </cell>
          <cell r="M5047" t="str">
            <v>复方金银花颗粒10g*10袋</v>
          </cell>
        </row>
        <row r="5048">
          <cell r="E5048" t="str">
            <v>0020020020ZYLC0003</v>
          </cell>
          <cell r="H5048" t="str">
            <v>惠民县广军康宁大药房有限公司</v>
          </cell>
          <cell r="J5048" t="str">
            <v>1854</v>
          </cell>
          <cell r="K5048" t="str">
            <v>201602151421097</v>
          </cell>
          <cell r="M5048" t="str">
            <v>泻立停片/颠茄磺苄啶0.4g：80mg：8mg*12片</v>
          </cell>
        </row>
        <row r="5049">
          <cell r="E5049" t="str">
            <v>0020020020ZYLC0003</v>
          </cell>
          <cell r="H5049" t="str">
            <v>滨州市沾化区鲁康医药连锁有限公司</v>
          </cell>
          <cell r="J5049" t="str">
            <v>1857</v>
          </cell>
          <cell r="K5049" t="str">
            <v>201602151421097</v>
          </cell>
          <cell r="M5049" t="str">
            <v>泻立停片/颠茄磺苄啶0.4g：80mg：8mg*12片</v>
          </cell>
        </row>
        <row r="5050">
          <cell r="E5050" t="str">
            <v>0020020020ZYLC0003</v>
          </cell>
          <cell r="H5050" t="str">
            <v>惠民县宝芝林医药连锁有限公司</v>
          </cell>
          <cell r="J5050" t="str">
            <v>1854</v>
          </cell>
          <cell r="K5050" t="str">
            <v>201602151421097</v>
          </cell>
          <cell r="M5050" t="str">
            <v>泻立停片/颠茄磺苄啶0.4g：80mg：8mg*12片</v>
          </cell>
        </row>
        <row r="5051">
          <cell r="E5051" t="str">
            <v>0020020020ZYLC0003</v>
          </cell>
          <cell r="H5051" t="str">
            <v>滨州市沾化区泊头镇卫生院</v>
          </cell>
          <cell r="J5051" t="str">
            <v>1857</v>
          </cell>
          <cell r="K5051" t="str">
            <v>201602151421097</v>
          </cell>
          <cell r="M5051" t="str">
            <v>泻立停片/颠茄磺苄啶0.4g：80mg：8mg*12片</v>
          </cell>
        </row>
        <row r="5052">
          <cell r="E5052" t="str">
            <v>0020100000ZYLC0012</v>
          </cell>
          <cell r="H5052" t="str">
            <v>滨州市修正堂医药有限公司</v>
          </cell>
          <cell r="J5052" t="str">
            <v>1853</v>
          </cell>
          <cell r="K5052" t="str">
            <v>201602151421097</v>
          </cell>
          <cell r="M5052" t="str">
            <v>退热贴40mm*110mm*2贴</v>
          </cell>
        </row>
        <row r="5053">
          <cell r="E5053" t="str">
            <v>0020100000ZYLC0012</v>
          </cell>
          <cell r="H5053" t="str">
            <v>孙武街道后娘娘坟村卫生室</v>
          </cell>
          <cell r="J5053" t="str">
            <v>1854</v>
          </cell>
          <cell r="K5053" t="str">
            <v>201602151421097</v>
          </cell>
          <cell r="M5053" t="str">
            <v>退热贴40mm*110mm*2贴</v>
          </cell>
        </row>
        <row r="5054">
          <cell r="E5054" t="str">
            <v>0020100000ZYLC0012</v>
          </cell>
          <cell r="H5054" t="str">
            <v>滨城刘利剑中医诊所</v>
          </cell>
          <cell r="J5054" t="str">
            <v>1853</v>
          </cell>
          <cell r="K5054" t="str">
            <v>201602151421097</v>
          </cell>
          <cell r="M5054" t="str">
            <v>退热贴40mm*110mm*2贴</v>
          </cell>
        </row>
        <row r="5055">
          <cell r="E5055" t="str">
            <v>0020100000ZYLC0012</v>
          </cell>
          <cell r="H5055" t="str">
            <v>滨州华健医院</v>
          </cell>
          <cell r="J5055" t="str">
            <v>1853</v>
          </cell>
          <cell r="K5055" t="str">
            <v>201602151421097</v>
          </cell>
          <cell r="M5055" t="str">
            <v>退热贴40mm*110mm*2贴</v>
          </cell>
        </row>
        <row r="5056">
          <cell r="E5056" t="str">
            <v>0020020020ZYZC0359</v>
          </cell>
          <cell r="H5056" t="str">
            <v>滨城区市东街道办事处毕家第二卫生室</v>
          </cell>
          <cell r="J5056" t="str">
            <v>1853</v>
          </cell>
          <cell r="K5056" t="str">
            <v>201602151421097</v>
          </cell>
          <cell r="M5056" t="str">
            <v>青霉素v钾片0.236g*24片</v>
          </cell>
        </row>
        <row r="5057">
          <cell r="E5057" t="str">
            <v>0020020020ZYZC0359</v>
          </cell>
          <cell r="H5057" t="str">
            <v>玉东诊所</v>
          </cell>
          <cell r="J5057" t="str">
            <v>1857</v>
          </cell>
          <cell r="K5057" t="str">
            <v>201602151421097</v>
          </cell>
          <cell r="M5057" t="str">
            <v>青霉素v钾片0.236g*24片</v>
          </cell>
        </row>
        <row r="5058">
          <cell r="E5058" t="str">
            <v>0020020020ZYZC0359</v>
          </cell>
          <cell r="H5058" t="str">
            <v>沾化三易诊所</v>
          </cell>
          <cell r="J5058" t="str">
            <v>1857</v>
          </cell>
          <cell r="K5058" t="str">
            <v>201602151421097</v>
          </cell>
          <cell r="M5058" t="str">
            <v>青霉素v钾片0.236g*24片</v>
          </cell>
        </row>
        <row r="5059">
          <cell r="E5059" t="str">
            <v>0020020020ZYZC0359</v>
          </cell>
          <cell r="H5059" t="str">
            <v>无棣益生堂药店连锁有限公司</v>
          </cell>
          <cell r="J5059" t="str">
            <v>1856</v>
          </cell>
          <cell r="K5059" t="str">
            <v>201602151421097</v>
          </cell>
          <cell r="M5059" t="str">
            <v>青霉素v钾片0.236g*24片</v>
          </cell>
        </row>
        <row r="5060">
          <cell r="E5060" t="str">
            <v>0020020020ZYZC0359</v>
          </cell>
          <cell r="H5060" t="str">
            <v>商店镇魏宅社区卫生室</v>
          </cell>
          <cell r="J5060" t="str">
            <v>1855</v>
          </cell>
          <cell r="K5060" t="str">
            <v>201602151421097</v>
          </cell>
          <cell r="M5060" t="str">
            <v>青霉素v钾片0.236g*24片</v>
          </cell>
        </row>
        <row r="5061">
          <cell r="E5061" t="str">
            <v>0020020020ZYZC0359</v>
          </cell>
          <cell r="H5061" t="str">
            <v>滨州市沾化区鲁康医药连锁有限公司</v>
          </cell>
          <cell r="J5061" t="str">
            <v>1857</v>
          </cell>
          <cell r="K5061" t="str">
            <v>201602151421097</v>
          </cell>
          <cell r="M5061" t="str">
            <v>青霉素v钾片0.236g*24片</v>
          </cell>
        </row>
        <row r="5062">
          <cell r="E5062" t="str">
            <v>0020020020ZYZC0359</v>
          </cell>
          <cell r="H5062" t="str">
            <v>滨州市沾化区泊头镇卫生院</v>
          </cell>
          <cell r="J5062" t="str">
            <v>1857</v>
          </cell>
          <cell r="K5062" t="str">
            <v>201602151421097</v>
          </cell>
          <cell r="M5062" t="str">
            <v>青霉素v钾片0.236g*24片</v>
          </cell>
        </row>
        <row r="5063">
          <cell r="E5063" t="str">
            <v>0020020030ZYZC0511</v>
          </cell>
          <cell r="H5063" t="str">
            <v>玉东诊所</v>
          </cell>
          <cell r="J5063" t="str">
            <v>1857</v>
          </cell>
          <cell r="K5063" t="str">
            <v>201602151421097</v>
          </cell>
          <cell r="M5063" t="str">
            <v>头孢氨苄胶囊0.125g*20s</v>
          </cell>
        </row>
        <row r="5064">
          <cell r="E5064" t="str">
            <v>0020020030ZYZC0264</v>
          </cell>
          <cell r="H5064" t="str">
            <v>滨州市万全医药保健品连锁有限公司</v>
          </cell>
          <cell r="J5064" t="str">
            <v>1853</v>
          </cell>
          <cell r="K5064" t="str">
            <v>201602151421097</v>
          </cell>
          <cell r="M5064" t="str">
            <v>阿莫西林胶囊0.5g*20s</v>
          </cell>
        </row>
        <row r="5065">
          <cell r="E5065" t="str">
            <v>0020020030ZYZC0264</v>
          </cell>
          <cell r="H5065" t="str">
            <v>邹平博祥医药连锁有限公司</v>
          </cell>
          <cell r="J5065" t="str">
            <v>1859</v>
          </cell>
          <cell r="K5065" t="str">
            <v>201602151421097</v>
          </cell>
          <cell r="M5065" t="str">
            <v>阿莫西林胶囊0.5g*20s</v>
          </cell>
        </row>
        <row r="5066">
          <cell r="E5066" t="str">
            <v>0020020030ZYZC0264</v>
          </cell>
          <cell r="H5066" t="str">
            <v>孙武村寿俊卫生室</v>
          </cell>
          <cell r="J5066" t="str">
            <v>1854</v>
          </cell>
          <cell r="K5066" t="str">
            <v>201602151421097</v>
          </cell>
          <cell r="M5066" t="str">
            <v>阿莫西林胶囊0.5g*20s</v>
          </cell>
        </row>
        <row r="5067">
          <cell r="E5067" t="str">
            <v>0020020030ZYZC0264</v>
          </cell>
          <cell r="H5067" t="str">
            <v>恒泰社区卫生室</v>
          </cell>
          <cell r="J5067" t="str">
            <v>1855</v>
          </cell>
          <cell r="K5067" t="str">
            <v>201602151421097</v>
          </cell>
          <cell r="M5067" t="str">
            <v>阿莫西林胶囊0.5g*20s</v>
          </cell>
        </row>
        <row r="5068">
          <cell r="E5068" t="str">
            <v>0020020030ZYZC0264</v>
          </cell>
          <cell r="H5068" t="str">
            <v>滨州市沾化区泊头镇卫生院</v>
          </cell>
          <cell r="J5068" t="str">
            <v>1857</v>
          </cell>
          <cell r="K5068" t="str">
            <v>201602151421097</v>
          </cell>
          <cell r="M5068" t="str">
            <v>阿莫西林胶囊0.5g*20s</v>
          </cell>
        </row>
        <row r="5069">
          <cell r="E5069" t="str">
            <v>0020050030SJSC0007</v>
          </cell>
          <cell r="H5069" t="str">
            <v>阳信镇行宫庙村卫生室</v>
          </cell>
          <cell r="J5069" t="str">
            <v>1855</v>
          </cell>
          <cell r="K5069" t="str">
            <v>201602151421097</v>
          </cell>
          <cell r="M5069" t="str">
            <v>菊梅利咽含片1.2g*18片</v>
          </cell>
        </row>
        <row r="5070">
          <cell r="E5070" t="str">
            <v>0020050030SJSC0007</v>
          </cell>
          <cell r="H5070" t="str">
            <v>商店镇魏宅社区卫生室</v>
          </cell>
          <cell r="J5070" t="str">
            <v>1855</v>
          </cell>
          <cell r="K5070" t="str">
            <v>201602151421097</v>
          </cell>
          <cell r="M5070" t="str">
            <v>菊梅利咽含片1.2g*18片</v>
          </cell>
        </row>
        <row r="5071">
          <cell r="E5071" t="str">
            <v>0020020013ZYZC0491</v>
          </cell>
          <cell r="H5071" t="str">
            <v>沾化县康宁诊所</v>
          </cell>
          <cell r="J5071" t="str">
            <v>1857</v>
          </cell>
          <cell r="K5071" t="str">
            <v>201602151421097</v>
          </cell>
          <cell r="M5071" t="str">
            <v>阿奇针/注射用乳糖酸阿奇霉素针0.25g</v>
          </cell>
        </row>
        <row r="5072">
          <cell r="E5072" t="str">
            <v>0020020013ZYZC0491</v>
          </cell>
          <cell r="H5072" t="str">
            <v>洋湖乡勃李社区卫生室</v>
          </cell>
          <cell r="J5072" t="str">
            <v>1855</v>
          </cell>
          <cell r="K5072" t="str">
            <v>201602151421097</v>
          </cell>
          <cell r="M5072" t="str">
            <v>阿奇针/注射用乳糖酸阿奇霉素针0.25g</v>
          </cell>
        </row>
        <row r="5073">
          <cell r="E5073" t="str">
            <v>0020020013ZYZC0491</v>
          </cell>
          <cell r="H5073" t="str">
            <v>惠民仁和堂诊所</v>
          </cell>
          <cell r="J5073" t="str">
            <v>1854</v>
          </cell>
          <cell r="K5073" t="str">
            <v>201602151421097</v>
          </cell>
          <cell r="M5073" t="str">
            <v>阿奇针/注射用乳糖酸阿奇霉素针0.25g</v>
          </cell>
        </row>
        <row r="5074">
          <cell r="E5074" t="str">
            <v>0020020013ZYZC0491</v>
          </cell>
          <cell r="H5074" t="str">
            <v>孙武村寿俊卫生室</v>
          </cell>
          <cell r="J5074" t="str">
            <v>1854</v>
          </cell>
          <cell r="K5074" t="str">
            <v>201602151421097</v>
          </cell>
          <cell r="M5074" t="str">
            <v>阿奇针/注射用乳糖酸阿奇霉素针0.25g</v>
          </cell>
        </row>
        <row r="5075">
          <cell r="E5075" t="str">
            <v>0020020013ZYZC0491</v>
          </cell>
          <cell r="H5075" t="str">
            <v>滨州市滨城区妇幼保健站</v>
          </cell>
          <cell r="J5075" t="str">
            <v>1853</v>
          </cell>
          <cell r="K5075" t="str">
            <v>201602151421097</v>
          </cell>
          <cell r="M5075" t="str">
            <v>阿奇针/注射用乳糖酸阿奇霉素针0.25g</v>
          </cell>
        </row>
        <row r="5076">
          <cell r="E5076" t="str">
            <v>0020020013ZYZC0490</v>
          </cell>
          <cell r="H5076" t="str">
            <v>沾化静康诊所</v>
          </cell>
          <cell r="J5076" t="str">
            <v>1857</v>
          </cell>
          <cell r="K5076" t="str">
            <v>201602151421097</v>
          </cell>
          <cell r="M5076" t="str">
            <v>阿奇针/注射用乳糖酸阿奇霉素针0.125g</v>
          </cell>
        </row>
        <row r="5077">
          <cell r="E5077" t="str">
            <v>0020020013ZYZC0490</v>
          </cell>
          <cell r="H5077" t="str">
            <v>惠民仁和堂诊所</v>
          </cell>
          <cell r="J5077" t="str">
            <v>1854</v>
          </cell>
          <cell r="K5077" t="str">
            <v>201602151421097</v>
          </cell>
          <cell r="M5077" t="str">
            <v>阿奇针/注射用乳糖酸阿奇霉素针0.125g</v>
          </cell>
        </row>
        <row r="5078">
          <cell r="E5078" t="str">
            <v>0020070001ZYZC0377</v>
          </cell>
          <cell r="H5078" t="str">
            <v>信诚街道接官亭村第一卫生室</v>
          </cell>
          <cell r="J5078" t="str">
            <v>1855</v>
          </cell>
          <cell r="K5078" t="str">
            <v>201602151421097</v>
          </cell>
          <cell r="M5078" t="str">
            <v>哈药牌钙铁锌口服液10ml*15支</v>
          </cell>
        </row>
        <row r="5079">
          <cell r="E5079" t="str">
            <v>0020070001ZYZC0377</v>
          </cell>
          <cell r="H5079" t="str">
            <v>邹平园春堂医药有限公司</v>
          </cell>
          <cell r="J5079" t="str">
            <v>1859</v>
          </cell>
          <cell r="K5079" t="str">
            <v>201602151421097</v>
          </cell>
          <cell r="M5079" t="str">
            <v>哈药牌钙铁锌口服液10ml*15支</v>
          </cell>
        </row>
        <row r="5080">
          <cell r="E5080" t="str">
            <v>0020030020ZYZC0360</v>
          </cell>
          <cell r="H5080" t="str">
            <v>滨城区市东街道办事处郑家第三卫生室</v>
          </cell>
          <cell r="J5080" t="str">
            <v>1853</v>
          </cell>
          <cell r="K5080" t="str">
            <v>201602151421097</v>
          </cell>
          <cell r="M5080" t="str">
            <v>*维生素C咀嚼片/VC片0.1g*30片</v>
          </cell>
        </row>
        <row r="5081">
          <cell r="E5081" t="str">
            <v>0020050001SHYT0037</v>
          </cell>
          <cell r="H5081" t="str">
            <v>滨州市沾化区鲁康医药连锁有限公司</v>
          </cell>
          <cell r="J5081" t="str">
            <v>1857</v>
          </cell>
          <cell r="K5081" t="str">
            <v>201602151421097</v>
          </cell>
          <cell r="M5081" t="str">
            <v>艾附暖宫丸9g*10丸</v>
          </cell>
        </row>
        <row r="5082">
          <cell r="E5082" t="str">
            <v>0020030001SJZY0009</v>
          </cell>
          <cell r="H5082" t="str">
            <v>青阳镇西窝陀村王令峰卫生室</v>
          </cell>
          <cell r="J5082" t="str">
            <v>1859</v>
          </cell>
          <cell r="K5082" t="str">
            <v>201602151421097</v>
          </cell>
          <cell r="M5082" t="str">
            <v>葡萄糖酸锌口服液10ml*12支</v>
          </cell>
        </row>
        <row r="5083">
          <cell r="E5083" t="str">
            <v>0020030170ZYEC0003</v>
          </cell>
          <cell r="H5083" t="str">
            <v>博兴县吕艺镇博华佳苑社区卫生室</v>
          </cell>
          <cell r="J5083" t="str">
            <v>1858</v>
          </cell>
          <cell r="K5083" t="str">
            <v>201602151421097</v>
          </cell>
          <cell r="M5083" t="str">
            <v>蒙脱石散3g*12袋</v>
          </cell>
        </row>
        <row r="5084">
          <cell r="E5084" t="str">
            <v>0020020021ZYZC0341</v>
          </cell>
          <cell r="H5084" t="str">
            <v>滨州益康医药连锁有限公司邹平县礼参店</v>
          </cell>
          <cell r="J5084" t="str">
            <v>1859</v>
          </cell>
          <cell r="K5084" t="str">
            <v>201602151421097</v>
          </cell>
          <cell r="M5084" t="str">
            <v>阿莫西林克拉维酸钾分散片/胜艾0.2285g*12片</v>
          </cell>
        </row>
        <row r="5085">
          <cell r="E5085" t="str">
            <v>0020050090ZYEC0005</v>
          </cell>
          <cell r="H5085" t="str">
            <v>高青县田镇街道办事处周陈村卫生室</v>
          </cell>
          <cell r="J5085" t="str">
            <v>1744</v>
          </cell>
          <cell r="M5085" t="str">
            <v>清热解毒口服液10ml*10支</v>
          </cell>
        </row>
        <row r="5086">
          <cell r="E5086" t="str">
            <v>0020030040SHYT0010</v>
          </cell>
          <cell r="H5086" t="str">
            <v>滨州益康医药连锁有限公司邹平县魏纺路店</v>
          </cell>
          <cell r="J5086" t="str">
            <v>1859</v>
          </cell>
          <cell r="K5086" t="str">
            <v>201602151421097</v>
          </cell>
          <cell r="M5086" t="str">
            <v>布洛芬颗粒/小安瑞克0.2g*12袋</v>
          </cell>
        </row>
        <row r="5087">
          <cell r="E5087" t="str">
            <v>0020070000ZYLC0001</v>
          </cell>
          <cell r="H5087" t="str">
            <v>滨州益康医药连锁有限公司邹平县长山店</v>
          </cell>
          <cell r="J5087" t="str">
            <v>1859</v>
          </cell>
          <cell r="K5087" t="str">
            <v>201602151421097</v>
          </cell>
          <cell r="M5087" t="str">
            <v>新盖中盖高钙片(成人)/盖中盖2.5g*36片</v>
          </cell>
        </row>
        <row r="5088">
          <cell r="E5088" t="str">
            <v>0020040001SHYT0026</v>
          </cell>
          <cell r="H5088" t="str">
            <v>西董街道办朱家中心卫生室</v>
          </cell>
          <cell r="J5088" t="str">
            <v>1859</v>
          </cell>
          <cell r="K5088" t="str">
            <v>201602151421097</v>
          </cell>
          <cell r="M5088" t="str">
            <v>小活络丸3g*10丸</v>
          </cell>
        </row>
        <row r="5089">
          <cell r="E5089" t="str">
            <v>0020020020SJMS0006</v>
          </cell>
          <cell r="H5089" t="str">
            <v>滨州益康医药连锁有限公司邹平县礼参店</v>
          </cell>
          <cell r="J5089" t="str">
            <v>1859</v>
          </cell>
          <cell r="K5089" t="str">
            <v>201602151421097</v>
          </cell>
          <cell r="M5089" t="str">
            <v>尼莫地平片20mg*50片</v>
          </cell>
        </row>
        <row r="5090">
          <cell r="E5090" t="str">
            <v>0020020021ZYLC0004</v>
          </cell>
          <cell r="H5090" t="str">
            <v>滨州益康医药连锁有限公司黛溪四路店</v>
          </cell>
          <cell r="J5090" t="str">
            <v>1859</v>
          </cell>
          <cell r="K5090" t="str">
            <v>201602151421097</v>
          </cell>
          <cell r="M5090" t="str">
            <v>罗红霉素分散片/大严迪75mg*12片</v>
          </cell>
        </row>
        <row r="5091">
          <cell r="E5091" t="str">
            <v>0020070000ZYLC0001</v>
          </cell>
          <cell r="H5091" t="str">
            <v>滨州益康医药连锁有限公司邹平县亲民药店</v>
          </cell>
          <cell r="J5091" t="str">
            <v>1859</v>
          </cell>
          <cell r="K5091" t="str">
            <v>201602151421097</v>
          </cell>
          <cell r="M5091" t="str">
            <v>新盖中盖高钙片(成人)/盖中盖2.5g*36片</v>
          </cell>
        </row>
        <row r="5092">
          <cell r="E5092" t="str">
            <v>0020030020SJSC0025</v>
          </cell>
          <cell r="H5092" t="str">
            <v>韩店镇旧口中心卫生室</v>
          </cell>
          <cell r="J5092" t="str">
            <v>1859</v>
          </cell>
          <cell r="K5092" t="str">
            <v>201602151421097</v>
          </cell>
          <cell r="M5092" t="str">
            <v>复方氨酚烷胺片12片</v>
          </cell>
        </row>
        <row r="5093">
          <cell r="E5093" t="str">
            <v>0020030040SHYT0010</v>
          </cell>
          <cell r="H5093" t="str">
            <v>滨州益康医药连锁有限公司邹平县第五药店</v>
          </cell>
          <cell r="J5093" t="str">
            <v>1859</v>
          </cell>
          <cell r="K5093" t="str">
            <v>201602151421097</v>
          </cell>
          <cell r="M5093" t="str">
            <v>布洛芬颗粒/小安瑞克0.2g*12袋</v>
          </cell>
        </row>
        <row r="5094">
          <cell r="E5094" t="str">
            <v>0020030170ZYEC0003</v>
          </cell>
          <cell r="H5094" t="str">
            <v>滨州益康医药连锁有限公司邹平县第五药店</v>
          </cell>
          <cell r="J5094" t="str">
            <v>1859</v>
          </cell>
          <cell r="K5094" t="str">
            <v>201602151421097</v>
          </cell>
          <cell r="M5094" t="str">
            <v>蒙脱石散3g*12袋</v>
          </cell>
        </row>
        <row r="5095">
          <cell r="E5095" t="str">
            <v>0020070000ZYLC0052</v>
          </cell>
          <cell r="H5095" t="str">
            <v>邹平马惠霞中西医结合诊所</v>
          </cell>
          <cell r="J5095" t="str">
            <v>1859</v>
          </cell>
          <cell r="K5095" t="str">
            <v>201602151421097</v>
          </cell>
          <cell r="M5095" t="str">
            <v>哈药六牌钙加锌口服液10ml*12支</v>
          </cell>
        </row>
        <row r="5096">
          <cell r="E5096" t="str">
            <v>0020020030ZYZC0508</v>
          </cell>
          <cell r="H5096" t="str">
            <v>滨州益康医药连锁有限公司邹平县黄山一路店</v>
          </cell>
          <cell r="J5096" t="str">
            <v>1859</v>
          </cell>
          <cell r="K5096" t="str">
            <v>201602151421097</v>
          </cell>
          <cell r="M5096" t="str">
            <v>阿莫西林胶囊/益萨林0.25g*20粒</v>
          </cell>
        </row>
        <row r="5097">
          <cell r="E5097" t="str">
            <v>0020050020ZYEC0008</v>
          </cell>
          <cell r="H5097" t="str">
            <v>滨州益康医药连锁有限公司邹平县魏桥惠民店</v>
          </cell>
          <cell r="J5097" t="str">
            <v>1859</v>
          </cell>
          <cell r="K5097" t="str">
            <v>201602151421097</v>
          </cell>
          <cell r="M5097" t="str">
            <v>感冒解毒灵颗粒5g*10袋</v>
          </cell>
        </row>
        <row r="5098">
          <cell r="E5098" t="str">
            <v>0020020020ZYZC0473</v>
          </cell>
          <cell r="H5098" t="str">
            <v>滨州益康医药连锁有限公司邹平县第三药店</v>
          </cell>
          <cell r="J5098" t="str">
            <v>1859</v>
          </cell>
          <cell r="K5098" t="str">
            <v>201602151421097</v>
          </cell>
          <cell r="M5098" t="str">
            <v>盐酸环丙沙星片0.25g*12片</v>
          </cell>
        </row>
        <row r="5099">
          <cell r="E5099" t="str">
            <v>0020020020ZYZC0473</v>
          </cell>
          <cell r="H5099" t="str">
            <v>滨州益康医药连锁有限公司邹平县黛溪一路店</v>
          </cell>
          <cell r="J5099" t="str">
            <v>1859</v>
          </cell>
          <cell r="K5099" t="str">
            <v>201602151421097</v>
          </cell>
          <cell r="M5099" t="str">
            <v>盐酸环丙沙星片0.25g*12片</v>
          </cell>
        </row>
        <row r="5100">
          <cell r="E5100" t="str">
            <v>0020050090ZYEC0005</v>
          </cell>
          <cell r="H5100" t="str">
            <v>滨州益康医药连锁有限公司邹平县魏桥惠民店</v>
          </cell>
          <cell r="J5100" t="str">
            <v>1859</v>
          </cell>
          <cell r="K5100" t="str">
            <v>201602151421097</v>
          </cell>
          <cell r="M5100" t="str">
            <v>清热解毒口服液10ml*10支</v>
          </cell>
        </row>
        <row r="5101">
          <cell r="E5101" t="str">
            <v>0020070001ZYZC0383</v>
          </cell>
          <cell r="H5101" t="str">
            <v>黛溪办三八街中心卫生室</v>
          </cell>
          <cell r="J5101" t="str">
            <v>1859</v>
          </cell>
          <cell r="K5101" t="str">
            <v>201602151421097</v>
          </cell>
          <cell r="M5101" t="str">
            <v>哈药牌钙铁锌口服液10ml*10支</v>
          </cell>
        </row>
        <row r="5102">
          <cell r="E5102" t="str">
            <v>0020050001SHYT0017</v>
          </cell>
          <cell r="H5102" t="str">
            <v>滨州益康医药连锁有限公司邹平县魏纺路店</v>
          </cell>
          <cell r="J5102" t="str">
            <v>1859</v>
          </cell>
          <cell r="K5102" t="str">
            <v>201602151421097</v>
          </cell>
          <cell r="M5102" t="str">
            <v>附子理中丸9g*10丸</v>
          </cell>
        </row>
        <row r="5103">
          <cell r="E5103" t="str">
            <v>0020020020ZYZC0473</v>
          </cell>
          <cell r="H5103" t="str">
            <v>滨州益康医药连锁有限公司邹平县黄山二路店</v>
          </cell>
          <cell r="J5103" t="str">
            <v>1859</v>
          </cell>
          <cell r="K5103" t="str">
            <v>201602151421097</v>
          </cell>
          <cell r="M5103" t="str">
            <v>盐酸环丙沙星片0.25g*12片</v>
          </cell>
        </row>
        <row r="5104">
          <cell r="E5104" t="str">
            <v>0020050020SHYT0016</v>
          </cell>
          <cell r="H5104" t="str">
            <v>滨州益康医药连锁有限公司邹平县魏纺路店</v>
          </cell>
          <cell r="J5104" t="str">
            <v>1859</v>
          </cell>
          <cell r="K5104" t="str">
            <v>201602151421097</v>
          </cell>
          <cell r="M5104" t="str">
            <v>复方金银花颗粒10g*10袋</v>
          </cell>
        </row>
        <row r="5105">
          <cell r="E5105" t="str">
            <v>0020050090SJZY0001</v>
          </cell>
          <cell r="H5105" t="str">
            <v>滨州益康医药连锁有限公司邹平县礼参店</v>
          </cell>
          <cell r="J5105" t="str">
            <v>1859</v>
          </cell>
          <cell r="K5105" t="str">
            <v>201602151421097</v>
          </cell>
          <cell r="M5105" t="str">
            <v>双黄连口服液10ml*10z</v>
          </cell>
        </row>
        <row r="5106">
          <cell r="E5106" t="str">
            <v>0020030001SJZY0006</v>
          </cell>
          <cell r="H5106" t="str">
            <v>邹平李杰章诊所</v>
          </cell>
          <cell r="J5106" t="str">
            <v>1859</v>
          </cell>
          <cell r="K5106" t="str">
            <v>201602151421097</v>
          </cell>
          <cell r="M5106" t="str">
            <v>葡萄糖酸钙口服溶液10ml*12支</v>
          </cell>
        </row>
        <row r="5107">
          <cell r="E5107" t="str">
            <v>0020030170ZYEC0003</v>
          </cell>
          <cell r="H5107" t="str">
            <v>滨州益康医药连锁有限公司邹平县第一药店</v>
          </cell>
          <cell r="J5107" t="str">
            <v>1859</v>
          </cell>
          <cell r="K5107" t="str">
            <v>201602151421097</v>
          </cell>
          <cell r="M5107" t="str">
            <v>蒙脱石散3g*12袋</v>
          </cell>
        </row>
        <row r="5108">
          <cell r="E5108" t="str">
            <v>0020050090SJZY0001</v>
          </cell>
          <cell r="H5108" t="str">
            <v>滨州益康医药连锁有限公司邹平县第七药店</v>
          </cell>
          <cell r="J5108" t="str">
            <v>1859</v>
          </cell>
          <cell r="K5108" t="str">
            <v>201602151421097</v>
          </cell>
          <cell r="M5108" t="str">
            <v>双黄连口服液10ml*10z</v>
          </cell>
        </row>
        <row r="5109">
          <cell r="E5109" t="str">
            <v>0020020021ZYZC0341</v>
          </cell>
          <cell r="H5109" t="str">
            <v>滨州益康医药连锁有限公司邹平县魏桥惠民店</v>
          </cell>
          <cell r="J5109" t="str">
            <v>1859</v>
          </cell>
          <cell r="K5109" t="str">
            <v>201602151421097</v>
          </cell>
          <cell r="M5109" t="str">
            <v>阿莫西林克拉维酸钾分散片/胜艾0.2285g*12片</v>
          </cell>
        </row>
        <row r="5110">
          <cell r="E5110" t="str">
            <v>0020050090SJZY0001</v>
          </cell>
          <cell r="H5110" t="str">
            <v>滨州益康医药连锁有限公司邹平县中心店</v>
          </cell>
          <cell r="J5110" t="str">
            <v>1859</v>
          </cell>
          <cell r="K5110" t="str">
            <v>201602151421097</v>
          </cell>
          <cell r="M5110" t="str">
            <v>双黄连口服液10ml*10z</v>
          </cell>
        </row>
        <row r="5111">
          <cell r="E5111" t="str">
            <v>0020030040ZYLC0001</v>
          </cell>
          <cell r="H5111" t="str">
            <v>滨州益康医药连锁有限公司邹平县中心店</v>
          </cell>
          <cell r="J5111" t="str">
            <v>1859</v>
          </cell>
          <cell r="K5111" t="str">
            <v>201602151421097</v>
          </cell>
          <cell r="M5111" t="str">
            <v>小儿氨酚黄那敏颗粒/护彤2g*12袋</v>
          </cell>
        </row>
        <row r="5112">
          <cell r="E5112" t="str">
            <v>0020050090SJZY0001</v>
          </cell>
          <cell r="H5112" t="str">
            <v>滨州益康医药连锁有限公司邹平县第三药店</v>
          </cell>
          <cell r="J5112" t="str">
            <v>1859</v>
          </cell>
          <cell r="K5112" t="str">
            <v>201602151421097</v>
          </cell>
          <cell r="M5112" t="str">
            <v>双黄连口服液10ml*10z</v>
          </cell>
        </row>
        <row r="5113">
          <cell r="E5113" t="str">
            <v>0020020020ZYZC0473</v>
          </cell>
          <cell r="H5113" t="str">
            <v>滨州益康医药连锁有限公司邹平县中心店</v>
          </cell>
          <cell r="J5113" t="str">
            <v>1859</v>
          </cell>
          <cell r="K5113" t="str">
            <v>201602151421097</v>
          </cell>
          <cell r="M5113" t="str">
            <v>盐酸环丙沙星片0.25g*12片</v>
          </cell>
        </row>
        <row r="5114">
          <cell r="E5114" t="str">
            <v>0020070000ZYLC0001</v>
          </cell>
          <cell r="H5114" t="str">
            <v>滨州益康医药连锁有限公司邹平县第三药店</v>
          </cell>
          <cell r="J5114" t="str">
            <v>1859</v>
          </cell>
          <cell r="K5114" t="str">
            <v>201602151421097</v>
          </cell>
          <cell r="M5114" t="str">
            <v>新盖中盖高钙片(成人)/盖中盖2.5g*36片</v>
          </cell>
        </row>
        <row r="5115">
          <cell r="E5115" t="str">
            <v>0020020020SJMS0006</v>
          </cell>
          <cell r="H5115" t="str">
            <v>滨州益康医药连锁有限公司邹平县魏桥惠民店</v>
          </cell>
          <cell r="J5115" t="str">
            <v>1859</v>
          </cell>
          <cell r="K5115" t="str">
            <v>201602151421097</v>
          </cell>
          <cell r="M5115" t="str">
            <v>尼莫地平片20mg*50片</v>
          </cell>
        </row>
        <row r="5116">
          <cell r="E5116" t="str">
            <v>0020020030SJMS0024</v>
          </cell>
          <cell r="H5116" t="str">
            <v>滨州益康医药连锁有限公司邹平县第三药店</v>
          </cell>
          <cell r="J5116" t="str">
            <v>1859</v>
          </cell>
          <cell r="K5116" t="str">
            <v>201602151421097</v>
          </cell>
          <cell r="M5116" t="str">
            <v>人工牛黄甲硝唑胶囊20粒</v>
          </cell>
        </row>
        <row r="5117">
          <cell r="E5117" t="str">
            <v>0020040001SHYT0026</v>
          </cell>
          <cell r="H5117" t="str">
            <v>滨州益康医药连锁有限公司邹平县长山店</v>
          </cell>
          <cell r="J5117" t="str">
            <v>1859</v>
          </cell>
          <cell r="K5117" t="str">
            <v>201602151421097</v>
          </cell>
          <cell r="M5117" t="str">
            <v>小活络丸3g*10丸</v>
          </cell>
        </row>
        <row r="5118">
          <cell r="E5118" t="str">
            <v>0020050020ZYEC0008</v>
          </cell>
          <cell r="H5118" t="str">
            <v>滨州益康医药连锁有限公司邹平月河店</v>
          </cell>
          <cell r="J5118" t="str">
            <v>1859</v>
          </cell>
          <cell r="K5118" t="str">
            <v>201602151421097</v>
          </cell>
          <cell r="M5118" t="str">
            <v>感冒解毒灵颗粒5g*10袋</v>
          </cell>
        </row>
        <row r="5119">
          <cell r="E5119" t="str">
            <v>0020040020SHYT0007</v>
          </cell>
          <cell r="H5119" t="str">
            <v>滨州益康医药连锁有限公司邹平县第八药店</v>
          </cell>
          <cell r="J5119" t="str">
            <v>1859</v>
          </cell>
          <cell r="K5119" t="str">
            <v>201602151421097</v>
          </cell>
          <cell r="M5119" t="str">
            <v>丹佛胃尔康颗粒10g*6袋</v>
          </cell>
        </row>
        <row r="5120">
          <cell r="E5120" t="str">
            <v>0020030020SJSC0025</v>
          </cell>
          <cell r="H5120" t="str">
            <v>滨州益康医药连锁有限公司邹平县第五药店</v>
          </cell>
          <cell r="J5120" t="str">
            <v>1859</v>
          </cell>
          <cell r="K5120" t="str">
            <v>201602151421097</v>
          </cell>
          <cell r="M5120" t="str">
            <v>复方氨酚烷胺片12片</v>
          </cell>
        </row>
        <row r="5121">
          <cell r="E5121" t="str">
            <v>0020030001SJZY0006</v>
          </cell>
          <cell r="H5121" t="str">
            <v>滨州益康医药连锁有限公司孙镇店</v>
          </cell>
          <cell r="J5121" t="str">
            <v>1859</v>
          </cell>
          <cell r="K5121" t="str">
            <v>201602151421097</v>
          </cell>
          <cell r="M5121" t="str">
            <v>葡萄糖酸钙口服溶液10ml*12支</v>
          </cell>
        </row>
        <row r="5122">
          <cell r="E5122" t="str">
            <v>0020030001SJZY0006</v>
          </cell>
          <cell r="H5122" t="str">
            <v>滨州益康医药连锁有限公司邹平县明珠店</v>
          </cell>
          <cell r="J5122" t="str">
            <v>1859</v>
          </cell>
          <cell r="K5122" t="str">
            <v>201602151421097</v>
          </cell>
          <cell r="M5122" t="str">
            <v>葡萄糖酸钙口服溶液10ml*12支</v>
          </cell>
        </row>
        <row r="5123">
          <cell r="E5123" t="str">
            <v>0020020021ZYLC0004</v>
          </cell>
          <cell r="H5123" t="str">
            <v>滨州益康医药连锁有限公司邹平县明珠店</v>
          </cell>
          <cell r="J5123" t="str">
            <v>1859</v>
          </cell>
          <cell r="K5123" t="str">
            <v>201602151421097</v>
          </cell>
          <cell r="M5123" t="str">
            <v>罗红霉素分散片/大严迪75mg*12片</v>
          </cell>
        </row>
        <row r="5124">
          <cell r="E5124" t="str">
            <v>0020020030ZYZC0283</v>
          </cell>
          <cell r="H5124" t="str">
            <v>滨州益康医药连锁有限公司邹平县第四药店</v>
          </cell>
          <cell r="J5124" t="str">
            <v>1859</v>
          </cell>
          <cell r="K5124" t="str">
            <v>201602151421097</v>
          </cell>
          <cell r="M5124" t="str">
            <v>头孢拉定胶囊0.25g*24粒</v>
          </cell>
        </row>
        <row r="5125">
          <cell r="E5125" t="str">
            <v>0020020021ZYLC0004</v>
          </cell>
          <cell r="H5125" t="str">
            <v>邹平益康诊所</v>
          </cell>
          <cell r="J5125" t="str">
            <v>1859</v>
          </cell>
          <cell r="K5125" t="str">
            <v>201602151421097</v>
          </cell>
          <cell r="M5125" t="str">
            <v>罗红霉素分散片/大严迪75mg*12片</v>
          </cell>
        </row>
        <row r="5126">
          <cell r="E5126" t="str">
            <v>0020020021ZYZC0341</v>
          </cell>
          <cell r="H5126" t="str">
            <v>滨州益康医药连锁有限公司邹平县第九药店</v>
          </cell>
          <cell r="J5126" t="str">
            <v>1859</v>
          </cell>
          <cell r="K5126" t="str">
            <v>201602151421097</v>
          </cell>
          <cell r="M5126" t="str">
            <v>阿莫西林克拉维酸钾分散片/胜艾0.2285g*12片</v>
          </cell>
        </row>
        <row r="5127">
          <cell r="E5127" t="str">
            <v>0020020020SJMS0006</v>
          </cell>
          <cell r="H5127" t="str">
            <v>滨州益康医药连锁有限公司邹平县长山店</v>
          </cell>
          <cell r="J5127" t="str">
            <v>1859</v>
          </cell>
          <cell r="K5127" t="str">
            <v>201602151421097</v>
          </cell>
          <cell r="M5127" t="str">
            <v>尼莫地平片20mg*50片</v>
          </cell>
        </row>
        <row r="5128">
          <cell r="E5128" t="str">
            <v>0020020020SJMS0006</v>
          </cell>
          <cell r="H5128" t="str">
            <v>高青县黑里寨镇黑三村卫生室</v>
          </cell>
          <cell r="J5128" t="str">
            <v>1859</v>
          </cell>
          <cell r="K5128" t="str">
            <v>201602151421097</v>
          </cell>
          <cell r="M5128" t="str">
            <v>尼莫地平片20mg*50片</v>
          </cell>
        </row>
        <row r="5129">
          <cell r="E5129" t="str">
            <v>0020050020ZYEC0008</v>
          </cell>
          <cell r="H5129" t="str">
            <v>滨州益康医药连锁有限公司邹平县第五药店</v>
          </cell>
          <cell r="J5129" t="str">
            <v>1859</v>
          </cell>
          <cell r="K5129" t="str">
            <v>201602151421097</v>
          </cell>
          <cell r="M5129" t="str">
            <v>感冒解毒灵颗粒5g*10袋</v>
          </cell>
        </row>
        <row r="5130">
          <cell r="E5130" t="str">
            <v>0020030040ZYLC0001</v>
          </cell>
          <cell r="H5130" t="str">
            <v>滨州益康医药连锁有限公司邹平县黄山一路店</v>
          </cell>
          <cell r="J5130" t="str">
            <v>1859</v>
          </cell>
          <cell r="K5130" t="str">
            <v>201602151421097</v>
          </cell>
          <cell r="M5130" t="str">
            <v>小儿氨酚黄那敏颗粒/护彤2g*12袋</v>
          </cell>
        </row>
        <row r="5131">
          <cell r="E5131" t="str">
            <v>0020050090SJZY0001</v>
          </cell>
          <cell r="H5131" t="str">
            <v>滨州益康医药连锁有限公司邹平县黄山店</v>
          </cell>
          <cell r="J5131" t="str">
            <v>1859</v>
          </cell>
          <cell r="K5131" t="str">
            <v>201602151421097</v>
          </cell>
          <cell r="M5131" t="str">
            <v>双黄连口服液10ml*10z</v>
          </cell>
        </row>
        <row r="5132">
          <cell r="E5132" t="str">
            <v>0020020021ZYZC0341</v>
          </cell>
          <cell r="H5132" t="str">
            <v>滨州益康医药连锁有限公司邹平县第四药店</v>
          </cell>
          <cell r="J5132" t="str">
            <v>1859</v>
          </cell>
          <cell r="K5132" t="str">
            <v>201602151421097</v>
          </cell>
          <cell r="M5132" t="str">
            <v>阿莫西林克拉维酸钾分散片/胜艾0.2285g*12片</v>
          </cell>
        </row>
        <row r="5133">
          <cell r="E5133" t="str">
            <v>0020020021ZYZC0341</v>
          </cell>
          <cell r="H5133" t="str">
            <v>滨州益康医药连锁有限公司邹平县第十药店</v>
          </cell>
          <cell r="J5133" t="str">
            <v>1859</v>
          </cell>
          <cell r="K5133" t="str">
            <v>201602151421097</v>
          </cell>
          <cell r="M5133" t="str">
            <v>阿莫西林克拉维酸钾分散片/胜艾0.2285g*12片</v>
          </cell>
        </row>
        <row r="5134">
          <cell r="E5134" t="str">
            <v>0020050090SJZY0001</v>
          </cell>
          <cell r="H5134" t="str">
            <v>滨州益康医药连锁有限公司邹平县亲民药店</v>
          </cell>
          <cell r="J5134" t="str">
            <v>1859</v>
          </cell>
          <cell r="K5134" t="str">
            <v>201602151421097</v>
          </cell>
          <cell r="M5134" t="str">
            <v>双黄连口服液10ml*10z</v>
          </cell>
        </row>
        <row r="5135">
          <cell r="E5135" t="str">
            <v>0020050020SHYT0016</v>
          </cell>
          <cell r="H5135" t="str">
            <v>滨州益康医药连锁有限公司邹平县中心店</v>
          </cell>
          <cell r="J5135" t="str">
            <v>1859</v>
          </cell>
          <cell r="K5135" t="str">
            <v>201602151421097</v>
          </cell>
          <cell r="M5135" t="str">
            <v>复方金银花颗粒10g*10袋</v>
          </cell>
        </row>
        <row r="5136">
          <cell r="E5136" t="str">
            <v>0020050090ZYEC0005</v>
          </cell>
          <cell r="H5136" t="str">
            <v>滨州益康医药连锁有限公司邹平县邹魏二区店</v>
          </cell>
          <cell r="J5136" t="str">
            <v>1859</v>
          </cell>
          <cell r="K5136" t="str">
            <v>201602151421097</v>
          </cell>
          <cell r="M5136" t="str">
            <v>清热解毒口服液10ml*10支</v>
          </cell>
        </row>
        <row r="5137">
          <cell r="E5137" t="str">
            <v>0020030040SHYT0010</v>
          </cell>
          <cell r="H5137" t="str">
            <v>滨州益康医药连锁有限公司邹平县黄山店</v>
          </cell>
          <cell r="J5137" t="str">
            <v>1859</v>
          </cell>
          <cell r="K5137" t="str">
            <v>201602151421097</v>
          </cell>
          <cell r="M5137" t="str">
            <v>布洛芬颗粒/小安瑞克0.2g*12袋</v>
          </cell>
        </row>
        <row r="5138">
          <cell r="E5138" t="str">
            <v>0020020030SJMS0024</v>
          </cell>
          <cell r="H5138" t="str">
            <v>滨州益康医药连锁有限公司邹平县长山店</v>
          </cell>
          <cell r="J5138" t="str">
            <v>1859</v>
          </cell>
          <cell r="K5138" t="str">
            <v>201602151421097</v>
          </cell>
          <cell r="M5138" t="str">
            <v>人工牛黄甲硝唑胶囊20粒</v>
          </cell>
        </row>
        <row r="5139">
          <cell r="E5139" t="str">
            <v>0020020030SJMS0024</v>
          </cell>
          <cell r="H5139" t="str">
            <v>滨州益康医药连锁有限公司邹平县第十药店</v>
          </cell>
          <cell r="J5139" t="str">
            <v>1859</v>
          </cell>
          <cell r="K5139" t="str">
            <v>201602151421097</v>
          </cell>
          <cell r="M5139" t="str">
            <v>人工牛黄甲硝唑胶囊20粒</v>
          </cell>
        </row>
        <row r="5140">
          <cell r="E5140" t="str">
            <v>0020020030SJMS0024</v>
          </cell>
          <cell r="H5140" t="str">
            <v>滨州益康医药连锁有限公司成五店</v>
          </cell>
          <cell r="J5140" t="str">
            <v>1859</v>
          </cell>
          <cell r="K5140" t="str">
            <v>201602151421097</v>
          </cell>
          <cell r="M5140" t="str">
            <v>人工牛黄甲硝唑胶囊20粒</v>
          </cell>
        </row>
        <row r="5141">
          <cell r="E5141" t="str">
            <v>0020070000ZYLC0001</v>
          </cell>
          <cell r="H5141" t="str">
            <v>滨州益康医药连锁有限公司成五店</v>
          </cell>
          <cell r="J5141" t="str">
            <v>1859</v>
          </cell>
          <cell r="K5141" t="str">
            <v>201602151421097</v>
          </cell>
          <cell r="M5141" t="str">
            <v>新盖中盖高钙片(成人)/盖中盖2.5g*36片</v>
          </cell>
        </row>
        <row r="5142">
          <cell r="E5142" t="str">
            <v>0020050090SJZY0001</v>
          </cell>
          <cell r="H5142" t="str">
            <v>滨州益康医药连锁有限公司成五店</v>
          </cell>
          <cell r="J5142" t="str">
            <v>1859</v>
          </cell>
          <cell r="K5142" t="str">
            <v>201602151421097</v>
          </cell>
          <cell r="M5142" t="str">
            <v>双黄连口服液10ml*10z</v>
          </cell>
        </row>
        <row r="5143">
          <cell r="E5143" t="str">
            <v>0020050090SJZY0001</v>
          </cell>
          <cell r="H5143" t="str">
            <v>滨州益康医药连锁有限公司邹平县黛溪一路店</v>
          </cell>
          <cell r="J5143" t="str">
            <v>1859</v>
          </cell>
          <cell r="K5143" t="str">
            <v>201602151421097</v>
          </cell>
          <cell r="M5143" t="str">
            <v>双黄连口服液10ml*10z</v>
          </cell>
        </row>
        <row r="5144">
          <cell r="E5144" t="str">
            <v>0020030040ZYLC0001</v>
          </cell>
          <cell r="H5144" t="str">
            <v>滨州益康医药连锁有限公司邹平县黛溪一路店</v>
          </cell>
          <cell r="J5144" t="str">
            <v>1859</v>
          </cell>
          <cell r="K5144" t="str">
            <v>201602151421097</v>
          </cell>
          <cell r="M5144" t="str">
            <v>小儿氨酚黄那敏颗粒/护彤2g*12袋</v>
          </cell>
        </row>
        <row r="5145">
          <cell r="E5145" t="str">
            <v>0020020020SJMS0006</v>
          </cell>
          <cell r="H5145" t="str">
            <v>明集镇兰芝里中心卫生室</v>
          </cell>
          <cell r="J5145" t="str">
            <v>1859</v>
          </cell>
          <cell r="K5145" t="str">
            <v>201602151421097</v>
          </cell>
          <cell r="M5145" t="str">
            <v>尼莫地平片20mg*50片</v>
          </cell>
        </row>
        <row r="5146">
          <cell r="E5146" t="str">
            <v>0020030020SJSC0004</v>
          </cell>
          <cell r="H5146" t="str">
            <v>邹平县韩店镇杨村中心卫生室</v>
          </cell>
          <cell r="J5146" t="str">
            <v>1859</v>
          </cell>
          <cell r="K5146" t="str">
            <v>201602151421097</v>
          </cell>
          <cell r="M5146" t="str">
            <v>复方铝酸铋片/新胃必治50片</v>
          </cell>
        </row>
        <row r="5147">
          <cell r="E5147" t="str">
            <v>0020050001SHYT0017</v>
          </cell>
          <cell r="H5147" t="str">
            <v>滨州益康医药连锁有限公司邹平第二药店</v>
          </cell>
          <cell r="J5147" t="str">
            <v>1859</v>
          </cell>
          <cell r="K5147" t="str">
            <v>201602151421097</v>
          </cell>
          <cell r="M5147" t="str">
            <v>附子理中丸9g*10丸</v>
          </cell>
        </row>
        <row r="5148">
          <cell r="E5148" t="str">
            <v>0020050090SJZY0001</v>
          </cell>
          <cell r="H5148" t="str">
            <v>滨州益康医药连锁有限公司邹魏一区店</v>
          </cell>
          <cell r="J5148" t="str">
            <v>1859</v>
          </cell>
          <cell r="K5148" t="str">
            <v>201602151421097</v>
          </cell>
          <cell r="M5148" t="str">
            <v>双黄连口服液10ml*10z</v>
          </cell>
        </row>
        <row r="5149">
          <cell r="E5149" t="str">
            <v>0020020030ZYZC0510</v>
          </cell>
          <cell r="H5149" t="str">
            <v>滨州益康医药连锁有限公司邹魏一区店</v>
          </cell>
          <cell r="J5149" t="str">
            <v>1859</v>
          </cell>
          <cell r="K5149" t="str">
            <v>201602151421097</v>
          </cell>
          <cell r="M5149" t="str">
            <v>诺氟沙星胶囊0.1g*20粒</v>
          </cell>
        </row>
        <row r="5150">
          <cell r="E5150" t="str">
            <v>0020050090SJZY0001</v>
          </cell>
          <cell r="H5150" t="str">
            <v>邹平县韩店镇杨村中心卫生室</v>
          </cell>
          <cell r="J5150" t="str">
            <v>1859</v>
          </cell>
          <cell r="K5150" t="str">
            <v>201602151421097</v>
          </cell>
          <cell r="M5150" t="str">
            <v>双黄连口服液10ml*10z</v>
          </cell>
        </row>
        <row r="5151">
          <cell r="E5151" t="str">
            <v>0020070000ZYLC0052</v>
          </cell>
          <cell r="H5151" t="str">
            <v>山东魏桥创业集团第三工业园医务室</v>
          </cell>
          <cell r="J5151" t="str">
            <v>1859</v>
          </cell>
          <cell r="K5151" t="str">
            <v>201602151421097</v>
          </cell>
          <cell r="M5151" t="str">
            <v>哈药六牌钙加锌口服液10ml*12支</v>
          </cell>
        </row>
        <row r="5152">
          <cell r="E5152" t="str">
            <v>0020020021ZYLC0004</v>
          </cell>
          <cell r="H5152" t="str">
            <v>滨州益康医药连锁有限公司成五店</v>
          </cell>
          <cell r="J5152" t="str">
            <v>1859</v>
          </cell>
          <cell r="K5152" t="str">
            <v>201602151421097</v>
          </cell>
          <cell r="M5152" t="str">
            <v>罗红霉素分散片/大严迪75mg*12片</v>
          </cell>
        </row>
        <row r="5153">
          <cell r="E5153" t="str">
            <v>0020020020ZYZC0473</v>
          </cell>
          <cell r="H5153" t="str">
            <v>滨州益康医药连锁有限公司邹平第二药店</v>
          </cell>
          <cell r="J5153" t="str">
            <v>1859</v>
          </cell>
          <cell r="K5153" t="str">
            <v>201602151421097</v>
          </cell>
          <cell r="M5153" t="str">
            <v>盐酸环丙沙星片0.25g*12片</v>
          </cell>
        </row>
        <row r="5154">
          <cell r="E5154" t="str">
            <v>0020020030ZYZC0283</v>
          </cell>
          <cell r="H5154" t="str">
            <v>滨州益康医药连锁有限公司邹平县第三药店</v>
          </cell>
          <cell r="J5154" t="str">
            <v>1859</v>
          </cell>
          <cell r="K5154" t="str">
            <v>201602151421097</v>
          </cell>
          <cell r="M5154" t="str">
            <v>头孢拉定胶囊0.25g*24粒</v>
          </cell>
        </row>
        <row r="5155">
          <cell r="E5155" t="str">
            <v>0020050030SJSC0011</v>
          </cell>
          <cell r="H5155" t="str">
            <v>滨州益康医药连锁有限公司邹魏一区店</v>
          </cell>
          <cell r="J5155" t="str">
            <v>1859</v>
          </cell>
          <cell r="K5155" t="str">
            <v>201602151421097</v>
          </cell>
          <cell r="M5155" t="str">
            <v>壮肾安神片45片</v>
          </cell>
        </row>
        <row r="5156">
          <cell r="E5156" t="str">
            <v>0020030001SJZY0006</v>
          </cell>
          <cell r="H5156" t="str">
            <v>黄山办大李村孙玉宝卫生室</v>
          </cell>
          <cell r="J5156" t="str">
            <v>1859</v>
          </cell>
          <cell r="K5156" t="str">
            <v>201602151421097</v>
          </cell>
          <cell r="M5156" t="str">
            <v>葡萄糖酸钙口服溶液10ml*12支</v>
          </cell>
        </row>
        <row r="5157">
          <cell r="E5157" t="str">
            <v>0020020020SJMS0006</v>
          </cell>
          <cell r="H5157" t="str">
            <v>长山镇张旺中心卫生室</v>
          </cell>
          <cell r="J5157" t="str">
            <v>1859</v>
          </cell>
          <cell r="K5157" t="str">
            <v>201602151421097</v>
          </cell>
          <cell r="M5157" t="str">
            <v>尼莫地平片20mg*50片</v>
          </cell>
        </row>
        <row r="5158">
          <cell r="E5158" t="str">
            <v>0020070000ZYLC0051</v>
          </cell>
          <cell r="H5158" t="str">
            <v>滨州益康医药连锁有限公司邹平县西王店</v>
          </cell>
          <cell r="J5158" t="str">
            <v>1859</v>
          </cell>
          <cell r="K5158" t="str">
            <v>201602151421097</v>
          </cell>
          <cell r="M5158" t="str">
            <v>朴血乳酸亚铁口服液10ml*12支</v>
          </cell>
        </row>
        <row r="5159">
          <cell r="E5159" t="str">
            <v>0020050020ZYEC0008</v>
          </cell>
          <cell r="H5159" t="str">
            <v>滨州益康医药连锁有限公司邹平县黄山二路店</v>
          </cell>
          <cell r="J5159" t="str">
            <v>1859</v>
          </cell>
          <cell r="K5159" t="str">
            <v>201602151421097</v>
          </cell>
          <cell r="M5159" t="str">
            <v>感冒解毒灵颗粒5g*10袋</v>
          </cell>
        </row>
        <row r="5160">
          <cell r="E5160" t="str">
            <v>0020050020ZYEC0008</v>
          </cell>
          <cell r="H5160" t="str">
            <v>滨州益康医药连锁有限公司邹平县第十二店</v>
          </cell>
          <cell r="J5160" t="str">
            <v>1859</v>
          </cell>
          <cell r="K5160" t="str">
            <v>201602151421097</v>
          </cell>
          <cell r="M5160" t="str">
            <v>感冒解毒灵颗粒5g*10袋</v>
          </cell>
        </row>
        <row r="5161">
          <cell r="E5161" t="str">
            <v>0020070001ZYZC0383</v>
          </cell>
          <cell r="H5161" t="str">
            <v>滨州益康医药连锁有限公司便民店</v>
          </cell>
          <cell r="J5161" t="str">
            <v>1859</v>
          </cell>
          <cell r="K5161" t="str">
            <v>201602151421097</v>
          </cell>
          <cell r="M5161" t="str">
            <v>哈药牌钙铁锌口服液10ml*10支</v>
          </cell>
        </row>
        <row r="5162">
          <cell r="E5162" t="str">
            <v>0020050090ZYEC0005</v>
          </cell>
          <cell r="H5162" t="str">
            <v>滨州益康医药连锁有限公司邹平县黄山二路店</v>
          </cell>
          <cell r="J5162" t="str">
            <v>1859</v>
          </cell>
          <cell r="K5162" t="str">
            <v>201602151421097</v>
          </cell>
          <cell r="M5162" t="str">
            <v>清热解毒口服液10ml*10支</v>
          </cell>
        </row>
        <row r="5163">
          <cell r="E5163" t="str">
            <v>0020050090ZYEC0005</v>
          </cell>
          <cell r="H5163" t="str">
            <v>滨州益康医药连锁有限公司邹平县第八药店</v>
          </cell>
          <cell r="J5163" t="str">
            <v>1859</v>
          </cell>
          <cell r="K5163" t="str">
            <v>201602151421097</v>
          </cell>
          <cell r="M5163" t="str">
            <v>清热解毒口服液10ml*10支</v>
          </cell>
        </row>
        <row r="5164">
          <cell r="E5164" t="str">
            <v>0020030040SHYT0010</v>
          </cell>
          <cell r="H5164" t="str">
            <v>滨州益康医药连锁有限公司邹平县第十二店</v>
          </cell>
          <cell r="J5164" t="str">
            <v>1859</v>
          </cell>
          <cell r="K5164" t="str">
            <v>201602151421097</v>
          </cell>
          <cell r="M5164" t="str">
            <v>布洛芬颗粒/小安瑞克0.2g*12袋</v>
          </cell>
        </row>
        <row r="5165">
          <cell r="E5165" t="str">
            <v>0020050090SJZY0001</v>
          </cell>
          <cell r="H5165" t="str">
            <v>滨州益康医药连锁有限公司邹平县第六药店</v>
          </cell>
          <cell r="J5165" t="str">
            <v>1859</v>
          </cell>
          <cell r="K5165" t="str">
            <v>201602151421097</v>
          </cell>
          <cell r="M5165" t="str">
            <v>双黄连口服液10ml*10z</v>
          </cell>
        </row>
        <row r="5166">
          <cell r="E5166" t="str">
            <v>0020030040ZYLC0001</v>
          </cell>
          <cell r="H5166" t="str">
            <v>滨州益康医药连锁有限公司便民店</v>
          </cell>
          <cell r="J5166" t="str">
            <v>1859</v>
          </cell>
          <cell r="K5166" t="str">
            <v>201602151421097</v>
          </cell>
          <cell r="M5166" t="str">
            <v>小儿氨酚黄那敏颗粒/护彤2g*12袋</v>
          </cell>
        </row>
        <row r="5167">
          <cell r="E5167" t="str">
            <v>0020020030ZYZC0283</v>
          </cell>
          <cell r="H5167" t="str">
            <v>滨州益康医药连锁有限公司邹平县第九药店</v>
          </cell>
          <cell r="J5167" t="str">
            <v>1859</v>
          </cell>
          <cell r="K5167" t="str">
            <v>201602151421097</v>
          </cell>
          <cell r="M5167" t="str">
            <v>头孢拉定胶囊0.25g*24粒</v>
          </cell>
        </row>
        <row r="5168">
          <cell r="E5168" t="str">
            <v>0020040020SHYT0007</v>
          </cell>
          <cell r="H5168" t="str">
            <v>滨州益康医药连锁有限公司邹平县第十药店</v>
          </cell>
          <cell r="J5168" t="str">
            <v>1859</v>
          </cell>
          <cell r="K5168" t="str">
            <v>201602151421097</v>
          </cell>
          <cell r="M5168" t="str">
            <v>丹佛胃尔康颗粒10g*6袋</v>
          </cell>
        </row>
        <row r="5169">
          <cell r="E5169" t="str">
            <v>0020020021ZYLC0005</v>
          </cell>
          <cell r="H5169" t="str">
            <v>滨州益康医药连锁有限公司邹平县黄山三路店</v>
          </cell>
          <cell r="J5169" t="str">
            <v>1859</v>
          </cell>
          <cell r="K5169" t="str">
            <v>201602151421097</v>
          </cell>
          <cell r="M5169" t="str">
            <v>罗红霉素分散片/小严迪50mg*12片</v>
          </cell>
        </row>
        <row r="5170">
          <cell r="E5170" t="str">
            <v>0020020021ZYLC0004</v>
          </cell>
          <cell r="H5170" t="str">
            <v>滨州益康医药连锁有限公司邹平县黄山三路店</v>
          </cell>
          <cell r="J5170" t="str">
            <v>1859</v>
          </cell>
          <cell r="K5170" t="str">
            <v>201602151421097</v>
          </cell>
          <cell r="M5170" t="str">
            <v>罗红霉素分散片/大严迪75mg*12片</v>
          </cell>
        </row>
        <row r="5171">
          <cell r="E5171" t="str">
            <v>0020050090SJZY0001</v>
          </cell>
          <cell r="H5171" t="str">
            <v>滨州益康医药连锁有限公司邹平县第一药店</v>
          </cell>
          <cell r="J5171" t="str">
            <v>1859</v>
          </cell>
          <cell r="K5171" t="str">
            <v>201602151421097</v>
          </cell>
          <cell r="M5171" t="str">
            <v>双黄连口服液10ml*10z</v>
          </cell>
        </row>
        <row r="5172">
          <cell r="E5172" t="str">
            <v>0020030020SJSC0025</v>
          </cell>
          <cell r="H5172" t="str">
            <v>魏桥镇康庄中心卫生室</v>
          </cell>
          <cell r="J5172" t="str">
            <v>1859</v>
          </cell>
          <cell r="K5172" t="str">
            <v>201602151421097</v>
          </cell>
          <cell r="M5172" t="str">
            <v>复方氨酚烷胺片12片</v>
          </cell>
        </row>
        <row r="5173">
          <cell r="E5173" t="str">
            <v>0020050020SHYT0016</v>
          </cell>
          <cell r="H5173" t="str">
            <v>滨州益康医药连锁有限公司邹平县第九药店</v>
          </cell>
          <cell r="J5173" t="str">
            <v>1859</v>
          </cell>
          <cell r="K5173" t="str">
            <v>201602151421097</v>
          </cell>
          <cell r="M5173" t="str">
            <v>复方金银花颗粒10g*10袋</v>
          </cell>
        </row>
        <row r="5174">
          <cell r="E5174" t="str">
            <v>0020030040SHYT0010</v>
          </cell>
          <cell r="H5174" t="str">
            <v>滨州益康医药连锁有限公司邹平县南范店</v>
          </cell>
          <cell r="J5174" t="str">
            <v>1859</v>
          </cell>
          <cell r="K5174" t="str">
            <v>201602151421097</v>
          </cell>
          <cell r="M5174" t="str">
            <v>布洛芬颗粒/小安瑞克0.2g*12袋</v>
          </cell>
        </row>
        <row r="5175">
          <cell r="E5175" t="str">
            <v>0020050090ZYEC0005</v>
          </cell>
          <cell r="H5175" t="str">
            <v>滨州益康医药连锁有限公司邹平县第十药店</v>
          </cell>
          <cell r="J5175" t="str">
            <v>1859</v>
          </cell>
          <cell r="K5175" t="str">
            <v>201602151421097</v>
          </cell>
          <cell r="M5175" t="str">
            <v>清热解毒口服液10ml*10支</v>
          </cell>
        </row>
        <row r="5176">
          <cell r="E5176" t="str">
            <v>0020030020SJSC0004</v>
          </cell>
          <cell r="H5176" t="str">
            <v>滨州益康医药连锁有限公司邹平县第九药店</v>
          </cell>
          <cell r="J5176" t="str">
            <v>1859</v>
          </cell>
          <cell r="K5176" t="str">
            <v>201602151421097</v>
          </cell>
          <cell r="M5176" t="str">
            <v>复方铝酸铋片/新胃必治50片</v>
          </cell>
        </row>
        <row r="5177">
          <cell r="E5177" t="str">
            <v>0020070000ZYLC0052</v>
          </cell>
          <cell r="H5177" t="str">
            <v>滨州益康医药连锁有限公司邹平县第一药店</v>
          </cell>
          <cell r="J5177" t="str">
            <v>1859</v>
          </cell>
          <cell r="K5177" t="str">
            <v>201602151421097</v>
          </cell>
          <cell r="M5177" t="str">
            <v>哈药六牌钙加锌口服液10ml*12支</v>
          </cell>
        </row>
        <row r="5178">
          <cell r="E5178" t="str">
            <v>0020070000ZYLC0052</v>
          </cell>
          <cell r="H5178" t="str">
            <v>滨州益康医药连锁有限公司邹平县邹魏二区店</v>
          </cell>
          <cell r="J5178" t="str">
            <v>1859</v>
          </cell>
          <cell r="K5178" t="str">
            <v>201602151421097</v>
          </cell>
          <cell r="M5178" t="str">
            <v>哈药六牌钙加锌口服液10ml*12支</v>
          </cell>
        </row>
        <row r="5179">
          <cell r="E5179" t="str">
            <v>0020050090SJZY0001</v>
          </cell>
          <cell r="H5179" t="str">
            <v>滨州益康医药连锁有限公司邹平月河店</v>
          </cell>
          <cell r="J5179" t="str">
            <v>1859</v>
          </cell>
          <cell r="K5179" t="str">
            <v>201602151421097</v>
          </cell>
          <cell r="M5179" t="str">
            <v>双黄连口服液10ml*10z</v>
          </cell>
        </row>
        <row r="5180">
          <cell r="E5180" t="str">
            <v>0020020021ZYLC0005</v>
          </cell>
          <cell r="H5180" t="str">
            <v>滨州益康医药连锁有限公司邹平县魏纺路店</v>
          </cell>
          <cell r="J5180" t="str">
            <v>1859</v>
          </cell>
          <cell r="K5180" t="str">
            <v>201602151421097</v>
          </cell>
          <cell r="M5180" t="str">
            <v>罗红霉素分散片/小严迪50mg*12片</v>
          </cell>
        </row>
        <row r="5181">
          <cell r="E5181" t="str">
            <v>0020020020ZYZC0473</v>
          </cell>
          <cell r="H5181" t="str">
            <v>滨州益康医药连锁有限公司邹平县第八药店</v>
          </cell>
          <cell r="J5181" t="str">
            <v>1859</v>
          </cell>
          <cell r="K5181" t="str">
            <v>201602151421097</v>
          </cell>
          <cell r="M5181" t="str">
            <v>盐酸环丙沙星片0.25g*12片</v>
          </cell>
        </row>
        <row r="5182">
          <cell r="E5182" t="str">
            <v>0020040020SHYT0007</v>
          </cell>
          <cell r="H5182" t="str">
            <v>滨州益康医药连锁有限公司邹平县黄山二路店</v>
          </cell>
          <cell r="J5182" t="str">
            <v>1859</v>
          </cell>
          <cell r="K5182" t="str">
            <v>201602151421097</v>
          </cell>
          <cell r="M5182" t="str">
            <v>丹佛胃尔康颗粒10g*6袋</v>
          </cell>
        </row>
        <row r="5183">
          <cell r="E5183" t="str">
            <v>0020020013ZYZC0491</v>
          </cell>
          <cell r="H5183" t="str">
            <v>码头镇三合中心卫生室</v>
          </cell>
          <cell r="J5183" t="str">
            <v>1859</v>
          </cell>
          <cell r="K5183" t="str">
            <v>201602151421097</v>
          </cell>
          <cell r="M5183" t="str">
            <v>注射用乳糖酸阿奇霉素0.25g</v>
          </cell>
        </row>
        <row r="5184">
          <cell r="E5184" t="str">
            <v>0020050090SJZY0001</v>
          </cell>
          <cell r="H5184" t="str">
            <v>滨州益康医药连锁有限公司黛溪四路店</v>
          </cell>
          <cell r="J5184" t="str">
            <v>1859</v>
          </cell>
          <cell r="K5184" t="str">
            <v>201602151421097</v>
          </cell>
          <cell r="M5184" t="str">
            <v>双黄连口服液10ml*10z</v>
          </cell>
        </row>
        <row r="5185">
          <cell r="E5185" t="str">
            <v>0020020030ZYZC0510</v>
          </cell>
          <cell r="H5185" t="str">
            <v>滨州益康医药连锁有限公司邹平县中心店</v>
          </cell>
          <cell r="J5185" t="str">
            <v>1859</v>
          </cell>
          <cell r="K5185" t="str">
            <v>201602151421097</v>
          </cell>
          <cell r="M5185" t="str">
            <v>诺氟沙星胶囊0.1g*20粒</v>
          </cell>
        </row>
        <row r="5186">
          <cell r="E5186" t="str">
            <v>0020030170ZYEC0003</v>
          </cell>
          <cell r="H5186" t="str">
            <v>黛溪办三八街中心卫生室</v>
          </cell>
          <cell r="J5186" t="str">
            <v>1859</v>
          </cell>
          <cell r="K5186" t="str">
            <v>201602151421097</v>
          </cell>
          <cell r="M5186" t="str">
            <v>蒙脱石散3g*12袋</v>
          </cell>
        </row>
        <row r="5187">
          <cell r="E5187" t="str">
            <v>0020020020SJMS0006</v>
          </cell>
          <cell r="H5187" t="str">
            <v>滨州益康医药连锁有限公司邹平县黄山一路店</v>
          </cell>
          <cell r="J5187" t="str">
            <v>1859</v>
          </cell>
          <cell r="K5187" t="str">
            <v>201602151421097</v>
          </cell>
          <cell r="M5187" t="str">
            <v>尼莫地平片20mg*50片</v>
          </cell>
        </row>
        <row r="5188">
          <cell r="E5188" t="str">
            <v>0020020013ZYZC0491</v>
          </cell>
          <cell r="H5188" t="str">
            <v>明集镇南宋中心卫生室</v>
          </cell>
          <cell r="J5188" t="str">
            <v>1859</v>
          </cell>
          <cell r="K5188" t="str">
            <v>201602151421097</v>
          </cell>
          <cell r="M5188" t="str">
            <v>注射用乳糖酸阿奇霉素0.25g</v>
          </cell>
        </row>
        <row r="5189">
          <cell r="E5189" t="str">
            <v>0020020013ZYZC0491</v>
          </cell>
          <cell r="H5189" t="str">
            <v>明集镇段桥中心卫生室</v>
          </cell>
          <cell r="J5189" t="str">
            <v>1859</v>
          </cell>
          <cell r="K5189" t="str">
            <v>201602151421097</v>
          </cell>
          <cell r="M5189" t="str">
            <v>注射用乳糖酸阿奇霉素0.25g</v>
          </cell>
        </row>
        <row r="5190">
          <cell r="E5190" t="str">
            <v>0020030020ZYLC0006</v>
          </cell>
          <cell r="H5190" t="str">
            <v>滨州益康医药连锁有限公司邹平县亲民药店</v>
          </cell>
          <cell r="J5190" t="str">
            <v>1859</v>
          </cell>
          <cell r="K5190" t="str">
            <v>201602151421097</v>
          </cell>
          <cell r="M5190" t="str">
            <v>复方氨酚烷胺片12片</v>
          </cell>
        </row>
        <row r="5191">
          <cell r="E5191" t="str">
            <v>0020070000ZYLC0052</v>
          </cell>
          <cell r="H5191" t="str">
            <v>滨州益康医药连锁有限公司邹平县魏桥益民店</v>
          </cell>
          <cell r="J5191" t="str">
            <v>1859</v>
          </cell>
          <cell r="K5191" t="str">
            <v>201602151421097</v>
          </cell>
          <cell r="M5191" t="str">
            <v>哈药六牌钙加锌口服液10ml*12支</v>
          </cell>
        </row>
        <row r="5192">
          <cell r="E5192" t="str">
            <v>0020070000ZYLC0052</v>
          </cell>
          <cell r="H5192" t="str">
            <v>滨州益康医药连锁有限公司邹平县魏桥惠民店</v>
          </cell>
          <cell r="J5192" t="str">
            <v>1859</v>
          </cell>
          <cell r="K5192" t="str">
            <v>201602151421097</v>
          </cell>
          <cell r="M5192" t="str">
            <v>哈药六牌钙加锌口服液10ml*12支</v>
          </cell>
        </row>
        <row r="5193">
          <cell r="E5193" t="str">
            <v>0020050001SHYT0017</v>
          </cell>
          <cell r="H5193" t="str">
            <v>滨州益康医药连锁有限公司邹平县魏桥惠民店</v>
          </cell>
          <cell r="J5193" t="str">
            <v>1859</v>
          </cell>
          <cell r="K5193" t="str">
            <v>201602151421097</v>
          </cell>
          <cell r="M5193" t="str">
            <v>附子理中丸9g*10丸</v>
          </cell>
        </row>
        <row r="5194">
          <cell r="E5194" t="str">
            <v>0020070001ZYZC0383</v>
          </cell>
          <cell r="H5194" t="str">
            <v>滨州益康医药连锁有限公司邹平第二药店</v>
          </cell>
          <cell r="J5194" t="str">
            <v>1859</v>
          </cell>
          <cell r="K5194" t="str">
            <v>201602151421097</v>
          </cell>
          <cell r="M5194" t="str">
            <v>哈药牌钙铁锌口服液10ml*10支</v>
          </cell>
        </row>
        <row r="5195">
          <cell r="E5195" t="str">
            <v>0020030040SHYT0010</v>
          </cell>
          <cell r="H5195" t="str">
            <v>滨州益康医药连锁有限公司邹平县魏桥惠民店</v>
          </cell>
          <cell r="J5195" t="str">
            <v>1859</v>
          </cell>
          <cell r="K5195" t="str">
            <v>201602151421097</v>
          </cell>
          <cell r="M5195" t="str">
            <v>布洛芬颗粒/小安瑞克0.2g*12袋</v>
          </cell>
        </row>
        <row r="5196">
          <cell r="E5196" t="str">
            <v>0020030040SHYT0010</v>
          </cell>
          <cell r="H5196" t="str">
            <v>滨州益康医药连锁有限公司邹平第二药店</v>
          </cell>
          <cell r="J5196" t="str">
            <v>1859</v>
          </cell>
          <cell r="K5196" t="str">
            <v>201602151421097</v>
          </cell>
          <cell r="M5196" t="str">
            <v>布洛芬颗粒/小安瑞克0.2g*12袋</v>
          </cell>
        </row>
        <row r="5197">
          <cell r="E5197" t="str">
            <v>0020050090SJZY0001</v>
          </cell>
          <cell r="H5197" t="str">
            <v>滨州益康医药连锁有限公司邹平月河店</v>
          </cell>
          <cell r="J5197" t="str">
            <v>1859</v>
          </cell>
          <cell r="K5197" t="str">
            <v>201602151421097</v>
          </cell>
          <cell r="M5197" t="str">
            <v>双黄连口服液10ml*10z</v>
          </cell>
        </row>
        <row r="5198">
          <cell r="E5198" t="str">
            <v>0020030020SJSC0025</v>
          </cell>
          <cell r="H5198" t="str">
            <v>滨州益康医药连锁有限公司邹平县黛溪一路店</v>
          </cell>
          <cell r="J5198" t="str">
            <v>1859</v>
          </cell>
          <cell r="K5198" t="str">
            <v>201602151421097</v>
          </cell>
          <cell r="M5198" t="str">
            <v>复方氨酚烷胺片12片</v>
          </cell>
        </row>
        <row r="5199">
          <cell r="E5199" t="str">
            <v>0020050090SJZY0001</v>
          </cell>
          <cell r="H5199" t="str">
            <v>滨州益康医药连锁有限公司邹平第二药店</v>
          </cell>
          <cell r="J5199" t="str">
            <v>1859</v>
          </cell>
          <cell r="K5199" t="str">
            <v>201602151421097</v>
          </cell>
          <cell r="M5199" t="str">
            <v>双黄连口服液10ml*10z</v>
          </cell>
        </row>
        <row r="5200">
          <cell r="E5200" t="str">
            <v>0020050090SJZY0001</v>
          </cell>
          <cell r="H5200" t="str">
            <v>滨州益康医药连锁有限公司邹平县魏桥惠民店</v>
          </cell>
          <cell r="J5200" t="str">
            <v>1859</v>
          </cell>
          <cell r="K5200" t="str">
            <v>201602151421097</v>
          </cell>
          <cell r="M5200" t="str">
            <v>双黄连口服液10ml*10z</v>
          </cell>
        </row>
        <row r="5201">
          <cell r="E5201" t="str">
            <v>0020030040ZYLC0001</v>
          </cell>
          <cell r="H5201" t="str">
            <v>滨州益康医药连锁有限公司邹平县第十一店</v>
          </cell>
          <cell r="J5201" t="str">
            <v>1859</v>
          </cell>
          <cell r="K5201" t="str">
            <v>201602151421097</v>
          </cell>
          <cell r="M5201" t="str">
            <v>小儿氨酚黄那敏颗粒/护彤2g*12袋</v>
          </cell>
        </row>
        <row r="5202">
          <cell r="E5202" t="str">
            <v>0020070000ZYLC0052</v>
          </cell>
          <cell r="H5202" t="str">
            <v>邹平仁益医药连锁有限公司</v>
          </cell>
          <cell r="J5202" t="str">
            <v>1859</v>
          </cell>
          <cell r="K5202" t="str">
            <v>201602151421097</v>
          </cell>
          <cell r="M5202" t="str">
            <v>哈药六牌钙加锌口服液10ml*12支</v>
          </cell>
        </row>
        <row r="5203">
          <cell r="E5203" t="str">
            <v>0020020030SJMS0024</v>
          </cell>
          <cell r="H5203" t="str">
            <v>滨州益康医药连锁有限公司邹平县魏桥益民店</v>
          </cell>
          <cell r="J5203" t="str">
            <v>1859</v>
          </cell>
          <cell r="K5203" t="str">
            <v>201602151421097</v>
          </cell>
          <cell r="M5203" t="str">
            <v>人工牛黄甲硝唑胶囊20粒</v>
          </cell>
        </row>
        <row r="5204">
          <cell r="E5204" t="str">
            <v>0020030001SJZY0009</v>
          </cell>
          <cell r="H5204" t="str">
            <v>邹平仁益医药连锁有限公司</v>
          </cell>
          <cell r="J5204" t="str">
            <v>1859</v>
          </cell>
          <cell r="K5204" t="str">
            <v>201602151421097</v>
          </cell>
          <cell r="M5204" t="str">
            <v>葡萄糖酸锌口服液10ml*12支</v>
          </cell>
        </row>
        <row r="5205">
          <cell r="E5205" t="str">
            <v>0020020021ZYLC0004</v>
          </cell>
          <cell r="H5205" t="str">
            <v>邹平仁益医药连锁有限公司</v>
          </cell>
          <cell r="J5205" t="str">
            <v>1859</v>
          </cell>
          <cell r="K5205" t="str">
            <v>201602151421097</v>
          </cell>
          <cell r="M5205" t="str">
            <v>罗红霉素分散片/大严迪75mg*12片</v>
          </cell>
        </row>
        <row r="5206">
          <cell r="E5206" t="str">
            <v>0020040020SHYT0007</v>
          </cell>
          <cell r="H5206" t="str">
            <v>滨州益康医药连锁有限公司邹平第二药店</v>
          </cell>
          <cell r="J5206" t="str">
            <v>1859</v>
          </cell>
          <cell r="K5206" t="str">
            <v>201602151421097</v>
          </cell>
          <cell r="M5206" t="str">
            <v>丹佛胃尔康颗粒10g*6袋</v>
          </cell>
        </row>
        <row r="5207">
          <cell r="E5207" t="str">
            <v>0020050090SJZY0001</v>
          </cell>
          <cell r="H5207" t="str">
            <v>长山镇弥勒中心卫生室</v>
          </cell>
          <cell r="J5207" t="str">
            <v>1859</v>
          </cell>
          <cell r="K5207" t="str">
            <v>201602151421097</v>
          </cell>
          <cell r="M5207" t="str">
            <v>双黄连口服液10ml*10z</v>
          </cell>
        </row>
        <row r="5208">
          <cell r="E5208" t="str">
            <v>0020030040ZYLC0001</v>
          </cell>
          <cell r="H5208" t="str">
            <v>滨州益康医药连锁有限公司邹平县西王店</v>
          </cell>
          <cell r="J5208" t="str">
            <v>1859</v>
          </cell>
          <cell r="K5208" t="str">
            <v>201602151421097</v>
          </cell>
          <cell r="M5208" t="str">
            <v>小儿氨酚黄那敏颗粒/护彤2g*12袋</v>
          </cell>
        </row>
        <row r="5209">
          <cell r="E5209" t="str">
            <v>0020040220SHYT0004</v>
          </cell>
          <cell r="H5209" t="str">
            <v>滨州益康医药连锁有限公司邹平县第六药店</v>
          </cell>
          <cell r="J5209" t="str">
            <v>1859</v>
          </cell>
          <cell r="K5209" t="str">
            <v>201602151421097</v>
          </cell>
          <cell r="M5209" t="str">
            <v>妇宁栓1.6克*8粒</v>
          </cell>
        </row>
        <row r="5210">
          <cell r="E5210" t="str">
            <v>0020030020SJSC0004</v>
          </cell>
          <cell r="H5210" t="str">
            <v>滨州益康医药连锁有限公司邹平县黄山店</v>
          </cell>
          <cell r="J5210" t="str">
            <v>1859</v>
          </cell>
          <cell r="K5210" t="str">
            <v>201602151421097</v>
          </cell>
          <cell r="M5210" t="str">
            <v>复方铝酸铋片/新胃必治50片</v>
          </cell>
        </row>
        <row r="5211">
          <cell r="E5211" t="str">
            <v>0020070001ZYZC0383</v>
          </cell>
          <cell r="H5211" t="str">
            <v>滨州益康医药连锁有限公司邹平县第六药店</v>
          </cell>
          <cell r="J5211" t="str">
            <v>1859</v>
          </cell>
          <cell r="K5211" t="str">
            <v>201602151421097</v>
          </cell>
          <cell r="M5211" t="str">
            <v>哈药牌钙铁锌口服液10ml*10支</v>
          </cell>
        </row>
        <row r="5212">
          <cell r="E5212" t="str">
            <v>0020020021ZYLC0011</v>
          </cell>
          <cell r="H5212" t="str">
            <v>滨州益康医药连锁有限公司邹平县黄山二路店</v>
          </cell>
          <cell r="J5212" t="str">
            <v>1859</v>
          </cell>
          <cell r="K5212" t="str">
            <v>201602151421097</v>
          </cell>
          <cell r="M5212" t="str">
            <v>罗红霉素分散片150mg*12片</v>
          </cell>
        </row>
        <row r="5213">
          <cell r="E5213" t="str">
            <v>0020070000ZYLC0051</v>
          </cell>
          <cell r="H5213" t="str">
            <v>滨州益康医药连锁有限公司邹平县黄山二路店</v>
          </cell>
          <cell r="J5213" t="str">
            <v>1859</v>
          </cell>
          <cell r="K5213" t="str">
            <v>201602151421097</v>
          </cell>
          <cell r="M5213" t="str">
            <v>朴血乳酸亚铁口服液10ml*12支</v>
          </cell>
        </row>
        <row r="5214">
          <cell r="E5214" t="str">
            <v>0020020021ZYLC0005</v>
          </cell>
          <cell r="H5214" t="str">
            <v>山东魏桥创业集团第一工业园医务室</v>
          </cell>
          <cell r="J5214" t="str">
            <v>1859</v>
          </cell>
          <cell r="K5214" t="str">
            <v>201602151421097</v>
          </cell>
          <cell r="M5214" t="str">
            <v>罗红霉素分散片/小严迪50mg*12片</v>
          </cell>
        </row>
        <row r="5215">
          <cell r="E5215" t="str">
            <v>0020070000ZYLC0051</v>
          </cell>
          <cell r="H5215" t="str">
            <v>滨州益康医药连锁有限公司邹平县第一药店</v>
          </cell>
          <cell r="J5215" t="str">
            <v>1859</v>
          </cell>
          <cell r="K5215" t="str">
            <v>201602151421097</v>
          </cell>
          <cell r="M5215" t="str">
            <v>朴血乳酸亚铁口服液10ml*12支</v>
          </cell>
        </row>
        <row r="5216">
          <cell r="E5216" t="str">
            <v>0020030001SJZY0009</v>
          </cell>
          <cell r="H5216" t="str">
            <v>滨州益康医药连锁有限公司邹平县第七药店</v>
          </cell>
          <cell r="J5216" t="str">
            <v>1859</v>
          </cell>
          <cell r="K5216" t="str">
            <v>201602151421097</v>
          </cell>
          <cell r="M5216" t="str">
            <v>葡萄糖酸锌口服液10ml*12支</v>
          </cell>
        </row>
        <row r="5217">
          <cell r="E5217" t="str">
            <v>0020030040ZYLC0001</v>
          </cell>
          <cell r="H5217" t="str">
            <v>滨州北海公建投资有限公司医务室</v>
          </cell>
          <cell r="J5217" t="str">
            <v>1856</v>
          </cell>
          <cell r="K5217" t="str">
            <v>201602151421097</v>
          </cell>
          <cell r="M5217" t="str">
            <v>小儿氨酚黄那敏颗粒/护彤2g*12袋</v>
          </cell>
        </row>
        <row r="5218">
          <cell r="E5218" t="str">
            <v>0020020021ZYZC0341</v>
          </cell>
          <cell r="H5218" t="str">
            <v>滨州益康医药连锁有限公司邹平县南范店</v>
          </cell>
          <cell r="J5218" t="str">
            <v>1859</v>
          </cell>
          <cell r="K5218" t="str">
            <v>201602151421097</v>
          </cell>
          <cell r="M5218" t="str">
            <v>阿莫西林克拉维酸钾分散片/胜艾0.2285g*12片</v>
          </cell>
        </row>
        <row r="5219">
          <cell r="E5219" t="str">
            <v>0020020020SJMS0006</v>
          </cell>
          <cell r="H5219" t="str">
            <v>滨州益康医药连锁有限公司邹平县第一药店</v>
          </cell>
          <cell r="J5219" t="str">
            <v>1859</v>
          </cell>
          <cell r="K5219" t="str">
            <v>201602151421097</v>
          </cell>
          <cell r="M5219" t="str">
            <v>尼莫地平片20mg*50片</v>
          </cell>
        </row>
        <row r="5220">
          <cell r="E5220" t="str">
            <v>0020020020SJMS0006</v>
          </cell>
          <cell r="H5220" t="str">
            <v>滨州益康医药连锁有限公司邹平县第三药店</v>
          </cell>
          <cell r="J5220" t="str">
            <v>1859</v>
          </cell>
          <cell r="K5220" t="str">
            <v>201602151421097</v>
          </cell>
          <cell r="M5220" t="str">
            <v>尼莫地平片20mg*50片</v>
          </cell>
        </row>
        <row r="5221">
          <cell r="E5221" t="str">
            <v>0020030170ZYEC0003</v>
          </cell>
          <cell r="H5221" t="str">
            <v>滨州益康医药连锁有限公司邹平县黄山三路店</v>
          </cell>
          <cell r="J5221" t="str">
            <v>1859</v>
          </cell>
          <cell r="K5221" t="str">
            <v>201602151421097</v>
          </cell>
          <cell r="M5221" t="str">
            <v>蒙脱石散3g*12袋</v>
          </cell>
        </row>
        <row r="5222">
          <cell r="E5222" t="str">
            <v>0020050020SHYT0016</v>
          </cell>
          <cell r="H5222" t="str">
            <v>滨州益康医药连锁有限公司邹平县第一药店</v>
          </cell>
          <cell r="J5222" t="str">
            <v>1859</v>
          </cell>
          <cell r="K5222" t="str">
            <v>201602151421097</v>
          </cell>
          <cell r="M5222" t="str">
            <v>复方金银花颗粒10g*10袋</v>
          </cell>
        </row>
        <row r="5223">
          <cell r="E5223" t="str">
            <v>0020030001SJZY0006</v>
          </cell>
          <cell r="H5223" t="str">
            <v>滨城区市东街道办事处宣家第一卫生室</v>
          </cell>
          <cell r="J5223" t="str">
            <v>1853</v>
          </cell>
          <cell r="K5223" t="str">
            <v>201602151421097</v>
          </cell>
          <cell r="M5223" t="str">
            <v>葡萄糖酸钙口服溶液10ml*12支</v>
          </cell>
        </row>
        <row r="5224">
          <cell r="E5224" t="str">
            <v>0020030020SJSC0004</v>
          </cell>
          <cell r="H5224" t="str">
            <v>惠民县麻店镇鸿泰大药店</v>
          </cell>
          <cell r="J5224" t="str">
            <v>1854</v>
          </cell>
          <cell r="K5224" t="str">
            <v>201602151421097</v>
          </cell>
          <cell r="M5224" t="str">
            <v>复方铝酸铋片50片</v>
          </cell>
        </row>
        <row r="5225">
          <cell r="E5225" t="str">
            <v>0020030020ZYLC0010</v>
          </cell>
          <cell r="H5225" t="str">
            <v>滨城魏玲玲诊所</v>
          </cell>
          <cell r="J5225" t="str">
            <v>1853</v>
          </cell>
          <cell r="K5225" t="str">
            <v>201602151421097</v>
          </cell>
          <cell r="M5225" t="str">
            <v>乳酸菌素片0.4g*12片*3板</v>
          </cell>
        </row>
        <row r="5226">
          <cell r="E5226" t="str">
            <v>0020020030ZYZC0289</v>
          </cell>
          <cell r="H5226" t="str">
            <v>滨州康乐医药连锁有限公司</v>
          </cell>
          <cell r="J5226" t="str">
            <v>1853</v>
          </cell>
          <cell r="K5226" t="str">
            <v>201602151421097</v>
          </cell>
          <cell r="M5226" t="str">
            <v>阿莫西林胶囊0.5g*36粒</v>
          </cell>
        </row>
        <row r="5227">
          <cell r="E5227" t="str">
            <v>0020070000ZYLC0001</v>
          </cell>
          <cell r="H5227" t="str">
            <v>滨城李翔云诊所</v>
          </cell>
          <cell r="J5227" t="str">
            <v>1853</v>
          </cell>
          <cell r="K5227" t="str">
            <v>201602151421097</v>
          </cell>
          <cell r="M5227" t="str">
            <v>新盖中盖牌高钙片2.5g*36片</v>
          </cell>
        </row>
        <row r="5228">
          <cell r="E5228" t="str">
            <v>0020030020SJSC0025</v>
          </cell>
          <cell r="H5228" t="str">
            <v>滨州晟滨医药有限公司</v>
          </cell>
          <cell r="J5228" t="str">
            <v>1853</v>
          </cell>
          <cell r="K5228" t="str">
            <v>201602151421097</v>
          </cell>
          <cell r="M5228" t="str">
            <v>复方氨酚烷胺片12片</v>
          </cell>
        </row>
        <row r="5229">
          <cell r="E5229" t="str">
            <v>0020030020ZYLC0010</v>
          </cell>
          <cell r="H5229" t="str">
            <v>滨城赵淑潭诊所</v>
          </cell>
          <cell r="J5229" t="str">
            <v>1853</v>
          </cell>
          <cell r="K5229" t="str">
            <v>201602151421097</v>
          </cell>
          <cell r="M5229" t="str">
            <v>乳酸菌素片0.4g*12片*3板</v>
          </cell>
        </row>
        <row r="5230">
          <cell r="E5230" t="str">
            <v>0020030032ZYZC0300</v>
          </cell>
          <cell r="H5230" t="str">
            <v>滨州市滨城区彭李街道办事处平民社区卫生服务站</v>
          </cell>
          <cell r="J5230" t="str">
            <v>1853</v>
          </cell>
          <cell r="K5230" t="str">
            <v>201602151421097</v>
          </cell>
          <cell r="M5230" t="str">
            <v>维生素E软胶囊30粒</v>
          </cell>
        </row>
        <row r="5231">
          <cell r="E5231" t="str">
            <v>0020030020SJSC0025</v>
          </cell>
          <cell r="H5231" t="str">
            <v>邹平同德堂医药有限公司</v>
          </cell>
          <cell r="J5231" t="str">
            <v>1859</v>
          </cell>
          <cell r="K5231" t="str">
            <v>201602151421097</v>
          </cell>
          <cell r="M5231" t="str">
            <v>复方氨酚烷胺片12片</v>
          </cell>
        </row>
        <row r="5232">
          <cell r="E5232" t="str">
            <v>0020030020SJSC0004</v>
          </cell>
          <cell r="H5232" t="str">
            <v>邹平同德堂医药有限公司</v>
          </cell>
          <cell r="J5232" t="str">
            <v>1859</v>
          </cell>
          <cell r="K5232" t="str">
            <v>201602151421097</v>
          </cell>
          <cell r="M5232" t="str">
            <v>复方铝酸铋片50片</v>
          </cell>
        </row>
        <row r="5233">
          <cell r="E5233" t="str">
            <v>0020030001SJZY0006</v>
          </cell>
          <cell r="H5233" t="str">
            <v>邹平同德堂医药有限公司</v>
          </cell>
          <cell r="J5233" t="str">
            <v>1859</v>
          </cell>
          <cell r="K5233" t="str">
            <v>201602151421097</v>
          </cell>
          <cell r="M5233" t="str">
            <v>葡萄糖酸钙口服溶液10ml*12支</v>
          </cell>
        </row>
        <row r="5234">
          <cell r="E5234" t="str">
            <v>0020040020SHYT0007</v>
          </cell>
          <cell r="H5234" t="str">
            <v>邹平同德堂医药有限公司</v>
          </cell>
          <cell r="J5234" t="str">
            <v>1859</v>
          </cell>
          <cell r="K5234" t="str">
            <v>201602151421097</v>
          </cell>
          <cell r="M5234" t="str">
            <v>丹佛胃尔康颗粒10g*6袋</v>
          </cell>
        </row>
        <row r="5235">
          <cell r="E5235" t="str">
            <v>0020050020SHYT0016</v>
          </cell>
          <cell r="H5235" t="str">
            <v>邹平同德堂医药有限公司</v>
          </cell>
          <cell r="J5235" t="str">
            <v>1859</v>
          </cell>
          <cell r="K5235" t="str">
            <v>201602151421097</v>
          </cell>
          <cell r="M5235" t="str">
            <v>复方金银花颗粒10g*10袋</v>
          </cell>
        </row>
        <row r="5236">
          <cell r="E5236" t="str">
            <v>0020020021ZYLC0004</v>
          </cell>
          <cell r="H5236" t="str">
            <v>邹平同德堂医药有限公司</v>
          </cell>
          <cell r="J5236" t="str">
            <v>1859</v>
          </cell>
          <cell r="K5236" t="str">
            <v>201602151421097</v>
          </cell>
          <cell r="M5236" t="str">
            <v>罗红霉素分散片75mg*12片</v>
          </cell>
        </row>
        <row r="5237">
          <cell r="E5237" t="str">
            <v>0020030040ZYLC0001</v>
          </cell>
          <cell r="H5237" t="str">
            <v>邹平同德堂医药有限公司</v>
          </cell>
          <cell r="J5237" t="str">
            <v>1859</v>
          </cell>
          <cell r="K5237" t="str">
            <v>201602151421097</v>
          </cell>
          <cell r="M5237" t="str">
            <v>小儿氨酚黄那敏颗粒12袋</v>
          </cell>
        </row>
        <row r="5238">
          <cell r="E5238" t="str">
            <v>0020050020ZYEC0008</v>
          </cell>
          <cell r="H5238" t="str">
            <v>邹平同德堂医药有限公司</v>
          </cell>
          <cell r="J5238" t="str">
            <v>1859</v>
          </cell>
          <cell r="K5238" t="str">
            <v>201602151421097</v>
          </cell>
          <cell r="M5238" t="str">
            <v>感冒解毒灵颗粒5g*10袋</v>
          </cell>
        </row>
        <row r="5239">
          <cell r="E5239" t="str">
            <v>0020030001SJZY0006</v>
          </cell>
          <cell r="H5239" t="str">
            <v>滨城区彭李街道办事处山柳杜第一卫生室</v>
          </cell>
          <cell r="J5239" t="str">
            <v>1853</v>
          </cell>
          <cell r="K5239" t="str">
            <v>201602151421097</v>
          </cell>
          <cell r="M5239" t="str">
            <v>葡萄糖酸钙口服溶液10ml*12支</v>
          </cell>
        </row>
        <row r="5240">
          <cell r="E5240" t="str">
            <v>0020070000ZYLC0001</v>
          </cell>
          <cell r="H5240" t="str">
            <v>滨城区彭李街道办事处山柳杜第一卫生室</v>
          </cell>
          <cell r="J5240" t="str">
            <v>1853</v>
          </cell>
          <cell r="K5240" t="str">
            <v>201602151421097</v>
          </cell>
          <cell r="M5240" t="str">
            <v>新盖中盖牌高钙片2.5g*36片</v>
          </cell>
        </row>
        <row r="5241">
          <cell r="E5241" t="str">
            <v>0020030020ZYLC0010</v>
          </cell>
          <cell r="H5241" t="str">
            <v>滨城区彭李街道办事处山柳杜第二卫生室</v>
          </cell>
          <cell r="J5241" t="str">
            <v>1853</v>
          </cell>
          <cell r="K5241" t="str">
            <v>201602151421097</v>
          </cell>
          <cell r="M5241" t="str">
            <v>乳酸菌素片0.4g*12片*3板</v>
          </cell>
        </row>
        <row r="5242">
          <cell r="E5242" t="str">
            <v>0020070000ZYLC0052</v>
          </cell>
          <cell r="H5242" t="str">
            <v>邹平同德堂医药有限公司</v>
          </cell>
          <cell r="J5242" t="str">
            <v>1859</v>
          </cell>
          <cell r="K5242" t="str">
            <v>201602151421097</v>
          </cell>
          <cell r="M5242" t="str">
            <v>哈药六牌钙加锌口服液10ml*12支</v>
          </cell>
        </row>
        <row r="5243">
          <cell r="E5243" t="str">
            <v>0020070000ZYLC0001</v>
          </cell>
          <cell r="H5243" t="str">
            <v>邹平同德堂医药有限公司</v>
          </cell>
          <cell r="J5243" t="str">
            <v>1859</v>
          </cell>
          <cell r="K5243" t="str">
            <v>201602151421097</v>
          </cell>
          <cell r="M5243" t="str">
            <v>新盖中盖牌高钙片2.5g*36片</v>
          </cell>
        </row>
        <row r="5244">
          <cell r="E5244" t="str">
            <v>0020070001ZYZC0383</v>
          </cell>
          <cell r="H5244" t="str">
            <v>邹平同德堂医药有限公司</v>
          </cell>
          <cell r="J5244" t="str">
            <v>1859</v>
          </cell>
          <cell r="K5244" t="str">
            <v>201602151421097</v>
          </cell>
          <cell r="M5244" t="str">
            <v>哈药牌钙铁锌口服液10ml*10支</v>
          </cell>
        </row>
        <row r="5245">
          <cell r="E5245" t="str">
            <v>0020030020SJSC0004</v>
          </cell>
          <cell r="H5245" t="str">
            <v>惠民县敬文大药房</v>
          </cell>
          <cell r="J5245" t="str">
            <v>1854</v>
          </cell>
          <cell r="K5245" t="str">
            <v>201602151421097</v>
          </cell>
          <cell r="M5245" t="str">
            <v>复方铝酸铋片50片</v>
          </cell>
        </row>
        <row r="5246">
          <cell r="E5246" t="str">
            <v>0020030001SJZY0009</v>
          </cell>
          <cell r="H5246" t="str">
            <v>无棣县佘家镇顺昌百姓大药房</v>
          </cell>
          <cell r="J5246" t="str">
            <v>1856</v>
          </cell>
          <cell r="K5246" t="str">
            <v>201602151421097</v>
          </cell>
          <cell r="M5246" t="str">
            <v>葡萄糖酸锌口服溶液10ml*12支</v>
          </cell>
        </row>
        <row r="5247">
          <cell r="E5247" t="str">
            <v>0020070000ZYLC0052</v>
          </cell>
          <cell r="H5247" t="str">
            <v>无棣县佘家镇顺昌百姓大药房</v>
          </cell>
          <cell r="J5247" t="str">
            <v>1856</v>
          </cell>
          <cell r="K5247" t="str">
            <v>201602151421097</v>
          </cell>
          <cell r="M5247" t="str">
            <v>哈药六牌钙加锌口服液10ml*12支</v>
          </cell>
        </row>
        <row r="5248">
          <cell r="E5248" t="str">
            <v>0020040030SHYT0002</v>
          </cell>
          <cell r="H5248" t="str">
            <v>盐窝镇门家村卫生室</v>
          </cell>
          <cell r="J5248" t="str">
            <v>1757</v>
          </cell>
          <cell r="M5248" t="str">
            <v>牛黄消炎片24片</v>
          </cell>
        </row>
        <row r="5249">
          <cell r="E5249" t="str">
            <v>0020030040SHYT0010</v>
          </cell>
          <cell r="H5249" t="str">
            <v>邹平同德堂医药有限公司</v>
          </cell>
          <cell r="J5249" t="str">
            <v>1859</v>
          </cell>
          <cell r="K5249" t="str">
            <v>201602151421097</v>
          </cell>
          <cell r="M5249" t="str">
            <v>布洛芬颗粒0.2g*12袋</v>
          </cell>
        </row>
        <row r="5250">
          <cell r="E5250" t="str">
            <v>0020030001SJZY0009</v>
          </cell>
          <cell r="H5250" t="str">
            <v>邹平县方正医药有限公司</v>
          </cell>
          <cell r="J5250" t="str">
            <v>1859</v>
          </cell>
          <cell r="K5250" t="str">
            <v>201602151421097</v>
          </cell>
          <cell r="M5250" t="str">
            <v>葡萄糖酸锌口服溶液10ml*12支</v>
          </cell>
        </row>
        <row r="5251">
          <cell r="E5251" t="str">
            <v>0020020021ZYLC0005</v>
          </cell>
          <cell r="H5251" t="str">
            <v>邹平县方正医药有限公司</v>
          </cell>
          <cell r="J5251" t="str">
            <v>1859</v>
          </cell>
          <cell r="K5251" t="str">
            <v>201602151421097</v>
          </cell>
          <cell r="M5251" t="str">
            <v>罗红霉素分散片50mg*12片</v>
          </cell>
        </row>
        <row r="5252">
          <cell r="E5252" t="str">
            <v>0020070000ZYLC0052</v>
          </cell>
          <cell r="H5252" t="str">
            <v>邹平县方正医药有限公司</v>
          </cell>
          <cell r="J5252" t="str">
            <v>1859</v>
          </cell>
          <cell r="K5252" t="str">
            <v>201602151421097</v>
          </cell>
          <cell r="M5252" t="str">
            <v>哈药六牌钙加锌口服液10ml*12支</v>
          </cell>
        </row>
        <row r="5253">
          <cell r="E5253" t="str">
            <v>0020040030SHYT0002</v>
          </cell>
          <cell r="H5253" t="str">
            <v>博兴县友谊医院</v>
          </cell>
          <cell r="J5253" t="str">
            <v>1858</v>
          </cell>
          <cell r="K5253" t="str">
            <v>201602151421097</v>
          </cell>
          <cell r="M5253" t="str">
            <v>牛黄消炎片24片</v>
          </cell>
        </row>
        <row r="5254">
          <cell r="E5254" t="str">
            <v>0020030040SHYT0010</v>
          </cell>
          <cell r="H5254" t="str">
            <v>滨州市滨城区彭李街道办事处平民社区卫生服务站</v>
          </cell>
          <cell r="J5254" t="str">
            <v>1853</v>
          </cell>
          <cell r="K5254" t="str">
            <v>201602151421097</v>
          </cell>
          <cell r="M5254" t="str">
            <v>布洛芬颗粒0.2g*12袋</v>
          </cell>
        </row>
        <row r="5255">
          <cell r="E5255" t="str">
            <v>0020020030ZYZC0289</v>
          </cell>
          <cell r="H5255" t="str">
            <v>滨州市滨城区彭李街道办事处平民社区卫生服务站</v>
          </cell>
          <cell r="J5255" t="str">
            <v>1853</v>
          </cell>
          <cell r="K5255" t="str">
            <v>201602151421097</v>
          </cell>
          <cell r="M5255" t="str">
            <v>阿莫西林胶囊0.5g*36粒</v>
          </cell>
        </row>
        <row r="5256">
          <cell r="E5256" t="str">
            <v>0020050090SJZY0001</v>
          </cell>
          <cell r="H5256" t="str">
            <v>滨城李翔云诊所</v>
          </cell>
          <cell r="J5256" t="str">
            <v>1853</v>
          </cell>
          <cell r="K5256" t="str">
            <v>201602151421097</v>
          </cell>
          <cell r="M5256" t="str">
            <v>双黄连口服液10ml*10支</v>
          </cell>
        </row>
        <row r="5257">
          <cell r="E5257" t="str">
            <v>0020020021ZYLC0015</v>
          </cell>
          <cell r="H5257" t="str">
            <v>滨城区彭李街道办事处菜刘卫生室</v>
          </cell>
          <cell r="J5257" t="str">
            <v>1853</v>
          </cell>
          <cell r="K5257" t="str">
            <v>201602151421097</v>
          </cell>
          <cell r="M5257" t="str">
            <v>克拉霉素分散片0.125g*24片</v>
          </cell>
        </row>
        <row r="5258">
          <cell r="E5258" t="str">
            <v>0020030040ZYLC0001</v>
          </cell>
          <cell r="H5258" t="str">
            <v>滨城区市西街道办事处康家卫生室</v>
          </cell>
          <cell r="J5258" t="str">
            <v>1853</v>
          </cell>
          <cell r="K5258" t="str">
            <v>201602151421097</v>
          </cell>
          <cell r="M5258" t="str">
            <v>小儿氨酚黄那敏颗粒12袋</v>
          </cell>
        </row>
        <row r="5259">
          <cell r="E5259" t="str">
            <v>0020070001ZYZC0369</v>
          </cell>
          <cell r="H5259" t="str">
            <v>邹平县方正医药有限公司</v>
          </cell>
          <cell r="J5259" t="str">
            <v>1859</v>
          </cell>
          <cell r="K5259" t="str">
            <v>201602151421097</v>
          </cell>
          <cell r="M5259" t="str">
            <v>哈药牌钙铁锌口服液10ml*12支</v>
          </cell>
        </row>
        <row r="5260">
          <cell r="E5260" t="str">
            <v>0020070000ZYLC0001</v>
          </cell>
          <cell r="H5260" t="str">
            <v>滨城孙红霞诊所</v>
          </cell>
          <cell r="J5260" t="str">
            <v>1853</v>
          </cell>
          <cell r="K5260" t="str">
            <v>201602151421097</v>
          </cell>
          <cell r="M5260" t="str">
            <v>新盖中盖牌高钙片2.5g*36片</v>
          </cell>
        </row>
        <row r="5261">
          <cell r="E5261" t="str">
            <v>0020070000ZYLC0051</v>
          </cell>
          <cell r="H5261" t="str">
            <v>淄博瑞和医药销售有限公司</v>
          </cell>
          <cell r="J5261" t="str">
            <v>1744</v>
          </cell>
          <cell r="M5261" t="str">
            <v>朴雪乳酸亚铁口服液10ml*12支</v>
          </cell>
        </row>
        <row r="5262">
          <cell r="E5262" t="str">
            <v>0020070000ZYLC0001</v>
          </cell>
          <cell r="H5262" t="str">
            <v>淄博瑞和医药销售有限公司</v>
          </cell>
          <cell r="J5262" t="str">
            <v>1744</v>
          </cell>
          <cell r="M5262" t="str">
            <v>新盖中盖牌高钙片2.5g*36片</v>
          </cell>
        </row>
        <row r="5263">
          <cell r="E5263" t="str">
            <v>0020030020SJSC0004</v>
          </cell>
          <cell r="H5263" t="str">
            <v>高青县黄河路大众药店</v>
          </cell>
          <cell r="J5263" t="str">
            <v>1744</v>
          </cell>
          <cell r="M5263" t="str">
            <v>复方铝酸铋片50片</v>
          </cell>
        </row>
        <row r="5264">
          <cell r="E5264" t="str">
            <v>0020030020ZYLC0010</v>
          </cell>
          <cell r="H5264" t="str">
            <v>邹平博祥医药连锁有限公司</v>
          </cell>
          <cell r="J5264" t="str">
            <v>1859</v>
          </cell>
          <cell r="K5264" t="str">
            <v>201602151421097</v>
          </cell>
          <cell r="M5264" t="str">
            <v>乳酸菌素片0.4g*12片*3板</v>
          </cell>
        </row>
        <row r="5265">
          <cell r="E5265" t="str">
            <v>0020020021ZYLC0004</v>
          </cell>
          <cell r="H5265" t="str">
            <v>凤凰城街道十里村卫生室</v>
          </cell>
          <cell r="J5265" t="str">
            <v>1757</v>
          </cell>
          <cell r="M5265" t="str">
            <v>罗红霉素分散片75mg*12片</v>
          </cell>
        </row>
        <row r="5266">
          <cell r="E5266" t="str">
            <v>0020030040ZYLC0001</v>
          </cell>
          <cell r="H5266" t="str">
            <v>辛店镇辛营村卫生室</v>
          </cell>
          <cell r="J5266" t="str">
            <v>1854</v>
          </cell>
          <cell r="K5266" t="str">
            <v>201602151421097</v>
          </cell>
          <cell r="M5266" t="str">
            <v>小儿氨酚黄那敏颗粒12袋</v>
          </cell>
        </row>
        <row r="5267">
          <cell r="E5267" t="str">
            <v>0020030020SJSC0004</v>
          </cell>
          <cell r="H5267" t="str">
            <v>西门街卫生室</v>
          </cell>
          <cell r="J5267" t="str">
            <v>1854</v>
          </cell>
          <cell r="K5267" t="str">
            <v>201602151421097</v>
          </cell>
          <cell r="M5267" t="str">
            <v>复方铝酸铋片50片</v>
          </cell>
        </row>
        <row r="5268">
          <cell r="E5268" t="str">
            <v>0020070001ZYZC0383</v>
          </cell>
          <cell r="H5268" t="str">
            <v>邹平县方正医药有限公司</v>
          </cell>
          <cell r="J5268" t="str">
            <v>1859</v>
          </cell>
          <cell r="K5268" t="str">
            <v>201602151421097</v>
          </cell>
          <cell r="M5268" t="str">
            <v>哈药牌钙铁锌口服液10ml*10支</v>
          </cell>
        </row>
        <row r="5269">
          <cell r="E5269" t="str">
            <v>0020030001SJZY0006</v>
          </cell>
          <cell r="H5269" t="str">
            <v>阳信豪门社区卫生室</v>
          </cell>
          <cell r="J5269" t="str">
            <v>1855</v>
          </cell>
          <cell r="K5269" t="str">
            <v>201602151421097</v>
          </cell>
          <cell r="M5269" t="str">
            <v>葡萄糖酸钙口服溶液10ml*12支</v>
          </cell>
        </row>
        <row r="5270">
          <cell r="E5270" t="str">
            <v>0020030001SJZY0009</v>
          </cell>
          <cell r="H5270" t="str">
            <v>阳信豪门社区卫生室</v>
          </cell>
          <cell r="J5270" t="str">
            <v>1855</v>
          </cell>
          <cell r="K5270" t="str">
            <v>201602151421097</v>
          </cell>
          <cell r="M5270" t="str">
            <v>葡萄糖酸锌口服溶液10ml*12支</v>
          </cell>
        </row>
        <row r="5271">
          <cell r="E5271" t="str">
            <v>0020030020SJSC0004</v>
          </cell>
          <cell r="H5271" t="str">
            <v>滨城区市中街道办事处高杜卫生室</v>
          </cell>
          <cell r="J5271" t="str">
            <v>1853</v>
          </cell>
          <cell r="K5271" t="str">
            <v>201602151421097</v>
          </cell>
          <cell r="M5271" t="str">
            <v>复方铝酸铋片50片</v>
          </cell>
        </row>
        <row r="5272">
          <cell r="E5272" t="str">
            <v>0020020013ZYZC0491</v>
          </cell>
          <cell r="H5272" t="str">
            <v>滨州百佳妇产医院</v>
          </cell>
          <cell r="J5272" t="str">
            <v>1853</v>
          </cell>
          <cell r="K5272" t="str">
            <v>201602151421097</v>
          </cell>
          <cell r="M5272" t="str">
            <v>注射用乳糖酸阿奇霉素0.25g</v>
          </cell>
        </row>
        <row r="5273">
          <cell r="E5273" t="str">
            <v>0020030001SJZY0009</v>
          </cell>
          <cell r="H5273" t="str">
            <v>滨城区彭李街道办事处海河社区卫生服务站</v>
          </cell>
          <cell r="J5273" t="str">
            <v>1853</v>
          </cell>
          <cell r="K5273" t="str">
            <v>201602151421097</v>
          </cell>
          <cell r="M5273" t="str">
            <v>葡萄糖酸锌口服溶液10ml*12支</v>
          </cell>
        </row>
        <row r="5274">
          <cell r="E5274" t="str">
            <v>0020020021ZYLC0004</v>
          </cell>
          <cell r="H5274" t="str">
            <v>淄博瑞和医药销售有限公司</v>
          </cell>
          <cell r="J5274" t="str">
            <v>1744</v>
          </cell>
          <cell r="M5274" t="str">
            <v>罗红霉素分散片75mg*12片</v>
          </cell>
        </row>
        <row r="5275">
          <cell r="E5275" t="str">
            <v>0020030020SJSC0004</v>
          </cell>
          <cell r="H5275" t="str">
            <v>滨州经济开发区刘立波诊所</v>
          </cell>
          <cell r="J5275" t="str">
            <v>1853</v>
          </cell>
          <cell r="K5275" t="str">
            <v>201602151421097</v>
          </cell>
          <cell r="M5275" t="str">
            <v>复方铝酸铋片50片</v>
          </cell>
        </row>
        <row r="5276">
          <cell r="E5276" t="str">
            <v>0020030040ZYLC0001</v>
          </cell>
          <cell r="H5276" t="str">
            <v>滨城区滨北街道办事处利民社区卫生服务站</v>
          </cell>
          <cell r="J5276" t="str">
            <v>1853</v>
          </cell>
          <cell r="K5276" t="str">
            <v>201602151421097</v>
          </cell>
          <cell r="M5276" t="str">
            <v>小儿氨酚黄那敏颗粒12袋</v>
          </cell>
        </row>
        <row r="5277">
          <cell r="E5277" t="str">
            <v>0020040030SHYT0002</v>
          </cell>
          <cell r="H5277" t="str">
            <v>阳信县商店镇小桑卫生院</v>
          </cell>
          <cell r="J5277" t="str">
            <v>1855</v>
          </cell>
          <cell r="K5277" t="str">
            <v>201602151421097</v>
          </cell>
          <cell r="M5277" t="str">
            <v>牛黄消炎片24片</v>
          </cell>
        </row>
        <row r="5278">
          <cell r="E5278" t="str">
            <v>0020050090SJZY0001</v>
          </cell>
          <cell r="H5278" t="str">
            <v>滨州宁心医药有限公司</v>
          </cell>
          <cell r="J5278" t="str">
            <v>1853</v>
          </cell>
          <cell r="K5278" t="str">
            <v>201602151421097</v>
          </cell>
          <cell r="M5278" t="str">
            <v>双黄连口服液10ml*10支</v>
          </cell>
        </row>
        <row r="5279">
          <cell r="E5279" t="str">
            <v>0020030001SJZY0009</v>
          </cell>
          <cell r="H5279" t="str">
            <v>滨州市滨城区市西办事处春晖社区卫生服务站</v>
          </cell>
          <cell r="J5279" t="str">
            <v>1853</v>
          </cell>
          <cell r="K5279" t="str">
            <v>201602151421097</v>
          </cell>
          <cell r="M5279" t="str">
            <v>葡萄糖酸锌口服溶液10ml*12支</v>
          </cell>
        </row>
        <row r="5280">
          <cell r="E5280" t="str">
            <v>0020030001SJZY0009</v>
          </cell>
          <cell r="H5280" t="str">
            <v>山东张氏君安医药有限公司</v>
          </cell>
          <cell r="J5280" t="str">
            <v>1853</v>
          </cell>
          <cell r="K5280" t="str">
            <v>201602151421097</v>
          </cell>
          <cell r="M5280" t="str">
            <v>葡萄糖酸锌口服溶液10ml*12支</v>
          </cell>
        </row>
        <row r="5281">
          <cell r="E5281" t="str">
            <v>0020030001SJZY0009</v>
          </cell>
          <cell r="H5281" t="str">
            <v>杜店崔山山诊所</v>
          </cell>
          <cell r="J5281" t="str">
            <v>1853</v>
          </cell>
          <cell r="K5281" t="str">
            <v>201602151421097</v>
          </cell>
          <cell r="M5281" t="str">
            <v>葡萄糖酸锌口服溶液10ml*12支</v>
          </cell>
        </row>
        <row r="5282">
          <cell r="E5282" t="str">
            <v>0020020013ZYZC0491</v>
          </cell>
          <cell r="H5282" t="str">
            <v>黛溪办东关新村卫生室</v>
          </cell>
          <cell r="J5282" t="str">
            <v>1859</v>
          </cell>
          <cell r="K5282" t="str">
            <v>201602151421097</v>
          </cell>
          <cell r="M5282" t="str">
            <v>注射用乳糖酸阿奇霉素0.25g</v>
          </cell>
        </row>
        <row r="5283">
          <cell r="E5283" t="str">
            <v>0020070000ZYLC0051</v>
          </cell>
          <cell r="H5283" t="str">
            <v>高新国峰诊所</v>
          </cell>
          <cell r="J5283" t="str">
            <v>1853</v>
          </cell>
          <cell r="K5283" t="str">
            <v>201602151421097</v>
          </cell>
          <cell r="M5283" t="str">
            <v>朴雪乳酸亚铁口服液10ml*12支</v>
          </cell>
        </row>
        <row r="5284">
          <cell r="E5284" t="str">
            <v>0020030001SJZY0006</v>
          </cell>
          <cell r="H5284" t="str">
            <v>滨州市滨城区韩小亮中医诊所</v>
          </cell>
          <cell r="J5284" t="str">
            <v>1853</v>
          </cell>
          <cell r="K5284" t="str">
            <v>201602151421097</v>
          </cell>
          <cell r="M5284" t="str">
            <v>葡萄糖酸钙口服溶液10ml*12支</v>
          </cell>
        </row>
        <row r="5285">
          <cell r="E5285" t="str">
            <v>0020030040ZYLC0001</v>
          </cell>
          <cell r="H5285" t="str">
            <v>滨州市滨城区韩小亮中医诊所</v>
          </cell>
          <cell r="J5285" t="str">
            <v>1853</v>
          </cell>
          <cell r="K5285" t="str">
            <v>201602151421097</v>
          </cell>
          <cell r="M5285" t="str">
            <v>小儿氨酚黄那敏颗粒12袋</v>
          </cell>
        </row>
        <row r="5286">
          <cell r="E5286" t="str">
            <v>0020070000ZYLC0001</v>
          </cell>
          <cell r="H5286" t="str">
            <v>滨州市滨城区韩小亮中医诊所</v>
          </cell>
          <cell r="J5286" t="str">
            <v>1853</v>
          </cell>
          <cell r="K5286" t="str">
            <v>201602151421097</v>
          </cell>
          <cell r="M5286" t="str">
            <v>新盖中盖牌高钙片2.5g*36片</v>
          </cell>
        </row>
        <row r="5287">
          <cell r="E5287" t="str">
            <v>0020030001SJZY0006</v>
          </cell>
          <cell r="H5287" t="str">
            <v>滨城韩宝亮诊所</v>
          </cell>
          <cell r="J5287" t="str">
            <v>1853</v>
          </cell>
          <cell r="K5287" t="str">
            <v>201602151421097</v>
          </cell>
          <cell r="M5287" t="str">
            <v>葡萄糖酸钙口服溶液10ml*12支</v>
          </cell>
        </row>
        <row r="5288">
          <cell r="E5288" t="str">
            <v>0020030001SJZY0009</v>
          </cell>
          <cell r="H5288" t="str">
            <v>滨城韩宝亮诊所</v>
          </cell>
          <cell r="J5288" t="str">
            <v>1853</v>
          </cell>
          <cell r="K5288" t="str">
            <v>201602151421097</v>
          </cell>
          <cell r="M5288" t="str">
            <v>葡萄糖酸锌口服溶液10ml*12支</v>
          </cell>
        </row>
        <row r="5289">
          <cell r="E5289" t="str">
            <v>0020030001SJZY0009</v>
          </cell>
          <cell r="H5289" t="str">
            <v>滨城安新岐诊所</v>
          </cell>
          <cell r="J5289" t="str">
            <v>1853</v>
          </cell>
          <cell r="K5289" t="str">
            <v>201602151421097</v>
          </cell>
          <cell r="M5289" t="str">
            <v>葡萄糖酸锌口服溶液10ml*12支</v>
          </cell>
        </row>
        <row r="5290">
          <cell r="E5290" t="str">
            <v>0020070000ZYLC0001</v>
          </cell>
          <cell r="H5290" t="str">
            <v>滨州市滨城区彭李街道办事处平民社区卫生服务站</v>
          </cell>
          <cell r="J5290" t="str">
            <v>1853</v>
          </cell>
          <cell r="K5290" t="str">
            <v>201602151421097</v>
          </cell>
          <cell r="M5290" t="str">
            <v>新盖中盖牌高钙片2.5g*36片</v>
          </cell>
        </row>
        <row r="5291">
          <cell r="E5291" t="str">
            <v>0020020021ZYZC0341</v>
          </cell>
          <cell r="H5291" t="str">
            <v>滨州市滨城区区直机关医院</v>
          </cell>
          <cell r="J5291" t="str">
            <v>1853</v>
          </cell>
          <cell r="K5291" t="str">
            <v>201602151421097</v>
          </cell>
          <cell r="M5291" t="str">
            <v>阿莫西林克拉维酸钾分散片0.2285g*12片</v>
          </cell>
        </row>
        <row r="5292">
          <cell r="E5292" t="str">
            <v>0020030020SJSC0004</v>
          </cell>
          <cell r="H5292" t="str">
            <v>麻店镇麻店街卫生所</v>
          </cell>
          <cell r="J5292" t="str">
            <v>1854</v>
          </cell>
          <cell r="K5292" t="str">
            <v>201602151421097</v>
          </cell>
          <cell r="M5292" t="str">
            <v>复方铝酸铋片50片</v>
          </cell>
        </row>
        <row r="5293">
          <cell r="E5293" t="str">
            <v>0020030001SJZY0009</v>
          </cell>
          <cell r="H5293" t="str">
            <v>居民诊所</v>
          </cell>
          <cell r="J5293" t="str">
            <v>1855</v>
          </cell>
          <cell r="K5293" t="str">
            <v>201602151421097</v>
          </cell>
          <cell r="M5293" t="str">
            <v>葡萄糖酸锌口服溶液10ml*12支</v>
          </cell>
        </row>
        <row r="5294">
          <cell r="E5294" t="str">
            <v>0020070000ZYLC0052</v>
          </cell>
          <cell r="H5294" t="str">
            <v>凯芳诊所</v>
          </cell>
          <cell r="J5294" t="str">
            <v>1857</v>
          </cell>
          <cell r="K5294" t="str">
            <v>201602151421097</v>
          </cell>
          <cell r="M5294" t="str">
            <v>哈药六牌钙加锌口服液10ml*12支</v>
          </cell>
        </row>
        <row r="5295">
          <cell r="E5295" t="str">
            <v>0020030020SJSC0004</v>
          </cell>
          <cell r="H5295" t="str">
            <v>沾化三易诊所</v>
          </cell>
          <cell r="J5295" t="str">
            <v>1857</v>
          </cell>
          <cell r="K5295" t="str">
            <v>201602151421097</v>
          </cell>
          <cell r="M5295" t="str">
            <v>复方铝酸铋片50片</v>
          </cell>
        </row>
        <row r="5296">
          <cell r="E5296" t="str">
            <v>0020070000ZYLC0052</v>
          </cell>
          <cell r="H5296" t="str">
            <v>滨州盛泰医药连锁有限公司</v>
          </cell>
          <cell r="J5296" t="str">
            <v>1858</v>
          </cell>
          <cell r="K5296" t="str">
            <v>201602151421097</v>
          </cell>
          <cell r="M5296" t="str">
            <v>哈药六牌钙加锌口服液10ml*12支</v>
          </cell>
        </row>
        <row r="5297">
          <cell r="E5297" t="str">
            <v>0020070000ZYLC0001</v>
          </cell>
          <cell r="H5297" t="str">
            <v>滨州盛泰医药连锁有限公司</v>
          </cell>
          <cell r="J5297" t="str">
            <v>1858</v>
          </cell>
          <cell r="K5297" t="str">
            <v>201602151421097</v>
          </cell>
          <cell r="M5297" t="str">
            <v>新盖中盖牌高钙片2.5g*36片</v>
          </cell>
        </row>
        <row r="5298">
          <cell r="E5298" t="str">
            <v>0020070001ZYZC0383</v>
          </cell>
          <cell r="H5298" t="str">
            <v>滨州盛泰医药连锁有限公司</v>
          </cell>
          <cell r="J5298" t="str">
            <v>1858</v>
          </cell>
          <cell r="K5298" t="str">
            <v>201602151421097</v>
          </cell>
          <cell r="M5298" t="str">
            <v>哈药牌钙铁锌口服液10ml*10支</v>
          </cell>
        </row>
        <row r="5299">
          <cell r="E5299" t="str">
            <v>0020030032ZYZC0300</v>
          </cell>
          <cell r="H5299" t="str">
            <v>吴苟李村卫生室</v>
          </cell>
          <cell r="J5299" t="str">
            <v>1757</v>
          </cell>
          <cell r="M5299" t="str">
            <v>维生素E软胶囊30粒</v>
          </cell>
        </row>
        <row r="5300">
          <cell r="E5300" t="str">
            <v>0020040070ZYEC0005</v>
          </cell>
          <cell r="H5300" t="str">
            <v>邹平县方正医药有限公司</v>
          </cell>
          <cell r="J5300" t="str">
            <v>1859</v>
          </cell>
          <cell r="K5300" t="str">
            <v>201602151421097</v>
          </cell>
          <cell r="M5300" t="str">
            <v>小儿百部止咳糖浆100ml</v>
          </cell>
        </row>
        <row r="5301">
          <cell r="E5301" t="str">
            <v>0020020012SWGC0007</v>
          </cell>
          <cell r="H5301" t="str">
            <v>昌乐县白塔卫生院</v>
          </cell>
          <cell r="J5301" t="str">
            <v>1778</v>
          </cell>
          <cell r="M5301" t="str">
            <v>注射用奥美拉唑钠40mg</v>
          </cell>
        </row>
        <row r="5302">
          <cell r="E5302" t="str">
            <v>0020020012SWGC0007</v>
          </cell>
          <cell r="H5302" t="str">
            <v>乐陵市花园镇卫生院</v>
          </cell>
          <cell r="J5302" t="str">
            <v>1841</v>
          </cell>
          <cell r="M5302" t="str">
            <v>注射用奥美拉唑钠40mg</v>
          </cell>
        </row>
        <row r="5303">
          <cell r="E5303" t="str">
            <v>0020020012SWGC0007</v>
          </cell>
          <cell r="H5303" t="str">
            <v>乐陵市西段乡卫生院</v>
          </cell>
          <cell r="J5303" t="str">
            <v>1841</v>
          </cell>
          <cell r="M5303" t="str">
            <v>注射用奥美拉唑钠40mg</v>
          </cell>
        </row>
        <row r="5304">
          <cell r="E5304" t="str">
            <v>0020020012SWGC0007</v>
          </cell>
          <cell r="H5304" t="str">
            <v>昌乐县鄌郚中心卫生院</v>
          </cell>
          <cell r="J5304" t="str">
            <v>1778</v>
          </cell>
          <cell r="M5304" t="str">
            <v>注射用奥美拉唑钠40mg</v>
          </cell>
        </row>
        <row r="5305">
          <cell r="E5305" t="str">
            <v>0020020012SWGC0007</v>
          </cell>
          <cell r="H5305" t="str">
            <v>济阳县垛石镇中心卫生院</v>
          </cell>
          <cell r="J5305" t="str">
            <v>1723</v>
          </cell>
          <cell r="M5305" t="str">
            <v>注射用奥美拉唑钠40mg</v>
          </cell>
        </row>
        <row r="5306">
          <cell r="E5306" t="str">
            <v>0020020012SWGC0007</v>
          </cell>
          <cell r="H5306" t="str">
            <v>乐陵市郑店镇中心卫生院</v>
          </cell>
          <cell r="J5306" t="str">
            <v>1841</v>
          </cell>
          <cell r="M5306" t="str">
            <v>注射用奥美拉唑钠40mg</v>
          </cell>
        </row>
        <row r="5307">
          <cell r="E5307" t="str">
            <v>0020020012SWGC0007</v>
          </cell>
          <cell r="H5307" t="str">
            <v>宁津县柴胡店中心卫生院</v>
          </cell>
          <cell r="J5307" t="str">
            <v>1834</v>
          </cell>
          <cell r="M5307" t="str">
            <v>注射用奥美拉唑钠40mg</v>
          </cell>
        </row>
        <row r="5308">
          <cell r="E5308" t="str">
            <v>0020020012SWGC0007</v>
          </cell>
          <cell r="H5308" t="str">
            <v>齐河县表白寺镇中心卫生院</v>
          </cell>
          <cell r="J5308" t="str">
            <v>1837</v>
          </cell>
          <cell r="M5308" t="str">
            <v>注射用奥美拉唑钠40mg</v>
          </cell>
        </row>
        <row r="5309">
          <cell r="E5309" t="str">
            <v>0020020012SWGC0007</v>
          </cell>
          <cell r="H5309" t="str">
            <v>乐陵市孔镇镇张桥社区卫生服务中心</v>
          </cell>
          <cell r="J5309" t="str">
            <v>1841</v>
          </cell>
          <cell r="M5309" t="str">
            <v>注射用奥美拉唑钠40mg</v>
          </cell>
        </row>
        <row r="5310">
          <cell r="E5310" t="str">
            <v>0020020012SWGC0007</v>
          </cell>
          <cell r="H5310" t="str">
            <v>开发区土桥卫生院</v>
          </cell>
          <cell r="J5310" t="str">
            <v>1833</v>
          </cell>
          <cell r="M5310" t="str">
            <v>注射用奥美拉唑钠40mg</v>
          </cell>
        </row>
        <row r="5311">
          <cell r="E5311" t="str">
            <v>0020020012SWGC0007</v>
          </cell>
          <cell r="H5311" t="str">
            <v>陵县前孙镇卫生院</v>
          </cell>
          <cell r="J5311" t="str">
            <v>1833</v>
          </cell>
          <cell r="M5311" t="str">
            <v>注射用奥美拉唑钠40mg</v>
          </cell>
        </row>
        <row r="5312">
          <cell r="E5312" t="str">
            <v>0020020012SWGC0007</v>
          </cell>
          <cell r="H5312" t="str">
            <v>陵城区陵城镇卫生院</v>
          </cell>
          <cell r="J5312" t="str">
            <v>1833</v>
          </cell>
          <cell r="M5312" t="str">
            <v>注射用奥美拉唑钠40mg</v>
          </cell>
        </row>
        <row r="5313">
          <cell r="E5313" t="str">
            <v>0020020012SWGC0007</v>
          </cell>
          <cell r="H5313" t="str">
            <v>陵城区神头镇卫生院</v>
          </cell>
          <cell r="J5313" t="str">
            <v>1833</v>
          </cell>
          <cell r="M5313" t="str">
            <v>注射用奥美拉唑钠40mg</v>
          </cell>
        </row>
        <row r="5314">
          <cell r="E5314" t="str">
            <v>0020020012SWGC0007</v>
          </cell>
          <cell r="H5314" t="str">
            <v>新泰市东都镇卫生院</v>
          </cell>
          <cell r="J5314" t="str">
            <v>1803</v>
          </cell>
          <cell r="M5314" t="str">
            <v>注射用奥美拉唑钠40mg</v>
          </cell>
        </row>
        <row r="5315">
          <cell r="E5315" t="str">
            <v>0020020012SWGC0007</v>
          </cell>
          <cell r="H5315" t="str">
            <v>新泰市宫里镇卫生院</v>
          </cell>
          <cell r="J5315" t="str">
            <v>1803</v>
          </cell>
          <cell r="M5315" t="str">
            <v>注射用奥美拉唑钠40mg</v>
          </cell>
        </row>
        <row r="5316">
          <cell r="E5316" t="str">
            <v>0020020012SWGC0007</v>
          </cell>
          <cell r="H5316" t="str">
            <v>德州市陵城区糜镇卫生院</v>
          </cell>
          <cell r="J5316" t="str">
            <v>1833</v>
          </cell>
          <cell r="M5316" t="str">
            <v>注射用奥美拉唑钠40mg</v>
          </cell>
        </row>
        <row r="5317">
          <cell r="E5317" t="str">
            <v>0020020012SWGC0007</v>
          </cell>
          <cell r="H5317" t="str">
            <v>新泰市新汶街道社区卫生服务中心</v>
          </cell>
          <cell r="J5317" t="str">
            <v>1803</v>
          </cell>
          <cell r="M5317" t="str">
            <v>注射用奥美拉唑钠40mg</v>
          </cell>
        </row>
        <row r="5318">
          <cell r="E5318" t="str">
            <v>0020020012SWGC0007</v>
          </cell>
          <cell r="H5318" t="str">
            <v>庆云县庆云镇卫生院</v>
          </cell>
          <cell r="J5318" t="str">
            <v>1835</v>
          </cell>
          <cell r="M5318" t="str">
            <v>注射用奥美拉唑钠40mg</v>
          </cell>
        </row>
        <row r="5319">
          <cell r="E5319" t="str">
            <v>0020020012SWGC0007</v>
          </cell>
          <cell r="H5319" t="str">
            <v>德州市陵城区义渡口镇中心卫生院</v>
          </cell>
          <cell r="J5319" t="str">
            <v>1833</v>
          </cell>
          <cell r="M5319" t="str">
            <v>注射用奥美拉唑钠40mg</v>
          </cell>
        </row>
        <row r="5320">
          <cell r="E5320" t="str">
            <v>0020020012SWGC0007</v>
          </cell>
          <cell r="H5320" t="str">
            <v>陵城区宋家镇黄集卫生院</v>
          </cell>
          <cell r="J5320" t="str">
            <v>1833</v>
          </cell>
          <cell r="M5320" t="str">
            <v>注射用奥美拉唑钠40mg</v>
          </cell>
        </row>
        <row r="5321">
          <cell r="E5321" t="str">
            <v>0020020012SWGC0007</v>
          </cell>
          <cell r="H5321" t="str">
            <v>济南市槐荫区青年公园办事处岔路街社区卫生服务站</v>
          </cell>
          <cell r="J5321" t="str">
            <v>1718</v>
          </cell>
          <cell r="M5321" t="str">
            <v>注射用奥美拉唑钠40mg</v>
          </cell>
        </row>
        <row r="5322">
          <cell r="E5322" t="str">
            <v>0020030040SJET0003</v>
          </cell>
          <cell r="H5322" t="str">
            <v>连锁49店</v>
          </cell>
          <cell r="J5322" t="str">
            <v>1859</v>
          </cell>
          <cell r="K5322" t="str">
            <v>201602151421097</v>
          </cell>
          <cell r="M5322" t="str">
            <v>氨金黄敏颗粒6g*10袋/盒</v>
          </cell>
        </row>
        <row r="5323">
          <cell r="E5323" t="str">
            <v>0020030040SJET0003</v>
          </cell>
          <cell r="H5323" t="str">
            <v>连锁46店</v>
          </cell>
          <cell r="J5323" t="str">
            <v>1859</v>
          </cell>
          <cell r="K5323" t="str">
            <v>201602151421097</v>
          </cell>
          <cell r="M5323" t="str">
            <v>氨金黄敏颗粒6g*10袋/盒</v>
          </cell>
        </row>
        <row r="5324">
          <cell r="E5324" t="str">
            <v>0020030040ZYLC0001</v>
          </cell>
          <cell r="H5324" t="str">
            <v>连锁46店</v>
          </cell>
          <cell r="J5324" t="str">
            <v>1859</v>
          </cell>
          <cell r="K5324" t="str">
            <v>201602151421097</v>
          </cell>
          <cell r="M5324" t="str">
            <v>护彤*小儿氨酚黄那敏颗粒12袋</v>
          </cell>
        </row>
        <row r="5325">
          <cell r="E5325" t="str">
            <v>0020050090SJZY0001</v>
          </cell>
          <cell r="H5325" t="str">
            <v>连锁31店</v>
          </cell>
          <cell r="J5325" t="str">
            <v>1859</v>
          </cell>
          <cell r="K5325" t="str">
            <v>201602151421097</v>
          </cell>
          <cell r="M5325" t="str">
            <v>双黄连口服液10ml*10</v>
          </cell>
        </row>
        <row r="5326">
          <cell r="E5326" t="str">
            <v>0020030001SJZY0009</v>
          </cell>
          <cell r="H5326" t="str">
            <v>滨1店</v>
          </cell>
          <cell r="J5326" t="str">
            <v>1853</v>
          </cell>
          <cell r="K5326" t="str">
            <v>201602151421097</v>
          </cell>
          <cell r="M5326" t="str">
            <v>葡萄糖酸锌口服液12支/盒</v>
          </cell>
        </row>
        <row r="5327">
          <cell r="E5327" t="str">
            <v>0020050090SJZY0001</v>
          </cell>
          <cell r="H5327" t="str">
            <v>连锁4店</v>
          </cell>
          <cell r="J5327" t="str">
            <v>1859</v>
          </cell>
          <cell r="K5327" t="str">
            <v>201602151421097</v>
          </cell>
          <cell r="M5327" t="str">
            <v>双黄连口服液10ml*10</v>
          </cell>
        </row>
        <row r="5328">
          <cell r="E5328" t="str">
            <v>0020030020SJSC0004</v>
          </cell>
          <cell r="H5328" t="str">
            <v>连锁4店</v>
          </cell>
          <cell r="J5328" t="str">
            <v>1859</v>
          </cell>
          <cell r="K5328" t="str">
            <v>201602151421097</v>
          </cell>
          <cell r="M5328" t="str">
            <v>胃必治*复方铝酸铋片50片</v>
          </cell>
        </row>
        <row r="5329">
          <cell r="E5329" t="str">
            <v>0020030032ZYZC0300</v>
          </cell>
          <cell r="H5329" t="str">
            <v>连锁37店</v>
          </cell>
          <cell r="J5329" t="str">
            <v>1859</v>
          </cell>
          <cell r="K5329" t="str">
            <v>201602151421097</v>
          </cell>
          <cell r="M5329" t="str">
            <v>维生素E软胶囊100mg*30粒</v>
          </cell>
        </row>
        <row r="5330">
          <cell r="E5330" t="str">
            <v>0020070000ZYLC0052</v>
          </cell>
          <cell r="H5330" t="str">
            <v>连锁46店</v>
          </cell>
          <cell r="J5330" t="str">
            <v>1859</v>
          </cell>
          <cell r="K5330" t="str">
            <v>201602151421097</v>
          </cell>
          <cell r="M5330" t="str">
            <v>钙加锌口服液10ml*12支</v>
          </cell>
        </row>
        <row r="5331">
          <cell r="E5331" t="str">
            <v>0020070000ZYLC0001</v>
          </cell>
          <cell r="H5331" t="str">
            <v>连锁46店</v>
          </cell>
          <cell r="J5331" t="str">
            <v>1859</v>
          </cell>
          <cell r="K5331" t="str">
            <v>201602151421097</v>
          </cell>
          <cell r="M5331" t="str">
            <v>高钙片36片</v>
          </cell>
        </row>
        <row r="5332">
          <cell r="E5332" t="str">
            <v>0020070001ZYZC0383</v>
          </cell>
          <cell r="H5332" t="str">
            <v>连锁46店</v>
          </cell>
          <cell r="J5332" t="str">
            <v>1859</v>
          </cell>
          <cell r="K5332" t="str">
            <v>201602151421097</v>
          </cell>
          <cell r="M5332" t="str">
            <v>哈药牌钙铁锌口服液10ml*10支</v>
          </cell>
        </row>
        <row r="5333">
          <cell r="E5333" t="str">
            <v>0020020021ZYLC0004</v>
          </cell>
          <cell r="H5333" t="str">
            <v>连锁46店</v>
          </cell>
          <cell r="J5333" t="str">
            <v>1859</v>
          </cell>
          <cell r="K5333" t="str">
            <v>201602151421097</v>
          </cell>
          <cell r="M5333" t="str">
            <v>严迪*罗红霉素分散片75mg*12</v>
          </cell>
        </row>
        <row r="5334">
          <cell r="E5334" t="str">
            <v>0020020021ZYLC0010</v>
          </cell>
          <cell r="H5334" t="str">
            <v>连锁46店</v>
          </cell>
          <cell r="J5334" t="str">
            <v>1859</v>
          </cell>
          <cell r="K5334" t="str">
            <v>201602151421097</v>
          </cell>
          <cell r="M5334" t="str">
            <v>长迪*克拉霉素分散片12片</v>
          </cell>
        </row>
        <row r="5335">
          <cell r="E5335" t="str">
            <v>0020030001SJZY0009</v>
          </cell>
          <cell r="H5335" t="str">
            <v>连锁46店</v>
          </cell>
          <cell r="J5335" t="str">
            <v>1859</v>
          </cell>
          <cell r="K5335" t="str">
            <v>201602151421097</v>
          </cell>
          <cell r="M5335" t="str">
            <v>葡萄糖酸锌口服液12支/盒</v>
          </cell>
        </row>
        <row r="5336">
          <cell r="E5336" t="str">
            <v>0020050090SJZY0001</v>
          </cell>
          <cell r="H5336" t="str">
            <v>连锁46店</v>
          </cell>
          <cell r="J5336" t="str">
            <v>1859</v>
          </cell>
          <cell r="K5336" t="str">
            <v>201602151421097</v>
          </cell>
          <cell r="M5336" t="str">
            <v>双黄连口服液10ml*10</v>
          </cell>
        </row>
        <row r="5337">
          <cell r="E5337" t="str">
            <v>0020030020SJSC0004</v>
          </cell>
          <cell r="H5337" t="str">
            <v>连锁24店</v>
          </cell>
          <cell r="J5337" t="str">
            <v>1859</v>
          </cell>
          <cell r="K5337" t="str">
            <v>201602151421097</v>
          </cell>
          <cell r="M5337" t="str">
            <v>胃必治*复方铝酸铋片50片</v>
          </cell>
        </row>
        <row r="5338">
          <cell r="E5338" t="str">
            <v>0020070001ZYZC0383</v>
          </cell>
          <cell r="H5338" t="str">
            <v>连锁3店</v>
          </cell>
          <cell r="J5338" t="str">
            <v>1859</v>
          </cell>
          <cell r="K5338" t="str">
            <v>201602151421097</v>
          </cell>
          <cell r="M5338" t="str">
            <v>哈药牌钙铁锌口服液10ml*10支</v>
          </cell>
        </row>
        <row r="5339">
          <cell r="E5339" t="str">
            <v>0020050090SJZY0001</v>
          </cell>
          <cell r="H5339" t="str">
            <v>连锁3店</v>
          </cell>
          <cell r="J5339" t="str">
            <v>1859</v>
          </cell>
          <cell r="K5339" t="str">
            <v>201602151421097</v>
          </cell>
          <cell r="M5339" t="str">
            <v>双黄连口服液10ml*10</v>
          </cell>
        </row>
        <row r="5340">
          <cell r="E5340" t="str">
            <v>0020030040SJET0003</v>
          </cell>
          <cell r="H5340" t="str">
            <v>连锁5店</v>
          </cell>
          <cell r="J5340" t="str">
            <v>1859</v>
          </cell>
          <cell r="K5340" t="str">
            <v>201602151421097</v>
          </cell>
          <cell r="M5340" t="str">
            <v>氨金黄敏颗粒6g*10袋/盒</v>
          </cell>
        </row>
        <row r="5341">
          <cell r="E5341" t="str">
            <v>0020050090SJZY0001</v>
          </cell>
          <cell r="H5341" t="str">
            <v>连锁29店</v>
          </cell>
          <cell r="J5341" t="str">
            <v>1859</v>
          </cell>
          <cell r="K5341" t="str">
            <v>201602151421097</v>
          </cell>
          <cell r="M5341" t="str">
            <v>双黄连口服液10ml*10</v>
          </cell>
        </row>
        <row r="5342">
          <cell r="E5342" t="str">
            <v>0020030032ZYZC0300</v>
          </cell>
          <cell r="H5342" t="str">
            <v>连锁39店</v>
          </cell>
          <cell r="J5342" t="str">
            <v>1859</v>
          </cell>
          <cell r="K5342" t="str">
            <v>201602151421097</v>
          </cell>
          <cell r="M5342" t="str">
            <v>维生素E软胶囊100mg*30粒</v>
          </cell>
        </row>
        <row r="5343">
          <cell r="E5343" t="str">
            <v>0020070001ZYZC0383</v>
          </cell>
          <cell r="H5343" t="str">
            <v>连锁39店</v>
          </cell>
          <cell r="J5343" t="str">
            <v>1859</v>
          </cell>
          <cell r="K5343" t="str">
            <v>201602151421097</v>
          </cell>
          <cell r="M5343" t="str">
            <v>哈药牌钙铁锌口服液10ml*10支</v>
          </cell>
        </row>
        <row r="5344">
          <cell r="E5344" t="str">
            <v>0020020021ZYLC0004</v>
          </cell>
          <cell r="H5344" t="str">
            <v>连锁39店</v>
          </cell>
          <cell r="J5344" t="str">
            <v>1859</v>
          </cell>
          <cell r="K5344" t="str">
            <v>201602151421097</v>
          </cell>
          <cell r="M5344" t="str">
            <v>严迪*罗红霉素分散片75mg*12</v>
          </cell>
        </row>
        <row r="5345">
          <cell r="E5345" t="str">
            <v>0020030032ZYZC0300</v>
          </cell>
          <cell r="H5345" t="str">
            <v>连锁34店</v>
          </cell>
          <cell r="J5345" t="str">
            <v>1859</v>
          </cell>
          <cell r="K5345" t="str">
            <v>201602151421097</v>
          </cell>
          <cell r="M5345" t="str">
            <v>维生素E软胶囊100mg*30粒</v>
          </cell>
        </row>
        <row r="5346">
          <cell r="E5346" t="str">
            <v>0020030040SJET0003</v>
          </cell>
          <cell r="H5346" t="str">
            <v>连锁34店</v>
          </cell>
          <cell r="J5346" t="str">
            <v>1859</v>
          </cell>
          <cell r="K5346" t="str">
            <v>201602151421097</v>
          </cell>
          <cell r="M5346" t="str">
            <v>氨金黄敏颗粒6g*10袋/盒</v>
          </cell>
        </row>
        <row r="5347">
          <cell r="E5347" t="str">
            <v>0020020021ZYLC0010</v>
          </cell>
          <cell r="H5347" t="str">
            <v>连锁50店</v>
          </cell>
          <cell r="J5347" t="str">
            <v>1859</v>
          </cell>
          <cell r="K5347" t="str">
            <v>201602151421097</v>
          </cell>
          <cell r="M5347" t="str">
            <v>长迪*克拉霉素分散片12片</v>
          </cell>
        </row>
        <row r="5348">
          <cell r="E5348" t="str">
            <v>0020070001ZYZC0383</v>
          </cell>
          <cell r="H5348" t="str">
            <v>连锁49店</v>
          </cell>
          <cell r="J5348" t="str">
            <v>1859</v>
          </cell>
          <cell r="K5348" t="str">
            <v>201602151421097</v>
          </cell>
          <cell r="M5348" t="str">
            <v>哈药牌钙铁锌口服液10ml*10支</v>
          </cell>
        </row>
        <row r="5349">
          <cell r="E5349" t="str">
            <v>0020030001SJZY0006</v>
          </cell>
          <cell r="H5349" t="str">
            <v>连锁49店</v>
          </cell>
          <cell r="J5349" t="str">
            <v>1859</v>
          </cell>
          <cell r="K5349" t="str">
            <v>201602151421097</v>
          </cell>
          <cell r="M5349" t="str">
            <v>葡萄糖酸钙口服液12支/盒</v>
          </cell>
        </row>
        <row r="5350">
          <cell r="E5350" t="str">
            <v>0020050090SJZY0001</v>
          </cell>
          <cell r="H5350" t="str">
            <v>连锁49店</v>
          </cell>
          <cell r="J5350" t="str">
            <v>1859</v>
          </cell>
          <cell r="K5350" t="str">
            <v>201602151421097</v>
          </cell>
          <cell r="M5350" t="str">
            <v>双黄连口服液10ml*10</v>
          </cell>
        </row>
        <row r="5351">
          <cell r="E5351" t="str">
            <v>0020070001ZYZC0383</v>
          </cell>
          <cell r="H5351" t="str">
            <v>连锁40店</v>
          </cell>
          <cell r="J5351" t="str">
            <v>1859</v>
          </cell>
          <cell r="K5351" t="str">
            <v>201602151421097</v>
          </cell>
          <cell r="M5351" t="str">
            <v>哈药牌钙铁锌口服液10ml*10支</v>
          </cell>
        </row>
        <row r="5352">
          <cell r="E5352" t="str">
            <v>0020040220SHYT0004</v>
          </cell>
          <cell r="H5352" t="str">
            <v>连锁43店</v>
          </cell>
          <cell r="J5352" t="str">
            <v>1859</v>
          </cell>
          <cell r="K5352" t="str">
            <v>201602151421097</v>
          </cell>
          <cell r="M5352" t="str">
            <v>妇宁栓1.6g*8粒</v>
          </cell>
        </row>
        <row r="5353">
          <cell r="E5353" t="str">
            <v>0020070000ZYLC0001</v>
          </cell>
          <cell r="H5353" t="str">
            <v>连锁16店</v>
          </cell>
          <cell r="J5353" t="str">
            <v>1859</v>
          </cell>
          <cell r="K5353" t="str">
            <v>201602151421097</v>
          </cell>
          <cell r="M5353" t="str">
            <v>高钙片36片</v>
          </cell>
        </row>
        <row r="5354">
          <cell r="E5354" t="str">
            <v>0020070001ZYZC0383</v>
          </cell>
          <cell r="H5354" t="str">
            <v>连锁16店</v>
          </cell>
          <cell r="J5354" t="str">
            <v>1859</v>
          </cell>
          <cell r="K5354" t="str">
            <v>201602151421097</v>
          </cell>
          <cell r="M5354" t="str">
            <v>哈药牌钙铁锌口服液10ml*10支</v>
          </cell>
        </row>
        <row r="5355">
          <cell r="E5355" t="str">
            <v>0020030020SJSC0004</v>
          </cell>
          <cell r="H5355" t="str">
            <v>滨6店</v>
          </cell>
          <cell r="J5355" t="str">
            <v>1853</v>
          </cell>
          <cell r="K5355" t="str">
            <v>201602151421097</v>
          </cell>
          <cell r="M5355" t="str">
            <v>胃必治*复方铝酸铋片50片</v>
          </cell>
        </row>
        <row r="5356">
          <cell r="E5356" t="str">
            <v>0020070000ZYLC0001</v>
          </cell>
          <cell r="H5356" t="str">
            <v>连锁4店</v>
          </cell>
          <cell r="J5356" t="str">
            <v>1859</v>
          </cell>
          <cell r="K5356" t="str">
            <v>201602151421097</v>
          </cell>
          <cell r="M5356" t="str">
            <v>高钙片36片</v>
          </cell>
        </row>
        <row r="5357">
          <cell r="E5357" t="str">
            <v>0020020021ZYLC0005</v>
          </cell>
          <cell r="H5357" t="str">
            <v>连锁14店</v>
          </cell>
          <cell r="J5357" t="str">
            <v>1859</v>
          </cell>
          <cell r="K5357" t="str">
            <v>201602151421097</v>
          </cell>
          <cell r="M5357" t="str">
            <v>罗红霉素分散片-小严迪12片/盒</v>
          </cell>
        </row>
        <row r="5358">
          <cell r="E5358" t="str">
            <v>0020020021ZYLC0005</v>
          </cell>
          <cell r="H5358" t="str">
            <v>连锁12店</v>
          </cell>
          <cell r="J5358" t="str">
            <v>1859</v>
          </cell>
          <cell r="K5358" t="str">
            <v>201602151421097</v>
          </cell>
          <cell r="M5358" t="str">
            <v>罗红霉素分散片-小严迪12片/盒</v>
          </cell>
        </row>
        <row r="5359">
          <cell r="E5359" t="str">
            <v>0020030001SJZY0009</v>
          </cell>
          <cell r="H5359" t="str">
            <v>连锁3店</v>
          </cell>
          <cell r="J5359" t="str">
            <v>1859</v>
          </cell>
          <cell r="K5359" t="str">
            <v>201602151421097</v>
          </cell>
          <cell r="M5359" t="str">
            <v>葡萄糖酸锌口服液12支/盒</v>
          </cell>
        </row>
        <row r="5360">
          <cell r="E5360" t="str">
            <v>0020070001ZYZC0383</v>
          </cell>
          <cell r="H5360" t="str">
            <v>连锁1店</v>
          </cell>
          <cell r="J5360" t="str">
            <v>1859</v>
          </cell>
          <cell r="K5360" t="str">
            <v>201602151421097</v>
          </cell>
          <cell r="M5360" t="str">
            <v>哈药牌钙铁锌口服液10ml*10支</v>
          </cell>
        </row>
        <row r="5361">
          <cell r="E5361" t="str">
            <v>0020050090SJZY0001</v>
          </cell>
          <cell r="H5361" t="str">
            <v>连锁1店</v>
          </cell>
          <cell r="J5361" t="str">
            <v>1859</v>
          </cell>
          <cell r="K5361" t="str">
            <v>201602151421097</v>
          </cell>
          <cell r="M5361" t="str">
            <v>双黄连口服液10ml*10</v>
          </cell>
        </row>
        <row r="5362">
          <cell r="E5362" t="str">
            <v>0020020021ZYLC0010</v>
          </cell>
          <cell r="H5362" t="str">
            <v>连锁23店</v>
          </cell>
          <cell r="J5362" t="str">
            <v>1859</v>
          </cell>
          <cell r="K5362" t="str">
            <v>201602151421097</v>
          </cell>
          <cell r="M5362" t="str">
            <v>长迪*克拉霉素分散片12片</v>
          </cell>
        </row>
        <row r="5363">
          <cell r="E5363" t="str">
            <v>0020020021ZYLC0005</v>
          </cell>
          <cell r="H5363" t="str">
            <v>连锁7店</v>
          </cell>
          <cell r="J5363" t="str">
            <v>1859</v>
          </cell>
          <cell r="K5363" t="str">
            <v>201602151421097</v>
          </cell>
          <cell r="M5363" t="str">
            <v>罗红霉素分散片-小严迪12片/盒</v>
          </cell>
        </row>
        <row r="5364">
          <cell r="E5364" t="str">
            <v>0020020021ZYLC0010</v>
          </cell>
          <cell r="H5364" t="str">
            <v>连锁48店</v>
          </cell>
          <cell r="J5364" t="str">
            <v>1859</v>
          </cell>
          <cell r="K5364" t="str">
            <v>201602151421097</v>
          </cell>
          <cell r="M5364" t="str">
            <v>长迪*克拉霉素分散片12片</v>
          </cell>
        </row>
        <row r="5365">
          <cell r="E5365" t="str">
            <v>0020020021ZYLC0005</v>
          </cell>
          <cell r="H5365" t="str">
            <v>连锁35店</v>
          </cell>
          <cell r="J5365" t="str">
            <v>1859</v>
          </cell>
          <cell r="K5365" t="str">
            <v>201602151421097</v>
          </cell>
          <cell r="M5365" t="str">
            <v>罗红霉素分散片-小严迪12片/盒</v>
          </cell>
        </row>
        <row r="5366">
          <cell r="E5366" t="str">
            <v>0020020021ZYLC0005</v>
          </cell>
          <cell r="H5366" t="str">
            <v>连锁31店</v>
          </cell>
          <cell r="J5366" t="str">
            <v>1859</v>
          </cell>
          <cell r="K5366" t="str">
            <v>201602151421097</v>
          </cell>
          <cell r="M5366" t="str">
            <v>罗红霉素分散片-小严迪12片/盒</v>
          </cell>
        </row>
        <row r="5367">
          <cell r="E5367" t="str">
            <v>0020070000ZYLC0052</v>
          </cell>
          <cell r="H5367" t="str">
            <v>连锁31店</v>
          </cell>
          <cell r="J5367" t="str">
            <v>1859</v>
          </cell>
          <cell r="K5367" t="str">
            <v>201602151421097</v>
          </cell>
          <cell r="M5367" t="str">
            <v>钙加锌口服液10ml*12支</v>
          </cell>
        </row>
        <row r="5368">
          <cell r="E5368" t="str">
            <v>0020020030ZYZC0289</v>
          </cell>
          <cell r="H5368" t="str">
            <v>滨3店</v>
          </cell>
          <cell r="J5368" t="str">
            <v>1853</v>
          </cell>
          <cell r="K5368" t="str">
            <v>201602151421097</v>
          </cell>
          <cell r="M5368" t="str">
            <v>阿莫西林胶囊0.5g*36粒</v>
          </cell>
        </row>
        <row r="5369">
          <cell r="E5369" t="str">
            <v>0020070001ZYZC0383</v>
          </cell>
          <cell r="H5369" t="str">
            <v>连锁34店</v>
          </cell>
          <cell r="J5369" t="str">
            <v>1859</v>
          </cell>
          <cell r="K5369" t="str">
            <v>201602151421097</v>
          </cell>
          <cell r="M5369" t="str">
            <v>哈药牌钙铁锌口服液10ml*10支</v>
          </cell>
        </row>
        <row r="5370">
          <cell r="E5370" t="str">
            <v>0020020021ZYLC0005</v>
          </cell>
          <cell r="H5370" t="str">
            <v>滨11店</v>
          </cell>
          <cell r="J5370" t="str">
            <v>1853</v>
          </cell>
          <cell r="K5370" t="str">
            <v>201602151421097</v>
          </cell>
          <cell r="M5370" t="str">
            <v>罗红霉素分散片-小严迪12片/盒</v>
          </cell>
        </row>
        <row r="5371">
          <cell r="E5371" t="str">
            <v>0020030040SJET0003</v>
          </cell>
          <cell r="H5371" t="str">
            <v>连锁12店</v>
          </cell>
          <cell r="J5371" t="str">
            <v>1859</v>
          </cell>
          <cell r="K5371" t="str">
            <v>201602151421097</v>
          </cell>
          <cell r="M5371" t="str">
            <v>氨金黄敏颗粒6g*10袋/盒</v>
          </cell>
        </row>
        <row r="5372">
          <cell r="E5372" t="str">
            <v>0020020021ZYLC0005</v>
          </cell>
          <cell r="H5372" t="str">
            <v>连锁47店</v>
          </cell>
          <cell r="J5372" t="str">
            <v>1859</v>
          </cell>
          <cell r="K5372" t="str">
            <v>201602151421097</v>
          </cell>
          <cell r="M5372" t="str">
            <v>罗红霉素分散片-小严迪12片/盒</v>
          </cell>
        </row>
        <row r="5373">
          <cell r="E5373" t="str">
            <v>0020050090SJZY0001</v>
          </cell>
          <cell r="H5373" t="str">
            <v>连锁14店</v>
          </cell>
          <cell r="J5373" t="str">
            <v>1859</v>
          </cell>
          <cell r="K5373" t="str">
            <v>201602151421097</v>
          </cell>
          <cell r="M5373" t="str">
            <v>双黄连口服液10ml*10</v>
          </cell>
        </row>
        <row r="5374">
          <cell r="E5374" t="str">
            <v>0020050090SJZY0001</v>
          </cell>
          <cell r="H5374" t="str">
            <v>连锁45店</v>
          </cell>
          <cell r="J5374" t="str">
            <v>1859</v>
          </cell>
          <cell r="K5374" t="str">
            <v>201602151421097</v>
          </cell>
          <cell r="M5374" t="str">
            <v>双黄连口服液10ml*10</v>
          </cell>
        </row>
        <row r="5375">
          <cell r="E5375" t="str">
            <v>0020030040ZYLC0001</v>
          </cell>
          <cell r="H5375" t="str">
            <v>连锁23店</v>
          </cell>
          <cell r="J5375" t="str">
            <v>1859</v>
          </cell>
          <cell r="K5375" t="str">
            <v>201602151421097</v>
          </cell>
          <cell r="M5375" t="str">
            <v>护彤*小儿氨酚黄那敏颗粒12袋</v>
          </cell>
        </row>
        <row r="5376">
          <cell r="E5376" t="str">
            <v>0020020021ZYZC0341</v>
          </cell>
          <cell r="H5376" t="str">
            <v>连锁13店</v>
          </cell>
          <cell r="J5376" t="str">
            <v>1859</v>
          </cell>
          <cell r="K5376" t="str">
            <v>201602151421097</v>
          </cell>
          <cell r="M5376" t="str">
            <v>胜艾*阿莫西林克拉维酸钾分散片0.2285g*12pian</v>
          </cell>
        </row>
        <row r="5377">
          <cell r="E5377" t="str">
            <v>0020020021ZYZC0341</v>
          </cell>
          <cell r="H5377" t="str">
            <v>连锁2店</v>
          </cell>
          <cell r="J5377" t="str">
            <v>1859</v>
          </cell>
          <cell r="K5377" t="str">
            <v>201602151421097</v>
          </cell>
          <cell r="M5377" t="str">
            <v>胜艾*阿莫西林克拉维酸钾分散片0.2285g*12pian</v>
          </cell>
        </row>
        <row r="5378">
          <cell r="E5378" t="str">
            <v>0020020021ZYZC0341</v>
          </cell>
          <cell r="H5378" t="str">
            <v>连锁29店</v>
          </cell>
          <cell r="J5378" t="str">
            <v>1859</v>
          </cell>
          <cell r="K5378" t="str">
            <v>201602151421097</v>
          </cell>
          <cell r="M5378" t="str">
            <v>胜艾*阿莫西林克拉维酸钾分散片0.2285g*12pian</v>
          </cell>
        </row>
        <row r="5379">
          <cell r="E5379" t="str">
            <v>0020030001SJZY0009</v>
          </cell>
          <cell r="H5379" t="str">
            <v>连锁28店</v>
          </cell>
          <cell r="J5379" t="str">
            <v>1859</v>
          </cell>
          <cell r="K5379" t="str">
            <v>201602151421097</v>
          </cell>
          <cell r="M5379" t="str">
            <v>葡萄糖酸锌口服液12支/盒</v>
          </cell>
        </row>
        <row r="5380">
          <cell r="E5380" t="str">
            <v>0020050090SJZY0001</v>
          </cell>
          <cell r="H5380" t="str">
            <v>连锁25店</v>
          </cell>
          <cell r="J5380" t="str">
            <v>1859</v>
          </cell>
          <cell r="K5380" t="str">
            <v>201602151421097</v>
          </cell>
          <cell r="M5380" t="str">
            <v>双黄连口服液10ml*10</v>
          </cell>
        </row>
        <row r="5381">
          <cell r="E5381" t="str">
            <v>0020030040SJET0003</v>
          </cell>
          <cell r="H5381" t="str">
            <v>连锁35店</v>
          </cell>
          <cell r="J5381" t="str">
            <v>1859</v>
          </cell>
          <cell r="K5381" t="str">
            <v>201602151421097</v>
          </cell>
          <cell r="M5381" t="str">
            <v>氨金黄敏颗粒6g*10袋/盒</v>
          </cell>
        </row>
        <row r="5382">
          <cell r="E5382" t="str">
            <v>0020030040ZYLC0001</v>
          </cell>
          <cell r="H5382" t="str">
            <v>连锁31店</v>
          </cell>
          <cell r="J5382" t="str">
            <v>1859</v>
          </cell>
          <cell r="K5382" t="str">
            <v>201602151421097</v>
          </cell>
          <cell r="M5382" t="str">
            <v>护彤*小儿氨酚黄那敏颗粒12袋</v>
          </cell>
        </row>
        <row r="5383">
          <cell r="E5383" t="str">
            <v>0020030001SJZY0006</v>
          </cell>
          <cell r="H5383" t="str">
            <v>连锁31店</v>
          </cell>
          <cell r="J5383" t="str">
            <v>1859</v>
          </cell>
          <cell r="K5383" t="str">
            <v>201602151421097</v>
          </cell>
          <cell r="M5383" t="str">
            <v>葡萄糖酸钙口服液12支/盒</v>
          </cell>
        </row>
        <row r="5384">
          <cell r="E5384" t="str">
            <v>0020070001ZYZC0383</v>
          </cell>
          <cell r="H5384" t="str">
            <v>连锁26店</v>
          </cell>
          <cell r="J5384" t="str">
            <v>1859</v>
          </cell>
          <cell r="K5384" t="str">
            <v>201602151421097</v>
          </cell>
          <cell r="M5384" t="str">
            <v>哈药牌钙铁锌口服液10ml*10支</v>
          </cell>
        </row>
        <row r="5385">
          <cell r="E5385" t="str">
            <v>0020070001ZYZC0369</v>
          </cell>
          <cell r="H5385" t="str">
            <v>连锁50店</v>
          </cell>
          <cell r="J5385" t="str">
            <v>1859</v>
          </cell>
          <cell r="K5385" t="str">
            <v>201602151421097</v>
          </cell>
          <cell r="M5385" t="str">
            <v>哈药*钙铁锌口服液10ml*12支</v>
          </cell>
        </row>
        <row r="5386">
          <cell r="E5386" t="str">
            <v>0020040220SHYT0004</v>
          </cell>
          <cell r="H5386" t="str">
            <v>滨1店</v>
          </cell>
          <cell r="J5386" t="str">
            <v>1853</v>
          </cell>
          <cell r="K5386" t="str">
            <v>201602151421097</v>
          </cell>
          <cell r="M5386" t="str">
            <v>妇宁栓1.6g*8粒</v>
          </cell>
        </row>
        <row r="5387">
          <cell r="E5387" t="str">
            <v>0020030001SJZY0006</v>
          </cell>
          <cell r="H5387" t="str">
            <v>滨15店</v>
          </cell>
          <cell r="J5387" t="str">
            <v>1853</v>
          </cell>
          <cell r="K5387" t="str">
            <v>201602151421097</v>
          </cell>
          <cell r="M5387" t="str">
            <v>葡萄糖酸钙口服液12支/盒</v>
          </cell>
        </row>
        <row r="5388">
          <cell r="E5388" t="str">
            <v>0020020021ZYLC0004</v>
          </cell>
          <cell r="H5388" t="str">
            <v>滨16店</v>
          </cell>
          <cell r="J5388" t="str">
            <v>1853</v>
          </cell>
          <cell r="K5388" t="str">
            <v>201602151421097</v>
          </cell>
          <cell r="M5388" t="str">
            <v>严迪*罗红霉素分散片75mg*12</v>
          </cell>
        </row>
        <row r="5389">
          <cell r="E5389" t="str">
            <v>0020070001ZYZC0369</v>
          </cell>
          <cell r="H5389" t="str">
            <v>滨3店</v>
          </cell>
          <cell r="J5389" t="str">
            <v>1853</v>
          </cell>
          <cell r="K5389" t="str">
            <v>201602151421097</v>
          </cell>
          <cell r="M5389" t="str">
            <v>哈药*钙铁锌口服液10ml*12支</v>
          </cell>
        </row>
        <row r="5390">
          <cell r="E5390" t="str">
            <v>0020020030ZYZC0289</v>
          </cell>
          <cell r="H5390" t="str">
            <v>滨6店</v>
          </cell>
          <cell r="J5390" t="str">
            <v>1853</v>
          </cell>
          <cell r="K5390" t="str">
            <v>201602151421097</v>
          </cell>
          <cell r="M5390" t="str">
            <v>阿莫西林胶囊0.5g*36粒</v>
          </cell>
        </row>
        <row r="5391">
          <cell r="E5391" t="str">
            <v>0020030040ZYLC0001</v>
          </cell>
          <cell r="H5391" t="str">
            <v>连锁11店</v>
          </cell>
          <cell r="J5391" t="str">
            <v>1859</v>
          </cell>
          <cell r="K5391" t="str">
            <v>201602151421097</v>
          </cell>
          <cell r="M5391" t="str">
            <v>护彤*小儿氨酚黄那敏颗粒12袋</v>
          </cell>
        </row>
        <row r="5392">
          <cell r="E5392" t="str">
            <v>0020020030ZYZC0289</v>
          </cell>
          <cell r="H5392" t="str">
            <v>连锁43店</v>
          </cell>
          <cell r="J5392" t="str">
            <v>1859</v>
          </cell>
          <cell r="K5392" t="str">
            <v>201602151421097</v>
          </cell>
          <cell r="M5392" t="str">
            <v>阿莫西林胶囊0.5g*36粒</v>
          </cell>
        </row>
        <row r="5393">
          <cell r="E5393" t="str">
            <v>0020050090SJZY0001</v>
          </cell>
          <cell r="H5393" t="str">
            <v>连锁12店</v>
          </cell>
          <cell r="J5393" t="str">
            <v>1859</v>
          </cell>
          <cell r="K5393" t="str">
            <v>201602151421097</v>
          </cell>
          <cell r="M5393" t="str">
            <v>双黄连口服液10ml*10</v>
          </cell>
        </row>
        <row r="5394">
          <cell r="E5394" t="str">
            <v>0020030032ZYZC0300</v>
          </cell>
          <cell r="H5394" t="str">
            <v>连锁48店</v>
          </cell>
          <cell r="J5394" t="str">
            <v>1859</v>
          </cell>
          <cell r="K5394" t="str">
            <v>201602151421097</v>
          </cell>
          <cell r="M5394" t="str">
            <v>维生素E软胶囊100mg*30粒</v>
          </cell>
        </row>
        <row r="5395">
          <cell r="E5395" t="str">
            <v>0020020021ZYLC0004</v>
          </cell>
          <cell r="H5395" t="str">
            <v>连锁45店</v>
          </cell>
          <cell r="J5395" t="str">
            <v>1859</v>
          </cell>
          <cell r="K5395" t="str">
            <v>201602151421097</v>
          </cell>
          <cell r="M5395" t="str">
            <v>严迪*罗红霉素分散片75mg*12</v>
          </cell>
        </row>
        <row r="5396">
          <cell r="E5396" t="str">
            <v>0020020021ZYLC0005</v>
          </cell>
          <cell r="H5396" t="str">
            <v>连锁39店</v>
          </cell>
          <cell r="J5396" t="str">
            <v>1859</v>
          </cell>
          <cell r="K5396" t="str">
            <v>201602151421097</v>
          </cell>
          <cell r="M5396" t="str">
            <v>罗红霉素分散片-小严迪12片/盒</v>
          </cell>
        </row>
        <row r="5397">
          <cell r="E5397" t="str">
            <v>0020050090SJZY0001</v>
          </cell>
          <cell r="H5397" t="str">
            <v>滨6店</v>
          </cell>
          <cell r="J5397" t="str">
            <v>1853</v>
          </cell>
          <cell r="K5397" t="str">
            <v>201602151421097</v>
          </cell>
          <cell r="M5397" t="str">
            <v>双黄连口服液10ml*10</v>
          </cell>
        </row>
        <row r="5398">
          <cell r="E5398" t="str">
            <v>0020020021ZYLC0010</v>
          </cell>
          <cell r="H5398" t="str">
            <v>滨16店</v>
          </cell>
          <cell r="J5398" t="str">
            <v>1853</v>
          </cell>
          <cell r="K5398" t="str">
            <v>201602151421097</v>
          </cell>
          <cell r="M5398" t="str">
            <v>长迪*克拉霉素分散片12片</v>
          </cell>
        </row>
        <row r="5399">
          <cell r="E5399" t="str">
            <v>0020030032ZYZC0300</v>
          </cell>
          <cell r="H5399" t="str">
            <v>连锁15店</v>
          </cell>
          <cell r="J5399" t="str">
            <v>1859</v>
          </cell>
          <cell r="K5399" t="str">
            <v>201602151421097</v>
          </cell>
          <cell r="M5399" t="str">
            <v>维生素E软胶囊100mg*30粒</v>
          </cell>
        </row>
        <row r="5400">
          <cell r="E5400" t="str">
            <v>0020030040SJET0003</v>
          </cell>
          <cell r="H5400" t="str">
            <v>连锁42店</v>
          </cell>
          <cell r="J5400" t="str">
            <v>1859</v>
          </cell>
          <cell r="K5400" t="str">
            <v>201602151421097</v>
          </cell>
          <cell r="M5400" t="str">
            <v>氨金黄敏颗粒6g*10袋/盒</v>
          </cell>
        </row>
        <row r="5401">
          <cell r="E5401" t="str">
            <v>0020020021ZYLC0004</v>
          </cell>
          <cell r="H5401" t="str">
            <v>连锁6店</v>
          </cell>
          <cell r="J5401" t="str">
            <v>1859</v>
          </cell>
          <cell r="K5401" t="str">
            <v>201602151421097</v>
          </cell>
          <cell r="M5401" t="str">
            <v>严迪*罗红霉素分散片75mg*12</v>
          </cell>
        </row>
        <row r="5402">
          <cell r="E5402" t="str">
            <v>0020030001SJZY0009</v>
          </cell>
          <cell r="H5402" t="str">
            <v>连锁10店</v>
          </cell>
          <cell r="J5402" t="str">
            <v>1859</v>
          </cell>
          <cell r="K5402" t="str">
            <v>201602151421097</v>
          </cell>
          <cell r="M5402" t="str">
            <v>葡萄糖酸锌口服液12支/盒</v>
          </cell>
        </row>
        <row r="5403">
          <cell r="E5403" t="str">
            <v>0020070000ZYLC0051</v>
          </cell>
          <cell r="H5403" t="str">
            <v>滨旗舰店</v>
          </cell>
          <cell r="J5403" t="str">
            <v>1853</v>
          </cell>
          <cell r="K5403" t="str">
            <v>201602151421097</v>
          </cell>
          <cell r="M5403" t="str">
            <v>朴雪乳酸亚铁口服液10ml*12支</v>
          </cell>
        </row>
        <row r="5404">
          <cell r="E5404" t="str">
            <v>0020030001SJZY0009</v>
          </cell>
          <cell r="H5404" t="str">
            <v>连锁6店</v>
          </cell>
          <cell r="J5404" t="str">
            <v>1859</v>
          </cell>
          <cell r="K5404" t="str">
            <v>201602151421097</v>
          </cell>
          <cell r="M5404" t="str">
            <v>葡萄糖酸锌口服液12支/盒</v>
          </cell>
        </row>
        <row r="5405">
          <cell r="E5405" t="str">
            <v>0020030001SJZY0009</v>
          </cell>
          <cell r="H5405" t="str">
            <v>连锁51店</v>
          </cell>
          <cell r="J5405" t="str">
            <v>1859</v>
          </cell>
          <cell r="K5405" t="str">
            <v>201602151421097</v>
          </cell>
          <cell r="M5405" t="str">
            <v>葡萄糖酸锌口服液12支/盒</v>
          </cell>
        </row>
        <row r="5406">
          <cell r="E5406" t="str">
            <v>0020050090SJZY0001</v>
          </cell>
          <cell r="H5406" t="str">
            <v>连锁5店</v>
          </cell>
          <cell r="J5406" t="str">
            <v>1859</v>
          </cell>
          <cell r="K5406" t="str">
            <v>201602151421097</v>
          </cell>
          <cell r="M5406" t="str">
            <v>双黄连口服液10ml*10</v>
          </cell>
        </row>
        <row r="5407">
          <cell r="E5407" t="str">
            <v>0020030001SJZY0009</v>
          </cell>
          <cell r="H5407" t="str">
            <v>连锁36店</v>
          </cell>
          <cell r="J5407" t="str">
            <v>1859</v>
          </cell>
          <cell r="K5407" t="str">
            <v>201602151421097</v>
          </cell>
          <cell r="M5407" t="str">
            <v>葡萄糖酸锌口服液12支/盒</v>
          </cell>
        </row>
        <row r="5408">
          <cell r="E5408" t="str">
            <v>0020040001SHYT0018</v>
          </cell>
          <cell r="H5408" t="str">
            <v>连锁14店</v>
          </cell>
          <cell r="J5408" t="str">
            <v>1859</v>
          </cell>
          <cell r="K5408" t="str">
            <v>201602151421097</v>
          </cell>
          <cell r="M5408" t="str">
            <v>血府逐瘀丸9g*10丸</v>
          </cell>
        </row>
        <row r="5409">
          <cell r="E5409" t="str">
            <v>0020070001ZYZC0383</v>
          </cell>
          <cell r="H5409" t="str">
            <v>连锁25店</v>
          </cell>
          <cell r="J5409" t="str">
            <v>1859</v>
          </cell>
          <cell r="K5409" t="str">
            <v>201602151421097</v>
          </cell>
          <cell r="M5409" t="str">
            <v>哈药牌钙铁锌口服液10ml*10支</v>
          </cell>
        </row>
        <row r="5410">
          <cell r="E5410" t="str">
            <v>0020020021ZYLC0010</v>
          </cell>
          <cell r="H5410" t="str">
            <v>连锁14店</v>
          </cell>
          <cell r="J5410" t="str">
            <v>1859</v>
          </cell>
          <cell r="K5410" t="str">
            <v>201602151421097</v>
          </cell>
          <cell r="M5410" t="str">
            <v>长迪*克拉霉素分散片12片</v>
          </cell>
        </row>
        <row r="5411">
          <cell r="E5411" t="str">
            <v>0020070001ZYZC0383</v>
          </cell>
          <cell r="H5411" t="str">
            <v>连锁7店</v>
          </cell>
          <cell r="J5411" t="str">
            <v>1859</v>
          </cell>
          <cell r="K5411" t="str">
            <v>201602151421097</v>
          </cell>
          <cell r="M5411" t="str">
            <v>哈药牌钙铁锌口服液10ml*10支</v>
          </cell>
        </row>
        <row r="5412">
          <cell r="E5412" t="str">
            <v>0020030040ZYLC0001</v>
          </cell>
          <cell r="H5412" t="str">
            <v>济生堂富国店</v>
          </cell>
          <cell r="J5412" t="str">
            <v>1857</v>
          </cell>
          <cell r="K5412" t="str">
            <v>201602151421097</v>
          </cell>
          <cell r="M5412" t="str">
            <v>小儿氨酚黄那敏颗粒 护彤 2g*12袋</v>
          </cell>
        </row>
        <row r="5413">
          <cell r="E5413" t="str">
            <v>0020030040ZYLC0001</v>
          </cell>
          <cell r="H5413" t="str">
            <v>济生堂新合作店</v>
          </cell>
          <cell r="J5413" t="str">
            <v>1857</v>
          </cell>
          <cell r="K5413" t="str">
            <v>201602151421097</v>
          </cell>
          <cell r="M5413" t="str">
            <v>小儿氨酚黄那敏颗粒 护彤 2g*12袋</v>
          </cell>
        </row>
        <row r="5414">
          <cell r="E5414" t="str">
            <v>0020050090SJZY0001</v>
          </cell>
          <cell r="H5414" t="str">
            <v>济生堂富桥店</v>
          </cell>
          <cell r="J5414" t="str">
            <v>1857</v>
          </cell>
          <cell r="K5414" t="str">
            <v>201602151421097</v>
          </cell>
          <cell r="M5414" t="str">
            <v>双黄连口服液10ml*10支</v>
          </cell>
        </row>
        <row r="5415">
          <cell r="E5415" t="str">
            <v>0020050090SJZY0001</v>
          </cell>
          <cell r="H5415" t="str">
            <v>济生堂中心店</v>
          </cell>
          <cell r="J5415" t="str">
            <v>1857</v>
          </cell>
          <cell r="K5415" t="str">
            <v>201602151421097</v>
          </cell>
          <cell r="M5415" t="str">
            <v>双黄连口服液10ml*10支</v>
          </cell>
        </row>
        <row r="5416">
          <cell r="E5416" t="str">
            <v>0020050090SJZY0001</v>
          </cell>
          <cell r="H5416" t="str">
            <v>济生堂同济店</v>
          </cell>
          <cell r="J5416" t="str">
            <v>1857</v>
          </cell>
          <cell r="K5416" t="str">
            <v>201602151421097</v>
          </cell>
          <cell r="M5416" t="str">
            <v>双黄连口服液10ml*10支</v>
          </cell>
        </row>
        <row r="5417">
          <cell r="E5417" t="str">
            <v>0020050090SJZY0001</v>
          </cell>
          <cell r="H5417" t="str">
            <v>济生堂济仁堂店</v>
          </cell>
          <cell r="J5417" t="str">
            <v>1857</v>
          </cell>
          <cell r="K5417" t="str">
            <v>201602151421097</v>
          </cell>
          <cell r="M5417" t="str">
            <v>双黄连口服液10ml*10支</v>
          </cell>
        </row>
        <row r="5418">
          <cell r="E5418" t="str">
            <v>0020050090SJZY0001</v>
          </cell>
          <cell r="H5418" t="str">
            <v>济生堂富源店</v>
          </cell>
          <cell r="J5418" t="str">
            <v>1857</v>
          </cell>
          <cell r="K5418" t="str">
            <v>201602151421097</v>
          </cell>
          <cell r="M5418" t="str">
            <v>双黄连口服液10ml*10支</v>
          </cell>
        </row>
        <row r="5419">
          <cell r="E5419" t="str">
            <v>0020020020ZYLC0010</v>
          </cell>
          <cell r="H5419" t="str">
            <v>济生堂金海店</v>
          </cell>
          <cell r="J5419" t="str">
            <v>1857</v>
          </cell>
          <cell r="K5419" t="str">
            <v>201602151421097</v>
          </cell>
          <cell r="M5419" t="str">
            <v>颠茄磺苄啶片   泻痢停10片/瓶</v>
          </cell>
        </row>
        <row r="5420">
          <cell r="E5420" t="str">
            <v>0020020020ZYLC0010</v>
          </cell>
          <cell r="H5420" t="str">
            <v>济生堂龙居店</v>
          </cell>
          <cell r="J5420" t="str">
            <v>1857</v>
          </cell>
          <cell r="K5420" t="str">
            <v>201602151421097</v>
          </cell>
          <cell r="M5420" t="str">
            <v>颠茄磺苄啶片   泻痢停10片/瓶</v>
          </cell>
        </row>
        <row r="5421">
          <cell r="E5421" t="str">
            <v>0020020020ZYLC0010</v>
          </cell>
          <cell r="H5421" t="str">
            <v>济生堂富桥店</v>
          </cell>
          <cell r="J5421" t="str">
            <v>1857</v>
          </cell>
          <cell r="K5421" t="str">
            <v>201602151421097</v>
          </cell>
          <cell r="M5421" t="str">
            <v>颠茄磺苄啶片   泻痢停10片/瓶</v>
          </cell>
        </row>
        <row r="5422">
          <cell r="E5422" t="str">
            <v>0020030020SJSC0004</v>
          </cell>
          <cell r="H5422" t="str">
            <v>济生堂昌盛店</v>
          </cell>
          <cell r="J5422" t="str">
            <v>1857</v>
          </cell>
          <cell r="K5422" t="str">
            <v>201602151421097</v>
          </cell>
          <cell r="M5422" t="str">
            <v>复方铝酸铋片  123450片</v>
          </cell>
        </row>
        <row r="5423">
          <cell r="E5423" t="str">
            <v>0020020021ZYLC0004</v>
          </cell>
          <cell r="H5423" t="str">
            <v>济生堂中心店</v>
          </cell>
          <cell r="J5423" t="str">
            <v>1857</v>
          </cell>
          <cell r="K5423" t="str">
            <v>201602151421097</v>
          </cell>
          <cell r="M5423" t="str">
            <v>罗红霉素分散片 严迪75mg*12片</v>
          </cell>
        </row>
        <row r="5424">
          <cell r="E5424" t="str">
            <v>0020020021ZYLC0004</v>
          </cell>
          <cell r="H5424" t="str">
            <v>济生堂富城店</v>
          </cell>
          <cell r="J5424" t="str">
            <v>1857</v>
          </cell>
          <cell r="K5424" t="str">
            <v>201602151421097</v>
          </cell>
          <cell r="M5424" t="str">
            <v>罗红霉素分散片 严迪75mg*12片</v>
          </cell>
        </row>
        <row r="5425">
          <cell r="E5425" t="str">
            <v>0020020021ZYLC0004</v>
          </cell>
          <cell r="H5425" t="str">
            <v>济生堂明珠店</v>
          </cell>
          <cell r="J5425" t="str">
            <v>1857</v>
          </cell>
          <cell r="K5425" t="str">
            <v>201602151421097</v>
          </cell>
          <cell r="M5425" t="str">
            <v>罗红霉素分散片 严迪75mg*12片</v>
          </cell>
        </row>
        <row r="5426">
          <cell r="E5426" t="str">
            <v>0020020021ZYLC0004</v>
          </cell>
          <cell r="H5426" t="str">
            <v>济生堂龙居店</v>
          </cell>
          <cell r="J5426" t="str">
            <v>1857</v>
          </cell>
          <cell r="K5426" t="str">
            <v>201602151421097</v>
          </cell>
          <cell r="M5426" t="str">
            <v>罗红霉素分散片 严迪75mg*12片</v>
          </cell>
        </row>
        <row r="5427">
          <cell r="E5427" t="str">
            <v>0020020021ZYLC0010</v>
          </cell>
          <cell r="H5427" t="str">
            <v>济生堂广场店</v>
          </cell>
          <cell r="J5427" t="str">
            <v>1857</v>
          </cell>
          <cell r="K5427" t="str">
            <v>201602151421097</v>
          </cell>
          <cell r="M5427" t="str">
            <v>克拉霉素分散片 哈药0.125g*12片</v>
          </cell>
        </row>
        <row r="5428">
          <cell r="E5428" t="str">
            <v>0020020021ZYLC0010</v>
          </cell>
          <cell r="H5428" t="str">
            <v>济生堂昌盛店</v>
          </cell>
          <cell r="J5428" t="str">
            <v>1857</v>
          </cell>
          <cell r="K5428" t="str">
            <v>201602151421097</v>
          </cell>
          <cell r="M5428" t="str">
            <v>克拉霉素分散片 哈药0.125g*12片</v>
          </cell>
        </row>
        <row r="5429">
          <cell r="E5429" t="str">
            <v>0020030001SJZY0009</v>
          </cell>
          <cell r="H5429" t="str">
            <v>济生堂新合作店</v>
          </cell>
          <cell r="J5429" t="str">
            <v>1857</v>
          </cell>
          <cell r="K5429" t="str">
            <v>201602151421097</v>
          </cell>
          <cell r="M5429" t="str">
            <v>葡萄糖酸锌口服液 三精12支</v>
          </cell>
        </row>
        <row r="5430">
          <cell r="E5430" t="str">
            <v>0020030001SJZY0009</v>
          </cell>
          <cell r="H5430" t="str">
            <v>济生堂王见南店</v>
          </cell>
          <cell r="J5430" t="str">
            <v>1857</v>
          </cell>
          <cell r="K5430" t="str">
            <v>201602151421097</v>
          </cell>
          <cell r="M5430" t="str">
            <v>葡萄糖酸锌口服液 三精12支</v>
          </cell>
        </row>
        <row r="5431">
          <cell r="E5431" t="str">
            <v>0020030001SJZY0009</v>
          </cell>
          <cell r="H5431" t="str">
            <v>济生堂大高店</v>
          </cell>
          <cell r="J5431" t="str">
            <v>1857</v>
          </cell>
          <cell r="K5431" t="str">
            <v>201602151421097</v>
          </cell>
          <cell r="M5431" t="str">
            <v>葡萄糖酸锌口服液 三精12支</v>
          </cell>
        </row>
        <row r="5432">
          <cell r="E5432" t="str">
            <v>0020030001SJZY0009</v>
          </cell>
          <cell r="H5432" t="str">
            <v>济生堂金康店</v>
          </cell>
          <cell r="J5432" t="str">
            <v>1857</v>
          </cell>
          <cell r="K5432" t="str">
            <v>201602151421097</v>
          </cell>
          <cell r="M5432" t="str">
            <v>葡萄糖酸锌口服液 三精12支</v>
          </cell>
        </row>
        <row r="5433">
          <cell r="E5433" t="str">
            <v>0020070000ZYLC0051</v>
          </cell>
          <cell r="H5433" t="str">
            <v>济生堂新华店</v>
          </cell>
          <cell r="J5433" t="str">
            <v>1857</v>
          </cell>
          <cell r="K5433" t="str">
            <v>201602151421097</v>
          </cell>
          <cell r="M5433" t="str">
            <v>乳酸亚铁口服液（朴雪）12支</v>
          </cell>
        </row>
        <row r="5434">
          <cell r="E5434" t="str">
            <v>0020040070ZYEC0005</v>
          </cell>
          <cell r="H5434" t="str">
            <v>济生堂龙居店</v>
          </cell>
          <cell r="J5434" t="str">
            <v>1857</v>
          </cell>
          <cell r="K5434" t="str">
            <v>201602151421097</v>
          </cell>
          <cell r="M5434" t="str">
            <v>小儿百部止咳糖浆100ml</v>
          </cell>
        </row>
        <row r="5435">
          <cell r="E5435" t="str">
            <v>0020040070ZYEC0005</v>
          </cell>
          <cell r="H5435" t="str">
            <v>济生堂富桥店</v>
          </cell>
          <cell r="J5435" t="str">
            <v>1857</v>
          </cell>
          <cell r="K5435" t="str">
            <v>201602151421097</v>
          </cell>
          <cell r="M5435" t="str">
            <v>小儿百部止咳糖浆100ml</v>
          </cell>
        </row>
        <row r="5436">
          <cell r="E5436" t="str">
            <v>0020040070ZYEC0005</v>
          </cell>
          <cell r="H5436" t="str">
            <v>济生堂下洼店</v>
          </cell>
          <cell r="J5436" t="str">
            <v>1857</v>
          </cell>
          <cell r="K5436" t="str">
            <v>201602151421097</v>
          </cell>
          <cell r="M5436" t="str">
            <v>小儿百部止咳糖浆100ml</v>
          </cell>
        </row>
        <row r="5437">
          <cell r="E5437" t="str">
            <v>0020020020ZYLC0003</v>
          </cell>
          <cell r="H5437" t="str">
            <v>济生堂富桥店</v>
          </cell>
          <cell r="J5437" t="str">
            <v>1857</v>
          </cell>
          <cell r="K5437" t="str">
            <v>201602151421097</v>
          </cell>
          <cell r="M5437" t="str">
            <v>颠茄磺苄啶片 泻痢停12p</v>
          </cell>
        </row>
        <row r="5438">
          <cell r="E5438" t="str">
            <v>0020020020ZYLC0003</v>
          </cell>
          <cell r="H5438" t="str">
            <v>济生堂新华店</v>
          </cell>
          <cell r="J5438" t="str">
            <v>1857</v>
          </cell>
          <cell r="K5438" t="str">
            <v>201602151421097</v>
          </cell>
          <cell r="M5438" t="str">
            <v>颠茄磺苄啶片 泻痢停12p</v>
          </cell>
        </row>
        <row r="5439">
          <cell r="E5439" t="str">
            <v>0020030040SHYT0010</v>
          </cell>
          <cell r="H5439" t="str">
            <v>济生堂新合作店</v>
          </cell>
          <cell r="J5439" t="str">
            <v>1857</v>
          </cell>
          <cell r="K5439" t="str">
            <v>201602151421097</v>
          </cell>
          <cell r="M5439" t="str">
            <v>布洛芬颗粒 小安瑞克0.2g*12袋</v>
          </cell>
        </row>
        <row r="5440">
          <cell r="E5440" t="str">
            <v>0020030040SHYT0010</v>
          </cell>
          <cell r="H5440" t="str">
            <v>济生堂影院店</v>
          </cell>
          <cell r="J5440" t="str">
            <v>1857</v>
          </cell>
          <cell r="K5440" t="str">
            <v>201602151421097</v>
          </cell>
          <cell r="M5440" t="str">
            <v>布洛芬颗粒 小安瑞克0.2g*12袋</v>
          </cell>
        </row>
        <row r="5441">
          <cell r="E5441" t="str">
            <v>0020070000ZYLC0003</v>
          </cell>
          <cell r="H5441" t="str">
            <v>济生堂新合作店</v>
          </cell>
          <cell r="J5441" t="str">
            <v>1857</v>
          </cell>
          <cell r="K5441" t="str">
            <v>201602151421097</v>
          </cell>
          <cell r="M5441" t="str">
            <v>新盖中盖牌（儿童钙片）1.75g*36片</v>
          </cell>
        </row>
        <row r="5442">
          <cell r="E5442" t="str">
            <v>0020070000ZYLC0003</v>
          </cell>
          <cell r="H5442" t="str">
            <v>济生堂影院店</v>
          </cell>
          <cell r="J5442" t="str">
            <v>1857</v>
          </cell>
          <cell r="K5442" t="str">
            <v>201602151421097</v>
          </cell>
          <cell r="M5442" t="str">
            <v>新盖中盖牌（儿童钙片）1.75g*36片</v>
          </cell>
        </row>
        <row r="5443">
          <cell r="E5443" t="str">
            <v>0020070000ZYLC0003</v>
          </cell>
          <cell r="H5443" t="str">
            <v>济生堂环宇店</v>
          </cell>
          <cell r="J5443" t="str">
            <v>1857</v>
          </cell>
          <cell r="K5443" t="str">
            <v>201602151421097</v>
          </cell>
          <cell r="M5443" t="str">
            <v>新盖中盖牌（儿童钙片）1.75g*36片</v>
          </cell>
        </row>
        <row r="5444">
          <cell r="E5444" t="str">
            <v>0020070000ZYLC0003</v>
          </cell>
          <cell r="H5444" t="str">
            <v>济生堂体育场店</v>
          </cell>
          <cell r="J5444" t="str">
            <v>1857</v>
          </cell>
          <cell r="K5444" t="str">
            <v>201602151421097</v>
          </cell>
          <cell r="M5444" t="str">
            <v>新盖中盖牌（儿童钙片）1.75g*36片</v>
          </cell>
        </row>
        <row r="5445">
          <cell r="E5445" t="str">
            <v>0020070000ZYLC0003</v>
          </cell>
          <cell r="H5445" t="str">
            <v>济生堂新华店</v>
          </cell>
          <cell r="J5445" t="str">
            <v>1857</v>
          </cell>
          <cell r="K5445" t="str">
            <v>201602151421097</v>
          </cell>
          <cell r="M5445" t="str">
            <v>新盖中盖牌（儿童钙片）1.75g*36片</v>
          </cell>
        </row>
        <row r="5446">
          <cell r="E5446" t="str">
            <v>0020050090ZYEC0005</v>
          </cell>
          <cell r="H5446" t="str">
            <v>济生堂富国店</v>
          </cell>
          <cell r="J5446" t="str">
            <v>1857</v>
          </cell>
          <cell r="K5446" t="str">
            <v>201602151421097</v>
          </cell>
          <cell r="M5446" t="str">
            <v>清热解毒口服液10ml*10支</v>
          </cell>
        </row>
        <row r="5447">
          <cell r="E5447" t="str">
            <v>0020050090ZYEC0005</v>
          </cell>
          <cell r="H5447" t="str">
            <v>济生堂环宇店</v>
          </cell>
          <cell r="J5447" t="str">
            <v>1857</v>
          </cell>
          <cell r="K5447" t="str">
            <v>201602151421097</v>
          </cell>
          <cell r="M5447" t="str">
            <v>清热解毒口服液10ml*10支</v>
          </cell>
        </row>
        <row r="5448">
          <cell r="E5448" t="str">
            <v>0020050090ZYEC0005</v>
          </cell>
          <cell r="H5448" t="str">
            <v>济生堂济仁堂店</v>
          </cell>
          <cell r="J5448" t="str">
            <v>1857</v>
          </cell>
          <cell r="K5448" t="str">
            <v>201602151421097</v>
          </cell>
          <cell r="M5448" t="str">
            <v>清热解毒口服液10ml*10支</v>
          </cell>
        </row>
        <row r="5449">
          <cell r="E5449" t="str">
            <v>0020050090ZYEC0005</v>
          </cell>
          <cell r="H5449" t="str">
            <v>济生堂金康店</v>
          </cell>
          <cell r="J5449" t="str">
            <v>1857</v>
          </cell>
          <cell r="K5449" t="str">
            <v>201602151421097</v>
          </cell>
          <cell r="M5449" t="str">
            <v>清热解毒口服液10ml*10支</v>
          </cell>
        </row>
        <row r="5450">
          <cell r="E5450" t="str">
            <v>0020050090ZYEC0005</v>
          </cell>
          <cell r="H5450" t="str">
            <v>济生堂富城店</v>
          </cell>
          <cell r="J5450" t="str">
            <v>1857</v>
          </cell>
          <cell r="K5450" t="str">
            <v>201602151421097</v>
          </cell>
          <cell r="M5450" t="str">
            <v>清热解毒口服液10ml*10支</v>
          </cell>
        </row>
        <row r="5451">
          <cell r="E5451" t="str">
            <v>0020020020ZYZC0359</v>
          </cell>
          <cell r="H5451" t="str">
            <v>济生堂富城店</v>
          </cell>
          <cell r="J5451" t="str">
            <v>1857</v>
          </cell>
          <cell r="K5451" t="str">
            <v>201602151421097</v>
          </cell>
          <cell r="M5451" t="str">
            <v>青霉素V钾片0.236g*24p</v>
          </cell>
        </row>
        <row r="5452">
          <cell r="E5452" t="str">
            <v>0020020020ZYZC0359</v>
          </cell>
          <cell r="H5452" t="str">
            <v>济生堂同济店</v>
          </cell>
          <cell r="J5452" t="str">
            <v>1857</v>
          </cell>
          <cell r="K5452" t="str">
            <v>201602151421097</v>
          </cell>
          <cell r="M5452" t="str">
            <v>青霉素V钾片0.236g*24p</v>
          </cell>
        </row>
        <row r="5453">
          <cell r="E5453" t="str">
            <v>0020020020ZYZC0359</v>
          </cell>
          <cell r="H5453" t="str">
            <v>济生堂广场店</v>
          </cell>
          <cell r="J5453" t="str">
            <v>1857</v>
          </cell>
          <cell r="K5453" t="str">
            <v>201602151421097</v>
          </cell>
          <cell r="M5453" t="str">
            <v>青霉素V钾片0.236g*24p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122"/>
  <sheetViews>
    <sheetView tabSelected="1" workbookViewId="0">
      <pane ySplit="1" topLeftCell="A2" activePane="bottomLeft" state="frozen"/>
      <selection pane="bottomLeft" activeCell="M5" sqref="M5"/>
    </sheetView>
  </sheetViews>
  <sheetFormatPr defaultColWidth="9" defaultRowHeight="13.5" x14ac:dyDescent="0.15"/>
  <cols>
    <col min="1" max="1" width="10.75" style="12" customWidth="1"/>
    <col min="2" max="2" width="7.375" style="12" customWidth="1"/>
    <col min="3" max="4" width="10.75" style="12" customWidth="1"/>
    <col min="5" max="5" width="25.5" style="12" bestFit="1" customWidth="1"/>
    <col min="6" max="6" width="15.125" style="12" customWidth="1"/>
    <col min="7" max="7" width="14.5" style="12" customWidth="1"/>
    <col min="8" max="8" width="30.75" style="12" bestFit="1" customWidth="1"/>
    <col min="9" max="9" width="22.375" style="12" bestFit="1" customWidth="1"/>
    <col min="10" max="10" width="52.625" style="12" bestFit="1" customWidth="1"/>
    <col min="11" max="11" width="13.75" style="12" bestFit="1" customWidth="1"/>
    <col min="12" max="12" width="50.5" style="12" bestFit="1" customWidth="1"/>
    <col min="13" max="13" width="25.375" style="12" customWidth="1"/>
    <col min="14" max="14" width="7.375" style="12" customWidth="1"/>
    <col min="15" max="15" width="14.5" style="12" customWidth="1"/>
    <col min="16" max="16" width="10.75" style="12" customWidth="1"/>
    <col min="17" max="17" width="7.375" style="12" customWidth="1"/>
    <col min="18" max="18" width="10.75" style="12" customWidth="1"/>
    <col min="19" max="19" width="11.625" style="12" bestFit="1" customWidth="1"/>
    <col min="20" max="20" width="10.75" style="12" customWidth="1"/>
    <col min="21" max="21" width="9" style="12" customWidth="1"/>
    <col min="22" max="22" width="9" style="12"/>
    <col min="23" max="23" width="47.875" style="12" bestFit="1" customWidth="1"/>
    <col min="24" max="16384" width="9" style="12"/>
  </cols>
  <sheetData>
    <row r="1" spans="1:24" s="16" customFormat="1" ht="39.6" customHeight="1" x14ac:dyDescent="0.15">
      <c r="A1" s="17" t="s">
        <v>0</v>
      </c>
      <c r="B1" s="17" t="s">
        <v>1</v>
      </c>
      <c r="C1" s="17" t="s">
        <v>21</v>
      </c>
      <c r="D1" s="17" t="s">
        <v>22</v>
      </c>
      <c r="E1" s="17" t="s">
        <v>23</v>
      </c>
      <c r="F1" s="17" t="s">
        <v>24</v>
      </c>
      <c r="G1" s="17" t="s">
        <v>4</v>
      </c>
      <c r="H1" s="19" t="s">
        <v>5</v>
      </c>
      <c r="I1" s="19" t="s">
        <v>6</v>
      </c>
      <c r="J1" s="19" t="s">
        <v>7</v>
      </c>
      <c r="K1" s="17" t="s">
        <v>8</v>
      </c>
      <c r="L1" s="19" t="s">
        <v>15</v>
      </c>
      <c r="M1" s="17" t="s">
        <v>14</v>
      </c>
      <c r="N1" s="17" t="s">
        <v>16</v>
      </c>
      <c r="O1" s="17" t="s">
        <v>9</v>
      </c>
      <c r="P1" s="19" t="s">
        <v>10</v>
      </c>
      <c r="Q1" s="19" t="s">
        <v>11</v>
      </c>
      <c r="R1" s="19" t="s">
        <v>12</v>
      </c>
      <c r="S1" s="19" t="s">
        <v>13</v>
      </c>
      <c r="T1" s="17" t="s">
        <v>17</v>
      </c>
      <c r="U1" s="17" t="s">
        <v>18</v>
      </c>
      <c r="V1" s="18"/>
      <c r="W1" s="20" t="s">
        <v>1823</v>
      </c>
      <c r="X1" s="19" t="s">
        <v>1822</v>
      </c>
    </row>
    <row r="2" spans="1:24" x14ac:dyDescent="0.15">
      <c r="A2" s="14" t="str">
        <f>IF(MONTH(P2)&lt;10,YEAR(P2)&amp;"0"&amp;MONTH(P2),YEAR(P2)&amp;MONTH(P2))</f>
        <v>190001</v>
      </c>
      <c r="C2" s="12" t="e">
        <f>INDEX(基础数据!$A$2:$A$1024,MATCH(转配商关联商!X2,基础数据!$D$2:$D$1024,0))</f>
        <v>#N/A</v>
      </c>
      <c r="E2" s="12" t="e">
        <f>INDEX(基础数据!$B$2:$B$1024,MATCH(转配商关联商!X2,基础数据!$D$2:$D$1024,0))</f>
        <v>#N/A</v>
      </c>
      <c r="G2" s="12" t="e">
        <f>INDEX([1]流向迭代数据!E$2:E$65536,MATCH(转配商关联商!W2,[1]流向迭代数据!M$2:M$65536,0))</f>
        <v>#N/A</v>
      </c>
      <c r="N2" s="12" t="e">
        <f>INDEX([1]流向迭代数据!J$2:J$65536,MATCH(L2,[1]流向迭代数据!H$2:H$65536,0))</f>
        <v>#N/A</v>
      </c>
      <c r="P2" s="14"/>
      <c r="T2" s="12" t="e">
        <f>INDEX([1]流向迭代数据!K$2:K$65536,MATCH(L2,[1]流向迭代数据!H$2:H$65536,0))</f>
        <v>#N/A</v>
      </c>
      <c r="W2" s="12" t="str">
        <f>H2&amp;I2</f>
        <v/>
      </c>
    </row>
    <row r="3" spans="1:24" x14ac:dyDescent="0.15">
      <c r="A3" s="14" t="str">
        <f t="shared" ref="A3:A66" si="0">IF(MONTH(P3)&lt;10,YEAR(P3)&amp;"0"&amp;MONTH(P3),YEAR(P3)&amp;MONTH(P3))</f>
        <v>190001</v>
      </c>
      <c r="C3" s="12" t="e">
        <f>INDEX(基础数据!$A$2:$A$1024,MATCH(转配商关联商!X3,基础数据!$D$2:$D$1024,0))</f>
        <v>#N/A</v>
      </c>
      <c r="E3" s="12" t="e">
        <f>INDEX(基础数据!$B$2:$B$1024,MATCH(转配商关联商!X3,基础数据!$D$2:$D$1024,0))</f>
        <v>#N/A</v>
      </c>
      <c r="G3" s="12" t="e">
        <f>INDEX([1]流向迭代数据!E$2:E$65536,MATCH(转配商关联商!W3,[1]流向迭代数据!M$2:M$65536,0))</f>
        <v>#N/A</v>
      </c>
      <c r="N3" s="12" t="e">
        <f>INDEX([1]流向迭代数据!J$2:J$65536,MATCH(L3,[1]流向迭代数据!H$2:H$65536,0))</f>
        <v>#N/A</v>
      </c>
      <c r="P3" s="14"/>
      <c r="T3" s="12" t="e">
        <f>INDEX([1]流向迭代数据!K$2:K$65536,MATCH(L3,[1]流向迭代数据!H$2:H$65536,0))</f>
        <v>#N/A</v>
      </c>
      <c r="W3" s="12" t="str">
        <f t="shared" ref="W3:W66" si="1">H3&amp;I3</f>
        <v/>
      </c>
    </row>
    <row r="4" spans="1:24" x14ac:dyDescent="0.15">
      <c r="A4" s="14" t="str">
        <f t="shared" si="0"/>
        <v>190001</v>
      </c>
      <c r="C4" s="12" t="e">
        <f>INDEX(基础数据!$A$2:$A$1024,MATCH(转配商关联商!X4,基础数据!$D$2:$D$1024,0))</f>
        <v>#N/A</v>
      </c>
      <c r="E4" s="12" t="e">
        <f>INDEX(基础数据!$B$2:$B$1024,MATCH(转配商关联商!X4,基础数据!$D$2:$D$1024,0))</f>
        <v>#N/A</v>
      </c>
      <c r="G4" s="12" t="e">
        <f>INDEX([1]流向迭代数据!E$2:E$65536,MATCH(转配商关联商!W4,[1]流向迭代数据!M$2:M$65536,0))</f>
        <v>#N/A</v>
      </c>
      <c r="N4" s="12" t="e">
        <f>INDEX([1]流向迭代数据!J$2:J$65536,MATCH(L4,[1]流向迭代数据!H$2:H$65536,0))</f>
        <v>#N/A</v>
      </c>
      <c r="P4" s="14"/>
      <c r="T4" s="12" t="e">
        <f>INDEX([1]流向迭代数据!K$2:K$65536,MATCH(L4,[1]流向迭代数据!H$2:H$65536,0))</f>
        <v>#N/A</v>
      </c>
      <c r="W4" s="12" t="str">
        <f t="shared" si="1"/>
        <v/>
      </c>
    </row>
    <row r="5" spans="1:24" x14ac:dyDescent="0.15">
      <c r="A5" s="14" t="str">
        <f t="shared" si="0"/>
        <v>190001</v>
      </c>
      <c r="C5" s="12" t="e">
        <f>INDEX(基础数据!$A$2:$A$1024,MATCH(转配商关联商!X5,基础数据!$D$2:$D$1024,0))</f>
        <v>#N/A</v>
      </c>
      <c r="E5" s="12" t="e">
        <f>INDEX(基础数据!$B$2:$B$1024,MATCH(转配商关联商!X5,基础数据!$D$2:$D$1024,0))</f>
        <v>#N/A</v>
      </c>
      <c r="G5" s="12" t="e">
        <f>INDEX([1]流向迭代数据!E$2:E$65536,MATCH(转配商关联商!W5,[1]流向迭代数据!M$2:M$65536,0))</f>
        <v>#N/A</v>
      </c>
      <c r="N5" s="12" t="e">
        <f>INDEX([1]流向迭代数据!J$2:J$65536,MATCH(L5,[1]流向迭代数据!H$2:H$65536,0))</f>
        <v>#N/A</v>
      </c>
      <c r="P5" s="14"/>
      <c r="T5" s="12" t="e">
        <f>INDEX([1]流向迭代数据!K$2:K$65536,MATCH(L5,[1]流向迭代数据!H$2:H$65536,0))</f>
        <v>#N/A</v>
      </c>
      <c r="W5" s="12" t="str">
        <f t="shared" si="1"/>
        <v/>
      </c>
    </row>
    <row r="6" spans="1:24" x14ac:dyDescent="0.15">
      <c r="A6" s="14" t="str">
        <f t="shared" si="0"/>
        <v>190001</v>
      </c>
      <c r="C6" s="12" t="e">
        <f>INDEX(基础数据!$A$2:$A$1024,MATCH(转配商关联商!X6,基础数据!$D$2:$D$1024,0))</f>
        <v>#N/A</v>
      </c>
      <c r="E6" s="12" t="e">
        <f>INDEX(基础数据!$B$2:$B$1024,MATCH(转配商关联商!X6,基础数据!$D$2:$D$1024,0))</f>
        <v>#N/A</v>
      </c>
      <c r="G6" s="12" t="e">
        <f>INDEX([1]流向迭代数据!E$2:E$65536,MATCH(转配商关联商!W6,[1]流向迭代数据!M$2:M$65536,0))</f>
        <v>#N/A</v>
      </c>
      <c r="N6" s="12" t="e">
        <f>INDEX([1]流向迭代数据!J$2:J$65536,MATCH(L6,[1]流向迭代数据!H$2:H$65536,0))</f>
        <v>#N/A</v>
      </c>
      <c r="P6" s="14"/>
      <c r="T6" s="12" t="e">
        <f>INDEX([1]流向迭代数据!K$2:K$65536,MATCH(L6,[1]流向迭代数据!H$2:H$65536,0))</f>
        <v>#N/A</v>
      </c>
      <c r="W6" s="12" t="str">
        <f t="shared" si="1"/>
        <v/>
      </c>
    </row>
    <row r="7" spans="1:24" x14ac:dyDescent="0.15">
      <c r="A7" s="14" t="str">
        <f t="shared" si="0"/>
        <v>190001</v>
      </c>
      <c r="C7" s="12" t="e">
        <f>INDEX(基础数据!$A$2:$A$1024,MATCH(转配商关联商!X7,基础数据!$D$2:$D$1024,0))</f>
        <v>#N/A</v>
      </c>
      <c r="E7" s="12" t="e">
        <f>INDEX(基础数据!$B$2:$B$1024,MATCH(转配商关联商!X7,基础数据!$D$2:$D$1024,0))</f>
        <v>#N/A</v>
      </c>
      <c r="G7" s="12" t="e">
        <f>INDEX([1]流向迭代数据!E$2:E$65536,MATCH(转配商关联商!W7,[1]流向迭代数据!M$2:M$65536,0))</f>
        <v>#N/A</v>
      </c>
      <c r="N7" s="12" t="e">
        <f>INDEX([1]流向迭代数据!J$2:J$65536,MATCH(L7,[1]流向迭代数据!H$2:H$65536,0))</f>
        <v>#N/A</v>
      </c>
      <c r="P7" s="14"/>
      <c r="T7" s="12" t="e">
        <f>INDEX([1]流向迭代数据!K$2:K$65536,MATCH(L7,[1]流向迭代数据!H$2:H$65536,0))</f>
        <v>#N/A</v>
      </c>
      <c r="W7" s="12" t="str">
        <f t="shared" si="1"/>
        <v/>
      </c>
    </row>
    <row r="8" spans="1:24" x14ac:dyDescent="0.15">
      <c r="A8" s="14" t="str">
        <f t="shared" si="0"/>
        <v>190001</v>
      </c>
      <c r="C8" s="12" t="e">
        <f>INDEX(基础数据!$A$2:$A$1024,MATCH(转配商关联商!X8,基础数据!$D$2:$D$1024,0))</f>
        <v>#N/A</v>
      </c>
      <c r="E8" s="12" t="e">
        <f>INDEX(基础数据!$B$2:$B$1024,MATCH(转配商关联商!X8,基础数据!$D$2:$D$1024,0))</f>
        <v>#N/A</v>
      </c>
      <c r="G8" s="12" t="e">
        <f>INDEX([1]流向迭代数据!E$2:E$65536,MATCH(转配商关联商!W8,[1]流向迭代数据!M$2:M$65536,0))</f>
        <v>#N/A</v>
      </c>
      <c r="N8" s="12" t="e">
        <f>INDEX([1]流向迭代数据!J$2:J$65536,MATCH(L8,[1]流向迭代数据!H$2:H$65536,0))</f>
        <v>#N/A</v>
      </c>
      <c r="P8" s="14"/>
      <c r="T8" s="12" t="e">
        <f>INDEX([1]流向迭代数据!K$2:K$65536,MATCH(L8,[1]流向迭代数据!H$2:H$65536,0))</f>
        <v>#N/A</v>
      </c>
      <c r="W8" s="12" t="str">
        <f t="shared" si="1"/>
        <v/>
      </c>
    </row>
    <row r="9" spans="1:24" x14ac:dyDescent="0.15">
      <c r="A9" s="14" t="str">
        <f t="shared" si="0"/>
        <v>190001</v>
      </c>
      <c r="C9" s="12" t="e">
        <f>INDEX(基础数据!$A$2:$A$1024,MATCH(转配商关联商!X9,基础数据!$D$2:$D$1024,0))</f>
        <v>#N/A</v>
      </c>
      <c r="E9" s="12" t="e">
        <f>INDEX(基础数据!$B$2:$B$1024,MATCH(转配商关联商!X9,基础数据!$D$2:$D$1024,0))</f>
        <v>#N/A</v>
      </c>
      <c r="G9" s="12" t="e">
        <f>INDEX([1]流向迭代数据!E$2:E$65536,MATCH(转配商关联商!W9,[1]流向迭代数据!M$2:M$65536,0))</f>
        <v>#N/A</v>
      </c>
      <c r="N9" s="12" t="e">
        <f>INDEX([1]流向迭代数据!J$2:J$65536,MATCH(L9,[1]流向迭代数据!H$2:H$65536,0))</f>
        <v>#N/A</v>
      </c>
      <c r="P9" s="14"/>
      <c r="T9" s="12" t="e">
        <f>INDEX([1]流向迭代数据!K$2:K$65536,MATCH(L9,[1]流向迭代数据!H$2:H$65536,0))</f>
        <v>#N/A</v>
      </c>
      <c r="W9" s="12" t="str">
        <f t="shared" si="1"/>
        <v/>
      </c>
    </row>
    <row r="10" spans="1:24" x14ac:dyDescent="0.15">
      <c r="A10" s="14" t="str">
        <f t="shared" si="0"/>
        <v>190001</v>
      </c>
      <c r="C10" s="12" t="e">
        <f>INDEX(基础数据!$A$2:$A$1024,MATCH(转配商关联商!X10,基础数据!$D$2:$D$1024,0))</f>
        <v>#N/A</v>
      </c>
      <c r="E10" s="12" t="e">
        <f>INDEX(基础数据!$B$2:$B$1024,MATCH(转配商关联商!X10,基础数据!$D$2:$D$1024,0))</f>
        <v>#N/A</v>
      </c>
      <c r="G10" s="12" t="e">
        <f>INDEX([1]流向迭代数据!E$2:E$65536,MATCH(转配商关联商!W10,[1]流向迭代数据!M$2:M$65536,0))</f>
        <v>#N/A</v>
      </c>
      <c r="N10" s="12" t="e">
        <f>INDEX([1]流向迭代数据!J$2:J$65536,MATCH(L10,[1]流向迭代数据!H$2:H$65536,0))</f>
        <v>#N/A</v>
      </c>
      <c r="P10" s="14"/>
      <c r="T10" s="12" t="e">
        <f>INDEX([1]流向迭代数据!K$2:K$65536,MATCH(L10,[1]流向迭代数据!H$2:H$65536,0))</f>
        <v>#N/A</v>
      </c>
      <c r="W10" s="12" t="str">
        <f t="shared" si="1"/>
        <v/>
      </c>
    </row>
    <row r="11" spans="1:24" x14ac:dyDescent="0.15">
      <c r="A11" s="14" t="str">
        <f t="shared" si="0"/>
        <v>190001</v>
      </c>
      <c r="C11" s="12" t="e">
        <f>INDEX(基础数据!$A$2:$A$1024,MATCH(转配商关联商!X11,基础数据!$D$2:$D$1024,0))</f>
        <v>#N/A</v>
      </c>
      <c r="E11" s="12" t="e">
        <f>INDEX(基础数据!$B$2:$B$1024,MATCH(转配商关联商!X11,基础数据!$D$2:$D$1024,0))</f>
        <v>#N/A</v>
      </c>
      <c r="G11" s="12" t="e">
        <f>INDEX([1]流向迭代数据!E$2:E$65536,MATCH(转配商关联商!W11,[1]流向迭代数据!M$2:M$65536,0))</f>
        <v>#N/A</v>
      </c>
      <c r="N11" s="12" t="e">
        <f>INDEX([1]流向迭代数据!J$2:J$65536,MATCH(L11,[1]流向迭代数据!H$2:H$65536,0))</f>
        <v>#N/A</v>
      </c>
      <c r="P11" s="14"/>
      <c r="T11" s="12" t="e">
        <f>INDEX([1]流向迭代数据!K$2:K$65536,MATCH(L11,[1]流向迭代数据!H$2:H$65536,0))</f>
        <v>#N/A</v>
      </c>
      <c r="W11" s="12" t="str">
        <f t="shared" si="1"/>
        <v/>
      </c>
    </row>
    <row r="12" spans="1:24" x14ac:dyDescent="0.15">
      <c r="A12" s="14" t="str">
        <f t="shared" si="0"/>
        <v>190001</v>
      </c>
      <c r="C12" s="12" t="e">
        <f>INDEX(基础数据!$A$2:$A$1024,MATCH(转配商关联商!X12,基础数据!$D$2:$D$1024,0))</f>
        <v>#N/A</v>
      </c>
      <c r="E12" s="12" t="e">
        <f>INDEX(基础数据!$B$2:$B$1024,MATCH(转配商关联商!X12,基础数据!$D$2:$D$1024,0))</f>
        <v>#N/A</v>
      </c>
      <c r="G12" s="12" t="e">
        <f>INDEX([1]流向迭代数据!E$2:E$65536,MATCH(转配商关联商!W12,[1]流向迭代数据!M$2:M$65536,0))</f>
        <v>#N/A</v>
      </c>
      <c r="N12" s="12" t="e">
        <f>INDEX([1]流向迭代数据!J$2:J$65536,MATCH(L12,[1]流向迭代数据!H$2:H$65536,0))</f>
        <v>#N/A</v>
      </c>
      <c r="P12" s="14"/>
      <c r="T12" s="12" t="e">
        <f>INDEX([1]流向迭代数据!K$2:K$65536,MATCH(L12,[1]流向迭代数据!H$2:H$65536,0))</f>
        <v>#N/A</v>
      </c>
      <c r="W12" s="12" t="str">
        <f t="shared" si="1"/>
        <v/>
      </c>
    </row>
    <row r="13" spans="1:24" x14ac:dyDescent="0.15">
      <c r="A13" s="14" t="str">
        <f t="shared" si="0"/>
        <v>190001</v>
      </c>
      <c r="C13" s="12" t="e">
        <f>INDEX(基础数据!$A$2:$A$1024,MATCH(转配商关联商!X13,基础数据!$D$2:$D$1024,0))</f>
        <v>#N/A</v>
      </c>
      <c r="E13" s="12" t="e">
        <f>INDEX(基础数据!$B$2:$B$1024,MATCH(转配商关联商!X13,基础数据!$D$2:$D$1024,0))</f>
        <v>#N/A</v>
      </c>
      <c r="G13" s="12" t="e">
        <f>INDEX([1]流向迭代数据!E$2:E$65536,MATCH(转配商关联商!W13,[1]流向迭代数据!M$2:M$65536,0))</f>
        <v>#N/A</v>
      </c>
      <c r="N13" s="12" t="e">
        <f>INDEX([1]流向迭代数据!J$2:J$65536,MATCH(L13,[1]流向迭代数据!H$2:H$65536,0))</f>
        <v>#N/A</v>
      </c>
      <c r="P13" s="14"/>
      <c r="T13" s="12" t="e">
        <f>INDEX([1]流向迭代数据!K$2:K$65536,MATCH(L13,[1]流向迭代数据!H$2:H$65536,0))</f>
        <v>#N/A</v>
      </c>
      <c r="W13" s="12" t="str">
        <f t="shared" si="1"/>
        <v/>
      </c>
    </row>
    <row r="14" spans="1:24" x14ac:dyDescent="0.15">
      <c r="A14" s="14" t="str">
        <f t="shared" si="0"/>
        <v>190001</v>
      </c>
      <c r="C14" s="12" t="e">
        <f>INDEX(基础数据!$A$2:$A$1024,MATCH(转配商关联商!X14,基础数据!$D$2:$D$1024,0))</f>
        <v>#N/A</v>
      </c>
      <c r="E14" s="12" t="e">
        <f>INDEX(基础数据!$B$2:$B$1024,MATCH(转配商关联商!X14,基础数据!$D$2:$D$1024,0))</f>
        <v>#N/A</v>
      </c>
      <c r="G14" s="12" t="e">
        <f>INDEX([1]流向迭代数据!E$2:E$65536,MATCH(转配商关联商!W14,[1]流向迭代数据!M$2:M$65536,0))</f>
        <v>#N/A</v>
      </c>
      <c r="N14" s="12" t="e">
        <f>INDEX([1]流向迭代数据!J$2:J$65536,MATCH(L14,[1]流向迭代数据!H$2:H$65536,0))</f>
        <v>#N/A</v>
      </c>
      <c r="P14" s="14"/>
      <c r="T14" s="12" t="e">
        <f>INDEX([1]流向迭代数据!K$2:K$65536,MATCH(L14,[1]流向迭代数据!H$2:H$65536,0))</f>
        <v>#N/A</v>
      </c>
      <c r="W14" s="12" t="str">
        <f t="shared" si="1"/>
        <v/>
      </c>
    </row>
    <row r="15" spans="1:24" x14ac:dyDescent="0.15">
      <c r="A15" s="14" t="str">
        <f t="shared" si="0"/>
        <v>190001</v>
      </c>
      <c r="C15" s="12" t="e">
        <f>INDEX(基础数据!$A$2:$A$1024,MATCH(转配商关联商!X15,基础数据!$D$2:$D$1024,0))</f>
        <v>#N/A</v>
      </c>
      <c r="E15" s="12" t="e">
        <f>INDEX(基础数据!$B$2:$B$1024,MATCH(转配商关联商!X15,基础数据!$D$2:$D$1024,0))</f>
        <v>#N/A</v>
      </c>
      <c r="G15" s="12" t="e">
        <f>INDEX([1]流向迭代数据!E$2:E$65536,MATCH(转配商关联商!W15,[1]流向迭代数据!M$2:M$65536,0))</f>
        <v>#N/A</v>
      </c>
      <c r="N15" s="12" t="e">
        <f>INDEX([1]流向迭代数据!J$2:J$65536,MATCH(L15,[1]流向迭代数据!H$2:H$65536,0))</f>
        <v>#N/A</v>
      </c>
      <c r="P15" s="14"/>
      <c r="T15" s="12" t="e">
        <f>INDEX([1]流向迭代数据!K$2:K$65536,MATCH(L15,[1]流向迭代数据!H$2:H$65536,0))</f>
        <v>#N/A</v>
      </c>
      <c r="W15" s="12" t="str">
        <f t="shared" si="1"/>
        <v/>
      </c>
    </row>
    <row r="16" spans="1:24" x14ac:dyDescent="0.15">
      <c r="A16" s="14" t="str">
        <f t="shared" si="0"/>
        <v>190001</v>
      </c>
      <c r="C16" s="12" t="e">
        <f>INDEX(基础数据!$A$2:$A$1024,MATCH(转配商关联商!X16,基础数据!$D$2:$D$1024,0))</f>
        <v>#N/A</v>
      </c>
      <c r="E16" s="12" t="e">
        <f>INDEX(基础数据!$B$2:$B$1024,MATCH(转配商关联商!X16,基础数据!$D$2:$D$1024,0))</f>
        <v>#N/A</v>
      </c>
      <c r="G16" s="12" t="e">
        <f>INDEX([1]流向迭代数据!E$2:E$65536,MATCH(转配商关联商!W16,[1]流向迭代数据!M$2:M$65536,0))</f>
        <v>#N/A</v>
      </c>
      <c r="N16" s="12" t="e">
        <f>INDEX([1]流向迭代数据!J$2:J$65536,MATCH(L16,[1]流向迭代数据!H$2:H$65536,0))</f>
        <v>#N/A</v>
      </c>
      <c r="P16" s="14"/>
      <c r="T16" s="12" t="e">
        <f>INDEX([1]流向迭代数据!K$2:K$65536,MATCH(L16,[1]流向迭代数据!H$2:H$65536,0))</f>
        <v>#N/A</v>
      </c>
      <c r="W16" s="12" t="str">
        <f t="shared" si="1"/>
        <v/>
      </c>
    </row>
    <row r="17" spans="1:23" x14ac:dyDescent="0.15">
      <c r="A17" s="14" t="str">
        <f t="shared" si="0"/>
        <v>190001</v>
      </c>
      <c r="C17" s="12" t="e">
        <f>INDEX(基础数据!$A$2:$A$1024,MATCH(转配商关联商!X17,基础数据!$D$2:$D$1024,0))</f>
        <v>#N/A</v>
      </c>
      <c r="E17" s="12" t="e">
        <f>INDEX(基础数据!$B$2:$B$1024,MATCH(转配商关联商!X17,基础数据!$D$2:$D$1024,0))</f>
        <v>#N/A</v>
      </c>
      <c r="G17" s="12" t="e">
        <f>INDEX([1]流向迭代数据!E$2:E$65536,MATCH(转配商关联商!W17,[1]流向迭代数据!M$2:M$65536,0))</f>
        <v>#N/A</v>
      </c>
      <c r="N17" s="12" t="e">
        <f>INDEX([1]流向迭代数据!J$2:J$65536,MATCH(L17,[1]流向迭代数据!H$2:H$65536,0))</f>
        <v>#N/A</v>
      </c>
      <c r="P17" s="14"/>
      <c r="T17" s="12" t="e">
        <f>INDEX([1]流向迭代数据!K$2:K$65536,MATCH(L17,[1]流向迭代数据!H$2:H$65536,0))</f>
        <v>#N/A</v>
      </c>
      <c r="W17" s="12" t="str">
        <f t="shared" si="1"/>
        <v/>
      </c>
    </row>
    <row r="18" spans="1:23" x14ac:dyDescent="0.15">
      <c r="A18" s="14" t="str">
        <f t="shared" si="0"/>
        <v>190001</v>
      </c>
      <c r="C18" s="12" t="e">
        <f>INDEX(基础数据!$A$2:$A$1024,MATCH(转配商关联商!X18,基础数据!$D$2:$D$1024,0))</f>
        <v>#N/A</v>
      </c>
      <c r="E18" s="12" t="e">
        <f>INDEX(基础数据!$B$2:$B$1024,MATCH(转配商关联商!X18,基础数据!$D$2:$D$1024,0))</f>
        <v>#N/A</v>
      </c>
      <c r="G18" s="12" t="e">
        <f>INDEX([1]流向迭代数据!E$2:E$65536,MATCH(转配商关联商!W18,[1]流向迭代数据!M$2:M$65536,0))</f>
        <v>#N/A</v>
      </c>
      <c r="N18" s="12" t="e">
        <f>INDEX([1]流向迭代数据!J$2:J$65536,MATCH(L18,[1]流向迭代数据!H$2:H$65536,0))</f>
        <v>#N/A</v>
      </c>
      <c r="P18" s="14"/>
      <c r="T18" s="12" t="e">
        <f>INDEX([1]流向迭代数据!K$2:K$65536,MATCH(L18,[1]流向迭代数据!H$2:H$65536,0))</f>
        <v>#N/A</v>
      </c>
      <c r="W18" s="12" t="str">
        <f t="shared" si="1"/>
        <v/>
      </c>
    </row>
    <row r="19" spans="1:23" x14ac:dyDescent="0.15">
      <c r="A19" s="14" t="str">
        <f t="shared" si="0"/>
        <v>190001</v>
      </c>
      <c r="C19" s="12" t="e">
        <f>INDEX(基础数据!$A$2:$A$1024,MATCH(转配商关联商!X19,基础数据!$D$2:$D$1024,0))</f>
        <v>#N/A</v>
      </c>
      <c r="E19" s="12" t="e">
        <f>INDEX(基础数据!$B$2:$B$1024,MATCH(转配商关联商!X19,基础数据!$D$2:$D$1024,0))</f>
        <v>#N/A</v>
      </c>
      <c r="G19" s="12" t="e">
        <f>INDEX([1]流向迭代数据!E$2:E$65536,MATCH(转配商关联商!W19,[1]流向迭代数据!M$2:M$65536,0))</f>
        <v>#N/A</v>
      </c>
      <c r="N19" s="12" t="e">
        <f>INDEX([1]流向迭代数据!J$2:J$65536,MATCH(L19,[1]流向迭代数据!H$2:H$65536,0))</f>
        <v>#N/A</v>
      </c>
      <c r="P19" s="14"/>
      <c r="T19" s="12" t="e">
        <f>INDEX([1]流向迭代数据!K$2:K$65536,MATCH(L19,[1]流向迭代数据!H$2:H$65536,0))</f>
        <v>#N/A</v>
      </c>
      <c r="W19" s="12" t="str">
        <f t="shared" si="1"/>
        <v/>
      </c>
    </row>
    <row r="20" spans="1:23" x14ac:dyDescent="0.15">
      <c r="A20" s="14" t="str">
        <f t="shared" si="0"/>
        <v>190001</v>
      </c>
      <c r="C20" s="12" t="e">
        <f>INDEX(基础数据!$A$2:$A$1024,MATCH(转配商关联商!X20,基础数据!$D$2:$D$1024,0))</f>
        <v>#N/A</v>
      </c>
      <c r="E20" s="12" t="e">
        <f>INDEX(基础数据!$B$2:$B$1024,MATCH(转配商关联商!X20,基础数据!$D$2:$D$1024,0))</f>
        <v>#N/A</v>
      </c>
      <c r="G20" s="12" t="e">
        <f>INDEX([1]流向迭代数据!E$2:E$65536,MATCH(转配商关联商!W20,[1]流向迭代数据!M$2:M$65536,0))</f>
        <v>#N/A</v>
      </c>
      <c r="N20" s="12" t="e">
        <f>INDEX([1]流向迭代数据!J$2:J$65536,MATCH(L20,[1]流向迭代数据!H$2:H$65536,0))</f>
        <v>#N/A</v>
      </c>
      <c r="P20" s="14"/>
      <c r="T20" s="12" t="e">
        <f>INDEX([1]流向迭代数据!K$2:K$65536,MATCH(L20,[1]流向迭代数据!H$2:H$65536,0))</f>
        <v>#N/A</v>
      </c>
      <c r="W20" s="12" t="str">
        <f t="shared" si="1"/>
        <v/>
      </c>
    </row>
    <row r="21" spans="1:23" x14ac:dyDescent="0.15">
      <c r="A21" s="14" t="str">
        <f t="shared" si="0"/>
        <v>190001</v>
      </c>
      <c r="C21" s="12" t="e">
        <f>INDEX(基础数据!$A$2:$A$1024,MATCH(转配商关联商!X21,基础数据!$D$2:$D$1024,0))</f>
        <v>#N/A</v>
      </c>
      <c r="E21" s="12" t="e">
        <f>INDEX(基础数据!$B$2:$B$1024,MATCH(转配商关联商!X21,基础数据!$D$2:$D$1024,0))</f>
        <v>#N/A</v>
      </c>
      <c r="G21" s="12" t="e">
        <f>INDEX([1]流向迭代数据!E$2:E$65536,MATCH(转配商关联商!W21,[1]流向迭代数据!M$2:M$65536,0))</f>
        <v>#N/A</v>
      </c>
      <c r="N21" s="12" t="e">
        <f>INDEX([1]流向迭代数据!J$2:J$65536,MATCH(L21,[1]流向迭代数据!H$2:H$65536,0))</f>
        <v>#N/A</v>
      </c>
      <c r="P21" s="14"/>
      <c r="T21" s="12" t="e">
        <f>INDEX([1]流向迭代数据!K$2:K$65536,MATCH(L21,[1]流向迭代数据!H$2:H$65536,0))</f>
        <v>#N/A</v>
      </c>
      <c r="W21" s="12" t="str">
        <f t="shared" si="1"/>
        <v/>
      </c>
    </row>
    <row r="22" spans="1:23" x14ac:dyDescent="0.15">
      <c r="A22" s="14" t="str">
        <f t="shared" si="0"/>
        <v>190001</v>
      </c>
      <c r="C22" s="12" t="e">
        <f>INDEX(基础数据!$A$2:$A$1024,MATCH(转配商关联商!X22,基础数据!$D$2:$D$1024,0))</f>
        <v>#N/A</v>
      </c>
      <c r="E22" s="12" t="e">
        <f>INDEX(基础数据!$B$2:$B$1024,MATCH(转配商关联商!X22,基础数据!$D$2:$D$1024,0))</f>
        <v>#N/A</v>
      </c>
      <c r="G22" s="12" t="e">
        <f>INDEX([1]流向迭代数据!E$2:E$65536,MATCH(转配商关联商!W22,[1]流向迭代数据!M$2:M$65536,0))</f>
        <v>#N/A</v>
      </c>
      <c r="N22" s="12" t="e">
        <f>INDEX([1]流向迭代数据!J$2:J$65536,MATCH(L22,[1]流向迭代数据!H$2:H$65536,0))</f>
        <v>#N/A</v>
      </c>
      <c r="P22" s="14"/>
      <c r="T22" s="12" t="e">
        <f>INDEX([1]流向迭代数据!K$2:K$65536,MATCH(L22,[1]流向迭代数据!H$2:H$65536,0))</f>
        <v>#N/A</v>
      </c>
      <c r="W22" s="12" t="str">
        <f t="shared" si="1"/>
        <v/>
      </c>
    </row>
    <row r="23" spans="1:23" x14ac:dyDescent="0.15">
      <c r="A23" s="14" t="str">
        <f t="shared" si="0"/>
        <v>190001</v>
      </c>
      <c r="C23" s="12" t="e">
        <f>INDEX(基础数据!$A$2:$A$1024,MATCH(转配商关联商!X23,基础数据!$D$2:$D$1024,0))</f>
        <v>#N/A</v>
      </c>
      <c r="E23" s="12" t="e">
        <f>INDEX(基础数据!$B$2:$B$1024,MATCH(转配商关联商!X23,基础数据!$D$2:$D$1024,0))</f>
        <v>#N/A</v>
      </c>
      <c r="G23" s="12" t="e">
        <f>INDEX([1]流向迭代数据!E$2:E$65536,MATCH(转配商关联商!W23,[1]流向迭代数据!M$2:M$65536,0))</f>
        <v>#N/A</v>
      </c>
      <c r="N23" s="12" t="e">
        <f>INDEX([1]流向迭代数据!J$2:J$65536,MATCH(L23,[1]流向迭代数据!H$2:H$65536,0))</f>
        <v>#N/A</v>
      </c>
      <c r="P23" s="14"/>
      <c r="T23" s="12" t="e">
        <f>INDEX([1]流向迭代数据!K$2:K$65536,MATCH(L23,[1]流向迭代数据!H$2:H$65536,0))</f>
        <v>#N/A</v>
      </c>
      <c r="W23" s="12" t="str">
        <f t="shared" si="1"/>
        <v/>
      </c>
    </row>
    <row r="24" spans="1:23" x14ac:dyDescent="0.15">
      <c r="A24" s="14" t="str">
        <f t="shared" si="0"/>
        <v>190001</v>
      </c>
      <c r="C24" s="12" t="e">
        <f>INDEX(基础数据!$A$2:$A$1024,MATCH(转配商关联商!X24,基础数据!$D$2:$D$1024,0))</f>
        <v>#N/A</v>
      </c>
      <c r="E24" s="12" t="e">
        <f>INDEX(基础数据!$B$2:$B$1024,MATCH(转配商关联商!X24,基础数据!$D$2:$D$1024,0))</f>
        <v>#N/A</v>
      </c>
      <c r="G24" s="12" t="e">
        <f>INDEX([1]流向迭代数据!E$2:E$65536,MATCH(转配商关联商!W24,[1]流向迭代数据!M$2:M$65536,0))</f>
        <v>#N/A</v>
      </c>
      <c r="N24" s="12" t="e">
        <f>INDEX([1]流向迭代数据!J$2:J$65536,MATCH(L24,[1]流向迭代数据!H$2:H$65536,0))</f>
        <v>#N/A</v>
      </c>
      <c r="P24" s="14"/>
      <c r="T24" s="12" t="e">
        <f>INDEX([1]流向迭代数据!K$2:K$65536,MATCH(L24,[1]流向迭代数据!H$2:H$65536,0))</f>
        <v>#N/A</v>
      </c>
      <c r="W24" s="12" t="str">
        <f t="shared" si="1"/>
        <v/>
      </c>
    </row>
    <row r="25" spans="1:23" x14ac:dyDescent="0.15">
      <c r="A25" s="14" t="str">
        <f t="shared" si="0"/>
        <v>190001</v>
      </c>
      <c r="C25" s="12" t="e">
        <f>INDEX(基础数据!$A$2:$A$1024,MATCH(转配商关联商!X25,基础数据!$D$2:$D$1024,0))</f>
        <v>#N/A</v>
      </c>
      <c r="E25" s="12" t="e">
        <f>INDEX(基础数据!$B$2:$B$1024,MATCH(转配商关联商!X25,基础数据!$D$2:$D$1024,0))</f>
        <v>#N/A</v>
      </c>
      <c r="G25" s="12" t="e">
        <f>INDEX([1]流向迭代数据!E$2:E$65536,MATCH(转配商关联商!W25,[1]流向迭代数据!M$2:M$65536,0))</f>
        <v>#N/A</v>
      </c>
      <c r="N25" s="12" t="e">
        <f>INDEX([1]流向迭代数据!J$2:J$65536,MATCH(L25,[1]流向迭代数据!H$2:H$65536,0))</f>
        <v>#N/A</v>
      </c>
      <c r="P25" s="14"/>
      <c r="T25" s="12" t="e">
        <f>INDEX([1]流向迭代数据!K$2:K$65536,MATCH(L25,[1]流向迭代数据!H$2:H$65536,0))</f>
        <v>#N/A</v>
      </c>
      <c r="W25" s="12" t="str">
        <f t="shared" si="1"/>
        <v/>
      </c>
    </row>
    <row r="26" spans="1:23" x14ac:dyDescent="0.15">
      <c r="A26" s="14" t="str">
        <f t="shared" si="0"/>
        <v>190001</v>
      </c>
      <c r="C26" s="12" t="e">
        <f>INDEX(基础数据!$A$2:$A$1024,MATCH(转配商关联商!X26,基础数据!$D$2:$D$1024,0))</f>
        <v>#N/A</v>
      </c>
      <c r="E26" s="12" t="e">
        <f>INDEX(基础数据!$B$2:$B$1024,MATCH(转配商关联商!X26,基础数据!$D$2:$D$1024,0))</f>
        <v>#N/A</v>
      </c>
      <c r="G26" s="12" t="e">
        <f>INDEX([1]流向迭代数据!E$2:E$65536,MATCH(转配商关联商!W26,[1]流向迭代数据!M$2:M$65536,0))</f>
        <v>#N/A</v>
      </c>
      <c r="N26" s="12" t="e">
        <f>INDEX([1]流向迭代数据!J$2:J$65536,MATCH(L26,[1]流向迭代数据!H$2:H$65536,0))</f>
        <v>#N/A</v>
      </c>
      <c r="P26" s="14"/>
      <c r="T26" s="12" t="e">
        <f>INDEX([1]流向迭代数据!K$2:K$65536,MATCH(L26,[1]流向迭代数据!H$2:H$65536,0))</f>
        <v>#N/A</v>
      </c>
      <c r="W26" s="12" t="str">
        <f t="shared" si="1"/>
        <v/>
      </c>
    </row>
    <row r="27" spans="1:23" x14ac:dyDescent="0.15">
      <c r="A27" s="14" t="str">
        <f t="shared" si="0"/>
        <v>190001</v>
      </c>
      <c r="C27" s="12" t="e">
        <f>INDEX(基础数据!$A$2:$A$1024,MATCH(转配商关联商!X27,基础数据!$D$2:$D$1024,0))</f>
        <v>#N/A</v>
      </c>
      <c r="E27" s="12" t="e">
        <f>INDEX(基础数据!$B$2:$B$1024,MATCH(转配商关联商!X27,基础数据!$D$2:$D$1024,0))</f>
        <v>#N/A</v>
      </c>
      <c r="G27" s="12" t="e">
        <f>INDEX([1]流向迭代数据!E$2:E$65536,MATCH(转配商关联商!W27,[1]流向迭代数据!M$2:M$65536,0))</f>
        <v>#N/A</v>
      </c>
      <c r="N27" s="12" t="e">
        <f>INDEX([1]流向迭代数据!J$2:J$65536,MATCH(L27,[1]流向迭代数据!H$2:H$65536,0))</f>
        <v>#N/A</v>
      </c>
      <c r="P27" s="14"/>
      <c r="T27" s="12" t="e">
        <f>INDEX([1]流向迭代数据!K$2:K$65536,MATCH(L27,[1]流向迭代数据!H$2:H$65536,0))</f>
        <v>#N/A</v>
      </c>
      <c r="W27" s="12" t="str">
        <f t="shared" si="1"/>
        <v/>
      </c>
    </row>
    <row r="28" spans="1:23" x14ac:dyDescent="0.15">
      <c r="A28" s="14" t="str">
        <f t="shared" si="0"/>
        <v>190001</v>
      </c>
      <c r="C28" s="12" t="e">
        <f>INDEX(基础数据!$A$2:$A$1024,MATCH(转配商关联商!X28,基础数据!$D$2:$D$1024,0))</f>
        <v>#N/A</v>
      </c>
      <c r="E28" s="12" t="e">
        <f>INDEX(基础数据!$B$2:$B$1024,MATCH(转配商关联商!X28,基础数据!$D$2:$D$1024,0))</f>
        <v>#N/A</v>
      </c>
      <c r="G28" s="12" t="e">
        <f>INDEX([1]流向迭代数据!E$2:E$65536,MATCH(转配商关联商!W28,[1]流向迭代数据!M$2:M$65536,0))</f>
        <v>#N/A</v>
      </c>
      <c r="N28" s="12" t="e">
        <f>INDEX([1]流向迭代数据!J$2:J$65536,MATCH(L28,[1]流向迭代数据!H$2:H$65536,0))</f>
        <v>#N/A</v>
      </c>
      <c r="P28" s="14"/>
      <c r="T28" s="12" t="e">
        <f>INDEX([1]流向迭代数据!K$2:K$65536,MATCH(L28,[1]流向迭代数据!H$2:H$65536,0))</f>
        <v>#N/A</v>
      </c>
      <c r="W28" s="12" t="str">
        <f t="shared" si="1"/>
        <v/>
      </c>
    </row>
    <row r="29" spans="1:23" x14ac:dyDescent="0.15">
      <c r="A29" s="14" t="str">
        <f t="shared" si="0"/>
        <v>190001</v>
      </c>
      <c r="C29" s="12" t="e">
        <f>INDEX(基础数据!$A$2:$A$1024,MATCH(转配商关联商!X29,基础数据!$D$2:$D$1024,0))</f>
        <v>#N/A</v>
      </c>
      <c r="E29" s="12" t="e">
        <f>INDEX(基础数据!$B$2:$B$1024,MATCH(转配商关联商!X29,基础数据!$D$2:$D$1024,0))</f>
        <v>#N/A</v>
      </c>
      <c r="G29" s="12" t="e">
        <f>INDEX([1]流向迭代数据!E$2:E$65536,MATCH(转配商关联商!W29,[1]流向迭代数据!M$2:M$65536,0))</f>
        <v>#N/A</v>
      </c>
      <c r="N29" s="12" t="e">
        <f>INDEX([1]流向迭代数据!J$2:J$65536,MATCH(L29,[1]流向迭代数据!H$2:H$65536,0))</f>
        <v>#N/A</v>
      </c>
      <c r="P29" s="14"/>
      <c r="T29" s="12" t="e">
        <f>INDEX([1]流向迭代数据!K$2:K$65536,MATCH(L29,[1]流向迭代数据!H$2:H$65536,0))</f>
        <v>#N/A</v>
      </c>
      <c r="W29" s="12" t="str">
        <f t="shared" si="1"/>
        <v/>
      </c>
    </row>
    <row r="30" spans="1:23" x14ac:dyDescent="0.15">
      <c r="A30" s="14" t="str">
        <f t="shared" si="0"/>
        <v>190001</v>
      </c>
      <c r="C30" s="12" t="e">
        <f>INDEX(基础数据!$A$2:$A$1024,MATCH(转配商关联商!X30,基础数据!$D$2:$D$1024,0))</f>
        <v>#N/A</v>
      </c>
      <c r="E30" s="12" t="e">
        <f>INDEX(基础数据!$B$2:$B$1024,MATCH(转配商关联商!X30,基础数据!$D$2:$D$1024,0))</f>
        <v>#N/A</v>
      </c>
      <c r="G30" s="12" t="e">
        <f>INDEX([1]流向迭代数据!E$2:E$65536,MATCH(转配商关联商!W30,[1]流向迭代数据!M$2:M$65536,0))</f>
        <v>#N/A</v>
      </c>
      <c r="N30" s="12" t="e">
        <f>INDEX([1]流向迭代数据!J$2:J$65536,MATCH(L30,[1]流向迭代数据!H$2:H$65536,0))</f>
        <v>#N/A</v>
      </c>
      <c r="P30" s="14"/>
      <c r="T30" s="12" t="e">
        <f>INDEX([1]流向迭代数据!K$2:K$65536,MATCH(L30,[1]流向迭代数据!H$2:H$65536,0))</f>
        <v>#N/A</v>
      </c>
      <c r="W30" s="12" t="str">
        <f t="shared" si="1"/>
        <v/>
      </c>
    </row>
    <row r="31" spans="1:23" x14ac:dyDescent="0.15">
      <c r="A31" s="14" t="str">
        <f t="shared" si="0"/>
        <v>190001</v>
      </c>
      <c r="C31" s="12" t="e">
        <f>INDEX(基础数据!$A$2:$A$1024,MATCH(转配商关联商!X31,基础数据!$D$2:$D$1024,0))</f>
        <v>#N/A</v>
      </c>
      <c r="E31" s="12" t="e">
        <f>INDEX(基础数据!$B$2:$B$1024,MATCH(转配商关联商!X31,基础数据!$D$2:$D$1024,0))</f>
        <v>#N/A</v>
      </c>
      <c r="G31" s="12" t="e">
        <f>INDEX([1]流向迭代数据!E$2:E$65536,MATCH(转配商关联商!W31,[1]流向迭代数据!M$2:M$65536,0))</f>
        <v>#N/A</v>
      </c>
      <c r="N31" s="12" t="e">
        <f>INDEX([1]流向迭代数据!J$2:J$65536,MATCH(L31,[1]流向迭代数据!H$2:H$65536,0))</f>
        <v>#N/A</v>
      </c>
      <c r="P31" s="14"/>
      <c r="T31" s="12" t="e">
        <f>INDEX([1]流向迭代数据!K$2:K$65536,MATCH(L31,[1]流向迭代数据!H$2:H$65536,0))</f>
        <v>#N/A</v>
      </c>
      <c r="W31" s="12" t="str">
        <f t="shared" si="1"/>
        <v/>
      </c>
    </row>
    <row r="32" spans="1:23" x14ac:dyDescent="0.15">
      <c r="A32" s="14" t="str">
        <f t="shared" si="0"/>
        <v>190001</v>
      </c>
      <c r="C32" s="12" t="e">
        <f>INDEX(基础数据!$A$2:$A$1024,MATCH(转配商关联商!X32,基础数据!$D$2:$D$1024,0))</f>
        <v>#N/A</v>
      </c>
      <c r="E32" s="12" t="e">
        <f>INDEX(基础数据!$B$2:$B$1024,MATCH(转配商关联商!X32,基础数据!$D$2:$D$1024,0))</f>
        <v>#N/A</v>
      </c>
      <c r="G32" s="12" t="e">
        <f>INDEX([1]流向迭代数据!E$2:E$65536,MATCH(转配商关联商!W32,[1]流向迭代数据!M$2:M$65536,0))</f>
        <v>#N/A</v>
      </c>
      <c r="N32" s="12" t="e">
        <f>INDEX([1]流向迭代数据!J$2:J$65536,MATCH(L32,[1]流向迭代数据!H$2:H$65536,0))</f>
        <v>#N/A</v>
      </c>
      <c r="P32" s="14"/>
      <c r="T32" s="12" t="e">
        <f>INDEX([1]流向迭代数据!K$2:K$65536,MATCH(L32,[1]流向迭代数据!H$2:H$65536,0))</f>
        <v>#N/A</v>
      </c>
      <c r="W32" s="12" t="str">
        <f t="shared" si="1"/>
        <v/>
      </c>
    </row>
    <row r="33" spans="1:23" x14ac:dyDescent="0.15">
      <c r="A33" s="14" t="str">
        <f t="shared" si="0"/>
        <v>190001</v>
      </c>
      <c r="C33" s="12" t="e">
        <f>INDEX(基础数据!$A$2:$A$1024,MATCH(转配商关联商!X33,基础数据!$D$2:$D$1024,0))</f>
        <v>#N/A</v>
      </c>
      <c r="E33" s="12" t="e">
        <f>INDEX(基础数据!$B$2:$B$1024,MATCH(转配商关联商!X33,基础数据!$D$2:$D$1024,0))</f>
        <v>#N/A</v>
      </c>
      <c r="G33" s="12" t="e">
        <f>INDEX([1]流向迭代数据!E$2:E$65536,MATCH(转配商关联商!W33,[1]流向迭代数据!M$2:M$65536,0))</f>
        <v>#N/A</v>
      </c>
      <c r="N33" s="12" t="e">
        <f>INDEX([1]流向迭代数据!J$2:J$65536,MATCH(L33,[1]流向迭代数据!H$2:H$65536,0))</f>
        <v>#N/A</v>
      </c>
      <c r="P33" s="14"/>
      <c r="T33" s="12" t="e">
        <f>INDEX([1]流向迭代数据!K$2:K$65536,MATCH(L33,[1]流向迭代数据!H$2:H$65536,0))</f>
        <v>#N/A</v>
      </c>
      <c r="W33" s="12" t="str">
        <f t="shared" si="1"/>
        <v/>
      </c>
    </row>
    <row r="34" spans="1:23" x14ac:dyDescent="0.15">
      <c r="A34" s="14" t="str">
        <f t="shared" si="0"/>
        <v>190001</v>
      </c>
      <c r="C34" s="12" t="e">
        <f>INDEX(基础数据!$A$2:$A$1024,MATCH(转配商关联商!X34,基础数据!$D$2:$D$1024,0))</f>
        <v>#N/A</v>
      </c>
      <c r="E34" s="12" t="e">
        <f>INDEX(基础数据!$B$2:$B$1024,MATCH(转配商关联商!X34,基础数据!$D$2:$D$1024,0))</f>
        <v>#N/A</v>
      </c>
      <c r="G34" s="12" t="e">
        <f>INDEX([1]流向迭代数据!E$2:E$65536,MATCH(转配商关联商!W34,[1]流向迭代数据!M$2:M$65536,0))</f>
        <v>#N/A</v>
      </c>
      <c r="N34" s="12" t="e">
        <f>INDEX([1]流向迭代数据!J$2:J$65536,MATCH(L34,[1]流向迭代数据!H$2:H$65536,0))</f>
        <v>#N/A</v>
      </c>
      <c r="P34" s="14"/>
      <c r="T34" s="12" t="e">
        <f>INDEX([1]流向迭代数据!K$2:K$65536,MATCH(L34,[1]流向迭代数据!H$2:H$65536,0))</f>
        <v>#N/A</v>
      </c>
      <c r="W34" s="12" t="str">
        <f t="shared" si="1"/>
        <v/>
      </c>
    </row>
    <row r="35" spans="1:23" x14ac:dyDescent="0.15">
      <c r="A35" s="14" t="str">
        <f t="shared" si="0"/>
        <v>190001</v>
      </c>
      <c r="C35" s="12" t="e">
        <f>INDEX(基础数据!$A$2:$A$1024,MATCH(转配商关联商!X35,基础数据!$D$2:$D$1024,0))</f>
        <v>#N/A</v>
      </c>
      <c r="E35" s="12" t="e">
        <f>INDEX(基础数据!$B$2:$B$1024,MATCH(转配商关联商!X35,基础数据!$D$2:$D$1024,0))</f>
        <v>#N/A</v>
      </c>
      <c r="G35" s="12" t="e">
        <f>INDEX([1]流向迭代数据!E$2:E$65536,MATCH(转配商关联商!W35,[1]流向迭代数据!M$2:M$65536,0))</f>
        <v>#N/A</v>
      </c>
      <c r="N35" s="12" t="e">
        <f>INDEX([1]流向迭代数据!J$2:J$65536,MATCH(L35,[1]流向迭代数据!H$2:H$65536,0))</f>
        <v>#N/A</v>
      </c>
      <c r="P35" s="14"/>
      <c r="T35" s="12" t="e">
        <f>INDEX([1]流向迭代数据!K$2:K$65536,MATCH(L35,[1]流向迭代数据!H$2:H$65536,0))</f>
        <v>#N/A</v>
      </c>
      <c r="W35" s="12" t="str">
        <f t="shared" si="1"/>
        <v/>
      </c>
    </row>
    <row r="36" spans="1:23" x14ac:dyDescent="0.15">
      <c r="A36" s="14" t="str">
        <f t="shared" si="0"/>
        <v>190001</v>
      </c>
      <c r="C36" s="12" t="e">
        <f>INDEX(基础数据!$A$2:$A$1024,MATCH(转配商关联商!X36,基础数据!$D$2:$D$1024,0))</f>
        <v>#N/A</v>
      </c>
      <c r="E36" s="12" t="e">
        <f>INDEX(基础数据!$B$2:$B$1024,MATCH(转配商关联商!X36,基础数据!$D$2:$D$1024,0))</f>
        <v>#N/A</v>
      </c>
      <c r="G36" s="12" t="e">
        <f>INDEX([1]流向迭代数据!E$2:E$65536,MATCH(转配商关联商!W36,[1]流向迭代数据!M$2:M$65536,0))</f>
        <v>#N/A</v>
      </c>
      <c r="N36" s="12" t="e">
        <f>INDEX([1]流向迭代数据!J$2:J$65536,MATCH(L36,[1]流向迭代数据!H$2:H$65536,0))</f>
        <v>#N/A</v>
      </c>
      <c r="P36" s="14"/>
      <c r="T36" s="12" t="e">
        <f>INDEX([1]流向迭代数据!K$2:K$65536,MATCH(L36,[1]流向迭代数据!H$2:H$65536,0))</f>
        <v>#N/A</v>
      </c>
      <c r="W36" s="12" t="str">
        <f t="shared" si="1"/>
        <v/>
      </c>
    </row>
    <row r="37" spans="1:23" x14ac:dyDescent="0.15">
      <c r="A37" s="14" t="str">
        <f t="shared" si="0"/>
        <v>190001</v>
      </c>
      <c r="C37" s="12" t="e">
        <f>INDEX(基础数据!$A$2:$A$1024,MATCH(转配商关联商!X37,基础数据!$D$2:$D$1024,0))</f>
        <v>#N/A</v>
      </c>
      <c r="E37" s="12" t="e">
        <f>INDEX(基础数据!$B$2:$B$1024,MATCH(转配商关联商!X37,基础数据!$D$2:$D$1024,0))</f>
        <v>#N/A</v>
      </c>
      <c r="G37" s="12" t="e">
        <f>INDEX([1]流向迭代数据!E$2:E$65536,MATCH(转配商关联商!W37,[1]流向迭代数据!M$2:M$65536,0))</f>
        <v>#N/A</v>
      </c>
      <c r="N37" s="12" t="e">
        <f>INDEX([1]流向迭代数据!J$2:J$65536,MATCH(L37,[1]流向迭代数据!H$2:H$65536,0))</f>
        <v>#N/A</v>
      </c>
      <c r="P37" s="14"/>
      <c r="T37" s="12" t="e">
        <f>INDEX([1]流向迭代数据!K$2:K$65536,MATCH(L37,[1]流向迭代数据!H$2:H$65536,0))</f>
        <v>#N/A</v>
      </c>
      <c r="W37" s="12" t="str">
        <f t="shared" si="1"/>
        <v/>
      </c>
    </row>
    <row r="38" spans="1:23" x14ac:dyDescent="0.15">
      <c r="A38" s="14" t="str">
        <f t="shared" si="0"/>
        <v>190001</v>
      </c>
      <c r="C38" s="12" t="e">
        <f>INDEX(基础数据!$A$2:$A$1024,MATCH(转配商关联商!X38,基础数据!$D$2:$D$1024,0))</f>
        <v>#N/A</v>
      </c>
      <c r="E38" s="12" t="e">
        <f>INDEX(基础数据!$B$2:$B$1024,MATCH(转配商关联商!X38,基础数据!$D$2:$D$1024,0))</f>
        <v>#N/A</v>
      </c>
      <c r="G38" s="12" t="e">
        <f>INDEX([1]流向迭代数据!E$2:E$65536,MATCH(转配商关联商!W38,[1]流向迭代数据!M$2:M$65536,0))</f>
        <v>#N/A</v>
      </c>
      <c r="N38" s="12" t="e">
        <f>INDEX([1]流向迭代数据!J$2:J$65536,MATCH(L38,[1]流向迭代数据!H$2:H$65536,0))</f>
        <v>#N/A</v>
      </c>
      <c r="P38" s="14"/>
      <c r="T38" s="12" t="e">
        <f>INDEX([1]流向迭代数据!K$2:K$65536,MATCH(L38,[1]流向迭代数据!H$2:H$65536,0))</f>
        <v>#N/A</v>
      </c>
      <c r="W38" s="12" t="str">
        <f t="shared" si="1"/>
        <v/>
      </c>
    </row>
    <row r="39" spans="1:23" x14ac:dyDescent="0.15">
      <c r="A39" s="14" t="str">
        <f t="shared" si="0"/>
        <v>190001</v>
      </c>
      <c r="C39" s="12" t="e">
        <f>INDEX(基础数据!$A$2:$A$1024,MATCH(转配商关联商!X39,基础数据!$D$2:$D$1024,0))</f>
        <v>#N/A</v>
      </c>
      <c r="E39" s="12" t="e">
        <f>INDEX(基础数据!$B$2:$B$1024,MATCH(转配商关联商!X39,基础数据!$D$2:$D$1024,0))</f>
        <v>#N/A</v>
      </c>
      <c r="G39" s="12" t="e">
        <f>INDEX([1]流向迭代数据!E$2:E$65536,MATCH(转配商关联商!W39,[1]流向迭代数据!M$2:M$65536,0))</f>
        <v>#N/A</v>
      </c>
      <c r="N39" s="12" t="e">
        <f>INDEX([1]流向迭代数据!J$2:J$65536,MATCH(L39,[1]流向迭代数据!H$2:H$65536,0))</f>
        <v>#N/A</v>
      </c>
      <c r="P39" s="14"/>
      <c r="T39" s="12" t="e">
        <f>INDEX([1]流向迭代数据!K$2:K$65536,MATCH(L39,[1]流向迭代数据!H$2:H$65536,0))</f>
        <v>#N/A</v>
      </c>
      <c r="W39" s="12" t="str">
        <f t="shared" si="1"/>
        <v/>
      </c>
    </row>
    <row r="40" spans="1:23" x14ac:dyDescent="0.15">
      <c r="A40" s="14" t="str">
        <f t="shared" si="0"/>
        <v>190001</v>
      </c>
      <c r="C40" s="12" t="e">
        <f>INDEX(基础数据!$A$2:$A$1024,MATCH(转配商关联商!X40,基础数据!$D$2:$D$1024,0))</f>
        <v>#N/A</v>
      </c>
      <c r="E40" s="12" t="e">
        <f>INDEX(基础数据!$B$2:$B$1024,MATCH(转配商关联商!X40,基础数据!$D$2:$D$1024,0))</f>
        <v>#N/A</v>
      </c>
      <c r="G40" s="12" t="e">
        <f>INDEX([1]流向迭代数据!E$2:E$65536,MATCH(转配商关联商!W40,[1]流向迭代数据!M$2:M$65536,0))</f>
        <v>#N/A</v>
      </c>
      <c r="N40" s="12" t="e">
        <f>INDEX([1]流向迭代数据!J$2:J$65536,MATCH(L40,[1]流向迭代数据!H$2:H$65536,0))</f>
        <v>#N/A</v>
      </c>
      <c r="P40" s="14"/>
      <c r="T40" s="12" t="e">
        <f>INDEX([1]流向迭代数据!K$2:K$65536,MATCH(L40,[1]流向迭代数据!H$2:H$65536,0))</f>
        <v>#N/A</v>
      </c>
      <c r="W40" s="12" t="str">
        <f t="shared" si="1"/>
        <v/>
      </c>
    </row>
    <row r="41" spans="1:23" x14ac:dyDescent="0.15">
      <c r="A41" s="14" t="str">
        <f t="shared" si="0"/>
        <v>190001</v>
      </c>
      <c r="C41" s="12" t="e">
        <f>INDEX(基础数据!$A$2:$A$1024,MATCH(转配商关联商!X41,基础数据!$D$2:$D$1024,0))</f>
        <v>#N/A</v>
      </c>
      <c r="E41" s="12" t="e">
        <f>INDEX(基础数据!$B$2:$B$1024,MATCH(转配商关联商!X41,基础数据!$D$2:$D$1024,0))</f>
        <v>#N/A</v>
      </c>
      <c r="G41" s="12" t="e">
        <f>INDEX([1]流向迭代数据!E$2:E$65536,MATCH(转配商关联商!W41,[1]流向迭代数据!M$2:M$65536,0))</f>
        <v>#N/A</v>
      </c>
      <c r="N41" s="12" t="e">
        <f>INDEX([1]流向迭代数据!J$2:J$65536,MATCH(L41,[1]流向迭代数据!H$2:H$65536,0))</f>
        <v>#N/A</v>
      </c>
      <c r="P41" s="14"/>
      <c r="T41" s="12" t="e">
        <f>INDEX([1]流向迭代数据!K$2:K$65536,MATCH(L41,[1]流向迭代数据!H$2:H$65536,0))</f>
        <v>#N/A</v>
      </c>
      <c r="W41" s="12" t="str">
        <f t="shared" si="1"/>
        <v/>
      </c>
    </row>
    <row r="42" spans="1:23" x14ac:dyDescent="0.15">
      <c r="A42" s="14" t="str">
        <f t="shared" si="0"/>
        <v>190001</v>
      </c>
      <c r="C42" s="12" t="e">
        <f>INDEX(基础数据!$A$2:$A$1024,MATCH(转配商关联商!X42,基础数据!$D$2:$D$1024,0))</f>
        <v>#N/A</v>
      </c>
      <c r="E42" s="12" t="e">
        <f>INDEX(基础数据!$B$2:$B$1024,MATCH(转配商关联商!X42,基础数据!$D$2:$D$1024,0))</f>
        <v>#N/A</v>
      </c>
      <c r="G42" s="12" t="e">
        <f>INDEX([1]流向迭代数据!E$2:E$65536,MATCH(转配商关联商!W42,[1]流向迭代数据!M$2:M$65536,0))</f>
        <v>#N/A</v>
      </c>
      <c r="N42" s="12" t="e">
        <f>INDEX([1]流向迭代数据!J$2:J$65536,MATCH(L42,[1]流向迭代数据!H$2:H$65536,0))</f>
        <v>#N/A</v>
      </c>
      <c r="P42" s="14"/>
      <c r="T42" s="12" t="e">
        <f>INDEX([1]流向迭代数据!K$2:K$65536,MATCH(L42,[1]流向迭代数据!H$2:H$65536,0))</f>
        <v>#N/A</v>
      </c>
      <c r="W42" s="12" t="str">
        <f t="shared" si="1"/>
        <v/>
      </c>
    </row>
    <row r="43" spans="1:23" x14ac:dyDescent="0.15">
      <c r="A43" s="14" t="str">
        <f t="shared" si="0"/>
        <v>190001</v>
      </c>
      <c r="C43" s="12" t="e">
        <f>INDEX(基础数据!$A$2:$A$1024,MATCH(转配商关联商!X43,基础数据!$D$2:$D$1024,0))</f>
        <v>#N/A</v>
      </c>
      <c r="E43" s="12" t="e">
        <f>INDEX(基础数据!$B$2:$B$1024,MATCH(转配商关联商!X43,基础数据!$D$2:$D$1024,0))</f>
        <v>#N/A</v>
      </c>
      <c r="G43" s="12" t="e">
        <f>INDEX([1]流向迭代数据!E$2:E$65536,MATCH(转配商关联商!W43,[1]流向迭代数据!M$2:M$65536,0))</f>
        <v>#N/A</v>
      </c>
      <c r="N43" s="12" t="e">
        <f>INDEX([1]流向迭代数据!J$2:J$65536,MATCH(L43,[1]流向迭代数据!H$2:H$65536,0))</f>
        <v>#N/A</v>
      </c>
      <c r="P43" s="14"/>
      <c r="T43" s="12" t="e">
        <f>INDEX([1]流向迭代数据!K$2:K$65536,MATCH(L43,[1]流向迭代数据!H$2:H$65536,0))</f>
        <v>#N/A</v>
      </c>
      <c r="W43" s="12" t="str">
        <f t="shared" si="1"/>
        <v/>
      </c>
    </row>
    <row r="44" spans="1:23" x14ac:dyDescent="0.15">
      <c r="A44" s="14" t="str">
        <f t="shared" si="0"/>
        <v>190001</v>
      </c>
      <c r="C44" s="12" t="e">
        <f>INDEX(基础数据!$A$2:$A$1024,MATCH(转配商关联商!X44,基础数据!$D$2:$D$1024,0))</f>
        <v>#N/A</v>
      </c>
      <c r="E44" s="12" t="e">
        <f>INDEX(基础数据!$B$2:$B$1024,MATCH(转配商关联商!X44,基础数据!$D$2:$D$1024,0))</f>
        <v>#N/A</v>
      </c>
      <c r="G44" s="12" t="e">
        <f>INDEX([1]流向迭代数据!E$2:E$65536,MATCH(转配商关联商!W44,[1]流向迭代数据!M$2:M$65536,0))</f>
        <v>#N/A</v>
      </c>
      <c r="N44" s="12" t="e">
        <f>INDEX([1]流向迭代数据!J$2:J$65536,MATCH(L44,[1]流向迭代数据!H$2:H$65536,0))</f>
        <v>#N/A</v>
      </c>
      <c r="P44" s="14"/>
      <c r="T44" s="12" t="e">
        <f>INDEX([1]流向迭代数据!K$2:K$65536,MATCH(L44,[1]流向迭代数据!H$2:H$65536,0))</f>
        <v>#N/A</v>
      </c>
      <c r="W44" s="12" t="str">
        <f t="shared" si="1"/>
        <v/>
      </c>
    </row>
    <row r="45" spans="1:23" x14ac:dyDescent="0.15">
      <c r="A45" s="14" t="str">
        <f t="shared" si="0"/>
        <v>190001</v>
      </c>
      <c r="C45" s="12" t="e">
        <f>INDEX(基础数据!$A$2:$A$1024,MATCH(转配商关联商!X45,基础数据!$D$2:$D$1024,0))</f>
        <v>#N/A</v>
      </c>
      <c r="E45" s="12" t="e">
        <f>INDEX(基础数据!$B$2:$B$1024,MATCH(转配商关联商!X45,基础数据!$D$2:$D$1024,0))</f>
        <v>#N/A</v>
      </c>
      <c r="G45" s="12" t="e">
        <f>INDEX([1]流向迭代数据!E$2:E$65536,MATCH(转配商关联商!W45,[1]流向迭代数据!M$2:M$65536,0))</f>
        <v>#N/A</v>
      </c>
      <c r="N45" s="12" t="e">
        <f>INDEX([1]流向迭代数据!J$2:J$65536,MATCH(L45,[1]流向迭代数据!H$2:H$65536,0))</f>
        <v>#N/A</v>
      </c>
      <c r="P45" s="14"/>
      <c r="T45" s="12" t="e">
        <f>INDEX([1]流向迭代数据!K$2:K$65536,MATCH(L45,[1]流向迭代数据!H$2:H$65536,0))</f>
        <v>#N/A</v>
      </c>
      <c r="W45" s="12" t="str">
        <f t="shared" si="1"/>
        <v/>
      </c>
    </row>
    <row r="46" spans="1:23" x14ac:dyDescent="0.15">
      <c r="A46" s="14" t="str">
        <f t="shared" si="0"/>
        <v>190001</v>
      </c>
      <c r="C46" s="12" t="e">
        <f>INDEX(基础数据!$A$2:$A$1024,MATCH(转配商关联商!X46,基础数据!$D$2:$D$1024,0))</f>
        <v>#N/A</v>
      </c>
      <c r="E46" s="12" t="e">
        <f>INDEX(基础数据!$B$2:$B$1024,MATCH(转配商关联商!X46,基础数据!$D$2:$D$1024,0))</f>
        <v>#N/A</v>
      </c>
      <c r="G46" s="12" t="e">
        <f>INDEX([1]流向迭代数据!E$2:E$65536,MATCH(转配商关联商!W46,[1]流向迭代数据!M$2:M$65536,0))</f>
        <v>#N/A</v>
      </c>
      <c r="N46" s="12" t="e">
        <f>INDEX([1]流向迭代数据!J$2:J$65536,MATCH(L46,[1]流向迭代数据!H$2:H$65536,0))</f>
        <v>#N/A</v>
      </c>
      <c r="P46" s="14"/>
      <c r="T46" s="12" t="e">
        <f>INDEX([1]流向迭代数据!K$2:K$65536,MATCH(L46,[1]流向迭代数据!H$2:H$65536,0))</f>
        <v>#N/A</v>
      </c>
      <c r="W46" s="12" t="str">
        <f t="shared" si="1"/>
        <v/>
      </c>
    </row>
    <row r="47" spans="1:23" x14ac:dyDescent="0.15">
      <c r="A47" s="14" t="str">
        <f t="shared" si="0"/>
        <v>190001</v>
      </c>
      <c r="C47" s="12" t="e">
        <f>INDEX(基础数据!$A$2:$A$1024,MATCH(转配商关联商!X47,基础数据!$D$2:$D$1024,0))</f>
        <v>#N/A</v>
      </c>
      <c r="E47" s="12" t="e">
        <f>INDEX(基础数据!$B$2:$B$1024,MATCH(转配商关联商!X47,基础数据!$D$2:$D$1024,0))</f>
        <v>#N/A</v>
      </c>
      <c r="G47" s="12" t="e">
        <f>INDEX([1]流向迭代数据!E$2:E$65536,MATCH(转配商关联商!W47,[1]流向迭代数据!M$2:M$65536,0))</f>
        <v>#N/A</v>
      </c>
      <c r="N47" s="12" t="e">
        <f>INDEX([1]流向迭代数据!J$2:J$65536,MATCH(L47,[1]流向迭代数据!H$2:H$65536,0))</f>
        <v>#N/A</v>
      </c>
      <c r="P47" s="14"/>
      <c r="T47" s="12" t="e">
        <f>INDEX([1]流向迭代数据!K$2:K$65536,MATCH(L47,[1]流向迭代数据!H$2:H$65536,0))</f>
        <v>#N/A</v>
      </c>
      <c r="W47" s="12" t="str">
        <f t="shared" si="1"/>
        <v/>
      </c>
    </row>
    <row r="48" spans="1:23" x14ac:dyDescent="0.15">
      <c r="A48" s="14" t="str">
        <f t="shared" si="0"/>
        <v>190001</v>
      </c>
      <c r="C48" s="12" t="e">
        <f>INDEX(基础数据!$A$2:$A$1024,MATCH(转配商关联商!X48,基础数据!$D$2:$D$1024,0))</f>
        <v>#N/A</v>
      </c>
      <c r="E48" s="12" t="e">
        <f>INDEX(基础数据!$B$2:$B$1024,MATCH(转配商关联商!X48,基础数据!$D$2:$D$1024,0))</f>
        <v>#N/A</v>
      </c>
      <c r="G48" s="12" t="e">
        <f>INDEX([1]流向迭代数据!E$2:E$65536,MATCH(转配商关联商!W48,[1]流向迭代数据!M$2:M$65536,0))</f>
        <v>#N/A</v>
      </c>
      <c r="N48" s="12" t="e">
        <f>INDEX([1]流向迭代数据!J$2:J$65536,MATCH(L48,[1]流向迭代数据!H$2:H$65536,0))</f>
        <v>#N/A</v>
      </c>
      <c r="P48" s="14"/>
      <c r="T48" s="12" t="e">
        <f>INDEX([1]流向迭代数据!K$2:K$65536,MATCH(L48,[1]流向迭代数据!H$2:H$65536,0))</f>
        <v>#N/A</v>
      </c>
      <c r="W48" s="12" t="str">
        <f t="shared" si="1"/>
        <v/>
      </c>
    </row>
    <row r="49" spans="1:23" x14ac:dyDescent="0.15">
      <c r="A49" s="14" t="str">
        <f t="shared" si="0"/>
        <v>190001</v>
      </c>
      <c r="C49" s="12" t="e">
        <f>INDEX(基础数据!$A$2:$A$1024,MATCH(转配商关联商!X49,基础数据!$D$2:$D$1024,0))</f>
        <v>#N/A</v>
      </c>
      <c r="E49" s="12" t="e">
        <f>INDEX(基础数据!$B$2:$B$1024,MATCH(转配商关联商!X49,基础数据!$D$2:$D$1024,0))</f>
        <v>#N/A</v>
      </c>
      <c r="G49" s="12" t="e">
        <f>INDEX([1]流向迭代数据!E$2:E$65536,MATCH(转配商关联商!W49,[1]流向迭代数据!M$2:M$65536,0))</f>
        <v>#N/A</v>
      </c>
      <c r="N49" s="12" t="e">
        <f>INDEX([1]流向迭代数据!J$2:J$65536,MATCH(L49,[1]流向迭代数据!H$2:H$65536,0))</f>
        <v>#N/A</v>
      </c>
      <c r="P49" s="14"/>
      <c r="T49" s="12" t="e">
        <f>INDEX([1]流向迭代数据!K$2:K$65536,MATCH(L49,[1]流向迭代数据!H$2:H$65536,0))</f>
        <v>#N/A</v>
      </c>
      <c r="W49" s="12" t="str">
        <f t="shared" si="1"/>
        <v/>
      </c>
    </row>
    <row r="50" spans="1:23" x14ac:dyDescent="0.15">
      <c r="A50" s="14" t="str">
        <f t="shared" si="0"/>
        <v>190001</v>
      </c>
      <c r="C50" s="12" t="e">
        <f>INDEX(基础数据!$A$2:$A$1024,MATCH(转配商关联商!X50,基础数据!$D$2:$D$1024,0))</f>
        <v>#N/A</v>
      </c>
      <c r="E50" s="12" t="e">
        <f>INDEX(基础数据!$B$2:$B$1024,MATCH(转配商关联商!X50,基础数据!$D$2:$D$1024,0))</f>
        <v>#N/A</v>
      </c>
      <c r="G50" s="12" t="e">
        <f>INDEX([1]流向迭代数据!E$2:E$65536,MATCH(转配商关联商!W50,[1]流向迭代数据!M$2:M$65536,0))</f>
        <v>#N/A</v>
      </c>
      <c r="N50" s="12" t="e">
        <f>INDEX([1]流向迭代数据!J$2:J$65536,MATCH(L50,[1]流向迭代数据!H$2:H$65536,0))</f>
        <v>#N/A</v>
      </c>
      <c r="P50" s="14"/>
      <c r="T50" s="12" t="e">
        <f>INDEX([1]流向迭代数据!K$2:K$65536,MATCH(L50,[1]流向迭代数据!H$2:H$65536,0))</f>
        <v>#N/A</v>
      </c>
      <c r="W50" s="12" t="str">
        <f t="shared" si="1"/>
        <v/>
      </c>
    </row>
    <row r="51" spans="1:23" x14ac:dyDescent="0.15">
      <c r="A51" s="14" t="str">
        <f t="shared" si="0"/>
        <v>190001</v>
      </c>
      <c r="C51" s="12" t="e">
        <f>INDEX(基础数据!$A$2:$A$1024,MATCH(转配商关联商!X51,基础数据!$D$2:$D$1024,0))</f>
        <v>#N/A</v>
      </c>
      <c r="E51" s="12" t="e">
        <f>INDEX(基础数据!$B$2:$B$1024,MATCH(转配商关联商!X51,基础数据!$D$2:$D$1024,0))</f>
        <v>#N/A</v>
      </c>
      <c r="G51" s="12" t="e">
        <f>INDEX([1]流向迭代数据!E$2:E$65536,MATCH(转配商关联商!W51,[1]流向迭代数据!M$2:M$65536,0))</f>
        <v>#N/A</v>
      </c>
      <c r="N51" s="12" t="e">
        <f>INDEX([1]流向迭代数据!J$2:J$65536,MATCH(L51,[1]流向迭代数据!H$2:H$65536,0))</f>
        <v>#N/A</v>
      </c>
      <c r="P51" s="14"/>
      <c r="T51" s="12" t="e">
        <f>INDEX([1]流向迭代数据!K$2:K$65536,MATCH(L51,[1]流向迭代数据!H$2:H$65536,0))</f>
        <v>#N/A</v>
      </c>
      <c r="W51" s="12" t="str">
        <f t="shared" si="1"/>
        <v/>
      </c>
    </row>
    <row r="52" spans="1:23" x14ac:dyDescent="0.15">
      <c r="A52" s="14" t="str">
        <f t="shared" si="0"/>
        <v>190001</v>
      </c>
      <c r="C52" s="12" t="e">
        <f>INDEX(基础数据!$A$2:$A$1024,MATCH(转配商关联商!X52,基础数据!$D$2:$D$1024,0))</f>
        <v>#N/A</v>
      </c>
      <c r="E52" s="12" t="e">
        <f>INDEX(基础数据!$B$2:$B$1024,MATCH(转配商关联商!X52,基础数据!$D$2:$D$1024,0))</f>
        <v>#N/A</v>
      </c>
      <c r="G52" s="12" t="e">
        <f>INDEX([1]流向迭代数据!E$2:E$65536,MATCH(转配商关联商!W52,[1]流向迭代数据!M$2:M$65536,0))</f>
        <v>#N/A</v>
      </c>
      <c r="N52" s="12" t="e">
        <f>INDEX([1]流向迭代数据!J$2:J$65536,MATCH(L52,[1]流向迭代数据!H$2:H$65536,0))</f>
        <v>#N/A</v>
      </c>
      <c r="P52" s="14"/>
      <c r="T52" s="12" t="e">
        <f>INDEX([1]流向迭代数据!K$2:K$65536,MATCH(L52,[1]流向迭代数据!H$2:H$65536,0))</f>
        <v>#N/A</v>
      </c>
      <c r="W52" s="12" t="str">
        <f t="shared" si="1"/>
        <v/>
      </c>
    </row>
    <row r="53" spans="1:23" x14ac:dyDescent="0.15">
      <c r="A53" s="14" t="str">
        <f t="shared" si="0"/>
        <v>190001</v>
      </c>
      <c r="C53" s="12" t="e">
        <f>INDEX(基础数据!$A$2:$A$1024,MATCH(转配商关联商!X53,基础数据!$D$2:$D$1024,0))</f>
        <v>#N/A</v>
      </c>
      <c r="E53" s="12" t="e">
        <f>INDEX(基础数据!$B$2:$B$1024,MATCH(转配商关联商!X53,基础数据!$D$2:$D$1024,0))</f>
        <v>#N/A</v>
      </c>
      <c r="G53" s="12" t="e">
        <f>INDEX([1]流向迭代数据!E$2:E$65536,MATCH(转配商关联商!W53,[1]流向迭代数据!M$2:M$65536,0))</f>
        <v>#N/A</v>
      </c>
      <c r="N53" s="12" t="e">
        <f>INDEX([1]流向迭代数据!J$2:J$65536,MATCH(L53,[1]流向迭代数据!H$2:H$65536,0))</f>
        <v>#N/A</v>
      </c>
      <c r="P53" s="14"/>
      <c r="T53" s="12" t="e">
        <f>INDEX([1]流向迭代数据!K$2:K$65536,MATCH(L53,[1]流向迭代数据!H$2:H$65536,0))</f>
        <v>#N/A</v>
      </c>
      <c r="W53" s="12" t="str">
        <f t="shared" si="1"/>
        <v/>
      </c>
    </row>
    <row r="54" spans="1:23" x14ac:dyDescent="0.15">
      <c r="A54" s="14" t="str">
        <f t="shared" si="0"/>
        <v>190001</v>
      </c>
      <c r="C54" s="12" t="e">
        <f>INDEX(基础数据!$A$2:$A$1024,MATCH(转配商关联商!X54,基础数据!$D$2:$D$1024,0))</f>
        <v>#N/A</v>
      </c>
      <c r="E54" s="12" t="e">
        <f>INDEX(基础数据!$B$2:$B$1024,MATCH(转配商关联商!X54,基础数据!$D$2:$D$1024,0))</f>
        <v>#N/A</v>
      </c>
      <c r="G54" s="12" t="e">
        <f>INDEX([1]流向迭代数据!E$2:E$65536,MATCH(转配商关联商!W54,[1]流向迭代数据!M$2:M$65536,0))</f>
        <v>#N/A</v>
      </c>
      <c r="N54" s="12" t="e">
        <f>INDEX([1]流向迭代数据!J$2:J$65536,MATCH(L54,[1]流向迭代数据!H$2:H$65536,0))</f>
        <v>#N/A</v>
      </c>
      <c r="P54" s="14"/>
      <c r="T54" s="12" t="e">
        <f>INDEX([1]流向迭代数据!K$2:K$65536,MATCH(L54,[1]流向迭代数据!H$2:H$65536,0))</f>
        <v>#N/A</v>
      </c>
      <c r="W54" s="12" t="str">
        <f t="shared" si="1"/>
        <v/>
      </c>
    </row>
    <row r="55" spans="1:23" x14ac:dyDescent="0.15">
      <c r="A55" s="14" t="str">
        <f t="shared" si="0"/>
        <v>190001</v>
      </c>
      <c r="C55" s="12" t="e">
        <f>INDEX(基础数据!$A$2:$A$1024,MATCH(转配商关联商!X55,基础数据!$D$2:$D$1024,0))</f>
        <v>#N/A</v>
      </c>
      <c r="E55" s="12" t="e">
        <f>INDEX(基础数据!$B$2:$B$1024,MATCH(转配商关联商!X55,基础数据!$D$2:$D$1024,0))</f>
        <v>#N/A</v>
      </c>
      <c r="G55" s="12" t="e">
        <f>INDEX([1]流向迭代数据!E$2:E$65536,MATCH(转配商关联商!W55,[1]流向迭代数据!M$2:M$65536,0))</f>
        <v>#N/A</v>
      </c>
      <c r="N55" s="12" t="e">
        <f>INDEX([1]流向迭代数据!J$2:J$65536,MATCH(L55,[1]流向迭代数据!H$2:H$65536,0))</f>
        <v>#N/A</v>
      </c>
      <c r="P55" s="14"/>
      <c r="T55" s="12" t="e">
        <f>INDEX([1]流向迭代数据!K$2:K$65536,MATCH(L55,[1]流向迭代数据!H$2:H$65536,0))</f>
        <v>#N/A</v>
      </c>
      <c r="W55" s="12" t="str">
        <f t="shared" si="1"/>
        <v/>
      </c>
    </row>
    <row r="56" spans="1:23" x14ac:dyDescent="0.15">
      <c r="A56" s="14" t="str">
        <f t="shared" si="0"/>
        <v>190001</v>
      </c>
      <c r="C56" s="12" t="e">
        <f>INDEX(基础数据!$A$2:$A$1024,MATCH(转配商关联商!X56,基础数据!$D$2:$D$1024,0))</f>
        <v>#N/A</v>
      </c>
      <c r="E56" s="12" t="e">
        <f>INDEX(基础数据!$B$2:$B$1024,MATCH(转配商关联商!X56,基础数据!$D$2:$D$1024,0))</f>
        <v>#N/A</v>
      </c>
      <c r="G56" s="12" t="e">
        <f>INDEX([1]流向迭代数据!E$2:E$65536,MATCH(转配商关联商!W56,[1]流向迭代数据!M$2:M$65536,0))</f>
        <v>#N/A</v>
      </c>
      <c r="N56" s="12" t="e">
        <f>INDEX([1]流向迭代数据!J$2:J$65536,MATCH(L56,[1]流向迭代数据!H$2:H$65536,0))</f>
        <v>#N/A</v>
      </c>
      <c r="P56" s="14"/>
      <c r="T56" s="12" t="e">
        <f>INDEX([1]流向迭代数据!K$2:K$65536,MATCH(L56,[1]流向迭代数据!H$2:H$65536,0))</f>
        <v>#N/A</v>
      </c>
      <c r="W56" s="12" t="str">
        <f t="shared" si="1"/>
        <v/>
      </c>
    </row>
    <row r="57" spans="1:23" x14ac:dyDescent="0.15">
      <c r="A57" s="14" t="str">
        <f t="shared" si="0"/>
        <v>190001</v>
      </c>
      <c r="C57" s="12" t="e">
        <f>INDEX(基础数据!$A$2:$A$1024,MATCH(转配商关联商!X57,基础数据!$D$2:$D$1024,0))</f>
        <v>#N/A</v>
      </c>
      <c r="E57" s="12" t="e">
        <f>INDEX(基础数据!$B$2:$B$1024,MATCH(转配商关联商!X57,基础数据!$D$2:$D$1024,0))</f>
        <v>#N/A</v>
      </c>
      <c r="G57" s="12" t="e">
        <f>INDEX([1]流向迭代数据!E$2:E$65536,MATCH(转配商关联商!W57,[1]流向迭代数据!M$2:M$65536,0))</f>
        <v>#N/A</v>
      </c>
      <c r="N57" s="12" t="e">
        <f>INDEX([1]流向迭代数据!J$2:J$65536,MATCH(L57,[1]流向迭代数据!H$2:H$65536,0))</f>
        <v>#N/A</v>
      </c>
      <c r="P57" s="14"/>
      <c r="T57" s="12" t="e">
        <f>INDEX([1]流向迭代数据!K$2:K$65536,MATCH(L57,[1]流向迭代数据!H$2:H$65536,0))</f>
        <v>#N/A</v>
      </c>
      <c r="W57" s="12" t="str">
        <f t="shared" si="1"/>
        <v/>
      </c>
    </row>
    <row r="58" spans="1:23" x14ac:dyDescent="0.15">
      <c r="A58" s="14" t="str">
        <f t="shared" si="0"/>
        <v>190001</v>
      </c>
      <c r="C58" s="12" t="e">
        <f>INDEX(基础数据!$A$2:$A$1024,MATCH(转配商关联商!X58,基础数据!$D$2:$D$1024,0))</f>
        <v>#N/A</v>
      </c>
      <c r="E58" s="12" t="e">
        <f>INDEX(基础数据!$B$2:$B$1024,MATCH(转配商关联商!X58,基础数据!$D$2:$D$1024,0))</f>
        <v>#N/A</v>
      </c>
      <c r="G58" s="12" t="e">
        <f>INDEX([1]流向迭代数据!E$2:E$65536,MATCH(转配商关联商!W58,[1]流向迭代数据!M$2:M$65536,0))</f>
        <v>#N/A</v>
      </c>
      <c r="N58" s="12" t="e">
        <f>INDEX([1]流向迭代数据!J$2:J$65536,MATCH(L58,[1]流向迭代数据!H$2:H$65536,0))</f>
        <v>#N/A</v>
      </c>
      <c r="P58" s="14"/>
      <c r="T58" s="12" t="e">
        <f>INDEX([1]流向迭代数据!K$2:K$65536,MATCH(L58,[1]流向迭代数据!H$2:H$65536,0))</f>
        <v>#N/A</v>
      </c>
      <c r="W58" s="12" t="str">
        <f t="shared" si="1"/>
        <v/>
      </c>
    </row>
    <row r="59" spans="1:23" x14ac:dyDescent="0.15">
      <c r="A59" s="14" t="str">
        <f t="shared" si="0"/>
        <v>190001</v>
      </c>
      <c r="C59" s="12" t="e">
        <f>INDEX(基础数据!$A$2:$A$1024,MATCH(转配商关联商!X59,基础数据!$D$2:$D$1024,0))</f>
        <v>#N/A</v>
      </c>
      <c r="E59" s="12" t="e">
        <f>INDEX(基础数据!$B$2:$B$1024,MATCH(转配商关联商!X59,基础数据!$D$2:$D$1024,0))</f>
        <v>#N/A</v>
      </c>
      <c r="G59" s="12" t="e">
        <f>INDEX([1]流向迭代数据!E$2:E$65536,MATCH(转配商关联商!W59,[1]流向迭代数据!M$2:M$65536,0))</f>
        <v>#N/A</v>
      </c>
      <c r="N59" s="12" t="e">
        <f>INDEX([1]流向迭代数据!J$2:J$65536,MATCH(L59,[1]流向迭代数据!H$2:H$65536,0))</f>
        <v>#N/A</v>
      </c>
      <c r="P59" s="14"/>
      <c r="T59" s="12" t="e">
        <f>INDEX([1]流向迭代数据!K$2:K$65536,MATCH(L59,[1]流向迭代数据!H$2:H$65536,0))</f>
        <v>#N/A</v>
      </c>
      <c r="W59" s="12" t="str">
        <f t="shared" si="1"/>
        <v/>
      </c>
    </row>
    <row r="60" spans="1:23" x14ac:dyDescent="0.15">
      <c r="A60" s="14" t="str">
        <f t="shared" si="0"/>
        <v>190001</v>
      </c>
      <c r="C60" s="12" t="e">
        <f>INDEX(基础数据!$A$2:$A$1024,MATCH(转配商关联商!X60,基础数据!$D$2:$D$1024,0))</f>
        <v>#N/A</v>
      </c>
      <c r="E60" s="12" t="e">
        <f>INDEX(基础数据!$B$2:$B$1024,MATCH(转配商关联商!X60,基础数据!$D$2:$D$1024,0))</f>
        <v>#N/A</v>
      </c>
      <c r="G60" s="12" t="e">
        <f>INDEX([1]流向迭代数据!E$2:E$65536,MATCH(转配商关联商!W60,[1]流向迭代数据!M$2:M$65536,0))</f>
        <v>#N/A</v>
      </c>
      <c r="N60" s="12" t="e">
        <f>INDEX([1]流向迭代数据!J$2:J$65536,MATCH(L60,[1]流向迭代数据!H$2:H$65536,0))</f>
        <v>#N/A</v>
      </c>
      <c r="P60" s="14"/>
      <c r="T60" s="12" t="e">
        <f>INDEX([1]流向迭代数据!K$2:K$65536,MATCH(L60,[1]流向迭代数据!H$2:H$65536,0))</f>
        <v>#N/A</v>
      </c>
      <c r="W60" s="12" t="str">
        <f t="shared" si="1"/>
        <v/>
      </c>
    </row>
    <row r="61" spans="1:23" x14ac:dyDescent="0.15">
      <c r="A61" s="14" t="str">
        <f t="shared" si="0"/>
        <v>190001</v>
      </c>
      <c r="C61" s="12" t="e">
        <f>INDEX(基础数据!$A$2:$A$1024,MATCH(转配商关联商!X61,基础数据!$D$2:$D$1024,0))</f>
        <v>#N/A</v>
      </c>
      <c r="E61" s="12" t="e">
        <f>INDEX(基础数据!$B$2:$B$1024,MATCH(转配商关联商!X61,基础数据!$D$2:$D$1024,0))</f>
        <v>#N/A</v>
      </c>
      <c r="G61" s="12" t="e">
        <f>INDEX([1]流向迭代数据!E$2:E$65536,MATCH(转配商关联商!W61,[1]流向迭代数据!M$2:M$65536,0))</f>
        <v>#N/A</v>
      </c>
      <c r="N61" s="12" t="e">
        <f>INDEX([1]流向迭代数据!J$2:J$65536,MATCH(L61,[1]流向迭代数据!H$2:H$65536,0))</f>
        <v>#N/A</v>
      </c>
      <c r="P61" s="14"/>
      <c r="T61" s="12" t="e">
        <f>INDEX([1]流向迭代数据!K$2:K$65536,MATCH(L61,[1]流向迭代数据!H$2:H$65536,0))</f>
        <v>#N/A</v>
      </c>
      <c r="W61" s="12" t="str">
        <f t="shared" si="1"/>
        <v/>
      </c>
    </row>
    <row r="62" spans="1:23" x14ac:dyDescent="0.15">
      <c r="A62" s="14" t="str">
        <f t="shared" si="0"/>
        <v>190001</v>
      </c>
      <c r="C62" s="12" t="e">
        <f>INDEX(基础数据!$A$2:$A$1024,MATCH(转配商关联商!X62,基础数据!$D$2:$D$1024,0))</f>
        <v>#N/A</v>
      </c>
      <c r="E62" s="12" t="e">
        <f>INDEX(基础数据!$B$2:$B$1024,MATCH(转配商关联商!X62,基础数据!$D$2:$D$1024,0))</f>
        <v>#N/A</v>
      </c>
      <c r="G62" s="12" t="e">
        <f>INDEX([1]流向迭代数据!E$2:E$65536,MATCH(转配商关联商!W62,[1]流向迭代数据!M$2:M$65536,0))</f>
        <v>#N/A</v>
      </c>
      <c r="N62" s="12" t="e">
        <f>INDEX([1]流向迭代数据!J$2:J$65536,MATCH(L62,[1]流向迭代数据!H$2:H$65536,0))</f>
        <v>#N/A</v>
      </c>
      <c r="P62" s="14"/>
      <c r="T62" s="12" t="e">
        <f>INDEX([1]流向迭代数据!K$2:K$65536,MATCH(L62,[1]流向迭代数据!H$2:H$65536,0))</f>
        <v>#N/A</v>
      </c>
      <c r="W62" s="12" t="str">
        <f t="shared" si="1"/>
        <v/>
      </c>
    </row>
    <row r="63" spans="1:23" x14ac:dyDescent="0.15">
      <c r="A63" s="14" t="str">
        <f t="shared" si="0"/>
        <v>190001</v>
      </c>
      <c r="C63" s="12" t="e">
        <f>INDEX(基础数据!$A$2:$A$1024,MATCH(转配商关联商!X63,基础数据!$D$2:$D$1024,0))</f>
        <v>#N/A</v>
      </c>
      <c r="E63" s="12" t="e">
        <f>INDEX(基础数据!$B$2:$B$1024,MATCH(转配商关联商!X63,基础数据!$D$2:$D$1024,0))</f>
        <v>#N/A</v>
      </c>
      <c r="G63" s="12" t="e">
        <f>INDEX([1]流向迭代数据!E$2:E$65536,MATCH(转配商关联商!W63,[1]流向迭代数据!M$2:M$65536,0))</f>
        <v>#N/A</v>
      </c>
      <c r="N63" s="12" t="e">
        <f>INDEX([1]流向迭代数据!J$2:J$65536,MATCH(L63,[1]流向迭代数据!H$2:H$65536,0))</f>
        <v>#N/A</v>
      </c>
      <c r="P63" s="14"/>
      <c r="T63" s="12" t="e">
        <f>INDEX([1]流向迭代数据!K$2:K$65536,MATCH(L63,[1]流向迭代数据!H$2:H$65536,0))</f>
        <v>#N/A</v>
      </c>
      <c r="W63" s="12" t="str">
        <f t="shared" si="1"/>
        <v/>
      </c>
    </row>
    <row r="64" spans="1:23" x14ac:dyDescent="0.15">
      <c r="A64" s="14" t="str">
        <f t="shared" si="0"/>
        <v>190001</v>
      </c>
      <c r="C64" s="12" t="e">
        <f>INDEX(基础数据!$A$2:$A$1024,MATCH(转配商关联商!X64,基础数据!$D$2:$D$1024,0))</f>
        <v>#N/A</v>
      </c>
      <c r="E64" s="12" t="e">
        <f>INDEX(基础数据!$B$2:$B$1024,MATCH(转配商关联商!X64,基础数据!$D$2:$D$1024,0))</f>
        <v>#N/A</v>
      </c>
      <c r="G64" s="12" t="e">
        <f>INDEX([1]流向迭代数据!E$2:E$65536,MATCH(转配商关联商!W64,[1]流向迭代数据!M$2:M$65536,0))</f>
        <v>#N/A</v>
      </c>
      <c r="N64" s="12" t="e">
        <f>INDEX([1]流向迭代数据!J$2:J$65536,MATCH(L64,[1]流向迭代数据!H$2:H$65536,0))</f>
        <v>#N/A</v>
      </c>
      <c r="P64" s="14"/>
      <c r="T64" s="12" t="e">
        <f>INDEX([1]流向迭代数据!K$2:K$65536,MATCH(L64,[1]流向迭代数据!H$2:H$65536,0))</f>
        <v>#N/A</v>
      </c>
      <c r="W64" s="12" t="str">
        <f t="shared" si="1"/>
        <v/>
      </c>
    </row>
    <row r="65" spans="1:23" x14ac:dyDescent="0.15">
      <c r="A65" s="14" t="str">
        <f t="shared" si="0"/>
        <v>190001</v>
      </c>
      <c r="C65" s="12" t="e">
        <f>INDEX(基础数据!$A$2:$A$1024,MATCH(转配商关联商!X65,基础数据!$D$2:$D$1024,0))</f>
        <v>#N/A</v>
      </c>
      <c r="E65" s="12" t="e">
        <f>INDEX(基础数据!$B$2:$B$1024,MATCH(转配商关联商!X65,基础数据!$D$2:$D$1024,0))</f>
        <v>#N/A</v>
      </c>
      <c r="G65" s="12" t="e">
        <f>INDEX([1]流向迭代数据!E$2:E$65536,MATCH(转配商关联商!W65,[1]流向迭代数据!M$2:M$65536,0))</f>
        <v>#N/A</v>
      </c>
      <c r="N65" s="12" t="e">
        <f>INDEX([1]流向迭代数据!J$2:J$65536,MATCH(L65,[1]流向迭代数据!H$2:H$65536,0))</f>
        <v>#N/A</v>
      </c>
      <c r="P65" s="14"/>
      <c r="T65" s="12" t="e">
        <f>INDEX([1]流向迭代数据!K$2:K$65536,MATCH(L65,[1]流向迭代数据!H$2:H$65536,0))</f>
        <v>#N/A</v>
      </c>
      <c r="W65" s="12" t="str">
        <f t="shared" si="1"/>
        <v/>
      </c>
    </row>
    <row r="66" spans="1:23" x14ac:dyDescent="0.15">
      <c r="A66" s="14" t="str">
        <f t="shared" si="0"/>
        <v>190001</v>
      </c>
      <c r="C66" s="12" t="e">
        <f>INDEX(基础数据!$A$2:$A$1024,MATCH(转配商关联商!X66,基础数据!$D$2:$D$1024,0))</f>
        <v>#N/A</v>
      </c>
      <c r="E66" s="12" t="e">
        <f>INDEX(基础数据!$B$2:$B$1024,MATCH(转配商关联商!X66,基础数据!$D$2:$D$1024,0))</f>
        <v>#N/A</v>
      </c>
      <c r="G66" s="12" t="e">
        <f>INDEX([1]流向迭代数据!E$2:E$65536,MATCH(转配商关联商!W66,[1]流向迭代数据!M$2:M$65536,0))</f>
        <v>#N/A</v>
      </c>
      <c r="N66" s="12" t="e">
        <f>INDEX([1]流向迭代数据!J$2:J$65536,MATCH(L66,[1]流向迭代数据!H$2:H$65536,0))</f>
        <v>#N/A</v>
      </c>
      <c r="P66" s="14"/>
      <c r="T66" s="12" t="e">
        <f>INDEX([1]流向迭代数据!K$2:K$65536,MATCH(L66,[1]流向迭代数据!H$2:H$65536,0))</f>
        <v>#N/A</v>
      </c>
      <c r="W66" s="12" t="str">
        <f t="shared" si="1"/>
        <v/>
      </c>
    </row>
    <row r="67" spans="1:23" x14ac:dyDescent="0.15">
      <c r="A67" s="14" t="str">
        <f t="shared" ref="A67:A130" si="2">IF(MONTH(P67)&lt;10,YEAR(P67)&amp;"0"&amp;MONTH(P67),YEAR(P67)&amp;MONTH(P67))</f>
        <v>190001</v>
      </c>
      <c r="C67" s="12" t="e">
        <f>INDEX(基础数据!$A$2:$A$1024,MATCH(转配商关联商!X67,基础数据!$D$2:$D$1024,0))</f>
        <v>#N/A</v>
      </c>
      <c r="E67" s="12" t="e">
        <f>INDEX(基础数据!$B$2:$B$1024,MATCH(转配商关联商!X67,基础数据!$D$2:$D$1024,0))</f>
        <v>#N/A</v>
      </c>
      <c r="G67" s="12" t="e">
        <f>INDEX([1]流向迭代数据!E$2:E$65536,MATCH(转配商关联商!W67,[1]流向迭代数据!M$2:M$65536,0))</f>
        <v>#N/A</v>
      </c>
      <c r="N67" s="12" t="e">
        <f>INDEX([1]流向迭代数据!J$2:J$65536,MATCH(L67,[1]流向迭代数据!H$2:H$65536,0))</f>
        <v>#N/A</v>
      </c>
      <c r="P67" s="14"/>
      <c r="T67" s="12" t="e">
        <f>INDEX([1]流向迭代数据!K$2:K$65536,MATCH(L67,[1]流向迭代数据!H$2:H$65536,0))</f>
        <v>#N/A</v>
      </c>
      <c r="W67" s="12" t="str">
        <f t="shared" ref="W67:W130" si="3">H67&amp;I67</f>
        <v/>
      </c>
    </row>
    <row r="68" spans="1:23" x14ac:dyDescent="0.15">
      <c r="A68" s="14" t="str">
        <f t="shared" si="2"/>
        <v>190001</v>
      </c>
      <c r="C68" s="12" t="e">
        <f>INDEX(基础数据!$A$2:$A$1024,MATCH(转配商关联商!X68,基础数据!$D$2:$D$1024,0))</f>
        <v>#N/A</v>
      </c>
      <c r="E68" s="12" t="e">
        <f>INDEX(基础数据!$B$2:$B$1024,MATCH(转配商关联商!X68,基础数据!$D$2:$D$1024,0))</f>
        <v>#N/A</v>
      </c>
      <c r="G68" s="12" t="e">
        <f>INDEX([1]流向迭代数据!E$2:E$65536,MATCH(转配商关联商!W68,[1]流向迭代数据!M$2:M$65536,0))</f>
        <v>#N/A</v>
      </c>
      <c r="N68" s="12" t="e">
        <f>INDEX([1]流向迭代数据!J$2:J$65536,MATCH(L68,[1]流向迭代数据!H$2:H$65536,0))</f>
        <v>#N/A</v>
      </c>
      <c r="P68" s="14"/>
      <c r="T68" s="12" t="e">
        <f>INDEX([1]流向迭代数据!K$2:K$65536,MATCH(L68,[1]流向迭代数据!H$2:H$65536,0))</f>
        <v>#N/A</v>
      </c>
      <c r="W68" s="12" t="str">
        <f t="shared" si="3"/>
        <v/>
      </c>
    </row>
    <row r="69" spans="1:23" x14ac:dyDescent="0.15">
      <c r="A69" s="14" t="str">
        <f t="shared" si="2"/>
        <v>190001</v>
      </c>
      <c r="C69" s="12" t="e">
        <f>INDEX(基础数据!$A$2:$A$1024,MATCH(转配商关联商!X69,基础数据!$D$2:$D$1024,0))</f>
        <v>#N/A</v>
      </c>
      <c r="E69" s="12" t="e">
        <f>INDEX(基础数据!$B$2:$B$1024,MATCH(转配商关联商!X69,基础数据!$D$2:$D$1024,0))</f>
        <v>#N/A</v>
      </c>
      <c r="G69" s="12" t="e">
        <f>INDEX([1]流向迭代数据!E$2:E$65536,MATCH(转配商关联商!W69,[1]流向迭代数据!M$2:M$65536,0))</f>
        <v>#N/A</v>
      </c>
      <c r="N69" s="12" t="e">
        <f>INDEX([1]流向迭代数据!J$2:J$65536,MATCH(L69,[1]流向迭代数据!H$2:H$65536,0))</f>
        <v>#N/A</v>
      </c>
      <c r="P69" s="14"/>
      <c r="T69" s="12" t="e">
        <f>INDEX([1]流向迭代数据!K$2:K$65536,MATCH(L69,[1]流向迭代数据!H$2:H$65536,0))</f>
        <v>#N/A</v>
      </c>
      <c r="W69" s="12" t="str">
        <f t="shared" si="3"/>
        <v/>
      </c>
    </row>
    <row r="70" spans="1:23" x14ac:dyDescent="0.15">
      <c r="A70" s="14" t="str">
        <f t="shared" si="2"/>
        <v>190001</v>
      </c>
      <c r="C70" s="12" t="e">
        <f>INDEX(基础数据!$A$2:$A$1024,MATCH(转配商关联商!X70,基础数据!$D$2:$D$1024,0))</f>
        <v>#N/A</v>
      </c>
      <c r="E70" s="12" t="e">
        <f>INDEX(基础数据!$B$2:$B$1024,MATCH(转配商关联商!X70,基础数据!$D$2:$D$1024,0))</f>
        <v>#N/A</v>
      </c>
      <c r="G70" s="12" t="e">
        <f>INDEX([1]流向迭代数据!E$2:E$65536,MATCH(转配商关联商!W70,[1]流向迭代数据!M$2:M$65536,0))</f>
        <v>#N/A</v>
      </c>
      <c r="N70" s="12" t="e">
        <f>INDEX([1]流向迭代数据!J$2:J$65536,MATCH(L70,[1]流向迭代数据!H$2:H$65536,0))</f>
        <v>#N/A</v>
      </c>
      <c r="P70" s="14"/>
      <c r="T70" s="12" t="e">
        <f>INDEX([1]流向迭代数据!K$2:K$65536,MATCH(L70,[1]流向迭代数据!H$2:H$65536,0))</f>
        <v>#N/A</v>
      </c>
      <c r="W70" s="12" t="str">
        <f t="shared" si="3"/>
        <v/>
      </c>
    </row>
    <row r="71" spans="1:23" x14ac:dyDescent="0.15">
      <c r="A71" s="14" t="str">
        <f t="shared" si="2"/>
        <v>190001</v>
      </c>
      <c r="C71" s="12" t="e">
        <f>INDEX(基础数据!$A$2:$A$1024,MATCH(转配商关联商!X71,基础数据!$D$2:$D$1024,0))</f>
        <v>#N/A</v>
      </c>
      <c r="E71" s="12" t="e">
        <f>INDEX(基础数据!$B$2:$B$1024,MATCH(转配商关联商!X71,基础数据!$D$2:$D$1024,0))</f>
        <v>#N/A</v>
      </c>
      <c r="G71" s="12" t="e">
        <f>INDEX([1]流向迭代数据!E$2:E$65536,MATCH(转配商关联商!W71,[1]流向迭代数据!M$2:M$65536,0))</f>
        <v>#N/A</v>
      </c>
      <c r="N71" s="12" t="e">
        <f>INDEX([1]流向迭代数据!J$2:J$65536,MATCH(L71,[1]流向迭代数据!H$2:H$65536,0))</f>
        <v>#N/A</v>
      </c>
      <c r="P71" s="14"/>
      <c r="T71" s="12" t="e">
        <f>INDEX([1]流向迭代数据!K$2:K$65536,MATCH(L71,[1]流向迭代数据!H$2:H$65536,0))</f>
        <v>#N/A</v>
      </c>
      <c r="W71" s="12" t="str">
        <f t="shared" si="3"/>
        <v/>
      </c>
    </row>
    <row r="72" spans="1:23" x14ac:dyDescent="0.15">
      <c r="A72" s="14" t="str">
        <f t="shared" si="2"/>
        <v>190001</v>
      </c>
      <c r="C72" s="12" t="e">
        <f>INDEX(基础数据!$A$2:$A$1024,MATCH(转配商关联商!X72,基础数据!$D$2:$D$1024,0))</f>
        <v>#N/A</v>
      </c>
      <c r="E72" s="12" t="e">
        <f>INDEX(基础数据!$B$2:$B$1024,MATCH(转配商关联商!X72,基础数据!$D$2:$D$1024,0))</f>
        <v>#N/A</v>
      </c>
      <c r="G72" s="12" t="e">
        <f>INDEX([1]流向迭代数据!E$2:E$65536,MATCH(转配商关联商!W72,[1]流向迭代数据!M$2:M$65536,0))</f>
        <v>#N/A</v>
      </c>
      <c r="N72" s="12" t="e">
        <f>INDEX([1]流向迭代数据!J$2:J$65536,MATCH(L72,[1]流向迭代数据!H$2:H$65536,0))</f>
        <v>#N/A</v>
      </c>
      <c r="P72" s="14"/>
      <c r="T72" s="12" t="e">
        <f>INDEX([1]流向迭代数据!K$2:K$65536,MATCH(L72,[1]流向迭代数据!H$2:H$65536,0))</f>
        <v>#N/A</v>
      </c>
      <c r="W72" s="12" t="str">
        <f t="shared" si="3"/>
        <v/>
      </c>
    </row>
    <row r="73" spans="1:23" x14ac:dyDescent="0.15">
      <c r="A73" s="14" t="str">
        <f t="shared" si="2"/>
        <v>190001</v>
      </c>
      <c r="C73" s="12" t="e">
        <f>INDEX(基础数据!$A$2:$A$1024,MATCH(转配商关联商!X73,基础数据!$D$2:$D$1024,0))</f>
        <v>#N/A</v>
      </c>
      <c r="E73" s="12" t="e">
        <f>INDEX(基础数据!$B$2:$B$1024,MATCH(转配商关联商!X73,基础数据!$D$2:$D$1024,0))</f>
        <v>#N/A</v>
      </c>
      <c r="G73" s="12" t="e">
        <f>INDEX([1]流向迭代数据!E$2:E$65536,MATCH(转配商关联商!W73,[1]流向迭代数据!M$2:M$65536,0))</f>
        <v>#N/A</v>
      </c>
      <c r="N73" s="12" t="e">
        <f>INDEX([1]流向迭代数据!J$2:J$65536,MATCH(L73,[1]流向迭代数据!H$2:H$65536,0))</f>
        <v>#N/A</v>
      </c>
      <c r="P73" s="14"/>
      <c r="T73" s="12" t="e">
        <f>INDEX([1]流向迭代数据!K$2:K$65536,MATCH(L73,[1]流向迭代数据!H$2:H$65536,0))</f>
        <v>#N/A</v>
      </c>
      <c r="W73" s="12" t="str">
        <f t="shared" si="3"/>
        <v/>
      </c>
    </row>
    <row r="74" spans="1:23" x14ac:dyDescent="0.15">
      <c r="A74" s="14" t="str">
        <f t="shared" si="2"/>
        <v>190001</v>
      </c>
      <c r="C74" s="12" t="e">
        <f>INDEX(基础数据!$A$2:$A$1024,MATCH(转配商关联商!X74,基础数据!$D$2:$D$1024,0))</f>
        <v>#N/A</v>
      </c>
      <c r="E74" s="12" t="e">
        <f>INDEX(基础数据!$B$2:$B$1024,MATCH(转配商关联商!X74,基础数据!$D$2:$D$1024,0))</f>
        <v>#N/A</v>
      </c>
      <c r="G74" s="12" t="e">
        <f>INDEX([1]流向迭代数据!E$2:E$65536,MATCH(转配商关联商!W74,[1]流向迭代数据!M$2:M$65536,0))</f>
        <v>#N/A</v>
      </c>
      <c r="N74" s="12" t="e">
        <f>INDEX([1]流向迭代数据!J$2:J$65536,MATCH(L74,[1]流向迭代数据!H$2:H$65536,0))</f>
        <v>#N/A</v>
      </c>
      <c r="P74" s="14"/>
      <c r="T74" s="12" t="e">
        <f>INDEX([1]流向迭代数据!K$2:K$65536,MATCH(L74,[1]流向迭代数据!H$2:H$65536,0))</f>
        <v>#N/A</v>
      </c>
      <c r="W74" s="12" t="str">
        <f t="shared" si="3"/>
        <v/>
      </c>
    </row>
    <row r="75" spans="1:23" x14ac:dyDescent="0.15">
      <c r="A75" s="14" t="str">
        <f t="shared" si="2"/>
        <v>190001</v>
      </c>
      <c r="C75" s="12" t="e">
        <f>INDEX(基础数据!$A$2:$A$1024,MATCH(转配商关联商!X75,基础数据!$D$2:$D$1024,0))</f>
        <v>#N/A</v>
      </c>
      <c r="E75" s="12" t="e">
        <f>INDEX(基础数据!$B$2:$B$1024,MATCH(转配商关联商!X75,基础数据!$D$2:$D$1024,0))</f>
        <v>#N/A</v>
      </c>
      <c r="G75" s="12" t="e">
        <f>INDEX([1]流向迭代数据!E$2:E$65536,MATCH(转配商关联商!W75,[1]流向迭代数据!M$2:M$65536,0))</f>
        <v>#N/A</v>
      </c>
      <c r="N75" s="12" t="e">
        <f>INDEX([1]流向迭代数据!J$2:J$65536,MATCH(L75,[1]流向迭代数据!H$2:H$65536,0))</f>
        <v>#N/A</v>
      </c>
      <c r="P75" s="14"/>
      <c r="T75" s="12" t="e">
        <f>INDEX([1]流向迭代数据!K$2:K$65536,MATCH(L75,[1]流向迭代数据!H$2:H$65536,0))</f>
        <v>#N/A</v>
      </c>
      <c r="W75" s="12" t="str">
        <f t="shared" si="3"/>
        <v/>
      </c>
    </row>
    <row r="76" spans="1:23" x14ac:dyDescent="0.15">
      <c r="A76" s="14" t="str">
        <f t="shared" si="2"/>
        <v>190001</v>
      </c>
      <c r="C76" s="12" t="e">
        <f>INDEX(基础数据!$A$2:$A$1024,MATCH(转配商关联商!X76,基础数据!$D$2:$D$1024,0))</f>
        <v>#N/A</v>
      </c>
      <c r="E76" s="12" t="e">
        <f>INDEX(基础数据!$B$2:$B$1024,MATCH(转配商关联商!X76,基础数据!$D$2:$D$1024,0))</f>
        <v>#N/A</v>
      </c>
      <c r="G76" s="12" t="e">
        <f>INDEX([1]流向迭代数据!E$2:E$65536,MATCH(转配商关联商!W76,[1]流向迭代数据!M$2:M$65536,0))</f>
        <v>#N/A</v>
      </c>
      <c r="N76" s="12" t="e">
        <f>INDEX([1]流向迭代数据!J$2:J$65536,MATCH(L76,[1]流向迭代数据!H$2:H$65536,0))</f>
        <v>#N/A</v>
      </c>
      <c r="P76" s="14"/>
      <c r="T76" s="12" t="e">
        <f>INDEX([1]流向迭代数据!K$2:K$65536,MATCH(L76,[1]流向迭代数据!H$2:H$65536,0))</f>
        <v>#N/A</v>
      </c>
      <c r="W76" s="12" t="str">
        <f t="shared" si="3"/>
        <v/>
      </c>
    </row>
    <row r="77" spans="1:23" x14ac:dyDescent="0.15">
      <c r="A77" s="14" t="str">
        <f t="shared" si="2"/>
        <v>190001</v>
      </c>
      <c r="C77" s="12" t="e">
        <f>INDEX(基础数据!$A$2:$A$1024,MATCH(转配商关联商!X77,基础数据!$D$2:$D$1024,0))</f>
        <v>#N/A</v>
      </c>
      <c r="E77" s="12" t="e">
        <f>INDEX(基础数据!$B$2:$B$1024,MATCH(转配商关联商!X77,基础数据!$D$2:$D$1024,0))</f>
        <v>#N/A</v>
      </c>
      <c r="G77" s="12" t="e">
        <f>INDEX([1]流向迭代数据!E$2:E$65536,MATCH(转配商关联商!W77,[1]流向迭代数据!M$2:M$65536,0))</f>
        <v>#N/A</v>
      </c>
      <c r="N77" s="12" t="e">
        <f>INDEX([1]流向迭代数据!J$2:J$65536,MATCH(L77,[1]流向迭代数据!H$2:H$65536,0))</f>
        <v>#N/A</v>
      </c>
      <c r="P77" s="14"/>
      <c r="T77" s="12" t="e">
        <f>INDEX([1]流向迭代数据!K$2:K$65536,MATCH(L77,[1]流向迭代数据!H$2:H$65536,0))</f>
        <v>#N/A</v>
      </c>
      <c r="W77" s="12" t="str">
        <f t="shared" si="3"/>
        <v/>
      </c>
    </row>
    <row r="78" spans="1:23" x14ac:dyDescent="0.15">
      <c r="A78" s="14" t="str">
        <f t="shared" si="2"/>
        <v>190001</v>
      </c>
      <c r="C78" s="12" t="e">
        <f>INDEX(基础数据!$A$2:$A$1024,MATCH(转配商关联商!X78,基础数据!$D$2:$D$1024,0))</f>
        <v>#N/A</v>
      </c>
      <c r="E78" s="12" t="e">
        <f>INDEX(基础数据!$B$2:$B$1024,MATCH(转配商关联商!X78,基础数据!$D$2:$D$1024,0))</f>
        <v>#N/A</v>
      </c>
      <c r="G78" s="12" t="e">
        <f>INDEX([1]流向迭代数据!E$2:E$65536,MATCH(转配商关联商!W78,[1]流向迭代数据!M$2:M$65536,0))</f>
        <v>#N/A</v>
      </c>
      <c r="N78" s="12" t="e">
        <f>INDEX([1]流向迭代数据!J$2:J$65536,MATCH(L78,[1]流向迭代数据!H$2:H$65536,0))</f>
        <v>#N/A</v>
      </c>
      <c r="P78" s="14"/>
      <c r="T78" s="12" t="e">
        <f>INDEX([1]流向迭代数据!K$2:K$65536,MATCH(L78,[1]流向迭代数据!H$2:H$65536,0))</f>
        <v>#N/A</v>
      </c>
      <c r="W78" s="12" t="str">
        <f t="shared" si="3"/>
        <v/>
      </c>
    </row>
    <row r="79" spans="1:23" x14ac:dyDescent="0.15">
      <c r="A79" s="14" t="str">
        <f t="shared" si="2"/>
        <v>190001</v>
      </c>
      <c r="C79" s="12" t="e">
        <f>INDEX(基础数据!$A$2:$A$1024,MATCH(转配商关联商!X79,基础数据!$D$2:$D$1024,0))</f>
        <v>#N/A</v>
      </c>
      <c r="E79" s="12" t="e">
        <f>INDEX(基础数据!$B$2:$B$1024,MATCH(转配商关联商!X79,基础数据!$D$2:$D$1024,0))</f>
        <v>#N/A</v>
      </c>
      <c r="G79" s="12" t="e">
        <f>INDEX([1]流向迭代数据!E$2:E$65536,MATCH(转配商关联商!W79,[1]流向迭代数据!M$2:M$65536,0))</f>
        <v>#N/A</v>
      </c>
      <c r="N79" s="12" t="e">
        <f>INDEX([1]流向迭代数据!J$2:J$65536,MATCH(L79,[1]流向迭代数据!H$2:H$65536,0))</f>
        <v>#N/A</v>
      </c>
      <c r="P79" s="14"/>
      <c r="T79" s="12" t="e">
        <f>INDEX([1]流向迭代数据!K$2:K$65536,MATCH(L79,[1]流向迭代数据!H$2:H$65536,0))</f>
        <v>#N/A</v>
      </c>
      <c r="W79" s="12" t="str">
        <f t="shared" si="3"/>
        <v/>
      </c>
    </row>
    <row r="80" spans="1:23" x14ac:dyDescent="0.15">
      <c r="A80" s="14" t="str">
        <f t="shared" si="2"/>
        <v>190001</v>
      </c>
      <c r="C80" s="12" t="e">
        <f>INDEX(基础数据!$A$2:$A$1024,MATCH(转配商关联商!X80,基础数据!$D$2:$D$1024,0))</f>
        <v>#N/A</v>
      </c>
      <c r="E80" s="12" t="e">
        <f>INDEX(基础数据!$B$2:$B$1024,MATCH(转配商关联商!X80,基础数据!$D$2:$D$1024,0))</f>
        <v>#N/A</v>
      </c>
      <c r="G80" s="12" t="e">
        <f>INDEX([1]流向迭代数据!E$2:E$65536,MATCH(转配商关联商!W80,[1]流向迭代数据!M$2:M$65536,0))</f>
        <v>#N/A</v>
      </c>
      <c r="N80" s="12" t="e">
        <f>INDEX([1]流向迭代数据!J$2:J$65536,MATCH(L80,[1]流向迭代数据!H$2:H$65536,0))</f>
        <v>#N/A</v>
      </c>
      <c r="P80" s="14"/>
      <c r="T80" s="12" t="e">
        <f>INDEX([1]流向迭代数据!K$2:K$65536,MATCH(L80,[1]流向迭代数据!H$2:H$65536,0))</f>
        <v>#N/A</v>
      </c>
      <c r="W80" s="12" t="str">
        <f t="shared" si="3"/>
        <v/>
      </c>
    </row>
    <row r="81" spans="1:23" x14ac:dyDescent="0.15">
      <c r="A81" s="14" t="str">
        <f t="shared" si="2"/>
        <v>190001</v>
      </c>
      <c r="C81" s="12" t="e">
        <f>INDEX(基础数据!$A$2:$A$1024,MATCH(转配商关联商!X81,基础数据!$D$2:$D$1024,0))</f>
        <v>#N/A</v>
      </c>
      <c r="E81" s="12" t="e">
        <f>INDEX(基础数据!$B$2:$B$1024,MATCH(转配商关联商!X81,基础数据!$D$2:$D$1024,0))</f>
        <v>#N/A</v>
      </c>
      <c r="G81" s="12" t="e">
        <f>INDEX([1]流向迭代数据!E$2:E$65536,MATCH(转配商关联商!W81,[1]流向迭代数据!M$2:M$65536,0))</f>
        <v>#N/A</v>
      </c>
      <c r="N81" s="12" t="e">
        <f>INDEX([1]流向迭代数据!J$2:J$65536,MATCH(L81,[1]流向迭代数据!H$2:H$65536,0))</f>
        <v>#N/A</v>
      </c>
      <c r="P81" s="14"/>
      <c r="T81" s="12" t="e">
        <f>INDEX([1]流向迭代数据!K$2:K$65536,MATCH(L81,[1]流向迭代数据!H$2:H$65536,0))</f>
        <v>#N/A</v>
      </c>
      <c r="W81" s="12" t="str">
        <f t="shared" si="3"/>
        <v/>
      </c>
    </row>
    <row r="82" spans="1:23" x14ac:dyDescent="0.15">
      <c r="A82" s="14" t="str">
        <f t="shared" si="2"/>
        <v>190001</v>
      </c>
      <c r="C82" s="12" t="e">
        <f>INDEX(基础数据!$A$2:$A$1024,MATCH(转配商关联商!X82,基础数据!$D$2:$D$1024,0))</f>
        <v>#N/A</v>
      </c>
      <c r="E82" s="12" t="e">
        <f>INDEX(基础数据!$B$2:$B$1024,MATCH(转配商关联商!X82,基础数据!$D$2:$D$1024,0))</f>
        <v>#N/A</v>
      </c>
      <c r="G82" s="12" t="e">
        <f>INDEX([1]流向迭代数据!E$2:E$65536,MATCH(转配商关联商!W82,[1]流向迭代数据!M$2:M$65536,0))</f>
        <v>#N/A</v>
      </c>
      <c r="N82" s="12" t="e">
        <f>INDEX([1]流向迭代数据!J$2:J$65536,MATCH(L82,[1]流向迭代数据!H$2:H$65536,0))</f>
        <v>#N/A</v>
      </c>
      <c r="P82" s="14"/>
      <c r="T82" s="12" t="e">
        <f>INDEX([1]流向迭代数据!K$2:K$65536,MATCH(L82,[1]流向迭代数据!H$2:H$65536,0))</f>
        <v>#N/A</v>
      </c>
      <c r="W82" s="12" t="str">
        <f t="shared" si="3"/>
        <v/>
      </c>
    </row>
    <row r="83" spans="1:23" x14ac:dyDescent="0.15">
      <c r="A83" s="14" t="str">
        <f t="shared" si="2"/>
        <v>190001</v>
      </c>
      <c r="C83" s="12" t="e">
        <f>INDEX(基础数据!$A$2:$A$1024,MATCH(转配商关联商!X83,基础数据!$D$2:$D$1024,0))</f>
        <v>#N/A</v>
      </c>
      <c r="E83" s="12" t="e">
        <f>INDEX(基础数据!$B$2:$B$1024,MATCH(转配商关联商!X83,基础数据!$D$2:$D$1024,0))</f>
        <v>#N/A</v>
      </c>
      <c r="G83" s="12" t="e">
        <f>INDEX([1]流向迭代数据!E$2:E$65536,MATCH(转配商关联商!W83,[1]流向迭代数据!M$2:M$65536,0))</f>
        <v>#N/A</v>
      </c>
      <c r="N83" s="12" t="e">
        <f>INDEX([1]流向迭代数据!J$2:J$65536,MATCH(L83,[1]流向迭代数据!H$2:H$65536,0))</f>
        <v>#N/A</v>
      </c>
      <c r="P83" s="14"/>
      <c r="T83" s="12" t="e">
        <f>INDEX([1]流向迭代数据!K$2:K$65536,MATCH(L83,[1]流向迭代数据!H$2:H$65536,0))</f>
        <v>#N/A</v>
      </c>
      <c r="W83" s="12" t="str">
        <f t="shared" si="3"/>
        <v/>
      </c>
    </row>
    <row r="84" spans="1:23" x14ac:dyDescent="0.15">
      <c r="A84" s="14" t="str">
        <f t="shared" si="2"/>
        <v>190001</v>
      </c>
      <c r="C84" s="12" t="e">
        <f>INDEX(基础数据!$A$2:$A$1024,MATCH(转配商关联商!X84,基础数据!$D$2:$D$1024,0))</f>
        <v>#N/A</v>
      </c>
      <c r="E84" s="12" t="e">
        <f>INDEX(基础数据!$B$2:$B$1024,MATCH(转配商关联商!X84,基础数据!$D$2:$D$1024,0))</f>
        <v>#N/A</v>
      </c>
      <c r="G84" s="12" t="e">
        <f>INDEX([1]流向迭代数据!E$2:E$65536,MATCH(转配商关联商!W84,[1]流向迭代数据!M$2:M$65536,0))</f>
        <v>#N/A</v>
      </c>
      <c r="N84" s="12" t="e">
        <f>INDEX([1]流向迭代数据!J$2:J$65536,MATCH(L84,[1]流向迭代数据!H$2:H$65536,0))</f>
        <v>#N/A</v>
      </c>
      <c r="P84" s="14"/>
      <c r="T84" s="12" t="e">
        <f>INDEX([1]流向迭代数据!K$2:K$65536,MATCH(L84,[1]流向迭代数据!H$2:H$65536,0))</f>
        <v>#N/A</v>
      </c>
      <c r="W84" s="12" t="str">
        <f t="shared" si="3"/>
        <v/>
      </c>
    </row>
    <row r="85" spans="1:23" x14ac:dyDescent="0.15">
      <c r="A85" s="14" t="str">
        <f t="shared" si="2"/>
        <v>190001</v>
      </c>
      <c r="C85" s="12" t="e">
        <f>INDEX(基础数据!$A$2:$A$1024,MATCH(转配商关联商!X85,基础数据!$D$2:$D$1024,0))</f>
        <v>#N/A</v>
      </c>
      <c r="E85" s="12" t="e">
        <f>INDEX(基础数据!$B$2:$B$1024,MATCH(转配商关联商!X85,基础数据!$D$2:$D$1024,0))</f>
        <v>#N/A</v>
      </c>
      <c r="G85" s="12" t="e">
        <f>INDEX([1]流向迭代数据!E$2:E$65536,MATCH(转配商关联商!W85,[1]流向迭代数据!M$2:M$65536,0))</f>
        <v>#N/A</v>
      </c>
      <c r="N85" s="12" t="e">
        <f>INDEX([1]流向迭代数据!J$2:J$65536,MATCH(L85,[1]流向迭代数据!H$2:H$65536,0))</f>
        <v>#N/A</v>
      </c>
      <c r="P85" s="14"/>
      <c r="T85" s="12" t="e">
        <f>INDEX([1]流向迭代数据!K$2:K$65536,MATCH(L85,[1]流向迭代数据!H$2:H$65536,0))</f>
        <v>#N/A</v>
      </c>
      <c r="W85" s="12" t="str">
        <f t="shared" si="3"/>
        <v/>
      </c>
    </row>
    <row r="86" spans="1:23" x14ac:dyDescent="0.15">
      <c r="A86" s="14" t="str">
        <f t="shared" si="2"/>
        <v>190001</v>
      </c>
      <c r="C86" s="12" t="e">
        <f>INDEX(基础数据!$A$2:$A$1024,MATCH(转配商关联商!X86,基础数据!$D$2:$D$1024,0))</f>
        <v>#N/A</v>
      </c>
      <c r="E86" s="12" t="e">
        <f>INDEX(基础数据!$B$2:$B$1024,MATCH(转配商关联商!X86,基础数据!$D$2:$D$1024,0))</f>
        <v>#N/A</v>
      </c>
      <c r="G86" s="12" t="e">
        <f>INDEX([1]流向迭代数据!E$2:E$65536,MATCH(转配商关联商!W86,[1]流向迭代数据!M$2:M$65536,0))</f>
        <v>#N/A</v>
      </c>
      <c r="N86" s="12" t="e">
        <f>INDEX([1]流向迭代数据!J$2:J$65536,MATCH(L86,[1]流向迭代数据!H$2:H$65536,0))</f>
        <v>#N/A</v>
      </c>
      <c r="P86" s="14"/>
      <c r="T86" s="12" t="e">
        <f>INDEX([1]流向迭代数据!K$2:K$65536,MATCH(L86,[1]流向迭代数据!H$2:H$65536,0))</f>
        <v>#N/A</v>
      </c>
      <c r="W86" s="12" t="str">
        <f t="shared" si="3"/>
        <v/>
      </c>
    </row>
    <row r="87" spans="1:23" x14ac:dyDescent="0.15">
      <c r="A87" s="14" t="str">
        <f t="shared" si="2"/>
        <v>190001</v>
      </c>
      <c r="C87" s="12" t="e">
        <f>INDEX(基础数据!$A$2:$A$1024,MATCH(转配商关联商!X87,基础数据!$D$2:$D$1024,0))</f>
        <v>#N/A</v>
      </c>
      <c r="E87" s="12" t="e">
        <f>INDEX(基础数据!$B$2:$B$1024,MATCH(转配商关联商!X87,基础数据!$D$2:$D$1024,0))</f>
        <v>#N/A</v>
      </c>
      <c r="G87" s="12" t="e">
        <f>INDEX([1]流向迭代数据!E$2:E$65536,MATCH(转配商关联商!W87,[1]流向迭代数据!M$2:M$65536,0))</f>
        <v>#N/A</v>
      </c>
      <c r="N87" s="12" t="e">
        <f>INDEX([1]流向迭代数据!J$2:J$65536,MATCH(L87,[1]流向迭代数据!H$2:H$65536,0))</f>
        <v>#N/A</v>
      </c>
      <c r="P87" s="14"/>
      <c r="T87" s="12" t="e">
        <f>INDEX([1]流向迭代数据!K$2:K$65536,MATCH(L87,[1]流向迭代数据!H$2:H$65536,0))</f>
        <v>#N/A</v>
      </c>
      <c r="W87" s="12" t="str">
        <f t="shared" si="3"/>
        <v/>
      </c>
    </row>
    <row r="88" spans="1:23" x14ac:dyDescent="0.15">
      <c r="A88" s="14" t="str">
        <f t="shared" si="2"/>
        <v>190001</v>
      </c>
      <c r="C88" s="12" t="e">
        <f>INDEX(基础数据!$A$2:$A$1024,MATCH(转配商关联商!X88,基础数据!$D$2:$D$1024,0))</f>
        <v>#N/A</v>
      </c>
      <c r="E88" s="12" t="e">
        <f>INDEX(基础数据!$B$2:$B$1024,MATCH(转配商关联商!X88,基础数据!$D$2:$D$1024,0))</f>
        <v>#N/A</v>
      </c>
      <c r="G88" s="12" t="e">
        <f>INDEX([1]流向迭代数据!E$2:E$65536,MATCH(转配商关联商!W88,[1]流向迭代数据!M$2:M$65536,0))</f>
        <v>#N/A</v>
      </c>
      <c r="N88" s="12" t="e">
        <f>INDEX([1]流向迭代数据!J$2:J$65536,MATCH(L88,[1]流向迭代数据!H$2:H$65536,0))</f>
        <v>#N/A</v>
      </c>
      <c r="P88" s="14"/>
      <c r="T88" s="12" t="e">
        <f>INDEX([1]流向迭代数据!K$2:K$65536,MATCH(L88,[1]流向迭代数据!H$2:H$65536,0))</f>
        <v>#N/A</v>
      </c>
      <c r="W88" s="12" t="str">
        <f t="shared" si="3"/>
        <v/>
      </c>
    </row>
    <row r="89" spans="1:23" x14ac:dyDescent="0.15">
      <c r="A89" s="14" t="str">
        <f t="shared" si="2"/>
        <v>190001</v>
      </c>
      <c r="C89" s="12" t="e">
        <f>INDEX(基础数据!$A$2:$A$1024,MATCH(转配商关联商!X89,基础数据!$D$2:$D$1024,0))</f>
        <v>#N/A</v>
      </c>
      <c r="E89" s="12" t="e">
        <f>INDEX(基础数据!$B$2:$B$1024,MATCH(转配商关联商!X89,基础数据!$D$2:$D$1024,0))</f>
        <v>#N/A</v>
      </c>
      <c r="G89" s="12" t="e">
        <f>INDEX([1]流向迭代数据!E$2:E$65536,MATCH(转配商关联商!W89,[1]流向迭代数据!M$2:M$65536,0))</f>
        <v>#N/A</v>
      </c>
      <c r="N89" s="12" t="e">
        <f>INDEX([1]流向迭代数据!J$2:J$65536,MATCH(L89,[1]流向迭代数据!H$2:H$65536,0))</f>
        <v>#N/A</v>
      </c>
      <c r="P89" s="14"/>
      <c r="T89" s="12" t="e">
        <f>INDEX([1]流向迭代数据!K$2:K$65536,MATCH(L89,[1]流向迭代数据!H$2:H$65536,0))</f>
        <v>#N/A</v>
      </c>
      <c r="W89" s="12" t="str">
        <f t="shared" si="3"/>
        <v/>
      </c>
    </row>
    <row r="90" spans="1:23" x14ac:dyDescent="0.15">
      <c r="A90" s="14" t="str">
        <f t="shared" si="2"/>
        <v>190001</v>
      </c>
      <c r="C90" s="12" t="e">
        <f>INDEX(基础数据!$A$2:$A$1024,MATCH(转配商关联商!X90,基础数据!$D$2:$D$1024,0))</f>
        <v>#N/A</v>
      </c>
      <c r="E90" s="12" t="e">
        <f>INDEX(基础数据!$B$2:$B$1024,MATCH(转配商关联商!X90,基础数据!$D$2:$D$1024,0))</f>
        <v>#N/A</v>
      </c>
      <c r="G90" s="12" t="e">
        <f>INDEX([1]流向迭代数据!E$2:E$65536,MATCH(转配商关联商!W90,[1]流向迭代数据!M$2:M$65536,0))</f>
        <v>#N/A</v>
      </c>
      <c r="N90" s="12" t="e">
        <f>INDEX([1]流向迭代数据!J$2:J$65536,MATCH(L90,[1]流向迭代数据!H$2:H$65536,0))</f>
        <v>#N/A</v>
      </c>
      <c r="P90" s="14"/>
      <c r="T90" s="12" t="e">
        <f>INDEX([1]流向迭代数据!K$2:K$65536,MATCH(L90,[1]流向迭代数据!H$2:H$65536,0))</f>
        <v>#N/A</v>
      </c>
      <c r="W90" s="12" t="str">
        <f t="shared" si="3"/>
        <v/>
      </c>
    </row>
    <row r="91" spans="1:23" x14ac:dyDescent="0.15">
      <c r="A91" s="14" t="str">
        <f t="shared" si="2"/>
        <v>190001</v>
      </c>
      <c r="C91" s="12" t="e">
        <f>INDEX(基础数据!$A$2:$A$1024,MATCH(转配商关联商!X91,基础数据!$D$2:$D$1024,0))</f>
        <v>#N/A</v>
      </c>
      <c r="E91" s="12" t="e">
        <f>INDEX(基础数据!$B$2:$B$1024,MATCH(转配商关联商!X91,基础数据!$D$2:$D$1024,0))</f>
        <v>#N/A</v>
      </c>
      <c r="G91" s="12" t="e">
        <f>INDEX([1]流向迭代数据!E$2:E$65536,MATCH(转配商关联商!W91,[1]流向迭代数据!M$2:M$65536,0))</f>
        <v>#N/A</v>
      </c>
      <c r="N91" s="12" t="e">
        <f>INDEX([1]流向迭代数据!J$2:J$65536,MATCH(L91,[1]流向迭代数据!H$2:H$65536,0))</f>
        <v>#N/A</v>
      </c>
      <c r="P91" s="14"/>
      <c r="T91" s="12" t="e">
        <f>INDEX([1]流向迭代数据!K$2:K$65536,MATCH(L91,[1]流向迭代数据!H$2:H$65536,0))</f>
        <v>#N/A</v>
      </c>
      <c r="W91" s="12" t="str">
        <f t="shared" si="3"/>
        <v/>
      </c>
    </row>
    <row r="92" spans="1:23" x14ac:dyDescent="0.15">
      <c r="A92" s="14" t="str">
        <f t="shared" si="2"/>
        <v>190001</v>
      </c>
      <c r="C92" s="12" t="e">
        <f>INDEX(基础数据!$A$2:$A$1024,MATCH(转配商关联商!X92,基础数据!$D$2:$D$1024,0))</f>
        <v>#N/A</v>
      </c>
      <c r="E92" s="12" t="e">
        <f>INDEX(基础数据!$B$2:$B$1024,MATCH(转配商关联商!X92,基础数据!$D$2:$D$1024,0))</f>
        <v>#N/A</v>
      </c>
      <c r="G92" s="12" t="e">
        <f>INDEX([1]流向迭代数据!E$2:E$65536,MATCH(转配商关联商!W92,[1]流向迭代数据!M$2:M$65536,0))</f>
        <v>#N/A</v>
      </c>
      <c r="N92" s="12" t="e">
        <f>INDEX([1]流向迭代数据!J$2:J$65536,MATCH(L92,[1]流向迭代数据!H$2:H$65536,0))</f>
        <v>#N/A</v>
      </c>
      <c r="P92" s="14"/>
      <c r="T92" s="12" t="e">
        <f>INDEX([1]流向迭代数据!K$2:K$65536,MATCH(L92,[1]流向迭代数据!H$2:H$65536,0))</f>
        <v>#N/A</v>
      </c>
      <c r="W92" s="12" t="str">
        <f t="shared" si="3"/>
        <v/>
      </c>
    </row>
    <row r="93" spans="1:23" x14ac:dyDescent="0.15">
      <c r="A93" s="14" t="str">
        <f t="shared" si="2"/>
        <v>190001</v>
      </c>
      <c r="C93" s="12" t="e">
        <f>INDEX(基础数据!$A$2:$A$1024,MATCH(转配商关联商!X93,基础数据!$D$2:$D$1024,0))</f>
        <v>#N/A</v>
      </c>
      <c r="E93" s="12" t="e">
        <f>INDEX(基础数据!$B$2:$B$1024,MATCH(转配商关联商!X93,基础数据!$D$2:$D$1024,0))</f>
        <v>#N/A</v>
      </c>
      <c r="G93" s="12" t="e">
        <f>INDEX([1]流向迭代数据!E$2:E$65536,MATCH(转配商关联商!W93,[1]流向迭代数据!M$2:M$65536,0))</f>
        <v>#N/A</v>
      </c>
      <c r="N93" s="12" t="e">
        <f>INDEX([1]流向迭代数据!J$2:J$65536,MATCH(L93,[1]流向迭代数据!H$2:H$65536,0))</f>
        <v>#N/A</v>
      </c>
      <c r="P93" s="14"/>
      <c r="T93" s="12" t="e">
        <f>INDEX([1]流向迭代数据!K$2:K$65536,MATCH(L93,[1]流向迭代数据!H$2:H$65536,0))</f>
        <v>#N/A</v>
      </c>
      <c r="W93" s="12" t="str">
        <f t="shared" si="3"/>
        <v/>
      </c>
    </row>
    <row r="94" spans="1:23" x14ac:dyDescent="0.15">
      <c r="A94" s="14" t="str">
        <f t="shared" si="2"/>
        <v>190001</v>
      </c>
      <c r="C94" s="12" t="e">
        <f>INDEX(基础数据!$A$2:$A$1024,MATCH(转配商关联商!X94,基础数据!$D$2:$D$1024,0))</f>
        <v>#N/A</v>
      </c>
      <c r="E94" s="12" t="e">
        <f>INDEX(基础数据!$B$2:$B$1024,MATCH(转配商关联商!X94,基础数据!$D$2:$D$1024,0))</f>
        <v>#N/A</v>
      </c>
      <c r="G94" s="12" t="e">
        <f>INDEX([1]流向迭代数据!E$2:E$65536,MATCH(转配商关联商!W94,[1]流向迭代数据!M$2:M$65536,0))</f>
        <v>#N/A</v>
      </c>
      <c r="N94" s="12" t="e">
        <f>INDEX([1]流向迭代数据!J$2:J$65536,MATCH(L94,[1]流向迭代数据!H$2:H$65536,0))</f>
        <v>#N/A</v>
      </c>
      <c r="P94" s="14"/>
      <c r="T94" s="12" t="e">
        <f>INDEX([1]流向迭代数据!K$2:K$65536,MATCH(L94,[1]流向迭代数据!H$2:H$65536,0))</f>
        <v>#N/A</v>
      </c>
      <c r="W94" s="12" t="str">
        <f t="shared" si="3"/>
        <v/>
      </c>
    </row>
    <row r="95" spans="1:23" x14ac:dyDescent="0.15">
      <c r="A95" s="14" t="str">
        <f t="shared" si="2"/>
        <v>190001</v>
      </c>
      <c r="C95" s="12" t="e">
        <f>INDEX(基础数据!$A$2:$A$1024,MATCH(转配商关联商!X95,基础数据!$D$2:$D$1024,0))</f>
        <v>#N/A</v>
      </c>
      <c r="E95" s="12" t="e">
        <f>INDEX(基础数据!$B$2:$B$1024,MATCH(转配商关联商!X95,基础数据!$D$2:$D$1024,0))</f>
        <v>#N/A</v>
      </c>
      <c r="G95" s="12" t="e">
        <f>INDEX([1]流向迭代数据!E$2:E$65536,MATCH(转配商关联商!W95,[1]流向迭代数据!M$2:M$65536,0))</f>
        <v>#N/A</v>
      </c>
      <c r="N95" s="12" t="e">
        <f>INDEX([1]流向迭代数据!J$2:J$65536,MATCH(L95,[1]流向迭代数据!H$2:H$65536,0))</f>
        <v>#N/A</v>
      </c>
      <c r="P95" s="14"/>
      <c r="T95" s="12" t="e">
        <f>INDEX([1]流向迭代数据!K$2:K$65536,MATCH(L95,[1]流向迭代数据!H$2:H$65536,0))</f>
        <v>#N/A</v>
      </c>
      <c r="W95" s="12" t="str">
        <f t="shared" si="3"/>
        <v/>
      </c>
    </row>
    <row r="96" spans="1:23" x14ac:dyDescent="0.15">
      <c r="A96" s="14" t="str">
        <f t="shared" si="2"/>
        <v>190001</v>
      </c>
      <c r="C96" s="12" t="e">
        <f>INDEX(基础数据!$A$2:$A$1024,MATCH(转配商关联商!X96,基础数据!$D$2:$D$1024,0))</f>
        <v>#N/A</v>
      </c>
      <c r="E96" s="12" t="e">
        <f>INDEX(基础数据!$B$2:$B$1024,MATCH(转配商关联商!X96,基础数据!$D$2:$D$1024,0))</f>
        <v>#N/A</v>
      </c>
      <c r="G96" s="12" t="e">
        <f>INDEX([1]流向迭代数据!E$2:E$65536,MATCH(转配商关联商!W96,[1]流向迭代数据!M$2:M$65536,0))</f>
        <v>#N/A</v>
      </c>
      <c r="N96" s="12" t="e">
        <f>INDEX([1]流向迭代数据!J$2:J$65536,MATCH(L96,[1]流向迭代数据!H$2:H$65536,0))</f>
        <v>#N/A</v>
      </c>
      <c r="P96" s="14"/>
      <c r="T96" s="12" t="e">
        <f>INDEX([1]流向迭代数据!K$2:K$65536,MATCH(L96,[1]流向迭代数据!H$2:H$65536,0))</f>
        <v>#N/A</v>
      </c>
      <c r="W96" s="12" t="str">
        <f t="shared" si="3"/>
        <v/>
      </c>
    </row>
    <row r="97" spans="1:23" x14ac:dyDescent="0.15">
      <c r="A97" s="14" t="str">
        <f t="shared" si="2"/>
        <v>190001</v>
      </c>
      <c r="C97" s="12" t="e">
        <f>INDEX(基础数据!$A$2:$A$1024,MATCH(转配商关联商!X97,基础数据!$D$2:$D$1024,0))</f>
        <v>#N/A</v>
      </c>
      <c r="E97" s="12" t="e">
        <f>INDEX(基础数据!$B$2:$B$1024,MATCH(转配商关联商!X97,基础数据!$D$2:$D$1024,0))</f>
        <v>#N/A</v>
      </c>
      <c r="G97" s="12" t="e">
        <f>INDEX([1]流向迭代数据!E$2:E$65536,MATCH(转配商关联商!W97,[1]流向迭代数据!M$2:M$65536,0))</f>
        <v>#N/A</v>
      </c>
      <c r="N97" s="12" t="e">
        <f>INDEX([1]流向迭代数据!J$2:J$65536,MATCH(L97,[1]流向迭代数据!H$2:H$65536,0))</f>
        <v>#N/A</v>
      </c>
      <c r="P97" s="14"/>
      <c r="T97" s="12" t="e">
        <f>INDEX([1]流向迭代数据!K$2:K$65536,MATCH(L97,[1]流向迭代数据!H$2:H$65536,0))</f>
        <v>#N/A</v>
      </c>
      <c r="W97" s="12" t="str">
        <f t="shared" si="3"/>
        <v/>
      </c>
    </row>
    <row r="98" spans="1:23" x14ac:dyDescent="0.15">
      <c r="A98" s="14" t="str">
        <f t="shared" si="2"/>
        <v>190001</v>
      </c>
      <c r="C98" s="12" t="e">
        <f>INDEX(基础数据!$A$2:$A$1024,MATCH(转配商关联商!X98,基础数据!$D$2:$D$1024,0))</f>
        <v>#N/A</v>
      </c>
      <c r="E98" s="12" t="e">
        <f>INDEX(基础数据!$B$2:$B$1024,MATCH(转配商关联商!X98,基础数据!$D$2:$D$1024,0))</f>
        <v>#N/A</v>
      </c>
      <c r="G98" s="12" t="e">
        <f>INDEX([1]流向迭代数据!E$2:E$65536,MATCH(转配商关联商!W98,[1]流向迭代数据!M$2:M$65536,0))</f>
        <v>#N/A</v>
      </c>
      <c r="N98" s="12" t="e">
        <f>INDEX([1]流向迭代数据!J$2:J$65536,MATCH(L98,[1]流向迭代数据!H$2:H$65536,0))</f>
        <v>#N/A</v>
      </c>
      <c r="P98" s="14"/>
      <c r="T98" s="12" t="e">
        <f>INDEX([1]流向迭代数据!K$2:K$65536,MATCH(L98,[1]流向迭代数据!H$2:H$65536,0))</f>
        <v>#N/A</v>
      </c>
      <c r="W98" s="12" t="str">
        <f t="shared" si="3"/>
        <v/>
      </c>
    </row>
    <row r="99" spans="1:23" x14ac:dyDescent="0.15">
      <c r="A99" s="14" t="str">
        <f t="shared" si="2"/>
        <v>190001</v>
      </c>
      <c r="C99" s="12" t="e">
        <f>INDEX(基础数据!$A$2:$A$1024,MATCH(转配商关联商!X99,基础数据!$D$2:$D$1024,0))</f>
        <v>#N/A</v>
      </c>
      <c r="E99" s="12" t="e">
        <f>INDEX(基础数据!$B$2:$B$1024,MATCH(转配商关联商!X99,基础数据!$D$2:$D$1024,0))</f>
        <v>#N/A</v>
      </c>
      <c r="G99" s="12" t="e">
        <f>INDEX([1]流向迭代数据!E$2:E$65536,MATCH(转配商关联商!W99,[1]流向迭代数据!M$2:M$65536,0))</f>
        <v>#N/A</v>
      </c>
      <c r="N99" s="12" t="e">
        <f>INDEX([1]流向迭代数据!J$2:J$65536,MATCH(L99,[1]流向迭代数据!H$2:H$65536,0))</f>
        <v>#N/A</v>
      </c>
      <c r="P99" s="14"/>
      <c r="T99" s="12" t="e">
        <f>INDEX([1]流向迭代数据!K$2:K$65536,MATCH(L99,[1]流向迭代数据!H$2:H$65536,0))</f>
        <v>#N/A</v>
      </c>
      <c r="W99" s="12" t="str">
        <f t="shared" si="3"/>
        <v/>
      </c>
    </row>
    <row r="100" spans="1:23" x14ac:dyDescent="0.15">
      <c r="A100" s="14" t="str">
        <f t="shared" si="2"/>
        <v>190001</v>
      </c>
      <c r="C100" s="12" t="e">
        <f>INDEX(基础数据!$A$2:$A$1024,MATCH(转配商关联商!X100,基础数据!$D$2:$D$1024,0))</f>
        <v>#N/A</v>
      </c>
      <c r="E100" s="12" t="e">
        <f>INDEX(基础数据!$B$2:$B$1024,MATCH(转配商关联商!X100,基础数据!$D$2:$D$1024,0))</f>
        <v>#N/A</v>
      </c>
      <c r="G100" s="12" t="e">
        <f>INDEX([1]流向迭代数据!E$2:E$65536,MATCH(转配商关联商!W100,[1]流向迭代数据!M$2:M$65536,0))</f>
        <v>#N/A</v>
      </c>
      <c r="N100" s="12" t="e">
        <f>INDEX([1]流向迭代数据!J$2:J$65536,MATCH(L100,[1]流向迭代数据!H$2:H$65536,0))</f>
        <v>#N/A</v>
      </c>
      <c r="P100" s="14"/>
      <c r="T100" s="12" t="e">
        <f>INDEX([1]流向迭代数据!K$2:K$65536,MATCH(L100,[1]流向迭代数据!H$2:H$65536,0))</f>
        <v>#N/A</v>
      </c>
      <c r="W100" s="12" t="str">
        <f t="shared" si="3"/>
        <v/>
      </c>
    </row>
    <row r="101" spans="1:23" x14ac:dyDescent="0.15">
      <c r="A101" s="14" t="str">
        <f t="shared" si="2"/>
        <v>190001</v>
      </c>
      <c r="C101" s="12" t="e">
        <f>INDEX(基础数据!$A$2:$A$1024,MATCH(转配商关联商!X101,基础数据!$D$2:$D$1024,0))</f>
        <v>#N/A</v>
      </c>
      <c r="E101" s="12" t="e">
        <f>INDEX(基础数据!$B$2:$B$1024,MATCH(转配商关联商!X101,基础数据!$D$2:$D$1024,0))</f>
        <v>#N/A</v>
      </c>
      <c r="G101" s="12" t="e">
        <f>INDEX([1]流向迭代数据!E$2:E$65536,MATCH(转配商关联商!W101,[1]流向迭代数据!M$2:M$65536,0))</f>
        <v>#N/A</v>
      </c>
      <c r="N101" s="12" t="e">
        <f>INDEX([1]流向迭代数据!J$2:J$65536,MATCH(L101,[1]流向迭代数据!H$2:H$65536,0))</f>
        <v>#N/A</v>
      </c>
      <c r="P101" s="14"/>
      <c r="T101" s="12" t="e">
        <f>INDEX([1]流向迭代数据!K$2:K$65536,MATCH(L101,[1]流向迭代数据!H$2:H$65536,0))</f>
        <v>#N/A</v>
      </c>
      <c r="W101" s="12" t="str">
        <f t="shared" si="3"/>
        <v/>
      </c>
    </row>
    <row r="102" spans="1:23" x14ac:dyDescent="0.15">
      <c r="A102" s="14" t="str">
        <f t="shared" si="2"/>
        <v>190001</v>
      </c>
      <c r="C102" s="12" t="e">
        <f>INDEX(基础数据!$A$2:$A$1024,MATCH(转配商关联商!X102,基础数据!$D$2:$D$1024,0))</f>
        <v>#N/A</v>
      </c>
      <c r="E102" s="12" t="e">
        <f>INDEX(基础数据!$B$2:$B$1024,MATCH(转配商关联商!X102,基础数据!$D$2:$D$1024,0))</f>
        <v>#N/A</v>
      </c>
      <c r="G102" s="12" t="e">
        <f>INDEX([1]流向迭代数据!E$2:E$65536,MATCH(转配商关联商!W102,[1]流向迭代数据!M$2:M$65536,0))</f>
        <v>#N/A</v>
      </c>
      <c r="N102" s="12" t="e">
        <f>INDEX([1]流向迭代数据!J$2:J$65536,MATCH(L102,[1]流向迭代数据!H$2:H$65536,0))</f>
        <v>#N/A</v>
      </c>
      <c r="P102" s="14"/>
      <c r="T102" s="12" t="e">
        <f>INDEX([1]流向迭代数据!K$2:K$65536,MATCH(L102,[1]流向迭代数据!H$2:H$65536,0))</f>
        <v>#N/A</v>
      </c>
      <c r="W102" s="12" t="str">
        <f t="shared" si="3"/>
        <v/>
      </c>
    </row>
    <row r="103" spans="1:23" x14ac:dyDescent="0.15">
      <c r="A103" s="14" t="str">
        <f t="shared" si="2"/>
        <v>190001</v>
      </c>
      <c r="C103" s="12" t="e">
        <f>INDEX(基础数据!$A$2:$A$1024,MATCH(转配商关联商!X103,基础数据!$D$2:$D$1024,0))</f>
        <v>#N/A</v>
      </c>
      <c r="E103" s="12" t="e">
        <f>INDEX(基础数据!$B$2:$B$1024,MATCH(转配商关联商!X103,基础数据!$D$2:$D$1024,0))</f>
        <v>#N/A</v>
      </c>
      <c r="G103" s="12" t="e">
        <f>INDEX([1]流向迭代数据!E$2:E$65536,MATCH(转配商关联商!W103,[1]流向迭代数据!M$2:M$65536,0))</f>
        <v>#N/A</v>
      </c>
      <c r="N103" s="12" t="e">
        <f>INDEX([1]流向迭代数据!J$2:J$65536,MATCH(L103,[1]流向迭代数据!H$2:H$65536,0))</f>
        <v>#N/A</v>
      </c>
      <c r="P103" s="14"/>
      <c r="T103" s="12" t="e">
        <f>INDEX([1]流向迭代数据!K$2:K$65536,MATCH(L103,[1]流向迭代数据!H$2:H$65536,0))</f>
        <v>#N/A</v>
      </c>
      <c r="W103" s="12" t="str">
        <f t="shared" si="3"/>
        <v/>
      </c>
    </row>
    <row r="104" spans="1:23" x14ac:dyDescent="0.15">
      <c r="A104" s="14" t="str">
        <f t="shared" si="2"/>
        <v>190001</v>
      </c>
      <c r="C104" s="12" t="e">
        <f>INDEX(基础数据!$A$2:$A$1024,MATCH(转配商关联商!X104,基础数据!$D$2:$D$1024,0))</f>
        <v>#N/A</v>
      </c>
      <c r="E104" s="12" t="e">
        <f>INDEX(基础数据!$B$2:$B$1024,MATCH(转配商关联商!X104,基础数据!$D$2:$D$1024,0))</f>
        <v>#N/A</v>
      </c>
      <c r="G104" s="12" t="e">
        <f>INDEX([1]流向迭代数据!E$2:E$65536,MATCH(转配商关联商!W104,[1]流向迭代数据!M$2:M$65536,0))</f>
        <v>#N/A</v>
      </c>
      <c r="N104" s="12" t="e">
        <f>INDEX([1]流向迭代数据!J$2:J$65536,MATCH(L104,[1]流向迭代数据!H$2:H$65536,0))</f>
        <v>#N/A</v>
      </c>
      <c r="P104" s="14"/>
      <c r="T104" s="12" t="e">
        <f>INDEX([1]流向迭代数据!K$2:K$65536,MATCH(L104,[1]流向迭代数据!H$2:H$65536,0))</f>
        <v>#N/A</v>
      </c>
      <c r="W104" s="12" t="str">
        <f t="shared" si="3"/>
        <v/>
      </c>
    </row>
    <row r="105" spans="1:23" x14ac:dyDescent="0.15">
      <c r="A105" s="14" t="str">
        <f t="shared" si="2"/>
        <v>190001</v>
      </c>
      <c r="C105" s="12" t="e">
        <f>INDEX(基础数据!$A$2:$A$1024,MATCH(转配商关联商!X105,基础数据!$D$2:$D$1024,0))</f>
        <v>#N/A</v>
      </c>
      <c r="E105" s="12" t="e">
        <f>INDEX(基础数据!$B$2:$B$1024,MATCH(转配商关联商!X105,基础数据!$D$2:$D$1024,0))</f>
        <v>#N/A</v>
      </c>
      <c r="G105" s="12" t="e">
        <f>INDEX([1]流向迭代数据!E$2:E$65536,MATCH(转配商关联商!W105,[1]流向迭代数据!M$2:M$65536,0))</f>
        <v>#N/A</v>
      </c>
      <c r="N105" s="12" t="e">
        <f>INDEX([1]流向迭代数据!J$2:J$65536,MATCH(L105,[1]流向迭代数据!H$2:H$65536,0))</f>
        <v>#N/A</v>
      </c>
      <c r="P105" s="14"/>
      <c r="T105" s="12" t="e">
        <f>INDEX([1]流向迭代数据!K$2:K$65536,MATCH(L105,[1]流向迭代数据!H$2:H$65536,0))</f>
        <v>#N/A</v>
      </c>
      <c r="W105" s="12" t="str">
        <f t="shared" si="3"/>
        <v/>
      </c>
    </row>
    <row r="106" spans="1:23" x14ac:dyDescent="0.15">
      <c r="A106" s="14" t="str">
        <f t="shared" si="2"/>
        <v>190001</v>
      </c>
      <c r="C106" s="12" t="e">
        <f>INDEX(基础数据!$A$2:$A$1024,MATCH(转配商关联商!X106,基础数据!$D$2:$D$1024,0))</f>
        <v>#N/A</v>
      </c>
      <c r="E106" s="12" t="e">
        <f>INDEX(基础数据!$B$2:$B$1024,MATCH(转配商关联商!X106,基础数据!$D$2:$D$1024,0))</f>
        <v>#N/A</v>
      </c>
      <c r="G106" s="12" t="e">
        <f>INDEX([1]流向迭代数据!E$2:E$65536,MATCH(转配商关联商!W106,[1]流向迭代数据!M$2:M$65536,0))</f>
        <v>#N/A</v>
      </c>
      <c r="N106" s="12" t="e">
        <f>INDEX([1]流向迭代数据!J$2:J$65536,MATCH(L106,[1]流向迭代数据!H$2:H$65536,0))</f>
        <v>#N/A</v>
      </c>
      <c r="P106" s="14"/>
      <c r="T106" s="12" t="e">
        <f>INDEX([1]流向迭代数据!K$2:K$65536,MATCH(L106,[1]流向迭代数据!H$2:H$65536,0))</f>
        <v>#N/A</v>
      </c>
      <c r="W106" s="12" t="str">
        <f t="shared" si="3"/>
        <v/>
      </c>
    </row>
    <row r="107" spans="1:23" x14ac:dyDescent="0.15">
      <c r="A107" s="14" t="str">
        <f t="shared" si="2"/>
        <v>190001</v>
      </c>
      <c r="C107" s="12" t="e">
        <f>INDEX(基础数据!$A$2:$A$1024,MATCH(转配商关联商!X107,基础数据!$D$2:$D$1024,0))</f>
        <v>#N/A</v>
      </c>
      <c r="E107" s="12" t="e">
        <f>INDEX(基础数据!$B$2:$B$1024,MATCH(转配商关联商!X107,基础数据!$D$2:$D$1024,0))</f>
        <v>#N/A</v>
      </c>
      <c r="G107" s="12" t="e">
        <f>INDEX([1]流向迭代数据!E$2:E$65536,MATCH(转配商关联商!W107,[1]流向迭代数据!M$2:M$65536,0))</f>
        <v>#N/A</v>
      </c>
      <c r="N107" s="12" t="e">
        <f>INDEX([1]流向迭代数据!J$2:J$65536,MATCH(L107,[1]流向迭代数据!H$2:H$65536,0))</f>
        <v>#N/A</v>
      </c>
      <c r="P107" s="14"/>
      <c r="T107" s="12" t="e">
        <f>INDEX([1]流向迭代数据!K$2:K$65536,MATCH(L107,[1]流向迭代数据!H$2:H$65536,0))</f>
        <v>#N/A</v>
      </c>
      <c r="W107" s="12" t="str">
        <f t="shared" si="3"/>
        <v/>
      </c>
    </row>
    <row r="108" spans="1:23" x14ac:dyDescent="0.15">
      <c r="A108" s="14" t="str">
        <f t="shared" si="2"/>
        <v>190001</v>
      </c>
      <c r="C108" s="12" t="e">
        <f>INDEX(基础数据!$A$2:$A$1024,MATCH(转配商关联商!X108,基础数据!$D$2:$D$1024,0))</f>
        <v>#N/A</v>
      </c>
      <c r="E108" s="12" t="e">
        <f>INDEX(基础数据!$B$2:$B$1024,MATCH(转配商关联商!X108,基础数据!$D$2:$D$1024,0))</f>
        <v>#N/A</v>
      </c>
      <c r="G108" s="12" t="e">
        <f>INDEX([1]流向迭代数据!E$2:E$65536,MATCH(转配商关联商!W108,[1]流向迭代数据!M$2:M$65536,0))</f>
        <v>#N/A</v>
      </c>
      <c r="N108" s="12" t="e">
        <f>INDEX([1]流向迭代数据!J$2:J$65536,MATCH(L108,[1]流向迭代数据!H$2:H$65536,0))</f>
        <v>#N/A</v>
      </c>
      <c r="P108" s="14"/>
      <c r="T108" s="12" t="e">
        <f>INDEX([1]流向迭代数据!K$2:K$65536,MATCH(L108,[1]流向迭代数据!H$2:H$65536,0))</f>
        <v>#N/A</v>
      </c>
      <c r="W108" s="12" t="str">
        <f t="shared" si="3"/>
        <v/>
      </c>
    </row>
    <row r="109" spans="1:23" x14ac:dyDescent="0.15">
      <c r="A109" s="14" t="str">
        <f t="shared" si="2"/>
        <v>190001</v>
      </c>
      <c r="C109" s="12" t="e">
        <f>INDEX(基础数据!$A$2:$A$1024,MATCH(转配商关联商!X109,基础数据!$D$2:$D$1024,0))</f>
        <v>#N/A</v>
      </c>
      <c r="E109" s="12" t="e">
        <f>INDEX(基础数据!$B$2:$B$1024,MATCH(转配商关联商!X109,基础数据!$D$2:$D$1024,0))</f>
        <v>#N/A</v>
      </c>
      <c r="G109" s="12" t="e">
        <f>INDEX([1]流向迭代数据!E$2:E$65536,MATCH(转配商关联商!W109,[1]流向迭代数据!M$2:M$65536,0))</f>
        <v>#N/A</v>
      </c>
      <c r="N109" s="12" t="e">
        <f>INDEX([1]流向迭代数据!J$2:J$65536,MATCH(L109,[1]流向迭代数据!H$2:H$65536,0))</f>
        <v>#N/A</v>
      </c>
      <c r="P109" s="14"/>
      <c r="T109" s="12" t="e">
        <f>INDEX([1]流向迭代数据!K$2:K$65536,MATCH(L109,[1]流向迭代数据!H$2:H$65536,0))</f>
        <v>#N/A</v>
      </c>
      <c r="W109" s="12" t="str">
        <f t="shared" si="3"/>
        <v/>
      </c>
    </row>
    <row r="110" spans="1:23" x14ac:dyDescent="0.15">
      <c r="A110" s="14" t="str">
        <f t="shared" si="2"/>
        <v>190001</v>
      </c>
      <c r="C110" s="12" t="e">
        <f>INDEX(基础数据!$A$2:$A$1024,MATCH(转配商关联商!X110,基础数据!$D$2:$D$1024,0))</f>
        <v>#N/A</v>
      </c>
      <c r="E110" s="12" t="e">
        <f>INDEX(基础数据!$B$2:$B$1024,MATCH(转配商关联商!X110,基础数据!$D$2:$D$1024,0))</f>
        <v>#N/A</v>
      </c>
      <c r="G110" s="12" t="e">
        <f>INDEX([1]流向迭代数据!E$2:E$65536,MATCH(转配商关联商!W110,[1]流向迭代数据!M$2:M$65536,0))</f>
        <v>#N/A</v>
      </c>
      <c r="N110" s="12" t="e">
        <f>INDEX([1]流向迭代数据!J$2:J$65536,MATCH(L110,[1]流向迭代数据!H$2:H$65536,0))</f>
        <v>#N/A</v>
      </c>
      <c r="P110" s="14"/>
      <c r="T110" s="12" t="e">
        <f>INDEX([1]流向迭代数据!K$2:K$65536,MATCH(L110,[1]流向迭代数据!H$2:H$65536,0))</f>
        <v>#N/A</v>
      </c>
      <c r="W110" s="12" t="str">
        <f t="shared" si="3"/>
        <v/>
      </c>
    </row>
    <row r="111" spans="1:23" x14ac:dyDescent="0.15">
      <c r="A111" s="14" t="str">
        <f t="shared" si="2"/>
        <v>190001</v>
      </c>
      <c r="C111" s="12" t="e">
        <f>INDEX(基础数据!$A$2:$A$1024,MATCH(转配商关联商!X111,基础数据!$D$2:$D$1024,0))</f>
        <v>#N/A</v>
      </c>
      <c r="E111" s="12" t="e">
        <f>INDEX(基础数据!$B$2:$B$1024,MATCH(转配商关联商!X111,基础数据!$D$2:$D$1024,0))</f>
        <v>#N/A</v>
      </c>
      <c r="G111" s="12" t="e">
        <f>INDEX([1]流向迭代数据!E$2:E$65536,MATCH(转配商关联商!W111,[1]流向迭代数据!M$2:M$65536,0))</f>
        <v>#N/A</v>
      </c>
      <c r="N111" s="12" t="e">
        <f>INDEX([1]流向迭代数据!J$2:J$65536,MATCH(L111,[1]流向迭代数据!H$2:H$65536,0))</f>
        <v>#N/A</v>
      </c>
      <c r="P111" s="14"/>
      <c r="T111" s="12" t="e">
        <f>INDEX([1]流向迭代数据!K$2:K$65536,MATCH(L111,[1]流向迭代数据!H$2:H$65536,0))</f>
        <v>#N/A</v>
      </c>
      <c r="W111" s="12" t="str">
        <f t="shared" si="3"/>
        <v/>
      </c>
    </row>
    <row r="112" spans="1:23" x14ac:dyDescent="0.15">
      <c r="A112" s="14" t="str">
        <f t="shared" si="2"/>
        <v>190001</v>
      </c>
      <c r="C112" s="12" t="e">
        <f>INDEX(基础数据!$A$2:$A$1024,MATCH(转配商关联商!X112,基础数据!$D$2:$D$1024,0))</f>
        <v>#N/A</v>
      </c>
      <c r="E112" s="12" t="e">
        <f>INDEX(基础数据!$B$2:$B$1024,MATCH(转配商关联商!X112,基础数据!$D$2:$D$1024,0))</f>
        <v>#N/A</v>
      </c>
      <c r="G112" s="12" t="e">
        <f>INDEX([1]流向迭代数据!E$2:E$65536,MATCH(转配商关联商!W112,[1]流向迭代数据!M$2:M$65536,0))</f>
        <v>#N/A</v>
      </c>
      <c r="N112" s="12" t="e">
        <f>INDEX([1]流向迭代数据!J$2:J$65536,MATCH(L112,[1]流向迭代数据!H$2:H$65536,0))</f>
        <v>#N/A</v>
      </c>
      <c r="P112" s="14"/>
      <c r="T112" s="12" t="e">
        <f>INDEX([1]流向迭代数据!K$2:K$65536,MATCH(L112,[1]流向迭代数据!H$2:H$65536,0))</f>
        <v>#N/A</v>
      </c>
      <c r="W112" s="12" t="str">
        <f t="shared" si="3"/>
        <v/>
      </c>
    </row>
    <row r="113" spans="1:23" x14ac:dyDescent="0.15">
      <c r="A113" s="14" t="str">
        <f t="shared" si="2"/>
        <v>190001</v>
      </c>
      <c r="C113" s="12" t="e">
        <f>INDEX(基础数据!$A$2:$A$1024,MATCH(转配商关联商!X113,基础数据!$D$2:$D$1024,0))</f>
        <v>#N/A</v>
      </c>
      <c r="E113" s="12" t="e">
        <f>INDEX(基础数据!$B$2:$B$1024,MATCH(转配商关联商!X113,基础数据!$D$2:$D$1024,0))</f>
        <v>#N/A</v>
      </c>
      <c r="G113" s="12" t="e">
        <f>INDEX([1]流向迭代数据!E$2:E$65536,MATCH(转配商关联商!W113,[1]流向迭代数据!M$2:M$65536,0))</f>
        <v>#N/A</v>
      </c>
      <c r="N113" s="12" t="e">
        <f>INDEX([1]流向迭代数据!J$2:J$65536,MATCH(L113,[1]流向迭代数据!H$2:H$65536,0))</f>
        <v>#N/A</v>
      </c>
      <c r="P113" s="14"/>
      <c r="T113" s="12" t="e">
        <f>INDEX([1]流向迭代数据!K$2:K$65536,MATCH(L113,[1]流向迭代数据!H$2:H$65536,0))</f>
        <v>#N/A</v>
      </c>
      <c r="W113" s="12" t="str">
        <f t="shared" si="3"/>
        <v/>
      </c>
    </row>
    <row r="114" spans="1:23" x14ac:dyDescent="0.15">
      <c r="A114" s="14" t="str">
        <f t="shared" si="2"/>
        <v>190001</v>
      </c>
      <c r="C114" s="12" t="e">
        <f>INDEX(基础数据!$A$2:$A$1024,MATCH(转配商关联商!X114,基础数据!$D$2:$D$1024,0))</f>
        <v>#N/A</v>
      </c>
      <c r="E114" s="12" t="e">
        <f>INDEX(基础数据!$B$2:$B$1024,MATCH(转配商关联商!X114,基础数据!$D$2:$D$1024,0))</f>
        <v>#N/A</v>
      </c>
      <c r="G114" s="12" t="e">
        <f>INDEX([1]流向迭代数据!E$2:E$65536,MATCH(转配商关联商!W114,[1]流向迭代数据!M$2:M$65536,0))</f>
        <v>#N/A</v>
      </c>
      <c r="N114" s="12" t="e">
        <f>INDEX([1]流向迭代数据!J$2:J$65536,MATCH(L114,[1]流向迭代数据!H$2:H$65536,0))</f>
        <v>#N/A</v>
      </c>
      <c r="P114" s="14"/>
      <c r="T114" s="12" t="e">
        <f>INDEX([1]流向迭代数据!K$2:K$65536,MATCH(L114,[1]流向迭代数据!H$2:H$65536,0))</f>
        <v>#N/A</v>
      </c>
      <c r="W114" s="12" t="str">
        <f t="shared" si="3"/>
        <v/>
      </c>
    </row>
    <row r="115" spans="1:23" x14ac:dyDescent="0.15">
      <c r="A115" s="14" t="str">
        <f t="shared" si="2"/>
        <v>190001</v>
      </c>
      <c r="C115" s="12" t="e">
        <f>INDEX(基础数据!$A$2:$A$1024,MATCH(转配商关联商!X115,基础数据!$D$2:$D$1024,0))</f>
        <v>#N/A</v>
      </c>
      <c r="E115" s="12" t="e">
        <f>INDEX(基础数据!$B$2:$B$1024,MATCH(转配商关联商!X115,基础数据!$D$2:$D$1024,0))</f>
        <v>#N/A</v>
      </c>
      <c r="G115" s="12" t="e">
        <f>INDEX([1]流向迭代数据!E$2:E$65536,MATCH(转配商关联商!W115,[1]流向迭代数据!M$2:M$65536,0))</f>
        <v>#N/A</v>
      </c>
      <c r="N115" s="12" t="e">
        <f>INDEX([1]流向迭代数据!J$2:J$65536,MATCH(L115,[1]流向迭代数据!H$2:H$65536,0))</f>
        <v>#N/A</v>
      </c>
      <c r="P115" s="14"/>
      <c r="T115" s="12" t="e">
        <f>INDEX([1]流向迭代数据!K$2:K$65536,MATCH(L115,[1]流向迭代数据!H$2:H$65536,0))</f>
        <v>#N/A</v>
      </c>
      <c r="W115" s="12" t="str">
        <f t="shared" si="3"/>
        <v/>
      </c>
    </row>
    <row r="116" spans="1:23" x14ac:dyDescent="0.15">
      <c r="A116" s="14" t="str">
        <f t="shared" si="2"/>
        <v>190001</v>
      </c>
      <c r="C116" s="12" t="e">
        <f>INDEX(基础数据!$A$2:$A$1024,MATCH(转配商关联商!X116,基础数据!$D$2:$D$1024,0))</f>
        <v>#N/A</v>
      </c>
      <c r="E116" s="12" t="e">
        <f>INDEX(基础数据!$B$2:$B$1024,MATCH(转配商关联商!X116,基础数据!$D$2:$D$1024,0))</f>
        <v>#N/A</v>
      </c>
      <c r="G116" s="12" t="e">
        <f>INDEX([1]流向迭代数据!E$2:E$65536,MATCH(转配商关联商!W116,[1]流向迭代数据!M$2:M$65536,0))</f>
        <v>#N/A</v>
      </c>
      <c r="N116" s="12" t="e">
        <f>INDEX([1]流向迭代数据!J$2:J$65536,MATCH(L116,[1]流向迭代数据!H$2:H$65536,0))</f>
        <v>#N/A</v>
      </c>
      <c r="P116" s="14"/>
      <c r="T116" s="12" t="e">
        <f>INDEX([1]流向迭代数据!K$2:K$65536,MATCH(L116,[1]流向迭代数据!H$2:H$65536,0))</f>
        <v>#N/A</v>
      </c>
      <c r="W116" s="12" t="str">
        <f t="shared" si="3"/>
        <v/>
      </c>
    </row>
    <row r="117" spans="1:23" x14ac:dyDescent="0.15">
      <c r="A117" s="14" t="str">
        <f t="shared" si="2"/>
        <v>190001</v>
      </c>
      <c r="C117" s="12" t="e">
        <f>INDEX(基础数据!$A$2:$A$1024,MATCH(转配商关联商!X117,基础数据!$D$2:$D$1024,0))</f>
        <v>#N/A</v>
      </c>
      <c r="E117" s="12" t="e">
        <f>INDEX(基础数据!$B$2:$B$1024,MATCH(转配商关联商!X117,基础数据!$D$2:$D$1024,0))</f>
        <v>#N/A</v>
      </c>
      <c r="G117" s="12" t="e">
        <f>INDEX([1]流向迭代数据!E$2:E$65536,MATCH(转配商关联商!W117,[1]流向迭代数据!M$2:M$65536,0))</f>
        <v>#N/A</v>
      </c>
      <c r="N117" s="12" t="e">
        <f>INDEX([1]流向迭代数据!J$2:J$65536,MATCH(L117,[1]流向迭代数据!H$2:H$65536,0))</f>
        <v>#N/A</v>
      </c>
      <c r="P117" s="14"/>
      <c r="T117" s="12" t="e">
        <f>INDEX([1]流向迭代数据!K$2:K$65536,MATCH(L117,[1]流向迭代数据!H$2:H$65536,0))</f>
        <v>#N/A</v>
      </c>
      <c r="W117" s="12" t="str">
        <f t="shared" si="3"/>
        <v/>
      </c>
    </row>
    <row r="118" spans="1:23" x14ac:dyDescent="0.15">
      <c r="A118" s="14" t="str">
        <f t="shared" si="2"/>
        <v>190001</v>
      </c>
      <c r="C118" s="12" t="e">
        <f>INDEX(基础数据!$A$2:$A$1024,MATCH(转配商关联商!X118,基础数据!$D$2:$D$1024,0))</f>
        <v>#N/A</v>
      </c>
      <c r="E118" s="12" t="e">
        <f>INDEX(基础数据!$B$2:$B$1024,MATCH(转配商关联商!X118,基础数据!$D$2:$D$1024,0))</f>
        <v>#N/A</v>
      </c>
      <c r="G118" s="12" t="e">
        <f>INDEX([1]流向迭代数据!E$2:E$65536,MATCH(转配商关联商!W118,[1]流向迭代数据!M$2:M$65536,0))</f>
        <v>#N/A</v>
      </c>
      <c r="N118" s="12" t="e">
        <f>INDEX([1]流向迭代数据!J$2:J$65536,MATCH(L118,[1]流向迭代数据!H$2:H$65536,0))</f>
        <v>#N/A</v>
      </c>
      <c r="P118" s="14"/>
      <c r="T118" s="12" t="e">
        <f>INDEX([1]流向迭代数据!K$2:K$65536,MATCH(L118,[1]流向迭代数据!H$2:H$65536,0))</f>
        <v>#N/A</v>
      </c>
      <c r="W118" s="12" t="str">
        <f t="shared" si="3"/>
        <v/>
      </c>
    </row>
    <row r="119" spans="1:23" x14ac:dyDescent="0.15">
      <c r="A119" s="14" t="str">
        <f t="shared" si="2"/>
        <v>190001</v>
      </c>
      <c r="C119" s="12" t="e">
        <f>INDEX(基础数据!$A$2:$A$1024,MATCH(转配商关联商!X119,基础数据!$D$2:$D$1024,0))</f>
        <v>#N/A</v>
      </c>
      <c r="E119" s="12" t="e">
        <f>INDEX(基础数据!$B$2:$B$1024,MATCH(转配商关联商!X119,基础数据!$D$2:$D$1024,0))</f>
        <v>#N/A</v>
      </c>
      <c r="G119" s="12" t="e">
        <f>INDEX([1]流向迭代数据!E$2:E$65536,MATCH(转配商关联商!W119,[1]流向迭代数据!M$2:M$65536,0))</f>
        <v>#N/A</v>
      </c>
      <c r="N119" s="12" t="e">
        <f>INDEX([1]流向迭代数据!J$2:J$65536,MATCH(L119,[1]流向迭代数据!H$2:H$65536,0))</f>
        <v>#N/A</v>
      </c>
      <c r="P119" s="14"/>
      <c r="T119" s="12" t="e">
        <f>INDEX([1]流向迭代数据!K$2:K$65536,MATCH(L119,[1]流向迭代数据!H$2:H$65536,0))</f>
        <v>#N/A</v>
      </c>
      <c r="W119" s="12" t="str">
        <f t="shared" si="3"/>
        <v/>
      </c>
    </row>
    <row r="120" spans="1:23" x14ac:dyDescent="0.15">
      <c r="A120" s="14" t="str">
        <f t="shared" si="2"/>
        <v>190001</v>
      </c>
      <c r="C120" s="12" t="e">
        <f>INDEX(基础数据!$A$2:$A$1024,MATCH(转配商关联商!X120,基础数据!$D$2:$D$1024,0))</f>
        <v>#N/A</v>
      </c>
      <c r="E120" s="12" t="e">
        <f>INDEX(基础数据!$B$2:$B$1024,MATCH(转配商关联商!X120,基础数据!$D$2:$D$1024,0))</f>
        <v>#N/A</v>
      </c>
      <c r="G120" s="12" t="e">
        <f>INDEX([1]流向迭代数据!E$2:E$65536,MATCH(转配商关联商!W120,[1]流向迭代数据!M$2:M$65536,0))</f>
        <v>#N/A</v>
      </c>
      <c r="N120" s="12" t="e">
        <f>INDEX([1]流向迭代数据!J$2:J$65536,MATCH(L120,[1]流向迭代数据!H$2:H$65536,0))</f>
        <v>#N/A</v>
      </c>
      <c r="P120" s="14"/>
      <c r="T120" s="12" t="e">
        <f>INDEX([1]流向迭代数据!K$2:K$65536,MATCH(L120,[1]流向迭代数据!H$2:H$65536,0))</f>
        <v>#N/A</v>
      </c>
      <c r="W120" s="12" t="str">
        <f t="shared" si="3"/>
        <v/>
      </c>
    </row>
    <row r="121" spans="1:23" x14ac:dyDescent="0.15">
      <c r="A121" s="14" t="str">
        <f t="shared" si="2"/>
        <v>190001</v>
      </c>
      <c r="C121" s="12" t="e">
        <f>INDEX(基础数据!$A$2:$A$1024,MATCH(转配商关联商!X121,基础数据!$D$2:$D$1024,0))</f>
        <v>#N/A</v>
      </c>
      <c r="E121" s="12" t="e">
        <f>INDEX(基础数据!$B$2:$B$1024,MATCH(转配商关联商!X121,基础数据!$D$2:$D$1024,0))</f>
        <v>#N/A</v>
      </c>
      <c r="G121" s="12" t="e">
        <f>INDEX([1]流向迭代数据!E$2:E$65536,MATCH(转配商关联商!W121,[1]流向迭代数据!M$2:M$65536,0))</f>
        <v>#N/A</v>
      </c>
      <c r="N121" s="12" t="e">
        <f>INDEX([1]流向迭代数据!J$2:J$65536,MATCH(L121,[1]流向迭代数据!H$2:H$65536,0))</f>
        <v>#N/A</v>
      </c>
      <c r="P121" s="14"/>
      <c r="T121" s="12" t="e">
        <f>INDEX([1]流向迭代数据!K$2:K$65536,MATCH(L121,[1]流向迭代数据!H$2:H$65536,0))</f>
        <v>#N/A</v>
      </c>
      <c r="W121" s="12" t="str">
        <f t="shared" si="3"/>
        <v/>
      </c>
    </row>
    <row r="122" spans="1:23" x14ac:dyDescent="0.15">
      <c r="A122" s="14" t="str">
        <f t="shared" si="2"/>
        <v>190001</v>
      </c>
      <c r="C122" s="12" t="e">
        <f>INDEX(基础数据!$A$2:$A$1024,MATCH(转配商关联商!X122,基础数据!$D$2:$D$1024,0))</f>
        <v>#N/A</v>
      </c>
      <c r="E122" s="12" t="e">
        <f>INDEX(基础数据!$B$2:$B$1024,MATCH(转配商关联商!X122,基础数据!$D$2:$D$1024,0))</f>
        <v>#N/A</v>
      </c>
      <c r="G122" s="12" t="e">
        <f>INDEX([1]流向迭代数据!E$2:E$65536,MATCH(转配商关联商!W122,[1]流向迭代数据!M$2:M$65536,0))</f>
        <v>#N/A</v>
      </c>
      <c r="N122" s="12" t="e">
        <f>INDEX([1]流向迭代数据!J$2:J$65536,MATCH(L122,[1]流向迭代数据!H$2:H$65536,0))</f>
        <v>#N/A</v>
      </c>
      <c r="P122" s="14"/>
      <c r="T122" s="12" t="e">
        <f>INDEX([1]流向迭代数据!K$2:K$65536,MATCH(L122,[1]流向迭代数据!H$2:H$65536,0))</f>
        <v>#N/A</v>
      </c>
      <c r="W122" s="12" t="str">
        <f t="shared" si="3"/>
        <v/>
      </c>
    </row>
    <row r="123" spans="1:23" x14ac:dyDescent="0.15">
      <c r="A123" s="14" t="str">
        <f t="shared" si="2"/>
        <v>190001</v>
      </c>
      <c r="C123" s="12" t="e">
        <f>INDEX(基础数据!$A$2:$A$1024,MATCH(转配商关联商!X123,基础数据!$D$2:$D$1024,0))</f>
        <v>#N/A</v>
      </c>
      <c r="E123" s="12" t="e">
        <f>INDEX(基础数据!$B$2:$B$1024,MATCH(转配商关联商!X123,基础数据!$D$2:$D$1024,0))</f>
        <v>#N/A</v>
      </c>
      <c r="G123" s="12" t="e">
        <f>INDEX([1]流向迭代数据!E$2:E$65536,MATCH(转配商关联商!W123,[1]流向迭代数据!M$2:M$65536,0))</f>
        <v>#N/A</v>
      </c>
      <c r="N123" s="12" t="e">
        <f>INDEX([1]流向迭代数据!J$2:J$65536,MATCH(L123,[1]流向迭代数据!H$2:H$65536,0))</f>
        <v>#N/A</v>
      </c>
      <c r="P123" s="14"/>
      <c r="T123" s="12" t="e">
        <f>INDEX([1]流向迭代数据!K$2:K$65536,MATCH(L123,[1]流向迭代数据!H$2:H$65536,0))</f>
        <v>#N/A</v>
      </c>
      <c r="W123" s="12" t="str">
        <f t="shared" si="3"/>
        <v/>
      </c>
    </row>
    <row r="124" spans="1:23" x14ac:dyDescent="0.15">
      <c r="A124" s="14" t="str">
        <f t="shared" si="2"/>
        <v>190001</v>
      </c>
      <c r="C124" s="12" t="e">
        <f>INDEX(基础数据!$A$2:$A$1024,MATCH(转配商关联商!X124,基础数据!$D$2:$D$1024,0))</f>
        <v>#N/A</v>
      </c>
      <c r="E124" s="12" t="e">
        <f>INDEX(基础数据!$B$2:$B$1024,MATCH(转配商关联商!X124,基础数据!$D$2:$D$1024,0))</f>
        <v>#N/A</v>
      </c>
      <c r="G124" s="12" t="e">
        <f>INDEX([1]流向迭代数据!E$2:E$65536,MATCH(转配商关联商!W124,[1]流向迭代数据!M$2:M$65536,0))</f>
        <v>#N/A</v>
      </c>
      <c r="N124" s="12" t="e">
        <f>INDEX([1]流向迭代数据!J$2:J$65536,MATCH(L124,[1]流向迭代数据!H$2:H$65536,0))</f>
        <v>#N/A</v>
      </c>
      <c r="P124" s="14"/>
      <c r="T124" s="12" t="e">
        <f>INDEX([1]流向迭代数据!K$2:K$65536,MATCH(L124,[1]流向迭代数据!H$2:H$65536,0))</f>
        <v>#N/A</v>
      </c>
      <c r="W124" s="12" t="str">
        <f t="shared" si="3"/>
        <v/>
      </c>
    </row>
    <row r="125" spans="1:23" x14ac:dyDescent="0.15">
      <c r="A125" s="14" t="str">
        <f t="shared" si="2"/>
        <v>190001</v>
      </c>
      <c r="C125" s="12" t="e">
        <f>INDEX(基础数据!$A$2:$A$1024,MATCH(转配商关联商!X125,基础数据!$D$2:$D$1024,0))</f>
        <v>#N/A</v>
      </c>
      <c r="E125" s="12" t="e">
        <f>INDEX(基础数据!$B$2:$B$1024,MATCH(转配商关联商!X125,基础数据!$D$2:$D$1024,0))</f>
        <v>#N/A</v>
      </c>
      <c r="G125" s="12" t="e">
        <f>INDEX([1]流向迭代数据!E$2:E$65536,MATCH(转配商关联商!W125,[1]流向迭代数据!M$2:M$65536,0))</f>
        <v>#N/A</v>
      </c>
      <c r="N125" s="12" t="e">
        <f>INDEX([1]流向迭代数据!J$2:J$65536,MATCH(L125,[1]流向迭代数据!H$2:H$65536,0))</f>
        <v>#N/A</v>
      </c>
      <c r="P125" s="14"/>
      <c r="T125" s="12" t="e">
        <f>INDEX([1]流向迭代数据!K$2:K$65536,MATCH(L125,[1]流向迭代数据!H$2:H$65536,0))</f>
        <v>#N/A</v>
      </c>
      <c r="W125" s="12" t="str">
        <f t="shared" si="3"/>
        <v/>
      </c>
    </row>
    <row r="126" spans="1:23" x14ac:dyDescent="0.15">
      <c r="A126" s="14" t="str">
        <f t="shared" si="2"/>
        <v>190001</v>
      </c>
      <c r="C126" s="12" t="e">
        <f>INDEX(基础数据!$A$2:$A$1024,MATCH(转配商关联商!X126,基础数据!$D$2:$D$1024,0))</f>
        <v>#N/A</v>
      </c>
      <c r="E126" s="12" t="e">
        <f>INDEX(基础数据!$B$2:$B$1024,MATCH(转配商关联商!X126,基础数据!$D$2:$D$1024,0))</f>
        <v>#N/A</v>
      </c>
      <c r="G126" s="12" t="e">
        <f>INDEX([1]流向迭代数据!E$2:E$65536,MATCH(转配商关联商!W126,[1]流向迭代数据!M$2:M$65536,0))</f>
        <v>#N/A</v>
      </c>
      <c r="N126" s="12" t="e">
        <f>INDEX([1]流向迭代数据!J$2:J$65536,MATCH(L126,[1]流向迭代数据!H$2:H$65536,0))</f>
        <v>#N/A</v>
      </c>
      <c r="P126" s="14"/>
      <c r="T126" s="12" t="e">
        <f>INDEX([1]流向迭代数据!K$2:K$65536,MATCH(L126,[1]流向迭代数据!H$2:H$65536,0))</f>
        <v>#N/A</v>
      </c>
      <c r="W126" s="12" t="str">
        <f t="shared" si="3"/>
        <v/>
      </c>
    </row>
    <row r="127" spans="1:23" x14ac:dyDescent="0.15">
      <c r="A127" s="14" t="str">
        <f t="shared" si="2"/>
        <v>190001</v>
      </c>
      <c r="C127" s="12" t="e">
        <f>INDEX(基础数据!$A$2:$A$1024,MATCH(转配商关联商!X127,基础数据!$D$2:$D$1024,0))</f>
        <v>#N/A</v>
      </c>
      <c r="E127" s="12" t="e">
        <f>INDEX(基础数据!$B$2:$B$1024,MATCH(转配商关联商!X127,基础数据!$D$2:$D$1024,0))</f>
        <v>#N/A</v>
      </c>
      <c r="G127" s="12" t="e">
        <f>INDEX([1]流向迭代数据!E$2:E$65536,MATCH(转配商关联商!W127,[1]流向迭代数据!M$2:M$65536,0))</f>
        <v>#N/A</v>
      </c>
      <c r="N127" s="12" t="e">
        <f>INDEX([1]流向迭代数据!J$2:J$65536,MATCH(L127,[1]流向迭代数据!H$2:H$65536,0))</f>
        <v>#N/A</v>
      </c>
      <c r="P127" s="14"/>
      <c r="T127" s="12" t="e">
        <f>INDEX([1]流向迭代数据!K$2:K$65536,MATCH(L127,[1]流向迭代数据!H$2:H$65536,0))</f>
        <v>#N/A</v>
      </c>
      <c r="W127" s="12" t="str">
        <f t="shared" si="3"/>
        <v/>
      </c>
    </row>
    <row r="128" spans="1:23" x14ac:dyDescent="0.15">
      <c r="A128" s="14" t="str">
        <f t="shared" si="2"/>
        <v>190001</v>
      </c>
      <c r="C128" s="12" t="e">
        <f>INDEX(基础数据!$A$2:$A$1024,MATCH(转配商关联商!X128,基础数据!$D$2:$D$1024,0))</f>
        <v>#N/A</v>
      </c>
      <c r="E128" s="12" t="e">
        <f>INDEX(基础数据!$B$2:$B$1024,MATCH(转配商关联商!X128,基础数据!$D$2:$D$1024,0))</f>
        <v>#N/A</v>
      </c>
      <c r="G128" s="12" t="e">
        <f>INDEX([1]流向迭代数据!E$2:E$65536,MATCH(转配商关联商!W128,[1]流向迭代数据!M$2:M$65536,0))</f>
        <v>#N/A</v>
      </c>
      <c r="N128" s="12" t="e">
        <f>INDEX([1]流向迭代数据!J$2:J$65536,MATCH(L128,[1]流向迭代数据!H$2:H$65536,0))</f>
        <v>#N/A</v>
      </c>
      <c r="P128" s="14"/>
      <c r="T128" s="12" t="e">
        <f>INDEX([1]流向迭代数据!K$2:K$65536,MATCH(L128,[1]流向迭代数据!H$2:H$65536,0))</f>
        <v>#N/A</v>
      </c>
      <c r="W128" s="12" t="str">
        <f t="shared" si="3"/>
        <v/>
      </c>
    </row>
    <row r="129" spans="1:23" x14ac:dyDescent="0.15">
      <c r="A129" s="14" t="str">
        <f t="shared" si="2"/>
        <v>190001</v>
      </c>
      <c r="C129" s="12" t="e">
        <f>INDEX(基础数据!$A$2:$A$1024,MATCH(转配商关联商!X129,基础数据!$D$2:$D$1024,0))</f>
        <v>#N/A</v>
      </c>
      <c r="E129" s="12" t="e">
        <f>INDEX(基础数据!$B$2:$B$1024,MATCH(转配商关联商!X129,基础数据!$D$2:$D$1024,0))</f>
        <v>#N/A</v>
      </c>
      <c r="G129" s="12" t="e">
        <f>INDEX([1]流向迭代数据!E$2:E$65536,MATCH(转配商关联商!W129,[1]流向迭代数据!M$2:M$65536,0))</f>
        <v>#N/A</v>
      </c>
      <c r="N129" s="12" t="e">
        <f>INDEX([1]流向迭代数据!J$2:J$65536,MATCH(L129,[1]流向迭代数据!H$2:H$65536,0))</f>
        <v>#N/A</v>
      </c>
      <c r="P129" s="14"/>
      <c r="T129" s="12" t="e">
        <f>INDEX([1]流向迭代数据!K$2:K$65536,MATCH(L129,[1]流向迭代数据!H$2:H$65536,0))</f>
        <v>#N/A</v>
      </c>
      <c r="W129" s="12" t="str">
        <f t="shared" si="3"/>
        <v/>
      </c>
    </row>
    <row r="130" spans="1:23" x14ac:dyDescent="0.15">
      <c r="A130" s="14" t="str">
        <f t="shared" si="2"/>
        <v>190001</v>
      </c>
      <c r="C130" s="12" t="e">
        <f>INDEX(基础数据!$A$2:$A$1024,MATCH(转配商关联商!X130,基础数据!$D$2:$D$1024,0))</f>
        <v>#N/A</v>
      </c>
      <c r="E130" s="12" t="e">
        <f>INDEX(基础数据!$B$2:$B$1024,MATCH(转配商关联商!X130,基础数据!$D$2:$D$1024,0))</f>
        <v>#N/A</v>
      </c>
      <c r="G130" s="12" t="e">
        <f>INDEX([1]流向迭代数据!E$2:E$65536,MATCH(转配商关联商!W130,[1]流向迭代数据!M$2:M$65536,0))</f>
        <v>#N/A</v>
      </c>
      <c r="N130" s="12" t="e">
        <f>INDEX([1]流向迭代数据!J$2:J$65536,MATCH(L130,[1]流向迭代数据!H$2:H$65536,0))</f>
        <v>#N/A</v>
      </c>
      <c r="P130" s="14"/>
      <c r="T130" s="12" t="e">
        <f>INDEX([1]流向迭代数据!K$2:K$65536,MATCH(L130,[1]流向迭代数据!H$2:H$65536,0))</f>
        <v>#N/A</v>
      </c>
      <c r="W130" s="12" t="str">
        <f t="shared" si="3"/>
        <v/>
      </c>
    </row>
    <row r="131" spans="1:23" x14ac:dyDescent="0.15">
      <c r="A131" s="14" t="str">
        <f t="shared" ref="A131:A194" si="4">IF(MONTH(P131)&lt;10,YEAR(P131)&amp;"0"&amp;MONTH(P131),YEAR(P131)&amp;MONTH(P131))</f>
        <v>190001</v>
      </c>
      <c r="C131" s="12" t="e">
        <f>INDEX(基础数据!$A$2:$A$1024,MATCH(转配商关联商!X131,基础数据!$D$2:$D$1024,0))</f>
        <v>#N/A</v>
      </c>
      <c r="E131" s="12" t="e">
        <f>INDEX(基础数据!$B$2:$B$1024,MATCH(转配商关联商!X131,基础数据!$D$2:$D$1024,0))</f>
        <v>#N/A</v>
      </c>
      <c r="G131" s="12" t="e">
        <f>INDEX([1]流向迭代数据!E$2:E$65536,MATCH(转配商关联商!W131,[1]流向迭代数据!M$2:M$65536,0))</f>
        <v>#N/A</v>
      </c>
      <c r="N131" s="12" t="e">
        <f>INDEX([1]流向迭代数据!J$2:J$65536,MATCH(L131,[1]流向迭代数据!H$2:H$65536,0))</f>
        <v>#N/A</v>
      </c>
      <c r="P131" s="14"/>
      <c r="T131" s="12" t="e">
        <f>INDEX([1]流向迭代数据!K$2:K$65536,MATCH(L131,[1]流向迭代数据!H$2:H$65536,0))</f>
        <v>#N/A</v>
      </c>
      <c r="W131" s="12" t="str">
        <f t="shared" ref="W131:W194" si="5">H131&amp;I131</f>
        <v/>
      </c>
    </row>
    <row r="132" spans="1:23" x14ac:dyDescent="0.15">
      <c r="A132" s="14" t="str">
        <f t="shared" si="4"/>
        <v>190001</v>
      </c>
      <c r="C132" s="12" t="e">
        <f>INDEX(基础数据!$A$2:$A$1024,MATCH(转配商关联商!X132,基础数据!$D$2:$D$1024,0))</f>
        <v>#N/A</v>
      </c>
      <c r="E132" s="12" t="e">
        <f>INDEX(基础数据!$B$2:$B$1024,MATCH(转配商关联商!X132,基础数据!$D$2:$D$1024,0))</f>
        <v>#N/A</v>
      </c>
      <c r="G132" s="12" t="e">
        <f>INDEX([1]流向迭代数据!E$2:E$65536,MATCH(转配商关联商!W132,[1]流向迭代数据!M$2:M$65536,0))</f>
        <v>#N/A</v>
      </c>
      <c r="N132" s="12" t="e">
        <f>INDEX([1]流向迭代数据!J$2:J$65536,MATCH(L132,[1]流向迭代数据!H$2:H$65536,0))</f>
        <v>#N/A</v>
      </c>
      <c r="P132" s="14"/>
      <c r="T132" s="12" t="e">
        <f>INDEX([1]流向迭代数据!K$2:K$65536,MATCH(L132,[1]流向迭代数据!H$2:H$65536,0))</f>
        <v>#N/A</v>
      </c>
      <c r="W132" s="12" t="str">
        <f t="shared" si="5"/>
        <v/>
      </c>
    </row>
    <row r="133" spans="1:23" x14ac:dyDescent="0.15">
      <c r="A133" s="14" t="str">
        <f t="shared" si="4"/>
        <v>190001</v>
      </c>
      <c r="C133" s="12" t="e">
        <f>INDEX(基础数据!$A$2:$A$1024,MATCH(转配商关联商!X133,基础数据!$D$2:$D$1024,0))</f>
        <v>#N/A</v>
      </c>
      <c r="E133" s="12" t="e">
        <f>INDEX(基础数据!$B$2:$B$1024,MATCH(转配商关联商!X133,基础数据!$D$2:$D$1024,0))</f>
        <v>#N/A</v>
      </c>
      <c r="G133" s="12" t="e">
        <f>INDEX([1]流向迭代数据!E$2:E$65536,MATCH(转配商关联商!W133,[1]流向迭代数据!M$2:M$65536,0))</f>
        <v>#N/A</v>
      </c>
      <c r="N133" s="12" t="e">
        <f>INDEX([1]流向迭代数据!J$2:J$65536,MATCH(L133,[1]流向迭代数据!H$2:H$65536,0))</f>
        <v>#N/A</v>
      </c>
      <c r="P133" s="14"/>
      <c r="T133" s="12" t="e">
        <f>INDEX([1]流向迭代数据!K$2:K$65536,MATCH(L133,[1]流向迭代数据!H$2:H$65536,0))</f>
        <v>#N/A</v>
      </c>
      <c r="W133" s="12" t="str">
        <f t="shared" si="5"/>
        <v/>
      </c>
    </row>
    <row r="134" spans="1:23" x14ac:dyDescent="0.15">
      <c r="A134" s="14" t="str">
        <f t="shared" si="4"/>
        <v>190001</v>
      </c>
      <c r="C134" s="12" t="e">
        <f>INDEX(基础数据!$A$2:$A$1024,MATCH(转配商关联商!X134,基础数据!$D$2:$D$1024,0))</f>
        <v>#N/A</v>
      </c>
      <c r="E134" s="12" t="e">
        <f>INDEX(基础数据!$B$2:$B$1024,MATCH(转配商关联商!X134,基础数据!$D$2:$D$1024,0))</f>
        <v>#N/A</v>
      </c>
      <c r="G134" s="12" t="e">
        <f>INDEX([1]流向迭代数据!E$2:E$65536,MATCH(转配商关联商!W134,[1]流向迭代数据!M$2:M$65536,0))</f>
        <v>#N/A</v>
      </c>
      <c r="N134" s="12" t="e">
        <f>INDEX([1]流向迭代数据!J$2:J$65536,MATCH(L134,[1]流向迭代数据!H$2:H$65536,0))</f>
        <v>#N/A</v>
      </c>
      <c r="P134" s="14"/>
      <c r="T134" s="12" t="e">
        <f>INDEX([1]流向迭代数据!K$2:K$65536,MATCH(L134,[1]流向迭代数据!H$2:H$65536,0))</f>
        <v>#N/A</v>
      </c>
      <c r="W134" s="12" t="str">
        <f t="shared" si="5"/>
        <v/>
      </c>
    </row>
    <row r="135" spans="1:23" x14ac:dyDescent="0.15">
      <c r="A135" s="14" t="str">
        <f t="shared" si="4"/>
        <v>190001</v>
      </c>
      <c r="C135" s="12" t="e">
        <f>INDEX(基础数据!$A$2:$A$1024,MATCH(转配商关联商!X135,基础数据!$D$2:$D$1024,0))</f>
        <v>#N/A</v>
      </c>
      <c r="E135" s="12" t="e">
        <f>INDEX(基础数据!$B$2:$B$1024,MATCH(转配商关联商!X135,基础数据!$D$2:$D$1024,0))</f>
        <v>#N/A</v>
      </c>
      <c r="G135" s="12" t="e">
        <f>INDEX([1]流向迭代数据!E$2:E$65536,MATCH(转配商关联商!W135,[1]流向迭代数据!M$2:M$65536,0))</f>
        <v>#N/A</v>
      </c>
      <c r="N135" s="12" t="e">
        <f>INDEX([1]流向迭代数据!J$2:J$65536,MATCH(L135,[1]流向迭代数据!H$2:H$65536,0))</f>
        <v>#N/A</v>
      </c>
      <c r="P135" s="14"/>
      <c r="T135" s="12" t="e">
        <f>INDEX([1]流向迭代数据!K$2:K$65536,MATCH(L135,[1]流向迭代数据!H$2:H$65536,0))</f>
        <v>#N/A</v>
      </c>
      <c r="W135" s="12" t="str">
        <f t="shared" si="5"/>
        <v/>
      </c>
    </row>
    <row r="136" spans="1:23" x14ac:dyDescent="0.15">
      <c r="A136" s="14" t="str">
        <f t="shared" si="4"/>
        <v>190001</v>
      </c>
      <c r="C136" s="12" t="e">
        <f>INDEX(基础数据!$A$2:$A$1024,MATCH(转配商关联商!X136,基础数据!$D$2:$D$1024,0))</f>
        <v>#N/A</v>
      </c>
      <c r="E136" s="12" t="e">
        <f>INDEX(基础数据!$B$2:$B$1024,MATCH(转配商关联商!X136,基础数据!$D$2:$D$1024,0))</f>
        <v>#N/A</v>
      </c>
      <c r="G136" s="12" t="e">
        <f>INDEX([1]流向迭代数据!E$2:E$65536,MATCH(转配商关联商!W136,[1]流向迭代数据!M$2:M$65536,0))</f>
        <v>#N/A</v>
      </c>
      <c r="N136" s="12" t="e">
        <f>INDEX([1]流向迭代数据!J$2:J$65536,MATCH(L136,[1]流向迭代数据!H$2:H$65536,0))</f>
        <v>#N/A</v>
      </c>
      <c r="P136" s="14"/>
      <c r="T136" s="12" t="e">
        <f>INDEX([1]流向迭代数据!K$2:K$65536,MATCH(L136,[1]流向迭代数据!H$2:H$65536,0))</f>
        <v>#N/A</v>
      </c>
      <c r="W136" s="12" t="str">
        <f t="shared" si="5"/>
        <v/>
      </c>
    </row>
    <row r="137" spans="1:23" x14ac:dyDescent="0.15">
      <c r="A137" s="14" t="str">
        <f t="shared" si="4"/>
        <v>190001</v>
      </c>
      <c r="C137" s="12" t="e">
        <f>INDEX(基础数据!$A$2:$A$1024,MATCH(转配商关联商!X137,基础数据!$D$2:$D$1024,0))</f>
        <v>#N/A</v>
      </c>
      <c r="E137" s="12" t="e">
        <f>INDEX(基础数据!$B$2:$B$1024,MATCH(转配商关联商!X137,基础数据!$D$2:$D$1024,0))</f>
        <v>#N/A</v>
      </c>
      <c r="G137" s="12" t="e">
        <f>INDEX([1]流向迭代数据!E$2:E$65536,MATCH(转配商关联商!W137,[1]流向迭代数据!M$2:M$65536,0))</f>
        <v>#N/A</v>
      </c>
      <c r="N137" s="12" t="e">
        <f>INDEX([1]流向迭代数据!J$2:J$65536,MATCH(L137,[1]流向迭代数据!H$2:H$65536,0))</f>
        <v>#N/A</v>
      </c>
      <c r="P137" s="14"/>
      <c r="T137" s="12" t="e">
        <f>INDEX([1]流向迭代数据!K$2:K$65536,MATCH(L137,[1]流向迭代数据!H$2:H$65536,0))</f>
        <v>#N/A</v>
      </c>
      <c r="W137" s="12" t="str">
        <f t="shared" si="5"/>
        <v/>
      </c>
    </row>
    <row r="138" spans="1:23" x14ac:dyDescent="0.15">
      <c r="A138" s="14" t="str">
        <f t="shared" si="4"/>
        <v>190001</v>
      </c>
      <c r="C138" s="12" t="e">
        <f>INDEX(基础数据!$A$2:$A$1024,MATCH(转配商关联商!X138,基础数据!$D$2:$D$1024,0))</f>
        <v>#N/A</v>
      </c>
      <c r="E138" s="12" t="e">
        <f>INDEX(基础数据!$B$2:$B$1024,MATCH(转配商关联商!X138,基础数据!$D$2:$D$1024,0))</f>
        <v>#N/A</v>
      </c>
      <c r="G138" s="12" t="e">
        <f>INDEX([1]流向迭代数据!E$2:E$65536,MATCH(转配商关联商!W138,[1]流向迭代数据!M$2:M$65536,0))</f>
        <v>#N/A</v>
      </c>
      <c r="N138" s="12" t="e">
        <f>INDEX([1]流向迭代数据!J$2:J$65536,MATCH(L138,[1]流向迭代数据!H$2:H$65536,0))</f>
        <v>#N/A</v>
      </c>
      <c r="P138" s="14"/>
      <c r="T138" s="12" t="e">
        <f>INDEX([1]流向迭代数据!K$2:K$65536,MATCH(L138,[1]流向迭代数据!H$2:H$65536,0))</f>
        <v>#N/A</v>
      </c>
      <c r="W138" s="12" t="str">
        <f t="shared" si="5"/>
        <v/>
      </c>
    </row>
    <row r="139" spans="1:23" x14ac:dyDescent="0.15">
      <c r="A139" s="14" t="str">
        <f t="shared" si="4"/>
        <v>190001</v>
      </c>
      <c r="C139" s="12" t="e">
        <f>INDEX(基础数据!$A$2:$A$1024,MATCH(转配商关联商!X139,基础数据!$D$2:$D$1024,0))</f>
        <v>#N/A</v>
      </c>
      <c r="E139" s="12" t="e">
        <f>INDEX(基础数据!$B$2:$B$1024,MATCH(转配商关联商!X139,基础数据!$D$2:$D$1024,0))</f>
        <v>#N/A</v>
      </c>
      <c r="G139" s="12" t="e">
        <f>INDEX([1]流向迭代数据!E$2:E$65536,MATCH(转配商关联商!W139,[1]流向迭代数据!M$2:M$65536,0))</f>
        <v>#N/A</v>
      </c>
      <c r="N139" s="12" t="e">
        <f>INDEX([1]流向迭代数据!J$2:J$65536,MATCH(L139,[1]流向迭代数据!H$2:H$65536,0))</f>
        <v>#N/A</v>
      </c>
      <c r="P139" s="14"/>
      <c r="T139" s="12" t="e">
        <f>INDEX([1]流向迭代数据!K$2:K$65536,MATCH(L139,[1]流向迭代数据!H$2:H$65536,0))</f>
        <v>#N/A</v>
      </c>
      <c r="W139" s="12" t="str">
        <f t="shared" si="5"/>
        <v/>
      </c>
    </row>
    <row r="140" spans="1:23" x14ac:dyDescent="0.15">
      <c r="A140" s="14" t="str">
        <f t="shared" si="4"/>
        <v>190001</v>
      </c>
      <c r="C140" s="12" t="e">
        <f>INDEX(基础数据!$A$2:$A$1024,MATCH(转配商关联商!X140,基础数据!$D$2:$D$1024,0))</f>
        <v>#N/A</v>
      </c>
      <c r="E140" s="12" t="e">
        <f>INDEX(基础数据!$B$2:$B$1024,MATCH(转配商关联商!X140,基础数据!$D$2:$D$1024,0))</f>
        <v>#N/A</v>
      </c>
      <c r="G140" s="12" t="e">
        <f>INDEX([1]流向迭代数据!E$2:E$65536,MATCH(转配商关联商!W140,[1]流向迭代数据!M$2:M$65536,0))</f>
        <v>#N/A</v>
      </c>
      <c r="N140" s="12" t="e">
        <f>INDEX([1]流向迭代数据!J$2:J$65536,MATCH(L140,[1]流向迭代数据!H$2:H$65536,0))</f>
        <v>#N/A</v>
      </c>
      <c r="P140" s="14"/>
      <c r="T140" s="12" t="e">
        <f>INDEX([1]流向迭代数据!K$2:K$65536,MATCH(L140,[1]流向迭代数据!H$2:H$65536,0))</f>
        <v>#N/A</v>
      </c>
      <c r="W140" s="12" t="str">
        <f t="shared" si="5"/>
        <v/>
      </c>
    </row>
    <row r="141" spans="1:23" x14ac:dyDescent="0.15">
      <c r="A141" s="14" t="str">
        <f t="shared" si="4"/>
        <v>190001</v>
      </c>
      <c r="C141" s="12" t="e">
        <f>INDEX(基础数据!$A$2:$A$1024,MATCH(转配商关联商!X141,基础数据!$D$2:$D$1024,0))</f>
        <v>#N/A</v>
      </c>
      <c r="E141" s="12" t="e">
        <f>INDEX(基础数据!$B$2:$B$1024,MATCH(转配商关联商!X141,基础数据!$D$2:$D$1024,0))</f>
        <v>#N/A</v>
      </c>
      <c r="G141" s="12" t="e">
        <f>INDEX([1]流向迭代数据!E$2:E$65536,MATCH(转配商关联商!W141,[1]流向迭代数据!M$2:M$65536,0))</f>
        <v>#N/A</v>
      </c>
      <c r="N141" s="12" t="e">
        <f>INDEX([1]流向迭代数据!J$2:J$65536,MATCH(L141,[1]流向迭代数据!H$2:H$65536,0))</f>
        <v>#N/A</v>
      </c>
      <c r="P141" s="14"/>
      <c r="T141" s="12" t="e">
        <f>INDEX([1]流向迭代数据!K$2:K$65536,MATCH(L141,[1]流向迭代数据!H$2:H$65536,0))</f>
        <v>#N/A</v>
      </c>
      <c r="W141" s="12" t="str">
        <f t="shared" si="5"/>
        <v/>
      </c>
    </row>
    <row r="142" spans="1:23" x14ac:dyDescent="0.15">
      <c r="A142" s="14" t="str">
        <f t="shared" si="4"/>
        <v>190001</v>
      </c>
      <c r="C142" s="12" t="e">
        <f>INDEX(基础数据!$A$2:$A$1024,MATCH(转配商关联商!X142,基础数据!$D$2:$D$1024,0))</f>
        <v>#N/A</v>
      </c>
      <c r="E142" s="12" t="e">
        <f>INDEX(基础数据!$B$2:$B$1024,MATCH(转配商关联商!X142,基础数据!$D$2:$D$1024,0))</f>
        <v>#N/A</v>
      </c>
      <c r="G142" s="12" t="e">
        <f>INDEX([1]流向迭代数据!E$2:E$65536,MATCH(转配商关联商!W142,[1]流向迭代数据!M$2:M$65536,0))</f>
        <v>#N/A</v>
      </c>
      <c r="N142" s="12" t="e">
        <f>INDEX([1]流向迭代数据!J$2:J$65536,MATCH(L142,[1]流向迭代数据!H$2:H$65536,0))</f>
        <v>#N/A</v>
      </c>
      <c r="P142" s="14"/>
      <c r="T142" s="12" t="e">
        <f>INDEX([1]流向迭代数据!K$2:K$65536,MATCH(L142,[1]流向迭代数据!H$2:H$65536,0))</f>
        <v>#N/A</v>
      </c>
      <c r="W142" s="12" t="str">
        <f t="shared" si="5"/>
        <v/>
      </c>
    </row>
    <row r="143" spans="1:23" x14ac:dyDescent="0.15">
      <c r="A143" s="14" t="str">
        <f t="shared" si="4"/>
        <v>190001</v>
      </c>
      <c r="C143" s="12" t="e">
        <f>INDEX(基础数据!$A$2:$A$1024,MATCH(转配商关联商!X143,基础数据!$D$2:$D$1024,0))</f>
        <v>#N/A</v>
      </c>
      <c r="E143" s="12" t="e">
        <f>INDEX(基础数据!$B$2:$B$1024,MATCH(转配商关联商!X143,基础数据!$D$2:$D$1024,0))</f>
        <v>#N/A</v>
      </c>
      <c r="G143" s="12" t="e">
        <f>INDEX([1]流向迭代数据!E$2:E$65536,MATCH(转配商关联商!W143,[1]流向迭代数据!M$2:M$65536,0))</f>
        <v>#N/A</v>
      </c>
      <c r="N143" s="12" t="e">
        <f>INDEX([1]流向迭代数据!J$2:J$65536,MATCH(L143,[1]流向迭代数据!H$2:H$65536,0))</f>
        <v>#N/A</v>
      </c>
      <c r="P143" s="14"/>
      <c r="T143" s="12" t="e">
        <f>INDEX([1]流向迭代数据!K$2:K$65536,MATCH(L143,[1]流向迭代数据!H$2:H$65536,0))</f>
        <v>#N/A</v>
      </c>
      <c r="W143" s="12" t="str">
        <f t="shared" si="5"/>
        <v/>
      </c>
    </row>
    <row r="144" spans="1:23" x14ac:dyDescent="0.15">
      <c r="A144" s="14" t="str">
        <f t="shared" si="4"/>
        <v>190001</v>
      </c>
      <c r="C144" s="12" t="e">
        <f>INDEX(基础数据!$A$2:$A$1024,MATCH(转配商关联商!X144,基础数据!$D$2:$D$1024,0))</f>
        <v>#N/A</v>
      </c>
      <c r="E144" s="12" t="e">
        <f>INDEX(基础数据!$B$2:$B$1024,MATCH(转配商关联商!X144,基础数据!$D$2:$D$1024,0))</f>
        <v>#N/A</v>
      </c>
      <c r="G144" s="12" t="e">
        <f>INDEX([1]流向迭代数据!E$2:E$65536,MATCH(转配商关联商!W144,[1]流向迭代数据!M$2:M$65536,0))</f>
        <v>#N/A</v>
      </c>
      <c r="N144" s="12" t="e">
        <f>INDEX([1]流向迭代数据!J$2:J$65536,MATCH(L144,[1]流向迭代数据!H$2:H$65536,0))</f>
        <v>#N/A</v>
      </c>
      <c r="P144" s="14"/>
      <c r="T144" s="12" t="e">
        <f>INDEX([1]流向迭代数据!K$2:K$65536,MATCH(L144,[1]流向迭代数据!H$2:H$65536,0))</f>
        <v>#N/A</v>
      </c>
      <c r="W144" s="12" t="str">
        <f t="shared" si="5"/>
        <v/>
      </c>
    </row>
    <row r="145" spans="1:23" x14ac:dyDescent="0.15">
      <c r="A145" s="14" t="str">
        <f t="shared" si="4"/>
        <v>190001</v>
      </c>
      <c r="C145" s="12" t="e">
        <f>INDEX(基础数据!$A$2:$A$1024,MATCH(转配商关联商!X145,基础数据!$D$2:$D$1024,0))</f>
        <v>#N/A</v>
      </c>
      <c r="E145" s="12" t="e">
        <f>INDEX(基础数据!$B$2:$B$1024,MATCH(转配商关联商!X145,基础数据!$D$2:$D$1024,0))</f>
        <v>#N/A</v>
      </c>
      <c r="G145" s="12" t="e">
        <f>INDEX([1]流向迭代数据!E$2:E$65536,MATCH(转配商关联商!W145,[1]流向迭代数据!M$2:M$65536,0))</f>
        <v>#N/A</v>
      </c>
      <c r="N145" s="12" t="e">
        <f>INDEX([1]流向迭代数据!J$2:J$65536,MATCH(L145,[1]流向迭代数据!H$2:H$65536,0))</f>
        <v>#N/A</v>
      </c>
      <c r="P145" s="14"/>
      <c r="T145" s="12" t="e">
        <f>INDEX([1]流向迭代数据!K$2:K$65536,MATCH(L145,[1]流向迭代数据!H$2:H$65536,0))</f>
        <v>#N/A</v>
      </c>
      <c r="W145" s="12" t="str">
        <f t="shared" si="5"/>
        <v/>
      </c>
    </row>
    <row r="146" spans="1:23" x14ac:dyDescent="0.15">
      <c r="A146" s="14" t="str">
        <f t="shared" si="4"/>
        <v>190001</v>
      </c>
      <c r="C146" s="12" t="e">
        <f>INDEX(基础数据!$A$2:$A$1024,MATCH(转配商关联商!X146,基础数据!$D$2:$D$1024,0))</f>
        <v>#N/A</v>
      </c>
      <c r="E146" s="12" t="e">
        <f>INDEX(基础数据!$B$2:$B$1024,MATCH(转配商关联商!X146,基础数据!$D$2:$D$1024,0))</f>
        <v>#N/A</v>
      </c>
      <c r="G146" s="12" t="e">
        <f>INDEX([1]流向迭代数据!E$2:E$65536,MATCH(转配商关联商!W146,[1]流向迭代数据!M$2:M$65536,0))</f>
        <v>#N/A</v>
      </c>
      <c r="N146" s="12" t="e">
        <f>INDEX([1]流向迭代数据!J$2:J$65536,MATCH(L146,[1]流向迭代数据!H$2:H$65536,0))</f>
        <v>#N/A</v>
      </c>
      <c r="P146" s="14"/>
      <c r="T146" s="12" t="e">
        <f>INDEX([1]流向迭代数据!K$2:K$65536,MATCH(L146,[1]流向迭代数据!H$2:H$65536,0))</f>
        <v>#N/A</v>
      </c>
      <c r="W146" s="12" t="str">
        <f t="shared" si="5"/>
        <v/>
      </c>
    </row>
    <row r="147" spans="1:23" x14ac:dyDescent="0.15">
      <c r="A147" s="14" t="str">
        <f t="shared" si="4"/>
        <v>190001</v>
      </c>
      <c r="C147" s="12" t="e">
        <f>INDEX(基础数据!$A$2:$A$1024,MATCH(转配商关联商!X147,基础数据!$D$2:$D$1024,0))</f>
        <v>#N/A</v>
      </c>
      <c r="E147" s="12" t="e">
        <f>INDEX(基础数据!$B$2:$B$1024,MATCH(转配商关联商!X147,基础数据!$D$2:$D$1024,0))</f>
        <v>#N/A</v>
      </c>
      <c r="G147" s="12" t="e">
        <f>INDEX([1]流向迭代数据!E$2:E$65536,MATCH(转配商关联商!W147,[1]流向迭代数据!M$2:M$65536,0))</f>
        <v>#N/A</v>
      </c>
      <c r="N147" s="12" t="e">
        <f>INDEX([1]流向迭代数据!J$2:J$65536,MATCH(L147,[1]流向迭代数据!H$2:H$65536,0))</f>
        <v>#N/A</v>
      </c>
      <c r="P147" s="14"/>
      <c r="T147" s="12" t="e">
        <f>INDEX([1]流向迭代数据!K$2:K$65536,MATCH(L147,[1]流向迭代数据!H$2:H$65536,0))</f>
        <v>#N/A</v>
      </c>
      <c r="W147" s="12" t="str">
        <f t="shared" si="5"/>
        <v/>
      </c>
    </row>
    <row r="148" spans="1:23" x14ac:dyDescent="0.15">
      <c r="A148" s="14" t="str">
        <f t="shared" si="4"/>
        <v>190001</v>
      </c>
      <c r="C148" s="12" t="e">
        <f>INDEX(基础数据!$A$2:$A$1024,MATCH(转配商关联商!X148,基础数据!$D$2:$D$1024,0))</f>
        <v>#N/A</v>
      </c>
      <c r="E148" s="12" t="e">
        <f>INDEX(基础数据!$B$2:$B$1024,MATCH(转配商关联商!X148,基础数据!$D$2:$D$1024,0))</f>
        <v>#N/A</v>
      </c>
      <c r="G148" s="12" t="e">
        <f>INDEX([1]流向迭代数据!E$2:E$65536,MATCH(转配商关联商!W148,[1]流向迭代数据!M$2:M$65536,0))</f>
        <v>#N/A</v>
      </c>
      <c r="N148" s="12" t="e">
        <f>INDEX([1]流向迭代数据!J$2:J$65536,MATCH(L148,[1]流向迭代数据!H$2:H$65536,0))</f>
        <v>#N/A</v>
      </c>
      <c r="P148" s="14"/>
      <c r="T148" s="12" t="e">
        <f>INDEX([1]流向迭代数据!K$2:K$65536,MATCH(L148,[1]流向迭代数据!H$2:H$65536,0))</f>
        <v>#N/A</v>
      </c>
      <c r="W148" s="12" t="str">
        <f t="shared" si="5"/>
        <v/>
      </c>
    </row>
    <row r="149" spans="1:23" x14ac:dyDescent="0.15">
      <c r="A149" s="14" t="str">
        <f t="shared" si="4"/>
        <v>190001</v>
      </c>
      <c r="C149" s="12" t="e">
        <f>INDEX(基础数据!$A$2:$A$1024,MATCH(转配商关联商!X149,基础数据!$D$2:$D$1024,0))</f>
        <v>#N/A</v>
      </c>
      <c r="E149" s="12" t="e">
        <f>INDEX(基础数据!$B$2:$B$1024,MATCH(转配商关联商!X149,基础数据!$D$2:$D$1024,0))</f>
        <v>#N/A</v>
      </c>
      <c r="G149" s="12" t="e">
        <f>INDEX([1]流向迭代数据!E$2:E$65536,MATCH(转配商关联商!W149,[1]流向迭代数据!M$2:M$65536,0))</f>
        <v>#N/A</v>
      </c>
      <c r="N149" s="12" t="e">
        <f>INDEX([1]流向迭代数据!J$2:J$65536,MATCH(L149,[1]流向迭代数据!H$2:H$65536,0))</f>
        <v>#N/A</v>
      </c>
      <c r="P149" s="14"/>
      <c r="T149" s="12" t="e">
        <f>INDEX([1]流向迭代数据!K$2:K$65536,MATCH(L149,[1]流向迭代数据!H$2:H$65536,0))</f>
        <v>#N/A</v>
      </c>
      <c r="W149" s="12" t="str">
        <f t="shared" si="5"/>
        <v/>
      </c>
    </row>
    <row r="150" spans="1:23" x14ac:dyDescent="0.15">
      <c r="A150" s="14" t="str">
        <f t="shared" si="4"/>
        <v>190001</v>
      </c>
      <c r="C150" s="12" t="e">
        <f>INDEX(基础数据!$A$2:$A$1024,MATCH(转配商关联商!X150,基础数据!$D$2:$D$1024,0))</f>
        <v>#N/A</v>
      </c>
      <c r="E150" s="12" t="e">
        <f>INDEX(基础数据!$B$2:$B$1024,MATCH(转配商关联商!X150,基础数据!$D$2:$D$1024,0))</f>
        <v>#N/A</v>
      </c>
      <c r="G150" s="12" t="e">
        <f>INDEX([1]流向迭代数据!E$2:E$65536,MATCH(转配商关联商!W150,[1]流向迭代数据!M$2:M$65536,0))</f>
        <v>#N/A</v>
      </c>
      <c r="N150" s="12" t="e">
        <f>INDEX([1]流向迭代数据!J$2:J$65536,MATCH(L150,[1]流向迭代数据!H$2:H$65536,0))</f>
        <v>#N/A</v>
      </c>
      <c r="P150" s="14"/>
      <c r="T150" s="12" t="e">
        <f>INDEX([1]流向迭代数据!K$2:K$65536,MATCH(L150,[1]流向迭代数据!H$2:H$65536,0))</f>
        <v>#N/A</v>
      </c>
      <c r="W150" s="12" t="str">
        <f t="shared" si="5"/>
        <v/>
      </c>
    </row>
    <row r="151" spans="1:23" x14ac:dyDescent="0.15">
      <c r="A151" s="14" t="str">
        <f t="shared" si="4"/>
        <v>190001</v>
      </c>
      <c r="C151" s="12" t="e">
        <f>INDEX(基础数据!$A$2:$A$1024,MATCH(转配商关联商!X151,基础数据!$D$2:$D$1024,0))</f>
        <v>#N/A</v>
      </c>
      <c r="E151" s="12" t="e">
        <f>INDEX(基础数据!$B$2:$B$1024,MATCH(转配商关联商!X151,基础数据!$D$2:$D$1024,0))</f>
        <v>#N/A</v>
      </c>
      <c r="G151" s="12" t="e">
        <f>INDEX([1]流向迭代数据!E$2:E$65536,MATCH(转配商关联商!W151,[1]流向迭代数据!M$2:M$65536,0))</f>
        <v>#N/A</v>
      </c>
      <c r="N151" s="12" t="e">
        <f>INDEX([1]流向迭代数据!J$2:J$65536,MATCH(L151,[1]流向迭代数据!H$2:H$65536,0))</f>
        <v>#N/A</v>
      </c>
      <c r="P151" s="14"/>
      <c r="T151" s="12" t="e">
        <f>INDEX([1]流向迭代数据!K$2:K$65536,MATCH(L151,[1]流向迭代数据!H$2:H$65536,0))</f>
        <v>#N/A</v>
      </c>
      <c r="W151" s="12" t="str">
        <f t="shared" si="5"/>
        <v/>
      </c>
    </row>
    <row r="152" spans="1:23" x14ac:dyDescent="0.15">
      <c r="A152" s="14" t="str">
        <f t="shared" si="4"/>
        <v>190001</v>
      </c>
      <c r="C152" s="12" t="e">
        <f>INDEX(基础数据!$A$2:$A$1024,MATCH(转配商关联商!X152,基础数据!$D$2:$D$1024,0))</f>
        <v>#N/A</v>
      </c>
      <c r="E152" s="12" t="e">
        <f>INDEX(基础数据!$B$2:$B$1024,MATCH(转配商关联商!X152,基础数据!$D$2:$D$1024,0))</f>
        <v>#N/A</v>
      </c>
      <c r="G152" s="12" t="e">
        <f>INDEX([1]流向迭代数据!E$2:E$65536,MATCH(转配商关联商!W152,[1]流向迭代数据!M$2:M$65536,0))</f>
        <v>#N/A</v>
      </c>
      <c r="N152" s="12" t="e">
        <f>INDEX([1]流向迭代数据!J$2:J$65536,MATCH(L152,[1]流向迭代数据!H$2:H$65536,0))</f>
        <v>#N/A</v>
      </c>
      <c r="P152" s="14"/>
      <c r="T152" s="12" t="e">
        <f>INDEX([1]流向迭代数据!K$2:K$65536,MATCH(L152,[1]流向迭代数据!H$2:H$65536,0))</f>
        <v>#N/A</v>
      </c>
      <c r="W152" s="12" t="str">
        <f t="shared" si="5"/>
        <v/>
      </c>
    </row>
    <row r="153" spans="1:23" x14ac:dyDescent="0.15">
      <c r="A153" s="14" t="str">
        <f t="shared" si="4"/>
        <v>190001</v>
      </c>
      <c r="C153" s="12" t="e">
        <f>INDEX(基础数据!$A$2:$A$1024,MATCH(转配商关联商!X153,基础数据!$D$2:$D$1024,0))</f>
        <v>#N/A</v>
      </c>
      <c r="E153" s="12" t="e">
        <f>INDEX(基础数据!$B$2:$B$1024,MATCH(转配商关联商!X153,基础数据!$D$2:$D$1024,0))</f>
        <v>#N/A</v>
      </c>
      <c r="G153" s="12" t="e">
        <f>INDEX([1]流向迭代数据!E$2:E$65536,MATCH(转配商关联商!W153,[1]流向迭代数据!M$2:M$65536,0))</f>
        <v>#N/A</v>
      </c>
      <c r="N153" s="12" t="e">
        <f>INDEX([1]流向迭代数据!J$2:J$65536,MATCH(L153,[1]流向迭代数据!H$2:H$65536,0))</f>
        <v>#N/A</v>
      </c>
      <c r="P153" s="14"/>
      <c r="T153" s="12" t="e">
        <f>INDEX([1]流向迭代数据!K$2:K$65536,MATCH(L153,[1]流向迭代数据!H$2:H$65536,0))</f>
        <v>#N/A</v>
      </c>
      <c r="W153" s="12" t="str">
        <f t="shared" si="5"/>
        <v/>
      </c>
    </row>
    <row r="154" spans="1:23" x14ac:dyDescent="0.15">
      <c r="A154" s="14" t="str">
        <f t="shared" si="4"/>
        <v>190001</v>
      </c>
      <c r="C154" s="12" t="e">
        <f>INDEX(基础数据!$A$2:$A$1024,MATCH(转配商关联商!X154,基础数据!$D$2:$D$1024,0))</f>
        <v>#N/A</v>
      </c>
      <c r="E154" s="12" t="e">
        <f>INDEX(基础数据!$B$2:$B$1024,MATCH(转配商关联商!X154,基础数据!$D$2:$D$1024,0))</f>
        <v>#N/A</v>
      </c>
      <c r="G154" s="12" t="e">
        <f>INDEX([1]流向迭代数据!E$2:E$65536,MATCH(转配商关联商!W154,[1]流向迭代数据!M$2:M$65536,0))</f>
        <v>#N/A</v>
      </c>
      <c r="N154" s="12" t="e">
        <f>INDEX([1]流向迭代数据!J$2:J$65536,MATCH(L154,[1]流向迭代数据!H$2:H$65536,0))</f>
        <v>#N/A</v>
      </c>
      <c r="P154" s="14"/>
      <c r="T154" s="12" t="e">
        <f>INDEX([1]流向迭代数据!K$2:K$65536,MATCH(L154,[1]流向迭代数据!H$2:H$65536,0))</f>
        <v>#N/A</v>
      </c>
      <c r="W154" s="12" t="str">
        <f t="shared" si="5"/>
        <v/>
      </c>
    </row>
    <row r="155" spans="1:23" x14ac:dyDescent="0.15">
      <c r="A155" s="14" t="str">
        <f t="shared" si="4"/>
        <v>190001</v>
      </c>
      <c r="C155" s="12" t="e">
        <f>INDEX(基础数据!$A$2:$A$1024,MATCH(转配商关联商!X155,基础数据!$D$2:$D$1024,0))</f>
        <v>#N/A</v>
      </c>
      <c r="E155" s="12" t="e">
        <f>INDEX(基础数据!$B$2:$B$1024,MATCH(转配商关联商!X155,基础数据!$D$2:$D$1024,0))</f>
        <v>#N/A</v>
      </c>
      <c r="G155" s="12" t="e">
        <f>INDEX([1]流向迭代数据!E$2:E$65536,MATCH(转配商关联商!W155,[1]流向迭代数据!M$2:M$65536,0))</f>
        <v>#N/A</v>
      </c>
      <c r="N155" s="12" t="e">
        <f>INDEX([1]流向迭代数据!J$2:J$65536,MATCH(L155,[1]流向迭代数据!H$2:H$65536,0))</f>
        <v>#N/A</v>
      </c>
      <c r="P155" s="14"/>
      <c r="T155" s="12" t="e">
        <f>INDEX([1]流向迭代数据!K$2:K$65536,MATCH(L155,[1]流向迭代数据!H$2:H$65536,0))</f>
        <v>#N/A</v>
      </c>
      <c r="W155" s="12" t="str">
        <f t="shared" si="5"/>
        <v/>
      </c>
    </row>
    <row r="156" spans="1:23" x14ac:dyDescent="0.15">
      <c r="A156" s="14" t="str">
        <f t="shared" si="4"/>
        <v>190001</v>
      </c>
      <c r="C156" s="12" t="e">
        <f>INDEX(基础数据!$A$2:$A$1024,MATCH(转配商关联商!X156,基础数据!$D$2:$D$1024,0))</f>
        <v>#N/A</v>
      </c>
      <c r="E156" s="12" t="e">
        <f>INDEX(基础数据!$B$2:$B$1024,MATCH(转配商关联商!X156,基础数据!$D$2:$D$1024,0))</f>
        <v>#N/A</v>
      </c>
      <c r="G156" s="12" t="e">
        <f>INDEX([1]流向迭代数据!E$2:E$65536,MATCH(转配商关联商!W156,[1]流向迭代数据!M$2:M$65536,0))</f>
        <v>#N/A</v>
      </c>
      <c r="N156" s="12" t="e">
        <f>INDEX([1]流向迭代数据!J$2:J$65536,MATCH(L156,[1]流向迭代数据!H$2:H$65536,0))</f>
        <v>#N/A</v>
      </c>
      <c r="P156" s="14"/>
      <c r="T156" s="12" t="e">
        <f>INDEX([1]流向迭代数据!K$2:K$65536,MATCH(L156,[1]流向迭代数据!H$2:H$65536,0))</f>
        <v>#N/A</v>
      </c>
      <c r="W156" s="12" t="str">
        <f t="shared" si="5"/>
        <v/>
      </c>
    </row>
    <row r="157" spans="1:23" x14ac:dyDescent="0.15">
      <c r="A157" s="14" t="str">
        <f t="shared" si="4"/>
        <v>190001</v>
      </c>
      <c r="C157" s="12" t="e">
        <f>INDEX(基础数据!$A$2:$A$1024,MATCH(转配商关联商!X157,基础数据!$D$2:$D$1024,0))</f>
        <v>#N/A</v>
      </c>
      <c r="E157" s="12" t="e">
        <f>INDEX(基础数据!$B$2:$B$1024,MATCH(转配商关联商!X157,基础数据!$D$2:$D$1024,0))</f>
        <v>#N/A</v>
      </c>
      <c r="G157" s="12" t="e">
        <f>INDEX([1]流向迭代数据!E$2:E$65536,MATCH(转配商关联商!W157,[1]流向迭代数据!M$2:M$65536,0))</f>
        <v>#N/A</v>
      </c>
      <c r="N157" s="12" t="e">
        <f>INDEX([1]流向迭代数据!J$2:J$65536,MATCH(L157,[1]流向迭代数据!H$2:H$65536,0))</f>
        <v>#N/A</v>
      </c>
      <c r="P157" s="14"/>
      <c r="T157" s="12" t="e">
        <f>INDEX([1]流向迭代数据!K$2:K$65536,MATCH(L157,[1]流向迭代数据!H$2:H$65536,0))</f>
        <v>#N/A</v>
      </c>
      <c r="W157" s="12" t="str">
        <f t="shared" si="5"/>
        <v/>
      </c>
    </row>
    <row r="158" spans="1:23" x14ac:dyDescent="0.15">
      <c r="A158" s="14" t="str">
        <f t="shared" si="4"/>
        <v>190001</v>
      </c>
      <c r="C158" s="12" t="e">
        <f>INDEX(基础数据!$A$2:$A$1024,MATCH(转配商关联商!X158,基础数据!$D$2:$D$1024,0))</f>
        <v>#N/A</v>
      </c>
      <c r="E158" s="12" t="e">
        <f>INDEX(基础数据!$B$2:$B$1024,MATCH(转配商关联商!X158,基础数据!$D$2:$D$1024,0))</f>
        <v>#N/A</v>
      </c>
      <c r="G158" s="12" t="e">
        <f>INDEX([1]流向迭代数据!E$2:E$65536,MATCH(转配商关联商!W158,[1]流向迭代数据!M$2:M$65536,0))</f>
        <v>#N/A</v>
      </c>
      <c r="N158" s="12" t="e">
        <f>INDEX([1]流向迭代数据!J$2:J$65536,MATCH(L158,[1]流向迭代数据!H$2:H$65536,0))</f>
        <v>#N/A</v>
      </c>
      <c r="P158" s="14"/>
      <c r="T158" s="12" t="e">
        <f>INDEX([1]流向迭代数据!K$2:K$65536,MATCH(L158,[1]流向迭代数据!H$2:H$65536,0))</f>
        <v>#N/A</v>
      </c>
      <c r="W158" s="12" t="str">
        <f t="shared" si="5"/>
        <v/>
      </c>
    </row>
    <row r="159" spans="1:23" x14ac:dyDescent="0.15">
      <c r="A159" s="14" t="str">
        <f t="shared" si="4"/>
        <v>190001</v>
      </c>
      <c r="C159" s="12" t="e">
        <f>INDEX(基础数据!$A$2:$A$1024,MATCH(转配商关联商!X159,基础数据!$D$2:$D$1024,0))</f>
        <v>#N/A</v>
      </c>
      <c r="E159" s="12" t="e">
        <f>INDEX(基础数据!$B$2:$B$1024,MATCH(转配商关联商!X159,基础数据!$D$2:$D$1024,0))</f>
        <v>#N/A</v>
      </c>
      <c r="G159" s="12" t="e">
        <f>INDEX([1]流向迭代数据!E$2:E$65536,MATCH(转配商关联商!W159,[1]流向迭代数据!M$2:M$65536,0))</f>
        <v>#N/A</v>
      </c>
      <c r="N159" s="12" t="e">
        <f>INDEX([1]流向迭代数据!J$2:J$65536,MATCH(L159,[1]流向迭代数据!H$2:H$65536,0))</f>
        <v>#N/A</v>
      </c>
      <c r="P159" s="14"/>
      <c r="T159" s="12" t="e">
        <f>INDEX([1]流向迭代数据!K$2:K$65536,MATCH(L159,[1]流向迭代数据!H$2:H$65536,0))</f>
        <v>#N/A</v>
      </c>
      <c r="W159" s="12" t="str">
        <f t="shared" si="5"/>
        <v/>
      </c>
    </row>
    <row r="160" spans="1:23" x14ac:dyDescent="0.15">
      <c r="A160" s="14" t="str">
        <f t="shared" si="4"/>
        <v>190001</v>
      </c>
      <c r="C160" s="12" t="e">
        <f>INDEX(基础数据!$A$2:$A$1024,MATCH(转配商关联商!X160,基础数据!$D$2:$D$1024,0))</f>
        <v>#N/A</v>
      </c>
      <c r="E160" s="12" t="e">
        <f>INDEX(基础数据!$B$2:$B$1024,MATCH(转配商关联商!X160,基础数据!$D$2:$D$1024,0))</f>
        <v>#N/A</v>
      </c>
      <c r="G160" s="12" t="e">
        <f>INDEX([1]流向迭代数据!E$2:E$65536,MATCH(转配商关联商!W160,[1]流向迭代数据!M$2:M$65536,0))</f>
        <v>#N/A</v>
      </c>
      <c r="N160" s="12" t="e">
        <f>INDEX([1]流向迭代数据!J$2:J$65536,MATCH(L160,[1]流向迭代数据!H$2:H$65536,0))</f>
        <v>#N/A</v>
      </c>
      <c r="P160" s="14"/>
      <c r="T160" s="12" t="e">
        <f>INDEX([1]流向迭代数据!K$2:K$65536,MATCH(L160,[1]流向迭代数据!H$2:H$65536,0))</f>
        <v>#N/A</v>
      </c>
      <c r="W160" s="12" t="str">
        <f t="shared" si="5"/>
        <v/>
      </c>
    </row>
    <row r="161" spans="1:23" x14ac:dyDescent="0.15">
      <c r="A161" s="14" t="str">
        <f t="shared" si="4"/>
        <v>190001</v>
      </c>
      <c r="C161" s="12" t="e">
        <f>INDEX(基础数据!$A$2:$A$1024,MATCH(转配商关联商!X161,基础数据!$D$2:$D$1024,0))</f>
        <v>#N/A</v>
      </c>
      <c r="E161" s="12" t="e">
        <f>INDEX(基础数据!$B$2:$B$1024,MATCH(转配商关联商!X161,基础数据!$D$2:$D$1024,0))</f>
        <v>#N/A</v>
      </c>
      <c r="G161" s="12" t="e">
        <f>INDEX([1]流向迭代数据!E$2:E$65536,MATCH(转配商关联商!W161,[1]流向迭代数据!M$2:M$65536,0))</f>
        <v>#N/A</v>
      </c>
      <c r="N161" s="12" t="e">
        <f>INDEX([1]流向迭代数据!J$2:J$65536,MATCH(L161,[1]流向迭代数据!H$2:H$65536,0))</f>
        <v>#N/A</v>
      </c>
      <c r="P161" s="14"/>
      <c r="T161" s="12" t="e">
        <f>INDEX([1]流向迭代数据!K$2:K$65536,MATCH(L161,[1]流向迭代数据!H$2:H$65536,0))</f>
        <v>#N/A</v>
      </c>
      <c r="W161" s="12" t="str">
        <f t="shared" si="5"/>
        <v/>
      </c>
    </row>
    <row r="162" spans="1:23" x14ac:dyDescent="0.15">
      <c r="A162" s="14" t="str">
        <f t="shared" si="4"/>
        <v>190001</v>
      </c>
      <c r="C162" s="12" t="e">
        <f>INDEX(基础数据!$A$2:$A$1024,MATCH(转配商关联商!X162,基础数据!$D$2:$D$1024,0))</f>
        <v>#N/A</v>
      </c>
      <c r="E162" s="12" t="e">
        <f>INDEX(基础数据!$B$2:$B$1024,MATCH(转配商关联商!X162,基础数据!$D$2:$D$1024,0))</f>
        <v>#N/A</v>
      </c>
      <c r="G162" s="12" t="e">
        <f>INDEX([1]流向迭代数据!E$2:E$65536,MATCH(转配商关联商!W162,[1]流向迭代数据!M$2:M$65536,0))</f>
        <v>#N/A</v>
      </c>
      <c r="N162" s="12" t="e">
        <f>INDEX([1]流向迭代数据!J$2:J$65536,MATCH(L162,[1]流向迭代数据!H$2:H$65536,0))</f>
        <v>#N/A</v>
      </c>
      <c r="P162" s="14"/>
      <c r="T162" s="12" t="e">
        <f>INDEX([1]流向迭代数据!K$2:K$65536,MATCH(L162,[1]流向迭代数据!H$2:H$65536,0))</f>
        <v>#N/A</v>
      </c>
      <c r="W162" s="12" t="str">
        <f t="shared" si="5"/>
        <v/>
      </c>
    </row>
    <row r="163" spans="1:23" x14ac:dyDescent="0.15">
      <c r="A163" s="14" t="str">
        <f t="shared" si="4"/>
        <v>190001</v>
      </c>
      <c r="C163" s="12" t="e">
        <f>INDEX(基础数据!$A$2:$A$1024,MATCH(转配商关联商!X163,基础数据!$D$2:$D$1024,0))</f>
        <v>#N/A</v>
      </c>
      <c r="E163" s="12" t="e">
        <f>INDEX(基础数据!$B$2:$B$1024,MATCH(转配商关联商!X163,基础数据!$D$2:$D$1024,0))</f>
        <v>#N/A</v>
      </c>
      <c r="G163" s="12" t="e">
        <f>INDEX([1]流向迭代数据!E$2:E$65536,MATCH(转配商关联商!W163,[1]流向迭代数据!M$2:M$65536,0))</f>
        <v>#N/A</v>
      </c>
      <c r="N163" s="12" t="e">
        <f>INDEX([1]流向迭代数据!J$2:J$65536,MATCH(L163,[1]流向迭代数据!H$2:H$65536,0))</f>
        <v>#N/A</v>
      </c>
      <c r="P163" s="14"/>
      <c r="T163" s="12" t="e">
        <f>INDEX([1]流向迭代数据!K$2:K$65536,MATCH(L163,[1]流向迭代数据!H$2:H$65536,0))</f>
        <v>#N/A</v>
      </c>
      <c r="W163" s="12" t="str">
        <f t="shared" si="5"/>
        <v/>
      </c>
    </row>
    <row r="164" spans="1:23" x14ac:dyDescent="0.15">
      <c r="A164" s="14" t="str">
        <f t="shared" si="4"/>
        <v>190001</v>
      </c>
      <c r="C164" s="12" t="e">
        <f>INDEX(基础数据!$A$2:$A$1024,MATCH(转配商关联商!X164,基础数据!$D$2:$D$1024,0))</f>
        <v>#N/A</v>
      </c>
      <c r="E164" s="12" t="e">
        <f>INDEX(基础数据!$B$2:$B$1024,MATCH(转配商关联商!X164,基础数据!$D$2:$D$1024,0))</f>
        <v>#N/A</v>
      </c>
      <c r="G164" s="12" t="e">
        <f>INDEX([1]流向迭代数据!E$2:E$65536,MATCH(转配商关联商!W164,[1]流向迭代数据!M$2:M$65536,0))</f>
        <v>#N/A</v>
      </c>
      <c r="N164" s="12" t="e">
        <f>INDEX([1]流向迭代数据!J$2:J$65536,MATCH(L164,[1]流向迭代数据!H$2:H$65536,0))</f>
        <v>#N/A</v>
      </c>
      <c r="P164" s="14"/>
      <c r="T164" s="12" t="e">
        <f>INDEX([1]流向迭代数据!K$2:K$65536,MATCH(L164,[1]流向迭代数据!H$2:H$65536,0))</f>
        <v>#N/A</v>
      </c>
      <c r="W164" s="12" t="str">
        <f t="shared" si="5"/>
        <v/>
      </c>
    </row>
    <row r="165" spans="1:23" x14ac:dyDescent="0.15">
      <c r="A165" s="14" t="str">
        <f t="shared" si="4"/>
        <v>190001</v>
      </c>
      <c r="C165" s="12" t="e">
        <f>INDEX(基础数据!$A$2:$A$1024,MATCH(转配商关联商!X165,基础数据!$D$2:$D$1024,0))</f>
        <v>#N/A</v>
      </c>
      <c r="E165" s="12" t="e">
        <f>INDEX(基础数据!$B$2:$B$1024,MATCH(转配商关联商!X165,基础数据!$D$2:$D$1024,0))</f>
        <v>#N/A</v>
      </c>
      <c r="G165" s="12" t="e">
        <f>INDEX([1]流向迭代数据!E$2:E$65536,MATCH(转配商关联商!W165,[1]流向迭代数据!M$2:M$65536,0))</f>
        <v>#N/A</v>
      </c>
      <c r="N165" s="12" t="e">
        <f>INDEX([1]流向迭代数据!J$2:J$65536,MATCH(L165,[1]流向迭代数据!H$2:H$65536,0))</f>
        <v>#N/A</v>
      </c>
      <c r="P165" s="14"/>
      <c r="T165" s="12" t="e">
        <f>INDEX([1]流向迭代数据!K$2:K$65536,MATCH(L165,[1]流向迭代数据!H$2:H$65536,0))</f>
        <v>#N/A</v>
      </c>
      <c r="W165" s="12" t="str">
        <f t="shared" si="5"/>
        <v/>
      </c>
    </row>
    <row r="166" spans="1:23" x14ac:dyDescent="0.15">
      <c r="A166" s="14" t="str">
        <f t="shared" si="4"/>
        <v>190001</v>
      </c>
      <c r="C166" s="12" t="e">
        <f>INDEX(基础数据!$A$2:$A$1024,MATCH(转配商关联商!X166,基础数据!$D$2:$D$1024,0))</f>
        <v>#N/A</v>
      </c>
      <c r="E166" s="12" t="e">
        <f>INDEX(基础数据!$B$2:$B$1024,MATCH(转配商关联商!X166,基础数据!$D$2:$D$1024,0))</f>
        <v>#N/A</v>
      </c>
      <c r="G166" s="12" t="e">
        <f>INDEX([1]流向迭代数据!E$2:E$65536,MATCH(转配商关联商!W166,[1]流向迭代数据!M$2:M$65536,0))</f>
        <v>#N/A</v>
      </c>
      <c r="N166" s="12" t="e">
        <f>INDEX([1]流向迭代数据!J$2:J$65536,MATCH(L166,[1]流向迭代数据!H$2:H$65536,0))</f>
        <v>#N/A</v>
      </c>
      <c r="P166" s="14"/>
      <c r="T166" s="12" t="e">
        <f>INDEX([1]流向迭代数据!K$2:K$65536,MATCH(L166,[1]流向迭代数据!H$2:H$65536,0))</f>
        <v>#N/A</v>
      </c>
      <c r="W166" s="12" t="str">
        <f t="shared" si="5"/>
        <v/>
      </c>
    </row>
    <row r="167" spans="1:23" x14ac:dyDescent="0.15">
      <c r="A167" s="14" t="str">
        <f t="shared" si="4"/>
        <v>190001</v>
      </c>
      <c r="C167" s="12" t="e">
        <f>INDEX(基础数据!$A$2:$A$1024,MATCH(转配商关联商!X167,基础数据!$D$2:$D$1024,0))</f>
        <v>#N/A</v>
      </c>
      <c r="E167" s="12" t="e">
        <f>INDEX(基础数据!$B$2:$B$1024,MATCH(转配商关联商!X167,基础数据!$D$2:$D$1024,0))</f>
        <v>#N/A</v>
      </c>
      <c r="G167" s="12" t="e">
        <f>INDEX([1]流向迭代数据!E$2:E$65536,MATCH(转配商关联商!W167,[1]流向迭代数据!M$2:M$65536,0))</f>
        <v>#N/A</v>
      </c>
      <c r="N167" s="12" t="e">
        <f>INDEX([1]流向迭代数据!J$2:J$65536,MATCH(L167,[1]流向迭代数据!H$2:H$65536,0))</f>
        <v>#N/A</v>
      </c>
      <c r="P167" s="14"/>
      <c r="T167" s="12" t="e">
        <f>INDEX([1]流向迭代数据!K$2:K$65536,MATCH(L167,[1]流向迭代数据!H$2:H$65536,0))</f>
        <v>#N/A</v>
      </c>
      <c r="W167" s="12" t="str">
        <f t="shared" si="5"/>
        <v/>
      </c>
    </row>
    <row r="168" spans="1:23" x14ac:dyDescent="0.15">
      <c r="A168" s="14" t="str">
        <f t="shared" si="4"/>
        <v>190001</v>
      </c>
      <c r="C168" s="12" t="e">
        <f>INDEX(基础数据!$A$2:$A$1024,MATCH(转配商关联商!X168,基础数据!$D$2:$D$1024,0))</f>
        <v>#N/A</v>
      </c>
      <c r="E168" s="12" t="e">
        <f>INDEX(基础数据!$B$2:$B$1024,MATCH(转配商关联商!X168,基础数据!$D$2:$D$1024,0))</f>
        <v>#N/A</v>
      </c>
      <c r="G168" s="12" t="e">
        <f>INDEX([1]流向迭代数据!E$2:E$65536,MATCH(转配商关联商!W168,[1]流向迭代数据!M$2:M$65536,0))</f>
        <v>#N/A</v>
      </c>
      <c r="N168" s="12" t="e">
        <f>INDEX([1]流向迭代数据!J$2:J$65536,MATCH(L168,[1]流向迭代数据!H$2:H$65536,0))</f>
        <v>#N/A</v>
      </c>
      <c r="P168" s="14"/>
      <c r="T168" s="12" t="e">
        <f>INDEX([1]流向迭代数据!K$2:K$65536,MATCH(L168,[1]流向迭代数据!H$2:H$65536,0))</f>
        <v>#N/A</v>
      </c>
      <c r="W168" s="12" t="str">
        <f t="shared" si="5"/>
        <v/>
      </c>
    </row>
    <row r="169" spans="1:23" x14ac:dyDescent="0.15">
      <c r="A169" s="14" t="str">
        <f t="shared" si="4"/>
        <v>190001</v>
      </c>
      <c r="C169" s="12" t="e">
        <f>INDEX(基础数据!$A$2:$A$1024,MATCH(转配商关联商!X169,基础数据!$D$2:$D$1024,0))</f>
        <v>#N/A</v>
      </c>
      <c r="E169" s="12" t="e">
        <f>INDEX(基础数据!$B$2:$B$1024,MATCH(转配商关联商!X169,基础数据!$D$2:$D$1024,0))</f>
        <v>#N/A</v>
      </c>
      <c r="G169" s="12" t="e">
        <f>INDEX([1]流向迭代数据!E$2:E$65536,MATCH(转配商关联商!W169,[1]流向迭代数据!M$2:M$65536,0))</f>
        <v>#N/A</v>
      </c>
      <c r="N169" s="12" t="e">
        <f>INDEX([1]流向迭代数据!J$2:J$65536,MATCH(L169,[1]流向迭代数据!H$2:H$65536,0))</f>
        <v>#N/A</v>
      </c>
      <c r="P169" s="14"/>
      <c r="T169" s="12" t="e">
        <f>INDEX([1]流向迭代数据!K$2:K$65536,MATCH(L169,[1]流向迭代数据!H$2:H$65536,0))</f>
        <v>#N/A</v>
      </c>
      <c r="W169" s="12" t="str">
        <f t="shared" si="5"/>
        <v/>
      </c>
    </row>
    <row r="170" spans="1:23" x14ac:dyDescent="0.15">
      <c r="A170" s="14" t="str">
        <f t="shared" si="4"/>
        <v>190001</v>
      </c>
      <c r="C170" s="12" t="e">
        <f>INDEX(基础数据!$A$2:$A$1024,MATCH(转配商关联商!X170,基础数据!$D$2:$D$1024,0))</f>
        <v>#N/A</v>
      </c>
      <c r="E170" s="12" t="e">
        <f>INDEX(基础数据!$B$2:$B$1024,MATCH(转配商关联商!X170,基础数据!$D$2:$D$1024,0))</f>
        <v>#N/A</v>
      </c>
      <c r="G170" s="12" t="e">
        <f>INDEX([1]流向迭代数据!E$2:E$65536,MATCH(转配商关联商!W170,[1]流向迭代数据!M$2:M$65536,0))</f>
        <v>#N/A</v>
      </c>
      <c r="N170" s="12" t="e">
        <f>INDEX([1]流向迭代数据!J$2:J$65536,MATCH(L170,[1]流向迭代数据!H$2:H$65536,0))</f>
        <v>#N/A</v>
      </c>
      <c r="P170" s="14"/>
      <c r="T170" s="12" t="e">
        <f>INDEX([1]流向迭代数据!K$2:K$65536,MATCH(L170,[1]流向迭代数据!H$2:H$65536,0))</f>
        <v>#N/A</v>
      </c>
      <c r="W170" s="12" t="str">
        <f t="shared" si="5"/>
        <v/>
      </c>
    </row>
    <row r="171" spans="1:23" x14ac:dyDescent="0.15">
      <c r="A171" s="14" t="str">
        <f t="shared" si="4"/>
        <v>190001</v>
      </c>
      <c r="C171" s="12" t="e">
        <f>INDEX(基础数据!$A$2:$A$1024,MATCH(转配商关联商!X171,基础数据!$D$2:$D$1024,0))</f>
        <v>#N/A</v>
      </c>
      <c r="E171" s="12" t="e">
        <f>INDEX(基础数据!$B$2:$B$1024,MATCH(转配商关联商!X171,基础数据!$D$2:$D$1024,0))</f>
        <v>#N/A</v>
      </c>
      <c r="G171" s="12" t="e">
        <f>INDEX([1]流向迭代数据!E$2:E$65536,MATCH(转配商关联商!W171,[1]流向迭代数据!M$2:M$65536,0))</f>
        <v>#N/A</v>
      </c>
      <c r="N171" s="12" t="e">
        <f>INDEX([1]流向迭代数据!J$2:J$65536,MATCH(L171,[1]流向迭代数据!H$2:H$65536,0))</f>
        <v>#N/A</v>
      </c>
      <c r="P171" s="14"/>
      <c r="T171" s="12" t="e">
        <f>INDEX([1]流向迭代数据!K$2:K$65536,MATCH(L171,[1]流向迭代数据!H$2:H$65536,0))</f>
        <v>#N/A</v>
      </c>
      <c r="W171" s="12" t="str">
        <f t="shared" si="5"/>
        <v/>
      </c>
    </row>
    <row r="172" spans="1:23" x14ac:dyDescent="0.15">
      <c r="A172" s="14" t="str">
        <f t="shared" si="4"/>
        <v>190001</v>
      </c>
      <c r="C172" s="12" t="e">
        <f>INDEX(基础数据!$A$2:$A$1024,MATCH(转配商关联商!X172,基础数据!$D$2:$D$1024,0))</f>
        <v>#N/A</v>
      </c>
      <c r="E172" s="12" t="e">
        <f>INDEX(基础数据!$B$2:$B$1024,MATCH(转配商关联商!X172,基础数据!$D$2:$D$1024,0))</f>
        <v>#N/A</v>
      </c>
      <c r="G172" s="12" t="e">
        <f>INDEX([1]流向迭代数据!E$2:E$65536,MATCH(转配商关联商!W172,[1]流向迭代数据!M$2:M$65536,0))</f>
        <v>#N/A</v>
      </c>
      <c r="N172" s="12" t="e">
        <f>INDEX([1]流向迭代数据!J$2:J$65536,MATCH(L172,[1]流向迭代数据!H$2:H$65536,0))</f>
        <v>#N/A</v>
      </c>
      <c r="P172" s="14"/>
      <c r="T172" s="12" t="e">
        <f>INDEX([1]流向迭代数据!K$2:K$65536,MATCH(L172,[1]流向迭代数据!H$2:H$65536,0))</f>
        <v>#N/A</v>
      </c>
      <c r="W172" s="12" t="str">
        <f t="shared" si="5"/>
        <v/>
      </c>
    </row>
    <row r="173" spans="1:23" x14ac:dyDescent="0.15">
      <c r="A173" s="14" t="str">
        <f t="shared" si="4"/>
        <v>190001</v>
      </c>
      <c r="C173" s="12" t="e">
        <f>INDEX(基础数据!$A$2:$A$1024,MATCH(转配商关联商!X173,基础数据!$D$2:$D$1024,0))</f>
        <v>#N/A</v>
      </c>
      <c r="E173" s="12" t="e">
        <f>INDEX(基础数据!$B$2:$B$1024,MATCH(转配商关联商!X173,基础数据!$D$2:$D$1024,0))</f>
        <v>#N/A</v>
      </c>
      <c r="G173" s="12" t="e">
        <f>INDEX([1]流向迭代数据!E$2:E$65536,MATCH(转配商关联商!W173,[1]流向迭代数据!M$2:M$65536,0))</f>
        <v>#N/A</v>
      </c>
      <c r="N173" s="12" t="e">
        <f>INDEX([1]流向迭代数据!J$2:J$65536,MATCH(L173,[1]流向迭代数据!H$2:H$65536,0))</f>
        <v>#N/A</v>
      </c>
      <c r="P173" s="14"/>
      <c r="T173" s="12" t="e">
        <f>INDEX([1]流向迭代数据!K$2:K$65536,MATCH(L173,[1]流向迭代数据!H$2:H$65536,0))</f>
        <v>#N/A</v>
      </c>
      <c r="W173" s="12" t="str">
        <f t="shared" si="5"/>
        <v/>
      </c>
    </row>
    <row r="174" spans="1:23" x14ac:dyDescent="0.15">
      <c r="A174" s="14" t="str">
        <f t="shared" si="4"/>
        <v>190001</v>
      </c>
      <c r="C174" s="12" t="e">
        <f>INDEX(基础数据!$A$2:$A$1024,MATCH(转配商关联商!X174,基础数据!$D$2:$D$1024,0))</f>
        <v>#N/A</v>
      </c>
      <c r="E174" s="12" t="e">
        <f>INDEX(基础数据!$B$2:$B$1024,MATCH(转配商关联商!X174,基础数据!$D$2:$D$1024,0))</f>
        <v>#N/A</v>
      </c>
      <c r="G174" s="12" t="e">
        <f>INDEX([1]流向迭代数据!E$2:E$65536,MATCH(转配商关联商!W174,[1]流向迭代数据!M$2:M$65536,0))</f>
        <v>#N/A</v>
      </c>
      <c r="N174" s="12" t="e">
        <f>INDEX([1]流向迭代数据!J$2:J$65536,MATCH(L174,[1]流向迭代数据!H$2:H$65536,0))</f>
        <v>#N/A</v>
      </c>
      <c r="P174" s="14"/>
      <c r="T174" s="12" t="e">
        <f>INDEX([1]流向迭代数据!K$2:K$65536,MATCH(L174,[1]流向迭代数据!H$2:H$65536,0))</f>
        <v>#N/A</v>
      </c>
      <c r="W174" s="12" t="str">
        <f t="shared" si="5"/>
        <v/>
      </c>
    </row>
    <row r="175" spans="1:23" x14ac:dyDescent="0.15">
      <c r="A175" s="14" t="str">
        <f t="shared" si="4"/>
        <v>190001</v>
      </c>
      <c r="C175" s="12" t="e">
        <f>INDEX(基础数据!$A$2:$A$1024,MATCH(转配商关联商!X175,基础数据!$D$2:$D$1024,0))</f>
        <v>#N/A</v>
      </c>
      <c r="E175" s="12" t="e">
        <f>INDEX(基础数据!$B$2:$B$1024,MATCH(转配商关联商!X175,基础数据!$D$2:$D$1024,0))</f>
        <v>#N/A</v>
      </c>
      <c r="G175" s="12" t="e">
        <f>INDEX([1]流向迭代数据!E$2:E$65536,MATCH(转配商关联商!W175,[1]流向迭代数据!M$2:M$65536,0))</f>
        <v>#N/A</v>
      </c>
      <c r="N175" s="12" t="e">
        <f>INDEX([1]流向迭代数据!J$2:J$65536,MATCH(L175,[1]流向迭代数据!H$2:H$65536,0))</f>
        <v>#N/A</v>
      </c>
      <c r="P175" s="14"/>
      <c r="T175" s="12" t="e">
        <f>INDEX([1]流向迭代数据!K$2:K$65536,MATCH(L175,[1]流向迭代数据!H$2:H$65536,0))</f>
        <v>#N/A</v>
      </c>
      <c r="W175" s="12" t="str">
        <f t="shared" si="5"/>
        <v/>
      </c>
    </row>
    <row r="176" spans="1:23" x14ac:dyDescent="0.15">
      <c r="A176" s="14" t="str">
        <f t="shared" si="4"/>
        <v>190001</v>
      </c>
      <c r="C176" s="12" t="e">
        <f>INDEX(基础数据!$A$2:$A$1024,MATCH(转配商关联商!X176,基础数据!$D$2:$D$1024,0))</f>
        <v>#N/A</v>
      </c>
      <c r="E176" s="12" t="e">
        <f>INDEX(基础数据!$B$2:$B$1024,MATCH(转配商关联商!X176,基础数据!$D$2:$D$1024,0))</f>
        <v>#N/A</v>
      </c>
      <c r="G176" s="12" t="e">
        <f>INDEX([1]流向迭代数据!E$2:E$65536,MATCH(转配商关联商!W176,[1]流向迭代数据!M$2:M$65536,0))</f>
        <v>#N/A</v>
      </c>
      <c r="N176" s="12" t="e">
        <f>INDEX([1]流向迭代数据!J$2:J$65536,MATCH(L176,[1]流向迭代数据!H$2:H$65536,0))</f>
        <v>#N/A</v>
      </c>
      <c r="P176" s="14"/>
      <c r="T176" s="12" t="e">
        <f>INDEX([1]流向迭代数据!K$2:K$65536,MATCH(L176,[1]流向迭代数据!H$2:H$65536,0))</f>
        <v>#N/A</v>
      </c>
      <c r="W176" s="12" t="str">
        <f t="shared" si="5"/>
        <v/>
      </c>
    </row>
    <row r="177" spans="1:23" x14ac:dyDescent="0.15">
      <c r="A177" s="14" t="str">
        <f t="shared" si="4"/>
        <v>190001</v>
      </c>
      <c r="C177" s="12" t="e">
        <f>INDEX(基础数据!$A$2:$A$1024,MATCH(转配商关联商!X177,基础数据!$D$2:$D$1024,0))</f>
        <v>#N/A</v>
      </c>
      <c r="E177" s="12" t="e">
        <f>INDEX(基础数据!$B$2:$B$1024,MATCH(转配商关联商!X177,基础数据!$D$2:$D$1024,0))</f>
        <v>#N/A</v>
      </c>
      <c r="G177" s="12" t="e">
        <f>INDEX([1]流向迭代数据!E$2:E$65536,MATCH(转配商关联商!W177,[1]流向迭代数据!M$2:M$65536,0))</f>
        <v>#N/A</v>
      </c>
      <c r="N177" s="12" t="e">
        <f>INDEX([1]流向迭代数据!J$2:J$65536,MATCH(L177,[1]流向迭代数据!H$2:H$65536,0))</f>
        <v>#N/A</v>
      </c>
      <c r="P177" s="14"/>
      <c r="T177" s="12" t="e">
        <f>INDEX([1]流向迭代数据!K$2:K$65536,MATCH(L177,[1]流向迭代数据!H$2:H$65536,0))</f>
        <v>#N/A</v>
      </c>
      <c r="W177" s="12" t="str">
        <f t="shared" si="5"/>
        <v/>
      </c>
    </row>
    <row r="178" spans="1:23" x14ac:dyDescent="0.15">
      <c r="A178" s="14" t="str">
        <f t="shared" si="4"/>
        <v>190001</v>
      </c>
      <c r="C178" s="12" t="e">
        <f>INDEX(基础数据!$A$2:$A$1024,MATCH(转配商关联商!X178,基础数据!$D$2:$D$1024,0))</f>
        <v>#N/A</v>
      </c>
      <c r="E178" s="12" t="e">
        <f>INDEX(基础数据!$B$2:$B$1024,MATCH(转配商关联商!X178,基础数据!$D$2:$D$1024,0))</f>
        <v>#N/A</v>
      </c>
      <c r="G178" s="12" t="e">
        <f>INDEX([1]流向迭代数据!E$2:E$65536,MATCH(转配商关联商!W178,[1]流向迭代数据!M$2:M$65536,0))</f>
        <v>#N/A</v>
      </c>
      <c r="N178" s="12" t="e">
        <f>INDEX([1]流向迭代数据!J$2:J$65536,MATCH(L178,[1]流向迭代数据!H$2:H$65536,0))</f>
        <v>#N/A</v>
      </c>
      <c r="P178" s="14"/>
      <c r="T178" s="12" t="e">
        <f>INDEX([1]流向迭代数据!K$2:K$65536,MATCH(L178,[1]流向迭代数据!H$2:H$65536,0))</f>
        <v>#N/A</v>
      </c>
      <c r="W178" s="12" t="str">
        <f t="shared" si="5"/>
        <v/>
      </c>
    </row>
    <row r="179" spans="1:23" x14ac:dyDescent="0.15">
      <c r="A179" s="14" t="str">
        <f t="shared" si="4"/>
        <v>190001</v>
      </c>
      <c r="C179" s="12" t="e">
        <f>INDEX(基础数据!$A$2:$A$1024,MATCH(转配商关联商!X179,基础数据!$D$2:$D$1024,0))</f>
        <v>#N/A</v>
      </c>
      <c r="E179" s="12" t="e">
        <f>INDEX(基础数据!$B$2:$B$1024,MATCH(转配商关联商!X179,基础数据!$D$2:$D$1024,0))</f>
        <v>#N/A</v>
      </c>
      <c r="G179" s="12" t="e">
        <f>INDEX([1]流向迭代数据!E$2:E$65536,MATCH(转配商关联商!W179,[1]流向迭代数据!M$2:M$65536,0))</f>
        <v>#N/A</v>
      </c>
      <c r="N179" s="12" t="e">
        <f>INDEX([1]流向迭代数据!J$2:J$65536,MATCH(L179,[1]流向迭代数据!H$2:H$65536,0))</f>
        <v>#N/A</v>
      </c>
      <c r="P179" s="14"/>
      <c r="T179" s="12" t="e">
        <f>INDEX([1]流向迭代数据!K$2:K$65536,MATCH(L179,[1]流向迭代数据!H$2:H$65536,0))</f>
        <v>#N/A</v>
      </c>
      <c r="W179" s="12" t="str">
        <f t="shared" si="5"/>
        <v/>
      </c>
    </row>
    <row r="180" spans="1:23" x14ac:dyDescent="0.15">
      <c r="A180" s="14" t="str">
        <f t="shared" si="4"/>
        <v>190001</v>
      </c>
      <c r="C180" s="12" t="e">
        <f>INDEX(基础数据!$A$2:$A$1024,MATCH(转配商关联商!X180,基础数据!$D$2:$D$1024,0))</f>
        <v>#N/A</v>
      </c>
      <c r="E180" s="12" t="e">
        <f>INDEX(基础数据!$B$2:$B$1024,MATCH(转配商关联商!X180,基础数据!$D$2:$D$1024,0))</f>
        <v>#N/A</v>
      </c>
      <c r="G180" s="12" t="e">
        <f>INDEX([1]流向迭代数据!E$2:E$65536,MATCH(转配商关联商!W180,[1]流向迭代数据!M$2:M$65536,0))</f>
        <v>#N/A</v>
      </c>
      <c r="N180" s="12" t="e">
        <f>INDEX([1]流向迭代数据!J$2:J$65536,MATCH(L180,[1]流向迭代数据!H$2:H$65536,0))</f>
        <v>#N/A</v>
      </c>
      <c r="P180" s="14"/>
      <c r="T180" s="12" t="e">
        <f>INDEX([1]流向迭代数据!K$2:K$65536,MATCH(L180,[1]流向迭代数据!H$2:H$65536,0))</f>
        <v>#N/A</v>
      </c>
      <c r="W180" s="12" t="str">
        <f t="shared" si="5"/>
        <v/>
      </c>
    </row>
    <row r="181" spans="1:23" x14ac:dyDescent="0.15">
      <c r="A181" s="14" t="str">
        <f t="shared" si="4"/>
        <v>190001</v>
      </c>
      <c r="C181" s="12" t="e">
        <f>INDEX(基础数据!$A$2:$A$1024,MATCH(转配商关联商!X181,基础数据!$D$2:$D$1024,0))</f>
        <v>#N/A</v>
      </c>
      <c r="E181" s="12" t="e">
        <f>INDEX(基础数据!$B$2:$B$1024,MATCH(转配商关联商!X181,基础数据!$D$2:$D$1024,0))</f>
        <v>#N/A</v>
      </c>
      <c r="G181" s="12" t="e">
        <f>INDEX([1]流向迭代数据!E$2:E$65536,MATCH(转配商关联商!W181,[1]流向迭代数据!M$2:M$65536,0))</f>
        <v>#N/A</v>
      </c>
      <c r="N181" s="12" t="e">
        <f>INDEX([1]流向迭代数据!J$2:J$65536,MATCH(L181,[1]流向迭代数据!H$2:H$65536,0))</f>
        <v>#N/A</v>
      </c>
      <c r="P181" s="14"/>
      <c r="T181" s="12" t="e">
        <f>INDEX([1]流向迭代数据!K$2:K$65536,MATCH(L181,[1]流向迭代数据!H$2:H$65536,0))</f>
        <v>#N/A</v>
      </c>
      <c r="W181" s="12" t="str">
        <f t="shared" si="5"/>
        <v/>
      </c>
    </row>
    <row r="182" spans="1:23" x14ac:dyDescent="0.15">
      <c r="A182" s="14" t="str">
        <f t="shared" si="4"/>
        <v>190001</v>
      </c>
      <c r="C182" s="12" t="e">
        <f>INDEX(基础数据!$A$2:$A$1024,MATCH(转配商关联商!X182,基础数据!$D$2:$D$1024,0))</f>
        <v>#N/A</v>
      </c>
      <c r="E182" s="12" t="e">
        <f>INDEX(基础数据!$B$2:$B$1024,MATCH(转配商关联商!X182,基础数据!$D$2:$D$1024,0))</f>
        <v>#N/A</v>
      </c>
      <c r="G182" s="12" t="e">
        <f>INDEX([1]流向迭代数据!E$2:E$65536,MATCH(转配商关联商!W182,[1]流向迭代数据!M$2:M$65536,0))</f>
        <v>#N/A</v>
      </c>
      <c r="N182" s="12" t="e">
        <f>INDEX([1]流向迭代数据!J$2:J$65536,MATCH(L182,[1]流向迭代数据!H$2:H$65536,0))</f>
        <v>#N/A</v>
      </c>
      <c r="P182" s="14"/>
      <c r="T182" s="12" t="e">
        <f>INDEX([1]流向迭代数据!K$2:K$65536,MATCH(L182,[1]流向迭代数据!H$2:H$65536,0))</f>
        <v>#N/A</v>
      </c>
      <c r="W182" s="12" t="str">
        <f t="shared" si="5"/>
        <v/>
      </c>
    </row>
    <row r="183" spans="1:23" x14ac:dyDescent="0.15">
      <c r="A183" s="14" t="str">
        <f t="shared" si="4"/>
        <v>190001</v>
      </c>
      <c r="C183" s="12" t="e">
        <f>INDEX(基础数据!$A$2:$A$1024,MATCH(转配商关联商!X183,基础数据!$D$2:$D$1024,0))</f>
        <v>#N/A</v>
      </c>
      <c r="E183" s="12" t="e">
        <f>INDEX(基础数据!$B$2:$B$1024,MATCH(转配商关联商!X183,基础数据!$D$2:$D$1024,0))</f>
        <v>#N/A</v>
      </c>
      <c r="G183" s="12" t="e">
        <f>INDEX([1]流向迭代数据!E$2:E$65536,MATCH(转配商关联商!W183,[1]流向迭代数据!M$2:M$65536,0))</f>
        <v>#N/A</v>
      </c>
      <c r="N183" s="12" t="e">
        <f>INDEX([1]流向迭代数据!J$2:J$65536,MATCH(L183,[1]流向迭代数据!H$2:H$65536,0))</f>
        <v>#N/A</v>
      </c>
      <c r="P183" s="14"/>
      <c r="T183" s="12" t="e">
        <f>INDEX([1]流向迭代数据!K$2:K$65536,MATCH(L183,[1]流向迭代数据!H$2:H$65536,0))</f>
        <v>#N/A</v>
      </c>
      <c r="W183" s="12" t="str">
        <f t="shared" si="5"/>
        <v/>
      </c>
    </row>
    <row r="184" spans="1:23" x14ac:dyDescent="0.15">
      <c r="A184" s="14" t="str">
        <f t="shared" si="4"/>
        <v>190001</v>
      </c>
      <c r="C184" s="12" t="e">
        <f>INDEX(基础数据!$A$2:$A$1024,MATCH(转配商关联商!X184,基础数据!$D$2:$D$1024,0))</f>
        <v>#N/A</v>
      </c>
      <c r="E184" s="12" t="e">
        <f>INDEX(基础数据!$B$2:$B$1024,MATCH(转配商关联商!X184,基础数据!$D$2:$D$1024,0))</f>
        <v>#N/A</v>
      </c>
      <c r="G184" s="12" t="e">
        <f>INDEX([1]流向迭代数据!E$2:E$65536,MATCH(转配商关联商!W184,[1]流向迭代数据!M$2:M$65536,0))</f>
        <v>#N/A</v>
      </c>
      <c r="N184" s="12" t="e">
        <f>INDEX([1]流向迭代数据!J$2:J$65536,MATCH(L184,[1]流向迭代数据!H$2:H$65536,0))</f>
        <v>#N/A</v>
      </c>
      <c r="P184" s="14"/>
      <c r="T184" s="12" t="e">
        <f>INDEX([1]流向迭代数据!K$2:K$65536,MATCH(L184,[1]流向迭代数据!H$2:H$65536,0))</f>
        <v>#N/A</v>
      </c>
      <c r="W184" s="12" t="str">
        <f t="shared" si="5"/>
        <v/>
      </c>
    </row>
    <row r="185" spans="1:23" x14ac:dyDescent="0.15">
      <c r="A185" s="14" t="str">
        <f t="shared" si="4"/>
        <v>190001</v>
      </c>
      <c r="C185" s="12" t="e">
        <f>INDEX(基础数据!$A$2:$A$1024,MATCH(转配商关联商!X185,基础数据!$D$2:$D$1024,0))</f>
        <v>#N/A</v>
      </c>
      <c r="E185" s="12" t="e">
        <f>INDEX(基础数据!$B$2:$B$1024,MATCH(转配商关联商!X185,基础数据!$D$2:$D$1024,0))</f>
        <v>#N/A</v>
      </c>
      <c r="G185" s="12" t="e">
        <f>INDEX([1]流向迭代数据!E$2:E$65536,MATCH(转配商关联商!W185,[1]流向迭代数据!M$2:M$65536,0))</f>
        <v>#N/A</v>
      </c>
      <c r="N185" s="12" t="e">
        <f>INDEX([1]流向迭代数据!J$2:J$65536,MATCH(L185,[1]流向迭代数据!H$2:H$65536,0))</f>
        <v>#N/A</v>
      </c>
      <c r="P185" s="14"/>
      <c r="T185" s="12" t="e">
        <f>INDEX([1]流向迭代数据!K$2:K$65536,MATCH(L185,[1]流向迭代数据!H$2:H$65536,0))</f>
        <v>#N/A</v>
      </c>
      <c r="W185" s="12" t="str">
        <f t="shared" si="5"/>
        <v/>
      </c>
    </row>
    <row r="186" spans="1:23" x14ac:dyDescent="0.15">
      <c r="A186" s="14" t="str">
        <f t="shared" si="4"/>
        <v>190001</v>
      </c>
      <c r="C186" s="12" t="e">
        <f>INDEX(基础数据!$A$2:$A$1024,MATCH(转配商关联商!X186,基础数据!$D$2:$D$1024,0))</f>
        <v>#N/A</v>
      </c>
      <c r="E186" s="12" t="e">
        <f>INDEX(基础数据!$B$2:$B$1024,MATCH(转配商关联商!X186,基础数据!$D$2:$D$1024,0))</f>
        <v>#N/A</v>
      </c>
      <c r="G186" s="12" t="e">
        <f>INDEX([1]流向迭代数据!E$2:E$65536,MATCH(转配商关联商!W186,[1]流向迭代数据!M$2:M$65536,0))</f>
        <v>#N/A</v>
      </c>
      <c r="N186" s="12" t="e">
        <f>INDEX([1]流向迭代数据!J$2:J$65536,MATCH(L186,[1]流向迭代数据!H$2:H$65536,0))</f>
        <v>#N/A</v>
      </c>
      <c r="P186" s="14"/>
      <c r="T186" s="12" t="e">
        <f>INDEX([1]流向迭代数据!K$2:K$65536,MATCH(L186,[1]流向迭代数据!H$2:H$65536,0))</f>
        <v>#N/A</v>
      </c>
      <c r="W186" s="12" t="str">
        <f t="shared" si="5"/>
        <v/>
      </c>
    </row>
    <row r="187" spans="1:23" x14ac:dyDescent="0.15">
      <c r="A187" s="14" t="str">
        <f t="shared" si="4"/>
        <v>190001</v>
      </c>
      <c r="C187" s="12" t="e">
        <f>INDEX(基础数据!$A$2:$A$1024,MATCH(转配商关联商!X187,基础数据!$D$2:$D$1024,0))</f>
        <v>#N/A</v>
      </c>
      <c r="E187" s="12" t="e">
        <f>INDEX(基础数据!$B$2:$B$1024,MATCH(转配商关联商!X187,基础数据!$D$2:$D$1024,0))</f>
        <v>#N/A</v>
      </c>
      <c r="G187" s="12" t="e">
        <f>INDEX([1]流向迭代数据!E$2:E$65536,MATCH(转配商关联商!W187,[1]流向迭代数据!M$2:M$65536,0))</f>
        <v>#N/A</v>
      </c>
      <c r="N187" s="12" t="e">
        <f>INDEX([1]流向迭代数据!J$2:J$65536,MATCH(L187,[1]流向迭代数据!H$2:H$65536,0))</f>
        <v>#N/A</v>
      </c>
      <c r="P187" s="14"/>
      <c r="T187" s="12" t="e">
        <f>INDEX([1]流向迭代数据!K$2:K$65536,MATCH(L187,[1]流向迭代数据!H$2:H$65536,0))</f>
        <v>#N/A</v>
      </c>
      <c r="W187" s="12" t="str">
        <f t="shared" si="5"/>
        <v/>
      </c>
    </row>
    <row r="188" spans="1:23" x14ac:dyDescent="0.15">
      <c r="A188" s="14" t="str">
        <f t="shared" si="4"/>
        <v>190001</v>
      </c>
      <c r="C188" s="12" t="e">
        <f>INDEX(基础数据!$A$2:$A$1024,MATCH(转配商关联商!X188,基础数据!$D$2:$D$1024,0))</f>
        <v>#N/A</v>
      </c>
      <c r="E188" s="12" t="e">
        <f>INDEX(基础数据!$B$2:$B$1024,MATCH(转配商关联商!X188,基础数据!$D$2:$D$1024,0))</f>
        <v>#N/A</v>
      </c>
      <c r="G188" s="12" t="e">
        <f>INDEX([1]流向迭代数据!E$2:E$65536,MATCH(转配商关联商!W188,[1]流向迭代数据!M$2:M$65536,0))</f>
        <v>#N/A</v>
      </c>
      <c r="N188" s="12" t="e">
        <f>INDEX([1]流向迭代数据!J$2:J$65536,MATCH(L188,[1]流向迭代数据!H$2:H$65536,0))</f>
        <v>#N/A</v>
      </c>
      <c r="P188" s="14"/>
      <c r="T188" s="12" t="e">
        <f>INDEX([1]流向迭代数据!K$2:K$65536,MATCH(L188,[1]流向迭代数据!H$2:H$65536,0))</f>
        <v>#N/A</v>
      </c>
      <c r="W188" s="12" t="str">
        <f t="shared" si="5"/>
        <v/>
      </c>
    </row>
    <row r="189" spans="1:23" x14ac:dyDescent="0.15">
      <c r="A189" s="14" t="str">
        <f t="shared" si="4"/>
        <v>190001</v>
      </c>
      <c r="C189" s="12" t="e">
        <f>INDEX(基础数据!$A$2:$A$1024,MATCH(转配商关联商!X189,基础数据!$D$2:$D$1024,0))</f>
        <v>#N/A</v>
      </c>
      <c r="E189" s="12" t="e">
        <f>INDEX(基础数据!$B$2:$B$1024,MATCH(转配商关联商!X189,基础数据!$D$2:$D$1024,0))</f>
        <v>#N/A</v>
      </c>
      <c r="G189" s="12" t="e">
        <f>INDEX([1]流向迭代数据!E$2:E$65536,MATCH(转配商关联商!W189,[1]流向迭代数据!M$2:M$65536,0))</f>
        <v>#N/A</v>
      </c>
      <c r="N189" s="12" t="e">
        <f>INDEX([1]流向迭代数据!J$2:J$65536,MATCH(L189,[1]流向迭代数据!H$2:H$65536,0))</f>
        <v>#N/A</v>
      </c>
      <c r="P189" s="14"/>
      <c r="T189" s="12" t="e">
        <f>INDEX([1]流向迭代数据!K$2:K$65536,MATCH(L189,[1]流向迭代数据!H$2:H$65536,0))</f>
        <v>#N/A</v>
      </c>
      <c r="W189" s="12" t="str">
        <f t="shared" si="5"/>
        <v/>
      </c>
    </row>
    <row r="190" spans="1:23" x14ac:dyDescent="0.15">
      <c r="A190" s="14" t="str">
        <f t="shared" si="4"/>
        <v>190001</v>
      </c>
      <c r="C190" s="12" t="e">
        <f>INDEX(基础数据!$A$2:$A$1024,MATCH(转配商关联商!X190,基础数据!$D$2:$D$1024,0))</f>
        <v>#N/A</v>
      </c>
      <c r="E190" s="12" t="e">
        <f>INDEX(基础数据!$B$2:$B$1024,MATCH(转配商关联商!X190,基础数据!$D$2:$D$1024,0))</f>
        <v>#N/A</v>
      </c>
      <c r="G190" s="12" t="e">
        <f>INDEX([1]流向迭代数据!E$2:E$65536,MATCH(转配商关联商!W190,[1]流向迭代数据!M$2:M$65536,0))</f>
        <v>#N/A</v>
      </c>
      <c r="N190" s="12" t="e">
        <f>INDEX([1]流向迭代数据!J$2:J$65536,MATCH(L190,[1]流向迭代数据!H$2:H$65536,0))</f>
        <v>#N/A</v>
      </c>
      <c r="P190" s="14"/>
      <c r="T190" s="12" t="e">
        <f>INDEX([1]流向迭代数据!K$2:K$65536,MATCH(L190,[1]流向迭代数据!H$2:H$65536,0))</f>
        <v>#N/A</v>
      </c>
      <c r="W190" s="12" t="str">
        <f t="shared" si="5"/>
        <v/>
      </c>
    </row>
    <row r="191" spans="1:23" x14ac:dyDescent="0.15">
      <c r="A191" s="14" t="str">
        <f t="shared" si="4"/>
        <v>190001</v>
      </c>
      <c r="C191" s="12" t="e">
        <f>INDEX(基础数据!$A$2:$A$1024,MATCH(转配商关联商!X191,基础数据!$D$2:$D$1024,0))</f>
        <v>#N/A</v>
      </c>
      <c r="E191" s="12" t="e">
        <f>INDEX(基础数据!$B$2:$B$1024,MATCH(转配商关联商!X191,基础数据!$D$2:$D$1024,0))</f>
        <v>#N/A</v>
      </c>
      <c r="G191" s="12" t="e">
        <f>INDEX([1]流向迭代数据!E$2:E$65536,MATCH(转配商关联商!W191,[1]流向迭代数据!M$2:M$65536,0))</f>
        <v>#N/A</v>
      </c>
      <c r="N191" s="12" t="e">
        <f>INDEX([1]流向迭代数据!J$2:J$65536,MATCH(L191,[1]流向迭代数据!H$2:H$65536,0))</f>
        <v>#N/A</v>
      </c>
      <c r="P191" s="14"/>
      <c r="T191" s="12" t="e">
        <f>INDEX([1]流向迭代数据!K$2:K$65536,MATCH(L191,[1]流向迭代数据!H$2:H$65536,0))</f>
        <v>#N/A</v>
      </c>
      <c r="W191" s="12" t="str">
        <f t="shared" si="5"/>
        <v/>
      </c>
    </row>
    <row r="192" spans="1:23" x14ac:dyDescent="0.15">
      <c r="A192" s="14" t="str">
        <f t="shared" si="4"/>
        <v>190001</v>
      </c>
      <c r="C192" s="12" t="e">
        <f>INDEX(基础数据!$A$2:$A$1024,MATCH(转配商关联商!X192,基础数据!$D$2:$D$1024,0))</f>
        <v>#N/A</v>
      </c>
      <c r="E192" s="12" t="e">
        <f>INDEX(基础数据!$B$2:$B$1024,MATCH(转配商关联商!X192,基础数据!$D$2:$D$1024,0))</f>
        <v>#N/A</v>
      </c>
      <c r="G192" s="12" t="e">
        <f>INDEX([1]流向迭代数据!E$2:E$65536,MATCH(转配商关联商!W192,[1]流向迭代数据!M$2:M$65536,0))</f>
        <v>#N/A</v>
      </c>
      <c r="N192" s="12" t="e">
        <f>INDEX([1]流向迭代数据!J$2:J$65536,MATCH(L192,[1]流向迭代数据!H$2:H$65536,0))</f>
        <v>#N/A</v>
      </c>
      <c r="P192" s="14"/>
      <c r="T192" s="12" t="e">
        <f>INDEX([1]流向迭代数据!K$2:K$65536,MATCH(L192,[1]流向迭代数据!H$2:H$65536,0))</f>
        <v>#N/A</v>
      </c>
      <c r="W192" s="12" t="str">
        <f t="shared" si="5"/>
        <v/>
      </c>
    </row>
    <row r="193" spans="1:23" x14ac:dyDescent="0.15">
      <c r="A193" s="14" t="str">
        <f t="shared" si="4"/>
        <v>190001</v>
      </c>
      <c r="C193" s="12" t="e">
        <f>INDEX(基础数据!$A$2:$A$1024,MATCH(转配商关联商!X193,基础数据!$D$2:$D$1024,0))</f>
        <v>#N/A</v>
      </c>
      <c r="E193" s="12" t="e">
        <f>INDEX(基础数据!$B$2:$B$1024,MATCH(转配商关联商!X193,基础数据!$D$2:$D$1024,0))</f>
        <v>#N/A</v>
      </c>
      <c r="G193" s="12" t="e">
        <f>INDEX([1]流向迭代数据!E$2:E$65536,MATCH(转配商关联商!W193,[1]流向迭代数据!M$2:M$65536,0))</f>
        <v>#N/A</v>
      </c>
      <c r="N193" s="12" t="e">
        <f>INDEX([1]流向迭代数据!J$2:J$65536,MATCH(L193,[1]流向迭代数据!H$2:H$65536,0))</f>
        <v>#N/A</v>
      </c>
      <c r="P193" s="14"/>
      <c r="T193" s="12" t="e">
        <f>INDEX([1]流向迭代数据!K$2:K$65536,MATCH(L193,[1]流向迭代数据!H$2:H$65536,0))</f>
        <v>#N/A</v>
      </c>
      <c r="W193" s="12" t="str">
        <f t="shared" si="5"/>
        <v/>
      </c>
    </row>
    <row r="194" spans="1:23" x14ac:dyDescent="0.15">
      <c r="A194" s="14" t="str">
        <f t="shared" si="4"/>
        <v>190001</v>
      </c>
      <c r="C194" s="12" t="e">
        <f>INDEX(基础数据!$A$2:$A$1024,MATCH(转配商关联商!X194,基础数据!$D$2:$D$1024,0))</f>
        <v>#N/A</v>
      </c>
      <c r="E194" s="12" t="e">
        <f>INDEX(基础数据!$B$2:$B$1024,MATCH(转配商关联商!X194,基础数据!$D$2:$D$1024,0))</f>
        <v>#N/A</v>
      </c>
      <c r="G194" s="12" t="e">
        <f>INDEX([1]流向迭代数据!E$2:E$65536,MATCH(转配商关联商!W194,[1]流向迭代数据!M$2:M$65536,0))</f>
        <v>#N/A</v>
      </c>
      <c r="N194" s="12" t="e">
        <f>INDEX([1]流向迭代数据!J$2:J$65536,MATCH(L194,[1]流向迭代数据!H$2:H$65536,0))</f>
        <v>#N/A</v>
      </c>
      <c r="P194" s="14"/>
      <c r="T194" s="12" t="e">
        <f>INDEX([1]流向迭代数据!K$2:K$65536,MATCH(L194,[1]流向迭代数据!H$2:H$65536,0))</f>
        <v>#N/A</v>
      </c>
      <c r="W194" s="12" t="str">
        <f t="shared" si="5"/>
        <v/>
      </c>
    </row>
    <row r="195" spans="1:23" x14ac:dyDescent="0.15">
      <c r="A195" s="14" t="str">
        <f t="shared" ref="A195:A258" si="6">IF(MONTH(P195)&lt;10,YEAR(P195)&amp;"0"&amp;MONTH(P195),YEAR(P195)&amp;MONTH(P195))</f>
        <v>190001</v>
      </c>
      <c r="C195" s="12" t="e">
        <f>INDEX(基础数据!$A$2:$A$1024,MATCH(转配商关联商!X195,基础数据!$D$2:$D$1024,0))</f>
        <v>#N/A</v>
      </c>
      <c r="E195" s="12" t="e">
        <f>INDEX(基础数据!$B$2:$B$1024,MATCH(转配商关联商!X195,基础数据!$D$2:$D$1024,0))</f>
        <v>#N/A</v>
      </c>
      <c r="G195" s="12" t="e">
        <f>INDEX([1]流向迭代数据!E$2:E$65536,MATCH(转配商关联商!W195,[1]流向迭代数据!M$2:M$65536,0))</f>
        <v>#N/A</v>
      </c>
      <c r="N195" s="12" t="e">
        <f>INDEX([1]流向迭代数据!J$2:J$65536,MATCH(L195,[1]流向迭代数据!H$2:H$65536,0))</f>
        <v>#N/A</v>
      </c>
      <c r="P195" s="14"/>
      <c r="T195" s="12" t="e">
        <f>INDEX([1]流向迭代数据!K$2:K$65536,MATCH(L195,[1]流向迭代数据!H$2:H$65536,0))</f>
        <v>#N/A</v>
      </c>
      <c r="W195" s="12" t="str">
        <f t="shared" ref="W195:W258" si="7">H195&amp;I195</f>
        <v/>
      </c>
    </row>
    <row r="196" spans="1:23" x14ac:dyDescent="0.15">
      <c r="A196" s="14" t="str">
        <f t="shared" si="6"/>
        <v>190001</v>
      </c>
      <c r="C196" s="12" t="e">
        <f>INDEX(基础数据!$A$2:$A$1024,MATCH(转配商关联商!X196,基础数据!$D$2:$D$1024,0))</f>
        <v>#N/A</v>
      </c>
      <c r="E196" s="12" t="e">
        <f>INDEX(基础数据!$B$2:$B$1024,MATCH(转配商关联商!X196,基础数据!$D$2:$D$1024,0))</f>
        <v>#N/A</v>
      </c>
      <c r="G196" s="12" t="e">
        <f>INDEX([1]流向迭代数据!E$2:E$65536,MATCH(转配商关联商!W196,[1]流向迭代数据!M$2:M$65536,0))</f>
        <v>#N/A</v>
      </c>
      <c r="N196" s="12" t="e">
        <f>INDEX([1]流向迭代数据!J$2:J$65536,MATCH(L196,[1]流向迭代数据!H$2:H$65536,0))</f>
        <v>#N/A</v>
      </c>
      <c r="P196" s="14"/>
      <c r="T196" s="12" t="e">
        <f>INDEX([1]流向迭代数据!K$2:K$65536,MATCH(L196,[1]流向迭代数据!H$2:H$65536,0))</f>
        <v>#N/A</v>
      </c>
      <c r="W196" s="12" t="str">
        <f t="shared" si="7"/>
        <v/>
      </c>
    </row>
    <row r="197" spans="1:23" x14ac:dyDescent="0.15">
      <c r="A197" s="14" t="str">
        <f t="shared" si="6"/>
        <v>190001</v>
      </c>
      <c r="C197" s="12" t="e">
        <f>INDEX(基础数据!$A$2:$A$1024,MATCH(转配商关联商!X197,基础数据!$D$2:$D$1024,0))</f>
        <v>#N/A</v>
      </c>
      <c r="E197" s="12" t="e">
        <f>INDEX(基础数据!$B$2:$B$1024,MATCH(转配商关联商!X197,基础数据!$D$2:$D$1024,0))</f>
        <v>#N/A</v>
      </c>
      <c r="G197" s="12" t="e">
        <f>INDEX([1]流向迭代数据!E$2:E$65536,MATCH(转配商关联商!W197,[1]流向迭代数据!M$2:M$65536,0))</f>
        <v>#N/A</v>
      </c>
      <c r="N197" s="12" t="e">
        <f>INDEX([1]流向迭代数据!J$2:J$65536,MATCH(L197,[1]流向迭代数据!H$2:H$65536,0))</f>
        <v>#N/A</v>
      </c>
      <c r="P197" s="14"/>
      <c r="T197" s="12" t="e">
        <f>INDEX([1]流向迭代数据!K$2:K$65536,MATCH(L197,[1]流向迭代数据!H$2:H$65536,0))</f>
        <v>#N/A</v>
      </c>
      <c r="W197" s="12" t="str">
        <f t="shared" si="7"/>
        <v/>
      </c>
    </row>
    <row r="198" spans="1:23" x14ac:dyDescent="0.15">
      <c r="A198" s="14" t="str">
        <f t="shared" si="6"/>
        <v>190001</v>
      </c>
      <c r="C198" s="12" t="e">
        <f>INDEX(基础数据!$A$2:$A$1024,MATCH(转配商关联商!X198,基础数据!$D$2:$D$1024,0))</f>
        <v>#N/A</v>
      </c>
      <c r="E198" s="12" t="e">
        <f>INDEX(基础数据!$B$2:$B$1024,MATCH(转配商关联商!X198,基础数据!$D$2:$D$1024,0))</f>
        <v>#N/A</v>
      </c>
      <c r="G198" s="12" t="e">
        <f>INDEX([1]流向迭代数据!E$2:E$65536,MATCH(转配商关联商!W198,[1]流向迭代数据!M$2:M$65536,0))</f>
        <v>#N/A</v>
      </c>
      <c r="N198" s="12" t="e">
        <f>INDEX([1]流向迭代数据!J$2:J$65536,MATCH(L198,[1]流向迭代数据!H$2:H$65536,0))</f>
        <v>#N/A</v>
      </c>
      <c r="P198" s="14"/>
      <c r="T198" s="12" t="e">
        <f>INDEX([1]流向迭代数据!K$2:K$65536,MATCH(L198,[1]流向迭代数据!H$2:H$65536,0))</f>
        <v>#N/A</v>
      </c>
      <c r="W198" s="12" t="str">
        <f t="shared" si="7"/>
        <v/>
      </c>
    </row>
    <row r="199" spans="1:23" x14ac:dyDescent="0.15">
      <c r="A199" s="14" t="str">
        <f t="shared" si="6"/>
        <v>190001</v>
      </c>
      <c r="C199" s="12" t="e">
        <f>INDEX(基础数据!$A$2:$A$1024,MATCH(转配商关联商!X199,基础数据!$D$2:$D$1024,0))</f>
        <v>#N/A</v>
      </c>
      <c r="E199" s="12" t="e">
        <f>INDEX(基础数据!$B$2:$B$1024,MATCH(转配商关联商!X199,基础数据!$D$2:$D$1024,0))</f>
        <v>#N/A</v>
      </c>
      <c r="G199" s="12" t="e">
        <f>INDEX([1]流向迭代数据!E$2:E$65536,MATCH(转配商关联商!W199,[1]流向迭代数据!M$2:M$65536,0))</f>
        <v>#N/A</v>
      </c>
      <c r="N199" s="12" t="e">
        <f>INDEX([1]流向迭代数据!J$2:J$65536,MATCH(L199,[1]流向迭代数据!H$2:H$65536,0))</f>
        <v>#N/A</v>
      </c>
      <c r="P199" s="14"/>
      <c r="T199" s="12" t="e">
        <f>INDEX([1]流向迭代数据!K$2:K$65536,MATCH(L199,[1]流向迭代数据!H$2:H$65536,0))</f>
        <v>#N/A</v>
      </c>
      <c r="W199" s="12" t="str">
        <f t="shared" si="7"/>
        <v/>
      </c>
    </row>
    <row r="200" spans="1:23" x14ac:dyDescent="0.15">
      <c r="A200" s="14" t="str">
        <f t="shared" si="6"/>
        <v>190001</v>
      </c>
      <c r="C200" s="12" t="e">
        <f>INDEX(基础数据!$A$2:$A$1024,MATCH(转配商关联商!X200,基础数据!$D$2:$D$1024,0))</f>
        <v>#N/A</v>
      </c>
      <c r="E200" s="12" t="e">
        <f>INDEX(基础数据!$B$2:$B$1024,MATCH(转配商关联商!X200,基础数据!$D$2:$D$1024,0))</f>
        <v>#N/A</v>
      </c>
      <c r="G200" s="12" t="e">
        <f>INDEX([1]流向迭代数据!E$2:E$65536,MATCH(转配商关联商!W200,[1]流向迭代数据!M$2:M$65536,0))</f>
        <v>#N/A</v>
      </c>
      <c r="N200" s="12" t="e">
        <f>INDEX([1]流向迭代数据!J$2:J$65536,MATCH(L200,[1]流向迭代数据!H$2:H$65536,0))</f>
        <v>#N/A</v>
      </c>
      <c r="P200" s="14"/>
      <c r="T200" s="12" t="e">
        <f>INDEX([1]流向迭代数据!K$2:K$65536,MATCH(L200,[1]流向迭代数据!H$2:H$65536,0))</f>
        <v>#N/A</v>
      </c>
      <c r="W200" s="12" t="str">
        <f t="shared" si="7"/>
        <v/>
      </c>
    </row>
    <row r="201" spans="1:23" x14ac:dyDescent="0.15">
      <c r="A201" s="14" t="str">
        <f t="shared" si="6"/>
        <v>190001</v>
      </c>
      <c r="C201" s="12" t="e">
        <f>INDEX(基础数据!$A$2:$A$1024,MATCH(转配商关联商!X201,基础数据!$D$2:$D$1024,0))</f>
        <v>#N/A</v>
      </c>
      <c r="E201" s="12" t="e">
        <f>INDEX(基础数据!$B$2:$B$1024,MATCH(转配商关联商!X201,基础数据!$D$2:$D$1024,0))</f>
        <v>#N/A</v>
      </c>
      <c r="G201" s="12" t="e">
        <f>INDEX([1]流向迭代数据!E$2:E$65536,MATCH(转配商关联商!W201,[1]流向迭代数据!M$2:M$65536,0))</f>
        <v>#N/A</v>
      </c>
      <c r="N201" s="12" t="e">
        <f>INDEX([1]流向迭代数据!J$2:J$65536,MATCH(L201,[1]流向迭代数据!H$2:H$65536,0))</f>
        <v>#N/A</v>
      </c>
      <c r="P201" s="14"/>
      <c r="T201" s="12" t="e">
        <f>INDEX([1]流向迭代数据!K$2:K$65536,MATCH(L201,[1]流向迭代数据!H$2:H$65536,0))</f>
        <v>#N/A</v>
      </c>
      <c r="W201" s="12" t="str">
        <f t="shared" si="7"/>
        <v/>
      </c>
    </row>
    <row r="202" spans="1:23" x14ac:dyDescent="0.15">
      <c r="A202" s="14" t="str">
        <f t="shared" si="6"/>
        <v>190001</v>
      </c>
      <c r="C202" s="12" t="e">
        <f>INDEX(基础数据!$A$2:$A$1024,MATCH(转配商关联商!X202,基础数据!$D$2:$D$1024,0))</f>
        <v>#N/A</v>
      </c>
      <c r="E202" s="12" t="e">
        <f>INDEX(基础数据!$B$2:$B$1024,MATCH(转配商关联商!X202,基础数据!$D$2:$D$1024,0))</f>
        <v>#N/A</v>
      </c>
      <c r="G202" s="12" t="e">
        <f>INDEX([1]流向迭代数据!E$2:E$65536,MATCH(转配商关联商!W202,[1]流向迭代数据!M$2:M$65536,0))</f>
        <v>#N/A</v>
      </c>
      <c r="N202" s="12" t="e">
        <f>INDEX([1]流向迭代数据!J$2:J$65536,MATCH(L202,[1]流向迭代数据!H$2:H$65536,0))</f>
        <v>#N/A</v>
      </c>
      <c r="P202" s="14"/>
      <c r="T202" s="12" t="e">
        <f>INDEX([1]流向迭代数据!K$2:K$65536,MATCH(L202,[1]流向迭代数据!H$2:H$65536,0))</f>
        <v>#N/A</v>
      </c>
      <c r="W202" s="12" t="str">
        <f t="shared" si="7"/>
        <v/>
      </c>
    </row>
    <row r="203" spans="1:23" x14ac:dyDescent="0.15">
      <c r="A203" s="14" t="str">
        <f t="shared" si="6"/>
        <v>190001</v>
      </c>
      <c r="C203" s="12" t="e">
        <f>INDEX(基础数据!$A$2:$A$1024,MATCH(转配商关联商!X203,基础数据!$D$2:$D$1024,0))</f>
        <v>#N/A</v>
      </c>
      <c r="E203" s="12" t="e">
        <f>INDEX(基础数据!$B$2:$B$1024,MATCH(转配商关联商!X203,基础数据!$D$2:$D$1024,0))</f>
        <v>#N/A</v>
      </c>
      <c r="G203" s="12" t="e">
        <f>INDEX([1]流向迭代数据!E$2:E$65536,MATCH(转配商关联商!W203,[1]流向迭代数据!M$2:M$65536,0))</f>
        <v>#N/A</v>
      </c>
      <c r="N203" s="12" t="e">
        <f>INDEX([1]流向迭代数据!J$2:J$65536,MATCH(L203,[1]流向迭代数据!H$2:H$65536,0))</f>
        <v>#N/A</v>
      </c>
      <c r="P203" s="14"/>
      <c r="T203" s="12" t="e">
        <f>INDEX([1]流向迭代数据!K$2:K$65536,MATCH(L203,[1]流向迭代数据!H$2:H$65536,0))</f>
        <v>#N/A</v>
      </c>
      <c r="W203" s="12" t="str">
        <f t="shared" si="7"/>
        <v/>
      </c>
    </row>
    <row r="204" spans="1:23" x14ac:dyDescent="0.15">
      <c r="A204" s="14" t="str">
        <f t="shared" si="6"/>
        <v>190001</v>
      </c>
      <c r="C204" s="12" t="e">
        <f>INDEX(基础数据!$A$2:$A$1024,MATCH(转配商关联商!X204,基础数据!$D$2:$D$1024,0))</f>
        <v>#N/A</v>
      </c>
      <c r="E204" s="12" t="e">
        <f>INDEX(基础数据!$B$2:$B$1024,MATCH(转配商关联商!X204,基础数据!$D$2:$D$1024,0))</f>
        <v>#N/A</v>
      </c>
      <c r="G204" s="12" t="e">
        <f>INDEX([1]流向迭代数据!E$2:E$65536,MATCH(转配商关联商!W204,[1]流向迭代数据!M$2:M$65536,0))</f>
        <v>#N/A</v>
      </c>
      <c r="N204" s="12" t="e">
        <f>INDEX([1]流向迭代数据!J$2:J$65536,MATCH(L204,[1]流向迭代数据!H$2:H$65536,0))</f>
        <v>#N/A</v>
      </c>
      <c r="P204" s="14"/>
      <c r="T204" s="12" t="e">
        <f>INDEX([1]流向迭代数据!K$2:K$65536,MATCH(L204,[1]流向迭代数据!H$2:H$65536,0))</f>
        <v>#N/A</v>
      </c>
      <c r="W204" s="12" t="str">
        <f t="shared" si="7"/>
        <v/>
      </c>
    </row>
    <row r="205" spans="1:23" x14ac:dyDescent="0.15">
      <c r="A205" s="14" t="str">
        <f t="shared" si="6"/>
        <v>190001</v>
      </c>
      <c r="C205" s="12" t="e">
        <f>INDEX(基础数据!$A$2:$A$1024,MATCH(转配商关联商!X205,基础数据!$D$2:$D$1024,0))</f>
        <v>#N/A</v>
      </c>
      <c r="E205" s="12" t="e">
        <f>INDEX(基础数据!$B$2:$B$1024,MATCH(转配商关联商!X205,基础数据!$D$2:$D$1024,0))</f>
        <v>#N/A</v>
      </c>
      <c r="G205" s="12" t="e">
        <f>INDEX([1]流向迭代数据!E$2:E$65536,MATCH(转配商关联商!W205,[1]流向迭代数据!M$2:M$65536,0))</f>
        <v>#N/A</v>
      </c>
      <c r="N205" s="12" t="e">
        <f>INDEX([1]流向迭代数据!J$2:J$65536,MATCH(L205,[1]流向迭代数据!H$2:H$65536,0))</f>
        <v>#N/A</v>
      </c>
      <c r="P205" s="14"/>
      <c r="T205" s="12" t="e">
        <f>INDEX([1]流向迭代数据!K$2:K$65536,MATCH(L205,[1]流向迭代数据!H$2:H$65536,0))</f>
        <v>#N/A</v>
      </c>
      <c r="W205" s="12" t="str">
        <f t="shared" si="7"/>
        <v/>
      </c>
    </row>
    <row r="206" spans="1:23" x14ac:dyDescent="0.15">
      <c r="A206" s="14" t="str">
        <f t="shared" si="6"/>
        <v>190001</v>
      </c>
      <c r="C206" s="12" t="e">
        <f>INDEX(基础数据!$A$2:$A$1024,MATCH(转配商关联商!X206,基础数据!$D$2:$D$1024,0))</f>
        <v>#N/A</v>
      </c>
      <c r="E206" s="12" t="e">
        <f>INDEX(基础数据!$B$2:$B$1024,MATCH(转配商关联商!X206,基础数据!$D$2:$D$1024,0))</f>
        <v>#N/A</v>
      </c>
      <c r="G206" s="12" t="e">
        <f>INDEX([1]流向迭代数据!E$2:E$65536,MATCH(转配商关联商!W206,[1]流向迭代数据!M$2:M$65536,0))</f>
        <v>#N/A</v>
      </c>
      <c r="N206" s="12" t="e">
        <f>INDEX([1]流向迭代数据!J$2:J$65536,MATCH(L206,[1]流向迭代数据!H$2:H$65536,0))</f>
        <v>#N/A</v>
      </c>
      <c r="P206" s="14"/>
      <c r="T206" s="12" t="e">
        <f>INDEX([1]流向迭代数据!K$2:K$65536,MATCH(L206,[1]流向迭代数据!H$2:H$65536,0))</f>
        <v>#N/A</v>
      </c>
      <c r="W206" s="12" t="str">
        <f t="shared" si="7"/>
        <v/>
      </c>
    </row>
    <row r="207" spans="1:23" x14ac:dyDescent="0.15">
      <c r="A207" s="14" t="str">
        <f t="shared" si="6"/>
        <v>190001</v>
      </c>
      <c r="C207" s="12" t="e">
        <f>INDEX(基础数据!$A$2:$A$1024,MATCH(转配商关联商!X207,基础数据!$D$2:$D$1024,0))</f>
        <v>#N/A</v>
      </c>
      <c r="E207" s="12" t="e">
        <f>INDEX(基础数据!$B$2:$B$1024,MATCH(转配商关联商!X207,基础数据!$D$2:$D$1024,0))</f>
        <v>#N/A</v>
      </c>
      <c r="G207" s="12" t="e">
        <f>INDEX([1]流向迭代数据!E$2:E$65536,MATCH(转配商关联商!W207,[1]流向迭代数据!M$2:M$65536,0))</f>
        <v>#N/A</v>
      </c>
      <c r="N207" s="12" t="e">
        <f>INDEX([1]流向迭代数据!J$2:J$65536,MATCH(L207,[1]流向迭代数据!H$2:H$65536,0))</f>
        <v>#N/A</v>
      </c>
      <c r="P207" s="14"/>
      <c r="T207" s="12" t="e">
        <f>INDEX([1]流向迭代数据!K$2:K$65536,MATCH(L207,[1]流向迭代数据!H$2:H$65536,0))</f>
        <v>#N/A</v>
      </c>
      <c r="W207" s="12" t="str">
        <f t="shared" si="7"/>
        <v/>
      </c>
    </row>
    <row r="208" spans="1:23" x14ac:dyDescent="0.15">
      <c r="A208" s="14" t="str">
        <f t="shared" si="6"/>
        <v>190001</v>
      </c>
      <c r="C208" s="12" t="e">
        <f>INDEX(基础数据!$A$2:$A$1024,MATCH(转配商关联商!X208,基础数据!$D$2:$D$1024,0))</f>
        <v>#N/A</v>
      </c>
      <c r="E208" s="12" t="e">
        <f>INDEX(基础数据!$B$2:$B$1024,MATCH(转配商关联商!X208,基础数据!$D$2:$D$1024,0))</f>
        <v>#N/A</v>
      </c>
      <c r="G208" s="12" t="e">
        <f>INDEX([1]流向迭代数据!E$2:E$65536,MATCH(转配商关联商!W208,[1]流向迭代数据!M$2:M$65536,0))</f>
        <v>#N/A</v>
      </c>
      <c r="N208" s="12" t="e">
        <f>INDEX([1]流向迭代数据!J$2:J$65536,MATCH(L208,[1]流向迭代数据!H$2:H$65536,0))</f>
        <v>#N/A</v>
      </c>
      <c r="P208" s="14"/>
      <c r="T208" s="12" t="e">
        <f>INDEX([1]流向迭代数据!K$2:K$65536,MATCH(L208,[1]流向迭代数据!H$2:H$65536,0))</f>
        <v>#N/A</v>
      </c>
      <c r="W208" s="12" t="str">
        <f t="shared" si="7"/>
        <v/>
      </c>
    </row>
    <row r="209" spans="1:23" x14ac:dyDescent="0.15">
      <c r="A209" s="14" t="str">
        <f t="shared" si="6"/>
        <v>190001</v>
      </c>
      <c r="C209" s="12" t="e">
        <f>INDEX(基础数据!$A$2:$A$1024,MATCH(转配商关联商!X209,基础数据!$D$2:$D$1024,0))</f>
        <v>#N/A</v>
      </c>
      <c r="E209" s="12" t="e">
        <f>INDEX(基础数据!$B$2:$B$1024,MATCH(转配商关联商!X209,基础数据!$D$2:$D$1024,0))</f>
        <v>#N/A</v>
      </c>
      <c r="G209" s="12" t="e">
        <f>INDEX([1]流向迭代数据!E$2:E$65536,MATCH(转配商关联商!W209,[1]流向迭代数据!M$2:M$65536,0))</f>
        <v>#N/A</v>
      </c>
      <c r="N209" s="12" t="e">
        <f>INDEX([1]流向迭代数据!J$2:J$65536,MATCH(L209,[1]流向迭代数据!H$2:H$65536,0))</f>
        <v>#N/A</v>
      </c>
      <c r="P209" s="14"/>
      <c r="T209" s="12" t="e">
        <f>INDEX([1]流向迭代数据!K$2:K$65536,MATCH(L209,[1]流向迭代数据!H$2:H$65536,0))</f>
        <v>#N/A</v>
      </c>
      <c r="W209" s="12" t="str">
        <f t="shared" si="7"/>
        <v/>
      </c>
    </row>
    <row r="210" spans="1:23" x14ac:dyDescent="0.15">
      <c r="A210" s="14" t="str">
        <f t="shared" si="6"/>
        <v>190001</v>
      </c>
      <c r="C210" s="12" t="e">
        <f>INDEX(基础数据!$A$2:$A$1024,MATCH(转配商关联商!X210,基础数据!$D$2:$D$1024,0))</f>
        <v>#N/A</v>
      </c>
      <c r="E210" s="12" t="e">
        <f>INDEX(基础数据!$B$2:$B$1024,MATCH(转配商关联商!X210,基础数据!$D$2:$D$1024,0))</f>
        <v>#N/A</v>
      </c>
      <c r="G210" s="12" t="e">
        <f>INDEX([1]流向迭代数据!E$2:E$65536,MATCH(转配商关联商!W210,[1]流向迭代数据!M$2:M$65536,0))</f>
        <v>#N/A</v>
      </c>
      <c r="N210" s="12" t="e">
        <f>INDEX([1]流向迭代数据!J$2:J$65536,MATCH(L210,[1]流向迭代数据!H$2:H$65536,0))</f>
        <v>#N/A</v>
      </c>
      <c r="P210" s="14"/>
      <c r="T210" s="12" t="e">
        <f>INDEX([1]流向迭代数据!K$2:K$65536,MATCH(L210,[1]流向迭代数据!H$2:H$65536,0))</f>
        <v>#N/A</v>
      </c>
      <c r="W210" s="12" t="str">
        <f t="shared" si="7"/>
        <v/>
      </c>
    </row>
    <row r="211" spans="1:23" x14ac:dyDescent="0.15">
      <c r="A211" s="14" t="str">
        <f t="shared" si="6"/>
        <v>190001</v>
      </c>
      <c r="C211" s="12" t="e">
        <f>INDEX(基础数据!$A$2:$A$1024,MATCH(转配商关联商!X211,基础数据!$D$2:$D$1024,0))</f>
        <v>#N/A</v>
      </c>
      <c r="E211" s="12" t="e">
        <f>INDEX(基础数据!$B$2:$B$1024,MATCH(转配商关联商!X211,基础数据!$D$2:$D$1024,0))</f>
        <v>#N/A</v>
      </c>
      <c r="G211" s="12" t="e">
        <f>INDEX([1]流向迭代数据!E$2:E$65536,MATCH(转配商关联商!W211,[1]流向迭代数据!M$2:M$65536,0))</f>
        <v>#N/A</v>
      </c>
      <c r="N211" s="12" t="e">
        <f>INDEX([1]流向迭代数据!J$2:J$65536,MATCH(L211,[1]流向迭代数据!H$2:H$65536,0))</f>
        <v>#N/A</v>
      </c>
      <c r="P211" s="14"/>
      <c r="T211" s="12" t="e">
        <f>INDEX([1]流向迭代数据!K$2:K$65536,MATCH(L211,[1]流向迭代数据!H$2:H$65536,0))</f>
        <v>#N/A</v>
      </c>
      <c r="W211" s="12" t="str">
        <f t="shared" si="7"/>
        <v/>
      </c>
    </row>
    <row r="212" spans="1:23" x14ac:dyDescent="0.15">
      <c r="A212" s="14" t="str">
        <f t="shared" si="6"/>
        <v>190001</v>
      </c>
      <c r="C212" s="12" t="e">
        <f>INDEX(基础数据!$A$2:$A$1024,MATCH(转配商关联商!X212,基础数据!$D$2:$D$1024,0))</f>
        <v>#N/A</v>
      </c>
      <c r="E212" s="12" t="e">
        <f>INDEX(基础数据!$B$2:$B$1024,MATCH(转配商关联商!X212,基础数据!$D$2:$D$1024,0))</f>
        <v>#N/A</v>
      </c>
      <c r="G212" s="12" t="e">
        <f>INDEX([1]流向迭代数据!E$2:E$65536,MATCH(转配商关联商!W212,[1]流向迭代数据!M$2:M$65536,0))</f>
        <v>#N/A</v>
      </c>
      <c r="N212" s="12" t="e">
        <f>INDEX([1]流向迭代数据!J$2:J$65536,MATCH(L212,[1]流向迭代数据!H$2:H$65536,0))</f>
        <v>#N/A</v>
      </c>
      <c r="P212" s="14"/>
      <c r="T212" s="12" t="e">
        <f>INDEX([1]流向迭代数据!K$2:K$65536,MATCH(L212,[1]流向迭代数据!H$2:H$65536,0))</f>
        <v>#N/A</v>
      </c>
      <c r="W212" s="12" t="str">
        <f t="shared" si="7"/>
        <v/>
      </c>
    </row>
    <row r="213" spans="1:23" x14ac:dyDescent="0.15">
      <c r="A213" s="14" t="str">
        <f t="shared" si="6"/>
        <v>190001</v>
      </c>
      <c r="C213" s="12" t="e">
        <f>INDEX(基础数据!$A$2:$A$1024,MATCH(转配商关联商!X213,基础数据!$D$2:$D$1024,0))</f>
        <v>#N/A</v>
      </c>
      <c r="E213" s="12" t="e">
        <f>INDEX(基础数据!$B$2:$B$1024,MATCH(转配商关联商!X213,基础数据!$D$2:$D$1024,0))</f>
        <v>#N/A</v>
      </c>
      <c r="G213" s="12" t="e">
        <f>INDEX([1]流向迭代数据!E$2:E$65536,MATCH(转配商关联商!W213,[1]流向迭代数据!M$2:M$65536,0))</f>
        <v>#N/A</v>
      </c>
      <c r="N213" s="12" t="e">
        <f>INDEX([1]流向迭代数据!J$2:J$65536,MATCH(L213,[1]流向迭代数据!H$2:H$65536,0))</f>
        <v>#N/A</v>
      </c>
      <c r="P213" s="14"/>
      <c r="T213" s="12" t="e">
        <f>INDEX([1]流向迭代数据!K$2:K$65536,MATCH(L213,[1]流向迭代数据!H$2:H$65536,0))</f>
        <v>#N/A</v>
      </c>
      <c r="W213" s="12" t="str">
        <f t="shared" si="7"/>
        <v/>
      </c>
    </row>
    <row r="214" spans="1:23" x14ac:dyDescent="0.15">
      <c r="A214" s="14" t="str">
        <f t="shared" si="6"/>
        <v>190001</v>
      </c>
      <c r="C214" s="12" t="e">
        <f>INDEX(基础数据!$A$2:$A$1024,MATCH(转配商关联商!X214,基础数据!$D$2:$D$1024,0))</f>
        <v>#N/A</v>
      </c>
      <c r="E214" s="12" t="e">
        <f>INDEX(基础数据!$B$2:$B$1024,MATCH(转配商关联商!X214,基础数据!$D$2:$D$1024,0))</f>
        <v>#N/A</v>
      </c>
      <c r="G214" s="12" t="e">
        <f>INDEX([1]流向迭代数据!E$2:E$65536,MATCH(转配商关联商!W214,[1]流向迭代数据!M$2:M$65536,0))</f>
        <v>#N/A</v>
      </c>
      <c r="N214" s="12" t="e">
        <f>INDEX([1]流向迭代数据!J$2:J$65536,MATCH(L214,[1]流向迭代数据!H$2:H$65536,0))</f>
        <v>#N/A</v>
      </c>
      <c r="P214" s="14"/>
      <c r="T214" s="12" t="e">
        <f>INDEX([1]流向迭代数据!K$2:K$65536,MATCH(L214,[1]流向迭代数据!H$2:H$65536,0))</f>
        <v>#N/A</v>
      </c>
      <c r="W214" s="12" t="str">
        <f t="shared" si="7"/>
        <v/>
      </c>
    </row>
    <row r="215" spans="1:23" x14ac:dyDescent="0.15">
      <c r="A215" s="14" t="str">
        <f t="shared" si="6"/>
        <v>190001</v>
      </c>
      <c r="C215" s="12" t="e">
        <f>INDEX(基础数据!$A$2:$A$1024,MATCH(转配商关联商!X215,基础数据!$D$2:$D$1024,0))</f>
        <v>#N/A</v>
      </c>
      <c r="E215" s="12" t="e">
        <f>INDEX(基础数据!$B$2:$B$1024,MATCH(转配商关联商!X215,基础数据!$D$2:$D$1024,0))</f>
        <v>#N/A</v>
      </c>
      <c r="G215" s="12" t="e">
        <f>INDEX([1]流向迭代数据!E$2:E$65536,MATCH(转配商关联商!W215,[1]流向迭代数据!M$2:M$65536,0))</f>
        <v>#N/A</v>
      </c>
      <c r="N215" s="12" t="e">
        <f>INDEX([1]流向迭代数据!J$2:J$65536,MATCH(L215,[1]流向迭代数据!H$2:H$65536,0))</f>
        <v>#N/A</v>
      </c>
      <c r="P215" s="14"/>
      <c r="T215" s="12" t="e">
        <f>INDEX([1]流向迭代数据!K$2:K$65536,MATCH(L215,[1]流向迭代数据!H$2:H$65536,0))</f>
        <v>#N/A</v>
      </c>
      <c r="W215" s="12" t="str">
        <f t="shared" si="7"/>
        <v/>
      </c>
    </row>
    <row r="216" spans="1:23" x14ac:dyDescent="0.15">
      <c r="A216" s="14" t="str">
        <f t="shared" si="6"/>
        <v>190001</v>
      </c>
      <c r="C216" s="12" t="e">
        <f>INDEX(基础数据!$A$2:$A$1024,MATCH(转配商关联商!X216,基础数据!$D$2:$D$1024,0))</f>
        <v>#N/A</v>
      </c>
      <c r="E216" s="12" t="e">
        <f>INDEX(基础数据!$B$2:$B$1024,MATCH(转配商关联商!X216,基础数据!$D$2:$D$1024,0))</f>
        <v>#N/A</v>
      </c>
      <c r="G216" s="12" t="e">
        <f>INDEX([1]流向迭代数据!E$2:E$65536,MATCH(转配商关联商!W216,[1]流向迭代数据!M$2:M$65536,0))</f>
        <v>#N/A</v>
      </c>
      <c r="N216" s="12" t="e">
        <f>INDEX([1]流向迭代数据!J$2:J$65536,MATCH(L216,[1]流向迭代数据!H$2:H$65536,0))</f>
        <v>#N/A</v>
      </c>
      <c r="P216" s="14"/>
      <c r="T216" s="12" t="e">
        <f>INDEX([1]流向迭代数据!K$2:K$65536,MATCH(L216,[1]流向迭代数据!H$2:H$65536,0))</f>
        <v>#N/A</v>
      </c>
      <c r="W216" s="12" t="str">
        <f t="shared" si="7"/>
        <v/>
      </c>
    </row>
    <row r="217" spans="1:23" x14ac:dyDescent="0.15">
      <c r="A217" s="14" t="str">
        <f t="shared" si="6"/>
        <v>190001</v>
      </c>
      <c r="C217" s="12" t="e">
        <f>INDEX(基础数据!$A$2:$A$1024,MATCH(转配商关联商!X217,基础数据!$D$2:$D$1024,0))</f>
        <v>#N/A</v>
      </c>
      <c r="E217" s="12" t="e">
        <f>INDEX(基础数据!$B$2:$B$1024,MATCH(转配商关联商!X217,基础数据!$D$2:$D$1024,0))</f>
        <v>#N/A</v>
      </c>
      <c r="G217" s="12" t="e">
        <f>INDEX([1]流向迭代数据!E$2:E$65536,MATCH(转配商关联商!W217,[1]流向迭代数据!M$2:M$65536,0))</f>
        <v>#N/A</v>
      </c>
      <c r="N217" s="12" t="e">
        <f>INDEX([1]流向迭代数据!J$2:J$65536,MATCH(L217,[1]流向迭代数据!H$2:H$65536,0))</f>
        <v>#N/A</v>
      </c>
      <c r="P217" s="14"/>
      <c r="T217" s="12" t="e">
        <f>INDEX([1]流向迭代数据!K$2:K$65536,MATCH(L217,[1]流向迭代数据!H$2:H$65536,0))</f>
        <v>#N/A</v>
      </c>
      <c r="W217" s="12" t="str">
        <f t="shared" si="7"/>
        <v/>
      </c>
    </row>
    <row r="218" spans="1:23" x14ac:dyDescent="0.15">
      <c r="A218" s="14" t="str">
        <f t="shared" si="6"/>
        <v>190001</v>
      </c>
      <c r="C218" s="12" t="e">
        <f>INDEX(基础数据!$A$2:$A$1024,MATCH(转配商关联商!X218,基础数据!$D$2:$D$1024,0))</f>
        <v>#N/A</v>
      </c>
      <c r="E218" s="12" t="e">
        <f>INDEX(基础数据!$B$2:$B$1024,MATCH(转配商关联商!X218,基础数据!$D$2:$D$1024,0))</f>
        <v>#N/A</v>
      </c>
      <c r="G218" s="12" t="e">
        <f>INDEX([1]流向迭代数据!E$2:E$65536,MATCH(转配商关联商!W218,[1]流向迭代数据!M$2:M$65536,0))</f>
        <v>#N/A</v>
      </c>
      <c r="N218" s="12" t="e">
        <f>INDEX([1]流向迭代数据!J$2:J$65536,MATCH(L218,[1]流向迭代数据!H$2:H$65536,0))</f>
        <v>#N/A</v>
      </c>
      <c r="P218" s="14"/>
      <c r="T218" s="12" t="e">
        <f>INDEX([1]流向迭代数据!K$2:K$65536,MATCH(L218,[1]流向迭代数据!H$2:H$65536,0))</f>
        <v>#N/A</v>
      </c>
      <c r="W218" s="12" t="str">
        <f t="shared" si="7"/>
        <v/>
      </c>
    </row>
    <row r="219" spans="1:23" x14ac:dyDescent="0.15">
      <c r="A219" s="14" t="str">
        <f t="shared" si="6"/>
        <v>190001</v>
      </c>
      <c r="C219" s="12" t="e">
        <f>INDEX(基础数据!$A$2:$A$1024,MATCH(转配商关联商!X219,基础数据!$D$2:$D$1024,0))</f>
        <v>#N/A</v>
      </c>
      <c r="E219" s="12" t="e">
        <f>INDEX(基础数据!$B$2:$B$1024,MATCH(转配商关联商!X219,基础数据!$D$2:$D$1024,0))</f>
        <v>#N/A</v>
      </c>
      <c r="G219" s="12" t="e">
        <f>INDEX([1]流向迭代数据!E$2:E$65536,MATCH(转配商关联商!W219,[1]流向迭代数据!M$2:M$65536,0))</f>
        <v>#N/A</v>
      </c>
      <c r="N219" s="12" t="e">
        <f>INDEX([1]流向迭代数据!J$2:J$65536,MATCH(L219,[1]流向迭代数据!H$2:H$65536,0))</f>
        <v>#N/A</v>
      </c>
      <c r="P219" s="14"/>
      <c r="T219" s="12" t="e">
        <f>INDEX([1]流向迭代数据!K$2:K$65536,MATCH(L219,[1]流向迭代数据!H$2:H$65536,0))</f>
        <v>#N/A</v>
      </c>
      <c r="W219" s="12" t="str">
        <f t="shared" si="7"/>
        <v/>
      </c>
    </row>
    <row r="220" spans="1:23" x14ac:dyDescent="0.15">
      <c r="A220" s="14" t="str">
        <f t="shared" si="6"/>
        <v>190001</v>
      </c>
      <c r="C220" s="12" t="e">
        <f>INDEX(基础数据!$A$2:$A$1024,MATCH(转配商关联商!X220,基础数据!$D$2:$D$1024,0))</f>
        <v>#N/A</v>
      </c>
      <c r="E220" s="12" t="e">
        <f>INDEX(基础数据!$B$2:$B$1024,MATCH(转配商关联商!X220,基础数据!$D$2:$D$1024,0))</f>
        <v>#N/A</v>
      </c>
      <c r="G220" s="12" t="e">
        <f>INDEX([1]流向迭代数据!E$2:E$65536,MATCH(转配商关联商!W220,[1]流向迭代数据!M$2:M$65536,0))</f>
        <v>#N/A</v>
      </c>
      <c r="N220" s="12" t="e">
        <f>INDEX([1]流向迭代数据!J$2:J$65536,MATCH(L220,[1]流向迭代数据!H$2:H$65536,0))</f>
        <v>#N/A</v>
      </c>
      <c r="P220" s="14"/>
      <c r="T220" s="12" t="e">
        <f>INDEX([1]流向迭代数据!K$2:K$65536,MATCH(L220,[1]流向迭代数据!H$2:H$65536,0))</f>
        <v>#N/A</v>
      </c>
      <c r="W220" s="12" t="str">
        <f t="shared" si="7"/>
        <v/>
      </c>
    </row>
    <row r="221" spans="1:23" x14ac:dyDescent="0.15">
      <c r="A221" s="14" t="str">
        <f t="shared" si="6"/>
        <v>190001</v>
      </c>
      <c r="C221" s="12" t="e">
        <f>INDEX(基础数据!$A$2:$A$1024,MATCH(转配商关联商!X221,基础数据!$D$2:$D$1024,0))</f>
        <v>#N/A</v>
      </c>
      <c r="E221" s="12" t="e">
        <f>INDEX(基础数据!$B$2:$B$1024,MATCH(转配商关联商!X221,基础数据!$D$2:$D$1024,0))</f>
        <v>#N/A</v>
      </c>
      <c r="G221" s="12" t="e">
        <f>INDEX([1]流向迭代数据!E$2:E$65536,MATCH(转配商关联商!W221,[1]流向迭代数据!M$2:M$65536,0))</f>
        <v>#N/A</v>
      </c>
      <c r="N221" s="12" t="e">
        <f>INDEX([1]流向迭代数据!J$2:J$65536,MATCH(L221,[1]流向迭代数据!H$2:H$65536,0))</f>
        <v>#N/A</v>
      </c>
      <c r="P221" s="14"/>
      <c r="T221" s="12" t="e">
        <f>INDEX([1]流向迭代数据!K$2:K$65536,MATCH(L221,[1]流向迭代数据!H$2:H$65536,0))</f>
        <v>#N/A</v>
      </c>
      <c r="W221" s="12" t="str">
        <f t="shared" si="7"/>
        <v/>
      </c>
    </row>
    <row r="222" spans="1:23" x14ac:dyDescent="0.15">
      <c r="A222" s="14" t="str">
        <f t="shared" si="6"/>
        <v>190001</v>
      </c>
      <c r="C222" s="12" t="e">
        <f>INDEX(基础数据!$A$2:$A$1024,MATCH(转配商关联商!X222,基础数据!$D$2:$D$1024,0))</f>
        <v>#N/A</v>
      </c>
      <c r="E222" s="12" t="e">
        <f>INDEX(基础数据!$B$2:$B$1024,MATCH(转配商关联商!X222,基础数据!$D$2:$D$1024,0))</f>
        <v>#N/A</v>
      </c>
      <c r="G222" s="12" t="e">
        <f>INDEX([1]流向迭代数据!E$2:E$65536,MATCH(转配商关联商!W222,[1]流向迭代数据!M$2:M$65536,0))</f>
        <v>#N/A</v>
      </c>
      <c r="N222" s="12" t="e">
        <f>INDEX([1]流向迭代数据!J$2:J$65536,MATCH(L222,[1]流向迭代数据!H$2:H$65536,0))</f>
        <v>#N/A</v>
      </c>
      <c r="P222" s="14"/>
      <c r="T222" s="12" t="e">
        <f>INDEX([1]流向迭代数据!K$2:K$65536,MATCH(L222,[1]流向迭代数据!H$2:H$65536,0))</f>
        <v>#N/A</v>
      </c>
      <c r="W222" s="12" t="str">
        <f t="shared" si="7"/>
        <v/>
      </c>
    </row>
    <row r="223" spans="1:23" x14ac:dyDescent="0.15">
      <c r="A223" s="14" t="str">
        <f t="shared" si="6"/>
        <v>190001</v>
      </c>
      <c r="C223" s="12" t="e">
        <f>INDEX(基础数据!$A$2:$A$1024,MATCH(转配商关联商!X223,基础数据!$D$2:$D$1024,0))</f>
        <v>#N/A</v>
      </c>
      <c r="E223" s="12" t="e">
        <f>INDEX(基础数据!$B$2:$B$1024,MATCH(转配商关联商!X223,基础数据!$D$2:$D$1024,0))</f>
        <v>#N/A</v>
      </c>
      <c r="G223" s="12" t="e">
        <f>INDEX([1]流向迭代数据!E$2:E$65536,MATCH(转配商关联商!W223,[1]流向迭代数据!M$2:M$65536,0))</f>
        <v>#N/A</v>
      </c>
      <c r="N223" s="12" t="e">
        <f>INDEX([1]流向迭代数据!J$2:J$65536,MATCH(L223,[1]流向迭代数据!H$2:H$65536,0))</f>
        <v>#N/A</v>
      </c>
      <c r="P223" s="14"/>
      <c r="T223" s="12" t="e">
        <f>INDEX([1]流向迭代数据!K$2:K$65536,MATCH(L223,[1]流向迭代数据!H$2:H$65536,0))</f>
        <v>#N/A</v>
      </c>
      <c r="W223" s="12" t="str">
        <f t="shared" si="7"/>
        <v/>
      </c>
    </row>
    <row r="224" spans="1:23" x14ac:dyDescent="0.15">
      <c r="A224" s="14" t="str">
        <f t="shared" si="6"/>
        <v>190001</v>
      </c>
      <c r="C224" s="12" t="e">
        <f>INDEX(基础数据!$A$2:$A$1024,MATCH(转配商关联商!X224,基础数据!$D$2:$D$1024,0))</f>
        <v>#N/A</v>
      </c>
      <c r="E224" s="12" t="e">
        <f>INDEX(基础数据!$B$2:$B$1024,MATCH(转配商关联商!X224,基础数据!$D$2:$D$1024,0))</f>
        <v>#N/A</v>
      </c>
      <c r="G224" s="12" t="e">
        <f>INDEX([1]流向迭代数据!E$2:E$65536,MATCH(转配商关联商!W224,[1]流向迭代数据!M$2:M$65536,0))</f>
        <v>#N/A</v>
      </c>
      <c r="N224" s="12" t="e">
        <f>INDEX([1]流向迭代数据!J$2:J$65536,MATCH(L224,[1]流向迭代数据!H$2:H$65536,0))</f>
        <v>#N/A</v>
      </c>
      <c r="P224" s="14"/>
      <c r="T224" s="12" t="e">
        <f>INDEX([1]流向迭代数据!K$2:K$65536,MATCH(L224,[1]流向迭代数据!H$2:H$65536,0))</f>
        <v>#N/A</v>
      </c>
      <c r="W224" s="12" t="str">
        <f t="shared" si="7"/>
        <v/>
      </c>
    </row>
    <row r="225" spans="1:23" x14ac:dyDescent="0.15">
      <c r="A225" s="14" t="str">
        <f t="shared" si="6"/>
        <v>190001</v>
      </c>
      <c r="C225" s="12" t="e">
        <f>INDEX(基础数据!$A$2:$A$1024,MATCH(转配商关联商!X225,基础数据!$D$2:$D$1024,0))</f>
        <v>#N/A</v>
      </c>
      <c r="E225" s="12" t="e">
        <f>INDEX(基础数据!$B$2:$B$1024,MATCH(转配商关联商!X225,基础数据!$D$2:$D$1024,0))</f>
        <v>#N/A</v>
      </c>
      <c r="G225" s="12" t="e">
        <f>INDEX([1]流向迭代数据!E$2:E$65536,MATCH(转配商关联商!W225,[1]流向迭代数据!M$2:M$65536,0))</f>
        <v>#N/A</v>
      </c>
      <c r="N225" s="12" t="e">
        <f>INDEX([1]流向迭代数据!J$2:J$65536,MATCH(L225,[1]流向迭代数据!H$2:H$65536,0))</f>
        <v>#N/A</v>
      </c>
      <c r="P225" s="14"/>
      <c r="T225" s="12" t="e">
        <f>INDEX([1]流向迭代数据!K$2:K$65536,MATCH(L225,[1]流向迭代数据!H$2:H$65536,0))</f>
        <v>#N/A</v>
      </c>
      <c r="W225" s="12" t="str">
        <f t="shared" si="7"/>
        <v/>
      </c>
    </row>
    <row r="226" spans="1:23" x14ac:dyDescent="0.15">
      <c r="A226" s="14" t="str">
        <f t="shared" si="6"/>
        <v>190001</v>
      </c>
      <c r="C226" s="12" t="e">
        <f>INDEX(基础数据!$A$2:$A$1024,MATCH(转配商关联商!X226,基础数据!$D$2:$D$1024,0))</f>
        <v>#N/A</v>
      </c>
      <c r="E226" s="12" t="e">
        <f>INDEX(基础数据!$B$2:$B$1024,MATCH(转配商关联商!X226,基础数据!$D$2:$D$1024,0))</f>
        <v>#N/A</v>
      </c>
      <c r="G226" s="12" t="e">
        <f>INDEX([1]流向迭代数据!E$2:E$65536,MATCH(转配商关联商!W226,[1]流向迭代数据!M$2:M$65536,0))</f>
        <v>#N/A</v>
      </c>
      <c r="N226" s="12" t="e">
        <f>INDEX([1]流向迭代数据!J$2:J$65536,MATCH(L226,[1]流向迭代数据!H$2:H$65536,0))</f>
        <v>#N/A</v>
      </c>
      <c r="P226" s="14"/>
      <c r="T226" s="12" t="e">
        <f>INDEX([1]流向迭代数据!K$2:K$65536,MATCH(L226,[1]流向迭代数据!H$2:H$65536,0))</f>
        <v>#N/A</v>
      </c>
      <c r="W226" s="12" t="str">
        <f t="shared" si="7"/>
        <v/>
      </c>
    </row>
    <row r="227" spans="1:23" x14ac:dyDescent="0.15">
      <c r="A227" s="14" t="str">
        <f t="shared" si="6"/>
        <v>190001</v>
      </c>
      <c r="C227" s="12" t="e">
        <f>INDEX(基础数据!$A$2:$A$1024,MATCH(转配商关联商!X227,基础数据!$D$2:$D$1024,0))</f>
        <v>#N/A</v>
      </c>
      <c r="E227" s="12" t="e">
        <f>INDEX(基础数据!$B$2:$B$1024,MATCH(转配商关联商!X227,基础数据!$D$2:$D$1024,0))</f>
        <v>#N/A</v>
      </c>
      <c r="G227" s="12" t="e">
        <f>INDEX([1]流向迭代数据!E$2:E$65536,MATCH(转配商关联商!W227,[1]流向迭代数据!M$2:M$65536,0))</f>
        <v>#N/A</v>
      </c>
      <c r="N227" s="12" t="e">
        <f>INDEX([1]流向迭代数据!J$2:J$65536,MATCH(L227,[1]流向迭代数据!H$2:H$65536,0))</f>
        <v>#N/A</v>
      </c>
      <c r="P227" s="14"/>
      <c r="T227" s="12" t="e">
        <f>INDEX([1]流向迭代数据!K$2:K$65536,MATCH(L227,[1]流向迭代数据!H$2:H$65536,0))</f>
        <v>#N/A</v>
      </c>
      <c r="W227" s="12" t="str">
        <f t="shared" si="7"/>
        <v/>
      </c>
    </row>
    <row r="228" spans="1:23" x14ac:dyDescent="0.15">
      <c r="A228" s="14" t="str">
        <f t="shared" si="6"/>
        <v>190001</v>
      </c>
      <c r="C228" s="12" t="e">
        <f>INDEX(基础数据!$A$2:$A$1024,MATCH(转配商关联商!X228,基础数据!$D$2:$D$1024,0))</f>
        <v>#N/A</v>
      </c>
      <c r="E228" s="12" t="e">
        <f>INDEX(基础数据!$B$2:$B$1024,MATCH(转配商关联商!X228,基础数据!$D$2:$D$1024,0))</f>
        <v>#N/A</v>
      </c>
      <c r="G228" s="12" t="e">
        <f>INDEX([1]流向迭代数据!E$2:E$65536,MATCH(转配商关联商!W228,[1]流向迭代数据!M$2:M$65536,0))</f>
        <v>#N/A</v>
      </c>
      <c r="N228" s="12" t="e">
        <f>INDEX([1]流向迭代数据!J$2:J$65536,MATCH(L228,[1]流向迭代数据!H$2:H$65536,0))</f>
        <v>#N/A</v>
      </c>
      <c r="P228" s="14"/>
      <c r="T228" s="12" t="e">
        <f>INDEX([1]流向迭代数据!K$2:K$65536,MATCH(L228,[1]流向迭代数据!H$2:H$65536,0))</f>
        <v>#N/A</v>
      </c>
      <c r="W228" s="12" t="str">
        <f t="shared" si="7"/>
        <v/>
      </c>
    </row>
    <row r="229" spans="1:23" x14ac:dyDescent="0.15">
      <c r="A229" s="14" t="str">
        <f t="shared" si="6"/>
        <v>190001</v>
      </c>
      <c r="C229" s="12" t="e">
        <f>INDEX(基础数据!$A$2:$A$1024,MATCH(转配商关联商!X229,基础数据!$D$2:$D$1024,0))</f>
        <v>#N/A</v>
      </c>
      <c r="E229" s="12" t="e">
        <f>INDEX(基础数据!$B$2:$B$1024,MATCH(转配商关联商!X229,基础数据!$D$2:$D$1024,0))</f>
        <v>#N/A</v>
      </c>
      <c r="G229" s="12" t="e">
        <f>INDEX([1]流向迭代数据!E$2:E$65536,MATCH(转配商关联商!W229,[1]流向迭代数据!M$2:M$65536,0))</f>
        <v>#N/A</v>
      </c>
      <c r="N229" s="12" t="e">
        <f>INDEX([1]流向迭代数据!J$2:J$65536,MATCH(L229,[1]流向迭代数据!H$2:H$65536,0))</f>
        <v>#N/A</v>
      </c>
      <c r="P229" s="14"/>
      <c r="T229" s="12" t="e">
        <f>INDEX([1]流向迭代数据!K$2:K$65536,MATCH(L229,[1]流向迭代数据!H$2:H$65536,0))</f>
        <v>#N/A</v>
      </c>
      <c r="W229" s="12" t="str">
        <f t="shared" si="7"/>
        <v/>
      </c>
    </row>
    <row r="230" spans="1:23" x14ac:dyDescent="0.15">
      <c r="A230" s="14" t="str">
        <f t="shared" si="6"/>
        <v>190001</v>
      </c>
      <c r="C230" s="12" t="e">
        <f>INDEX(基础数据!$A$2:$A$1024,MATCH(转配商关联商!X230,基础数据!$D$2:$D$1024,0))</f>
        <v>#N/A</v>
      </c>
      <c r="E230" s="12" t="e">
        <f>INDEX(基础数据!$B$2:$B$1024,MATCH(转配商关联商!X230,基础数据!$D$2:$D$1024,0))</f>
        <v>#N/A</v>
      </c>
      <c r="G230" s="12" t="e">
        <f>INDEX([1]流向迭代数据!E$2:E$65536,MATCH(转配商关联商!W230,[1]流向迭代数据!M$2:M$65536,0))</f>
        <v>#N/A</v>
      </c>
      <c r="N230" s="12" t="e">
        <f>INDEX([1]流向迭代数据!J$2:J$65536,MATCH(L230,[1]流向迭代数据!H$2:H$65536,0))</f>
        <v>#N/A</v>
      </c>
      <c r="P230" s="14"/>
      <c r="T230" s="12" t="e">
        <f>INDEX([1]流向迭代数据!K$2:K$65536,MATCH(L230,[1]流向迭代数据!H$2:H$65536,0))</f>
        <v>#N/A</v>
      </c>
      <c r="W230" s="12" t="str">
        <f t="shared" si="7"/>
        <v/>
      </c>
    </row>
    <row r="231" spans="1:23" x14ac:dyDescent="0.15">
      <c r="A231" s="14" t="str">
        <f t="shared" si="6"/>
        <v>190001</v>
      </c>
      <c r="C231" s="12" t="e">
        <f>INDEX(基础数据!$A$2:$A$1024,MATCH(转配商关联商!X231,基础数据!$D$2:$D$1024,0))</f>
        <v>#N/A</v>
      </c>
      <c r="E231" s="12" t="e">
        <f>INDEX(基础数据!$B$2:$B$1024,MATCH(转配商关联商!X231,基础数据!$D$2:$D$1024,0))</f>
        <v>#N/A</v>
      </c>
      <c r="G231" s="12" t="e">
        <f>INDEX([1]流向迭代数据!E$2:E$65536,MATCH(转配商关联商!W231,[1]流向迭代数据!M$2:M$65536,0))</f>
        <v>#N/A</v>
      </c>
      <c r="N231" s="12" t="e">
        <f>INDEX([1]流向迭代数据!J$2:J$65536,MATCH(L231,[1]流向迭代数据!H$2:H$65536,0))</f>
        <v>#N/A</v>
      </c>
      <c r="P231" s="14"/>
      <c r="T231" s="12" t="e">
        <f>INDEX([1]流向迭代数据!K$2:K$65536,MATCH(L231,[1]流向迭代数据!H$2:H$65536,0))</f>
        <v>#N/A</v>
      </c>
      <c r="W231" s="12" t="str">
        <f t="shared" si="7"/>
        <v/>
      </c>
    </row>
    <row r="232" spans="1:23" x14ac:dyDescent="0.15">
      <c r="A232" s="14" t="str">
        <f t="shared" si="6"/>
        <v>190001</v>
      </c>
      <c r="C232" s="12" t="e">
        <f>INDEX(基础数据!$A$2:$A$1024,MATCH(转配商关联商!X232,基础数据!$D$2:$D$1024,0))</f>
        <v>#N/A</v>
      </c>
      <c r="E232" s="12" t="e">
        <f>INDEX(基础数据!$B$2:$B$1024,MATCH(转配商关联商!X232,基础数据!$D$2:$D$1024,0))</f>
        <v>#N/A</v>
      </c>
      <c r="G232" s="12" t="e">
        <f>INDEX([1]流向迭代数据!E$2:E$65536,MATCH(转配商关联商!W232,[1]流向迭代数据!M$2:M$65536,0))</f>
        <v>#N/A</v>
      </c>
      <c r="N232" s="12" t="e">
        <f>INDEX([1]流向迭代数据!J$2:J$65536,MATCH(L232,[1]流向迭代数据!H$2:H$65536,0))</f>
        <v>#N/A</v>
      </c>
      <c r="P232" s="14"/>
      <c r="T232" s="12" t="e">
        <f>INDEX([1]流向迭代数据!K$2:K$65536,MATCH(L232,[1]流向迭代数据!H$2:H$65536,0))</f>
        <v>#N/A</v>
      </c>
      <c r="W232" s="12" t="str">
        <f t="shared" si="7"/>
        <v/>
      </c>
    </row>
    <row r="233" spans="1:23" x14ac:dyDescent="0.15">
      <c r="A233" s="14" t="str">
        <f t="shared" si="6"/>
        <v>190001</v>
      </c>
      <c r="C233" s="12" t="e">
        <f>INDEX(基础数据!$A$2:$A$1024,MATCH(转配商关联商!X233,基础数据!$D$2:$D$1024,0))</f>
        <v>#N/A</v>
      </c>
      <c r="E233" s="12" t="e">
        <f>INDEX(基础数据!$B$2:$B$1024,MATCH(转配商关联商!X233,基础数据!$D$2:$D$1024,0))</f>
        <v>#N/A</v>
      </c>
      <c r="G233" s="12" t="e">
        <f>INDEX([1]流向迭代数据!E$2:E$65536,MATCH(转配商关联商!W233,[1]流向迭代数据!M$2:M$65536,0))</f>
        <v>#N/A</v>
      </c>
      <c r="N233" s="12" t="e">
        <f>INDEX([1]流向迭代数据!J$2:J$65536,MATCH(L233,[1]流向迭代数据!H$2:H$65536,0))</f>
        <v>#N/A</v>
      </c>
      <c r="P233" s="14"/>
      <c r="T233" s="12" t="e">
        <f>INDEX([1]流向迭代数据!K$2:K$65536,MATCH(L233,[1]流向迭代数据!H$2:H$65536,0))</f>
        <v>#N/A</v>
      </c>
      <c r="W233" s="12" t="str">
        <f t="shared" si="7"/>
        <v/>
      </c>
    </row>
    <row r="234" spans="1:23" x14ac:dyDescent="0.15">
      <c r="A234" s="14" t="str">
        <f t="shared" si="6"/>
        <v>190001</v>
      </c>
      <c r="C234" s="12" t="e">
        <f>INDEX(基础数据!$A$2:$A$1024,MATCH(转配商关联商!X234,基础数据!$D$2:$D$1024,0))</f>
        <v>#N/A</v>
      </c>
      <c r="E234" s="12" t="e">
        <f>INDEX(基础数据!$B$2:$B$1024,MATCH(转配商关联商!X234,基础数据!$D$2:$D$1024,0))</f>
        <v>#N/A</v>
      </c>
      <c r="G234" s="12" t="e">
        <f>INDEX([1]流向迭代数据!E$2:E$65536,MATCH(转配商关联商!W234,[1]流向迭代数据!M$2:M$65536,0))</f>
        <v>#N/A</v>
      </c>
      <c r="N234" s="12" t="e">
        <f>INDEX([1]流向迭代数据!J$2:J$65536,MATCH(L234,[1]流向迭代数据!H$2:H$65536,0))</f>
        <v>#N/A</v>
      </c>
      <c r="P234" s="14"/>
      <c r="T234" s="12" t="e">
        <f>INDEX([1]流向迭代数据!K$2:K$65536,MATCH(L234,[1]流向迭代数据!H$2:H$65536,0))</f>
        <v>#N/A</v>
      </c>
      <c r="W234" s="12" t="str">
        <f t="shared" si="7"/>
        <v/>
      </c>
    </row>
    <row r="235" spans="1:23" x14ac:dyDescent="0.15">
      <c r="A235" s="14" t="str">
        <f t="shared" si="6"/>
        <v>190001</v>
      </c>
      <c r="C235" s="12" t="e">
        <f>INDEX(基础数据!$A$2:$A$1024,MATCH(转配商关联商!X235,基础数据!$D$2:$D$1024,0))</f>
        <v>#N/A</v>
      </c>
      <c r="E235" s="12" t="e">
        <f>INDEX(基础数据!$B$2:$B$1024,MATCH(转配商关联商!X235,基础数据!$D$2:$D$1024,0))</f>
        <v>#N/A</v>
      </c>
      <c r="G235" s="12" t="e">
        <f>INDEX([1]流向迭代数据!E$2:E$65536,MATCH(转配商关联商!W235,[1]流向迭代数据!M$2:M$65536,0))</f>
        <v>#N/A</v>
      </c>
      <c r="N235" s="12" t="e">
        <f>INDEX([1]流向迭代数据!J$2:J$65536,MATCH(L235,[1]流向迭代数据!H$2:H$65536,0))</f>
        <v>#N/A</v>
      </c>
      <c r="P235" s="14"/>
      <c r="T235" s="12" t="e">
        <f>INDEX([1]流向迭代数据!K$2:K$65536,MATCH(L235,[1]流向迭代数据!H$2:H$65536,0))</f>
        <v>#N/A</v>
      </c>
      <c r="W235" s="12" t="str">
        <f t="shared" si="7"/>
        <v/>
      </c>
    </row>
    <row r="236" spans="1:23" x14ac:dyDescent="0.15">
      <c r="A236" s="14" t="str">
        <f t="shared" si="6"/>
        <v>190001</v>
      </c>
      <c r="C236" s="12" t="e">
        <f>INDEX(基础数据!$A$2:$A$1024,MATCH(转配商关联商!X236,基础数据!$D$2:$D$1024,0))</f>
        <v>#N/A</v>
      </c>
      <c r="E236" s="12" t="e">
        <f>INDEX(基础数据!$B$2:$B$1024,MATCH(转配商关联商!X236,基础数据!$D$2:$D$1024,0))</f>
        <v>#N/A</v>
      </c>
      <c r="G236" s="12" t="e">
        <f>INDEX([1]流向迭代数据!E$2:E$65536,MATCH(转配商关联商!W236,[1]流向迭代数据!M$2:M$65536,0))</f>
        <v>#N/A</v>
      </c>
      <c r="N236" s="12" t="e">
        <f>INDEX([1]流向迭代数据!J$2:J$65536,MATCH(L236,[1]流向迭代数据!H$2:H$65536,0))</f>
        <v>#N/A</v>
      </c>
      <c r="P236" s="14"/>
      <c r="T236" s="12" t="e">
        <f>INDEX([1]流向迭代数据!K$2:K$65536,MATCH(L236,[1]流向迭代数据!H$2:H$65536,0))</f>
        <v>#N/A</v>
      </c>
      <c r="W236" s="12" t="str">
        <f t="shared" si="7"/>
        <v/>
      </c>
    </row>
    <row r="237" spans="1:23" x14ac:dyDescent="0.15">
      <c r="A237" s="14" t="str">
        <f t="shared" si="6"/>
        <v>190001</v>
      </c>
      <c r="C237" s="12" t="e">
        <f>INDEX(基础数据!$A$2:$A$1024,MATCH(转配商关联商!X237,基础数据!$D$2:$D$1024,0))</f>
        <v>#N/A</v>
      </c>
      <c r="E237" s="12" t="e">
        <f>INDEX(基础数据!$B$2:$B$1024,MATCH(转配商关联商!X237,基础数据!$D$2:$D$1024,0))</f>
        <v>#N/A</v>
      </c>
      <c r="G237" s="12" t="e">
        <f>INDEX([1]流向迭代数据!E$2:E$65536,MATCH(转配商关联商!W237,[1]流向迭代数据!M$2:M$65536,0))</f>
        <v>#N/A</v>
      </c>
      <c r="N237" s="12" t="e">
        <f>INDEX([1]流向迭代数据!J$2:J$65536,MATCH(L237,[1]流向迭代数据!H$2:H$65536,0))</f>
        <v>#N/A</v>
      </c>
      <c r="P237" s="14"/>
      <c r="T237" s="12" t="e">
        <f>INDEX([1]流向迭代数据!K$2:K$65536,MATCH(L237,[1]流向迭代数据!H$2:H$65536,0))</f>
        <v>#N/A</v>
      </c>
      <c r="W237" s="12" t="str">
        <f t="shared" si="7"/>
        <v/>
      </c>
    </row>
    <row r="238" spans="1:23" x14ac:dyDescent="0.15">
      <c r="A238" s="14" t="str">
        <f t="shared" si="6"/>
        <v>190001</v>
      </c>
      <c r="C238" s="12" t="e">
        <f>INDEX(基础数据!$A$2:$A$1024,MATCH(转配商关联商!X238,基础数据!$D$2:$D$1024,0))</f>
        <v>#N/A</v>
      </c>
      <c r="E238" s="12" t="e">
        <f>INDEX(基础数据!$B$2:$B$1024,MATCH(转配商关联商!X238,基础数据!$D$2:$D$1024,0))</f>
        <v>#N/A</v>
      </c>
      <c r="G238" s="12" t="e">
        <f>INDEX([1]流向迭代数据!E$2:E$65536,MATCH(转配商关联商!W238,[1]流向迭代数据!M$2:M$65536,0))</f>
        <v>#N/A</v>
      </c>
      <c r="N238" s="12" t="e">
        <f>INDEX([1]流向迭代数据!J$2:J$65536,MATCH(L238,[1]流向迭代数据!H$2:H$65536,0))</f>
        <v>#N/A</v>
      </c>
      <c r="P238" s="14"/>
      <c r="T238" s="12" t="e">
        <f>INDEX([1]流向迭代数据!K$2:K$65536,MATCH(L238,[1]流向迭代数据!H$2:H$65536,0))</f>
        <v>#N/A</v>
      </c>
      <c r="W238" s="12" t="str">
        <f t="shared" si="7"/>
        <v/>
      </c>
    </row>
    <row r="239" spans="1:23" x14ac:dyDescent="0.15">
      <c r="A239" s="14" t="str">
        <f t="shared" si="6"/>
        <v>190001</v>
      </c>
      <c r="C239" s="12" t="e">
        <f>INDEX(基础数据!$A$2:$A$1024,MATCH(转配商关联商!X239,基础数据!$D$2:$D$1024,0))</f>
        <v>#N/A</v>
      </c>
      <c r="E239" s="12" t="e">
        <f>INDEX(基础数据!$B$2:$B$1024,MATCH(转配商关联商!X239,基础数据!$D$2:$D$1024,0))</f>
        <v>#N/A</v>
      </c>
      <c r="G239" s="12" t="e">
        <f>INDEX([1]流向迭代数据!E$2:E$65536,MATCH(转配商关联商!W239,[1]流向迭代数据!M$2:M$65536,0))</f>
        <v>#N/A</v>
      </c>
      <c r="N239" s="12" t="e">
        <f>INDEX([1]流向迭代数据!J$2:J$65536,MATCH(L239,[1]流向迭代数据!H$2:H$65536,0))</f>
        <v>#N/A</v>
      </c>
      <c r="P239" s="14"/>
      <c r="T239" s="12" t="e">
        <f>INDEX([1]流向迭代数据!K$2:K$65536,MATCH(L239,[1]流向迭代数据!H$2:H$65536,0))</f>
        <v>#N/A</v>
      </c>
      <c r="W239" s="12" t="str">
        <f t="shared" si="7"/>
        <v/>
      </c>
    </row>
    <row r="240" spans="1:23" x14ac:dyDescent="0.15">
      <c r="A240" s="14" t="str">
        <f t="shared" si="6"/>
        <v>190001</v>
      </c>
      <c r="C240" s="12" t="e">
        <f>INDEX(基础数据!$A$2:$A$1024,MATCH(转配商关联商!X240,基础数据!$D$2:$D$1024,0))</f>
        <v>#N/A</v>
      </c>
      <c r="E240" s="12" t="e">
        <f>INDEX(基础数据!$B$2:$B$1024,MATCH(转配商关联商!X240,基础数据!$D$2:$D$1024,0))</f>
        <v>#N/A</v>
      </c>
      <c r="G240" s="12" t="e">
        <f>INDEX([1]流向迭代数据!E$2:E$65536,MATCH(转配商关联商!W240,[1]流向迭代数据!M$2:M$65536,0))</f>
        <v>#N/A</v>
      </c>
      <c r="N240" s="12" t="e">
        <f>INDEX([1]流向迭代数据!J$2:J$65536,MATCH(L240,[1]流向迭代数据!H$2:H$65536,0))</f>
        <v>#N/A</v>
      </c>
      <c r="P240" s="14"/>
      <c r="T240" s="12" t="e">
        <f>INDEX([1]流向迭代数据!K$2:K$65536,MATCH(L240,[1]流向迭代数据!H$2:H$65536,0))</f>
        <v>#N/A</v>
      </c>
      <c r="W240" s="12" t="str">
        <f t="shared" si="7"/>
        <v/>
      </c>
    </row>
    <row r="241" spans="1:23" x14ac:dyDescent="0.15">
      <c r="A241" s="14" t="str">
        <f t="shared" si="6"/>
        <v>190001</v>
      </c>
      <c r="C241" s="12" t="e">
        <f>INDEX(基础数据!$A$2:$A$1024,MATCH(转配商关联商!X241,基础数据!$D$2:$D$1024,0))</f>
        <v>#N/A</v>
      </c>
      <c r="E241" s="12" t="e">
        <f>INDEX(基础数据!$B$2:$B$1024,MATCH(转配商关联商!X241,基础数据!$D$2:$D$1024,0))</f>
        <v>#N/A</v>
      </c>
      <c r="G241" s="12" t="e">
        <f>INDEX([1]流向迭代数据!E$2:E$65536,MATCH(转配商关联商!W241,[1]流向迭代数据!M$2:M$65536,0))</f>
        <v>#N/A</v>
      </c>
      <c r="N241" s="12" t="e">
        <f>INDEX([1]流向迭代数据!J$2:J$65536,MATCH(L241,[1]流向迭代数据!H$2:H$65536,0))</f>
        <v>#N/A</v>
      </c>
      <c r="P241" s="14"/>
      <c r="T241" s="12" t="e">
        <f>INDEX([1]流向迭代数据!K$2:K$65536,MATCH(L241,[1]流向迭代数据!H$2:H$65536,0))</f>
        <v>#N/A</v>
      </c>
      <c r="W241" s="12" t="str">
        <f t="shared" si="7"/>
        <v/>
      </c>
    </row>
    <row r="242" spans="1:23" x14ac:dyDescent="0.15">
      <c r="A242" s="14" t="str">
        <f t="shared" si="6"/>
        <v>190001</v>
      </c>
      <c r="C242" s="12" t="e">
        <f>INDEX(基础数据!$A$2:$A$1024,MATCH(转配商关联商!X242,基础数据!$D$2:$D$1024,0))</f>
        <v>#N/A</v>
      </c>
      <c r="E242" s="12" t="e">
        <f>INDEX(基础数据!$B$2:$B$1024,MATCH(转配商关联商!X242,基础数据!$D$2:$D$1024,0))</f>
        <v>#N/A</v>
      </c>
      <c r="G242" s="12" t="e">
        <f>INDEX([1]流向迭代数据!E$2:E$65536,MATCH(转配商关联商!W242,[1]流向迭代数据!M$2:M$65536,0))</f>
        <v>#N/A</v>
      </c>
      <c r="N242" s="12" t="e">
        <f>INDEX([1]流向迭代数据!J$2:J$65536,MATCH(L242,[1]流向迭代数据!H$2:H$65536,0))</f>
        <v>#N/A</v>
      </c>
      <c r="P242" s="14"/>
      <c r="T242" s="12" t="e">
        <f>INDEX([1]流向迭代数据!K$2:K$65536,MATCH(L242,[1]流向迭代数据!H$2:H$65536,0))</f>
        <v>#N/A</v>
      </c>
      <c r="W242" s="12" t="str">
        <f t="shared" si="7"/>
        <v/>
      </c>
    </row>
    <row r="243" spans="1:23" x14ac:dyDescent="0.15">
      <c r="A243" s="14" t="str">
        <f t="shared" si="6"/>
        <v>190001</v>
      </c>
      <c r="C243" s="12" t="e">
        <f>INDEX(基础数据!$A$2:$A$1024,MATCH(转配商关联商!X243,基础数据!$D$2:$D$1024,0))</f>
        <v>#N/A</v>
      </c>
      <c r="E243" s="12" t="e">
        <f>INDEX(基础数据!$B$2:$B$1024,MATCH(转配商关联商!X243,基础数据!$D$2:$D$1024,0))</f>
        <v>#N/A</v>
      </c>
      <c r="G243" s="12" t="e">
        <f>INDEX([1]流向迭代数据!E$2:E$65536,MATCH(转配商关联商!W243,[1]流向迭代数据!M$2:M$65536,0))</f>
        <v>#N/A</v>
      </c>
      <c r="N243" s="12" t="e">
        <f>INDEX([1]流向迭代数据!J$2:J$65536,MATCH(L243,[1]流向迭代数据!H$2:H$65536,0))</f>
        <v>#N/A</v>
      </c>
      <c r="P243" s="14"/>
      <c r="T243" s="12" t="e">
        <f>INDEX([1]流向迭代数据!K$2:K$65536,MATCH(L243,[1]流向迭代数据!H$2:H$65536,0))</f>
        <v>#N/A</v>
      </c>
      <c r="W243" s="12" t="str">
        <f t="shared" si="7"/>
        <v/>
      </c>
    </row>
    <row r="244" spans="1:23" x14ac:dyDescent="0.15">
      <c r="A244" s="14" t="str">
        <f t="shared" si="6"/>
        <v>190001</v>
      </c>
      <c r="C244" s="12" t="e">
        <f>INDEX(基础数据!$A$2:$A$1024,MATCH(转配商关联商!X244,基础数据!$D$2:$D$1024,0))</f>
        <v>#N/A</v>
      </c>
      <c r="E244" s="12" t="e">
        <f>INDEX(基础数据!$B$2:$B$1024,MATCH(转配商关联商!X244,基础数据!$D$2:$D$1024,0))</f>
        <v>#N/A</v>
      </c>
      <c r="G244" s="12" t="e">
        <f>INDEX([1]流向迭代数据!E$2:E$65536,MATCH(转配商关联商!W244,[1]流向迭代数据!M$2:M$65536,0))</f>
        <v>#N/A</v>
      </c>
      <c r="N244" s="12" t="e">
        <f>INDEX([1]流向迭代数据!J$2:J$65536,MATCH(L244,[1]流向迭代数据!H$2:H$65536,0))</f>
        <v>#N/A</v>
      </c>
      <c r="P244" s="14"/>
      <c r="T244" s="12" t="e">
        <f>INDEX([1]流向迭代数据!K$2:K$65536,MATCH(L244,[1]流向迭代数据!H$2:H$65536,0))</f>
        <v>#N/A</v>
      </c>
      <c r="W244" s="12" t="str">
        <f t="shared" si="7"/>
        <v/>
      </c>
    </row>
    <row r="245" spans="1:23" x14ac:dyDescent="0.15">
      <c r="A245" s="14" t="str">
        <f t="shared" si="6"/>
        <v>190001</v>
      </c>
      <c r="C245" s="12" t="e">
        <f>INDEX(基础数据!$A$2:$A$1024,MATCH(转配商关联商!X245,基础数据!$D$2:$D$1024,0))</f>
        <v>#N/A</v>
      </c>
      <c r="E245" s="12" t="e">
        <f>INDEX(基础数据!$B$2:$B$1024,MATCH(转配商关联商!X245,基础数据!$D$2:$D$1024,0))</f>
        <v>#N/A</v>
      </c>
      <c r="G245" s="12" t="e">
        <f>INDEX([1]流向迭代数据!E$2:E$65536,MATCH(转配商关联商!W245,[1]流向迭代数据!M$2:M$65536,0))</f>
        <v>#N/A</v>
      </c>
      <c r="N245" s="12" t="e">
        <f>INDEX([1]流向迭代数据!J$2:J$65536,MATCH(L245,[1]流向迭代数据!H$2:H$65536,0))</f>
        <v>#N/A</v>
      </c>
      <c r="P245" s="14"/>
      <c r="T245" s="12" t="e">
        <f>INDEX([1]流向迭代数据!K$2:K$65536,MATCH(L245,[1]流向迭代数据!H$2:H$65536,0))</f>
        <v>#N/A</v>
      </c>
      <c r="W245" s="12" t="str">
        <f t="shared" si="7"/>
        <v/>
      </c>
    </row>
    <row r="246" spans="1:23" x14ac:dyDescent="0.15">
      <c r="A246" s="14" t="str">
        <f t="shared" si="6"/>
        <v>190001</v>
      </c>
      <c r="C246" s="12" t="e">
        <f>INDEX(基础数据!$A$2:$A$1024,MATCH(转配商关联商!X246,基础数据!$D$2:$D$1024,0))</f>
        <v>#N/A</v>
      </c>
      <c r="E246" s="12" t="e">
        <f>INDEX(基础数据!$B$2:$B$1024,MATCH(转配商关联商!X246,基础数据!$D$2:$D$1024,0))</f>
        <v>#N/A</v>
      </c>
      <c r="G246" s="12" t="e">
        <f>INDEX([1]流向迭代数据!E$2:E$65536,MATCH(转配商关联商!W246,[1]流向迭代数据!M$2:M$65536,0))</f>
        <v>#N/A</v>
      </c>
      <c r="N246" s="12" t="e">
        <f>INDEX([1]流向迭代数据!J$2:J$65536,MATCH(L246,[1]流向迭代数据!H$2:H$65536,0))</f>
        <v>#N/A</v>
      </c>
      <c r="P246" s="14"/>
      <c r="T246" s="12" t="e">
        <f>INDEX([1]流向迭代数据!K$2:K$65536,MATCH(L246,[1]流向迭代数据!H$2:H$65536,0))</f>
        <v>#N/A</v>
      </c>
      <c r="W246" s="12" t="str">
        <f t="shared" si="7"/>
        <v/>
      </c>
    </row>
    <row r="247" spans="1:23" x14ac:dyDescent="0.15">
      <c r="A247" s="14" t="str">
        <f t="shared" si="6"/>
        <v>190001</v>
      </c>
      <c r="C247" s="12" t="e">
        <f>INDEX(基础数据!$A$2:$A$1024,MATCH(转配商关联商!X247,基础数据!$D$2:$D$1024,0))</f>
        <v>#N/A</v>
      </c>
      <c r="E247" s="12" t="e">
        <f>INDEX(基础数据!$B$2:$B$1024,MATCH(转配商关联商!X247,基础数据!$D$2:$D$1024,0))</f>
        <v>#N/A</v>
      </c>
      <c r="G247" s="12" t="e">
        <f>INDEX([1]流向迭代数据!E$2:E$65536,MATCH(转配商关联商!W247,[1]流向迭代数据!M$2:M$65536,0))</f>
        <v>#N/A</v>
      </c>
      <c r="N247" s="12" t="e">
        <f>INDEX([1]流向迭代数据!J$2:J$65536,MATCH(L247,[1]流向迭代数据!H$2:H$65536,0))</f>
        <v>#N/A</v>
      </c>
      <c r="P247" s="14"/>
      <c r="T247" s="12" t="e">
        <f>INDEX([1]流向迭代数据!K$2:K$65536,MATCH(L247,[1]流向迭代数据!H$2:H$65536,0))</f>
        <v>#N/A</v>
      </c>
      <c r="W247" s="12" t="str">
        <f t="shared" si="7"/>
        <v/>
      </c>
    </row>
    <row r="248" spans="1:23" x14ac:dyDescent="0.15">
      <c r="A248" s="14" t="str">
        <f t="shared" si="6"/>
        <v>190001</v>
      </c>
      <c r="C248" s="12" t="e">
        <f>INDEX(基础数据!$A$2:$A$1024,MATCH(转配商关联商!X248,基础数据!$D$2:$D$1024,0))</f>
        <v>#N/A</v>
      </c>
      <c r="E248" s="12" t="e">
        <f>INDEX(基础数据!$B$2:$B$1024,MATCH(转配商关联商!X248,基础数据!$D$2:$D$1024,0))</f>
        <v>#N/A</v>
      </c>
      <c r="G248" s="12" t="e">
        <f>INDEX([1]流向迭代数据!E$2:E$65536,MATCH(转配商关联商!W248,[1]流向迭代数据!M$2:M$65536,0))</f>
        <v>#N/A</v>
      </c>
      <c r="N248" s="12" t="e">
        <f>INDEX([1]流向迭代数据!J$2:J$65536,MATCH(L248,[1]流向迭代数据!H$2:H$65536,0))</f>
        <v>#N/A</v>
      </c>
      <c r="P248" s="14"/>
      <c r="T248" s="12" t="e">
        <f>INDEX([1]流向迭代数据!K$2:K$65536,MATCH(L248,[1]流向迭代数据!H$2:H$65536,0))</f>
        <v>#N/A</v>
      </c>
      <c r="W248" s="12" t="str">
        <f t="shared" si="7"/>
        <v/>
      </c>
    </row>
    <row r="249" spans="1:23" x14ac:dyDescent="0.15">
      <c r="A249" s="14" t="str">
        <f t="shared" si="6"/>
        <v>190001</v>
      </c>
      <c r="C249" s="12" t="e">
        <f>INDEX(基础数据!$A$2:$A$1024,MATCH(转配商关联商!X249,基础数据!$D$2:$D$1024,0))</f>
        <v>#N/A</v>
      </c>
      <c r="E249" s="12" t="e">
        <f>INDEX(基础数据!$B$2:$B$1024,MATCH(转配商关联商!X249,基础数据!$D$2:$D$1024,0))</f>
        <v>#N/A</v>
      </c>
      <c r="G249" s="12" t="e">
        <f>INDEX([1]流向迭代数据!E$2:E$65536,MATCH(转配商关联商!W249,[1]流向迭代数据!M$2:M$65536,0))</f>
        <v>#N/A</v>
      </c>
      <c r="N249" s="12" t="e">
        <f>INDEX([1]流向迭代数据!J$2:J$65536,MATCH(L249,[1]流向迭代数据!H$2:H$65536,0))</f>
        <v>#N/A</v>
      </c>
      <c r="P249" s="14"/>
      <c r="T249" s="12" t="e">
        <f>INDEX([1]流向迭代数据!K$2:K$65536,MATCH(L249,[1]流向迭代数据!H$2:H$65536,0))</f>
        <v>#N/A</v>
      </c>
      <c r="W249" s="12" t="str">
        <f t="shared" si="7"/>
        <v/>
      </c>
    </row>
    <row r="250" spans="1:23" x14ac:dyDescent="0.15">
      <c r="A250" s="14" t="str">
        <f t="shared" si="6"/>
        <v>190001</v>
      </c>
      <c r="C250" s="12" t="e">
        <f>INDEX(基础数据!$A$2:$A$1024,MATCH(转配商关联商!X250,基础数据!$D$2:$D$1024,0))</f>
        <v>#N/A</v>
      </c>
      <c r="E250" s="12" t="e">
        <f>INDEX(基础数据!$B$2:$B$1024,MATCH(转配商关联商!X250,基础数据!$D$2:$D$1024,0))</f>
        <v>#N/A</v>
      </c>
      <c r="G250" s="12" t="e">
        <f>INDEX([1]流向迭代数据!E$2:E$65536,MATCH(转配商关联商!W250,[1]流向迭代数据!M$2:M$65536,0))</f>
        <v>#N/A</v>
      </c>
      <c r="N250" s="12" t="e">
        <f>INDEX([1]流向迭代数据!J$2:J$65536,MATCH(L250,[1]流向迭代数据!H$2:H$65536,0))</f>
        <v>#N/A</v>
      </c>
      <c r="P250" s="14"/>
      <c r="T250" s="12" t="e">
        <f>INDEX([1]流向迭代数据!K$2:K$65536,MATCH(L250,[1]流向迭代数据!H$2:H$65536,0))</f>
        <v>#N/A</v>
      </c>
      <c r="W250" s="12" t="str">
        <f t="shared" si="7"/>
        <v/>
      </c>
    </row>
    <row r="251" spans="1:23" x14ac:dyDescent="0.15">
      <c r="A251" s="14" t="str">
        <f t="shared" si="6"/>
        <v>190001</v>
      </c>
      <c r="C251" s="12" t="e">
        <f>INDEX(基础数据!$A$2:$A$1024,MATCH(转配商关联商!X251,基础数据!$D$2:$D$1024,0))</f>
        <v>#N/A</v>
      </c>
      <c r="E251" s="12" t="e">
        <f>INDEX(基础数据!$B$2:$B$1024,MATCH(转配商关联商!X251,基础数据!$D$2:$D$1024,0))</f>
        <v>#N/A</v>
      </c>
      <c r="G251" s="12" t="e">
        <f>INDEX([1]流向迭代数据!E$2:E$65536,MATCH(转配商关联商!W251,[1]流向迭代数据!M$2:M$65536,0))</f>
        <v>#N/A</v>
      </c>
      <c r="N251" s="12" t="e">
        <f>INDEX([1]流向迭代数据!J$2:J$65536,MATCH(L251,[1]流向迭代数据!H$2:H$65536,0))</f>
        <v>#N/A</v>
      </c>
      <c r="P251" s="14"/>
      <c r="T251" s="12" t="e">
        <f>INDEX([1]流向迭代数据!K$2:K$65536,MATCH(L251,[1]流向迭代数据!H$2:H$65536,0))</f>
        <v>#N/A</v>
      </c>
      <c r="W251" s="12" t="str">
        <f t="shared" si="7"/>
        <v/>
      </c>
    </row>
    <row r="252" spans="1:23" x14ac:dyDescent="0.15">
      <c r="A252" s="14" t="str">
        <f t="shared" si="6"/>
        <v>190001</v>
      </c>
      <c r="C252" s="12" t="e">
        <f>INDEX(基础数据!$A$2:$A$1024,MATCH(转配商关联商!X252,基础数据!$D$2:$D$1024,0))</f>
        <v>#N/A</v>
      </c>
      <c r="E252" s="12" t="e">
        <f>INDEX(基础数据!$B$2:$B$1024,MATCH(转配商关联商!X252,基础数据!$D$2:$D$1024,0))</f>
        <v>#N/A</v>
      </c>
      <c r="G252" s="12" t="e">
        <f>INDEX([1]流向迭代数据!E$2:E$65536,MATCH(转配商关联商!W252,[1]流向迭代数据!M$2:M$65536,0))</f>
        <v>#N/A</v>
      </c>
      <c r="N252" s="12" t="e">
        <f>INDEX([1]流向迭代数据!J$2:J$65536,MATCH(L252,[1]流向迭代数据!H$2:H$65536,0))</f>
        <v>#N/A</v>
      </c>
      <c r="P252" s="14"/>
      <c r="T252" s="12" t="e">
        <f>INDEX([1]流向迭代数据!K$2:K$65536,MATCH(L252,[1]流向迭代数据!H$2:H$65536,0))</f>
        <v>#N/A</v>
      </c>
      <c r="W252" s="12" t="str">
        <f t="shared" si="7"/>
        <v/>
      </c>
    </row>
    <row r="253" spans="1:23" x14ac:dyDescent="0.15">
      <c r="A253" s="14" t="str">
        <f t="shared" si="6"/>
        <v>190001</v>
      </c>
      <c r="C253" s="12" t="e">
        <f>INDEX(基础数据!$A$2:$A$1024,MATCH(转配商关联商!X253,基础数据!$D$2:$D$1024,0))</f>
        <v>#N/A</v>
      </c>
      <c r="E253" s="12" t="e">
        <f>INDEX(基础数据!$B$2:$B$1024,MATCH(转配商关联商!X253,基础数据!$D$2:$D$1024,0))</f>
        <v>#N/A</v>
      </c>
      <c r="G253" s="12" t="e">
        <f>INDEX([1]流向迭代数据!E$2:E$65536,MATCH(转配商关联商!W253,[1]流向迭代数据!M$2:M$65536,0))</f>
        <v>#N/A</v>
      </c>
      <c r="N253" s="12" t="e">
        <f>INDEX([1]流向迭代数据!J$2:J$65536,MATCH(L253,[1]流向迭代数据!H$2:H$65536,0))</f>
        <v>#N/A</v>
      </c>
      <c r="P253" s="14"/>
      <c r="T253" s="12" t="e">
        <f>INDEX([1]流向迭代数据!K$2:K$65536,MATCH(L253,[1]流向迭代数据!H$2:H$65536,0))</f>
        <v>#N/A</v>
      </c>
      <c r="W253" s="12" t="str">
        <f t="shared" si="7"/>
        <v/>
      </c>
    </row>
    <row r="254" spans="1:23" x14ac:dyDescent="0.15">
      <c r="A254" s="14" t="str">
        <f t="shared" si="6"/>
        <v>190001</v>
      </c>
      <c r="C254" s="12" t="e">
        <f>INDEX(基础数据!$A$2:$A$1024,MATCH(转配商关联商!X254,基础数据!$D$2:$D$1024,0))</f>
        <v>#N/A</v>
      </c>
      <c r="E254" s="12" t="e">
        <f>INDEX(基础数据!$B$2:$B$1024,MATCH(转配商关联商!X254,基础数据!$D$2:$D$1024,0))</f>
        <v>#N/A</v>
      </c>
      <c r="G254" s="12" t="e">
        <f>INDEX([1]流向迭代数据!E$2:E$65536,MATCH(转配商关联商!W254,[1]流向迭代数据!M$2:M$65536,0))</f>
        <v>#N/A</v>
      </c>
      <c r="N254" s="12" t="e">
        <f>INDEX([1]流向迭代数据!J$2:J$65536,MATCH(L254,[1]流向迭代数据!H$2:H$65536,0))</f>
        <v>#N/A</v>
      </c>
      <c r="P254" s="14"/>
      <c r="T254" s="12" t="e">
        <f>INDEX([1]流向迭代数据!K$2:K$65536,MATCH(L254,[1]流向迭代数据!H$2:H$65536,0))</f>
        <v>#N/A</v>
      </c>
      <c r="W254" s="12" t="str">
        <f t="shared" si="7"/>
        <v/>
      </c>
    </row>
    <row r="255" spans="1:23" x14ac:dyDescent="0.15">
      <c r="A255" s="14" t="str">
        <f t="shared" si="6"/>
        <v>190001</v>
      </c>
      <c r="C255" s="12" t="e">
        <f>INDEX(基础数据!$A$2:$A$1024,MATCH(转配商关联商!X255,基础数据!$D$2:$D$1024,0))</f>
        <v>#N/A</v>
      </c>
      <c r="E255" s="12" t="e">
        <f>INDEX(基础数据!$B$2:$B$1024,MATCH(转配商关联商!X255,基础数据!$D$2:$D$1024,0))</f>
        <v>#N/A</v>
      </c>
      <c r="G255" s="12" t="e">
        <f>INDEX([1]流向迭代数据!E$2:E$65536,MATCH(转配商关联商!W255,[1]流向迭代数据!M$2:M$65536,0))</f>
        <v>#N/A</v>
      </c>
      <c r="N255" s="12" t="e">
        <f>INDEX([1]流向迭代数据!J$2:J$65536,MATCH(L255,[1]流向迭代数据!H$2:H$65536,0))</f>
        <v>#N/A</v>
      </c>
      <c r="P255" s="14"/>
      <c r="T255" s="12" t="e">
        <f>INDEX([1]流向迭代数据!K$2:K$65536,MATCH(L255,[1]流向迭代数据!H$2:H$65536,0))</f>
        <v>#N/A</v>
      </c>
      <c r="W255" s="12" t="str">
        <f t="shared" si="7"/>
        <v/>
      </c>
    </row>
    <row r="256" spans="1:23" x14ac:dyDescent="0.15">
      <c r="A256" s="14" t="str">
        <f t="shared" si="6"/>
        <v>190001</v>
      </c>
      <c r="C256" s="12" t="e">
        <f>INDEX(基础数据!$A$2:$A$1024,MATCH(转配商关联商!X256,基础数据!$D$2:$D$1024,0))</f>
        <v>#N/A</v>
      </c>
      <c r="E256" s="12" t="e">
        <f>INDEX(基础数据!$B$2:$B$1024,MATCH(转配商关联商!X256,基础数据!$D$2:$D$1024,0))</f>
        <v>#N/A</v>
      </c>
      <c r="G256" s="12" t="e">
        <f>INDEX([1]流向迭代数据!E$2:E$65536,MATCH(转配商关联商!W256,[1]流向迭代数据!M$2:M$65536,0))</f>
        <v>#N/A</v>
      </c>
      <c r="N256" s="12" t="e">
        <f>INDEX([1]流向迭代数据!J$2:J$65536,MATCH(L256,[1]流向迭代数据!H$2:H$65536,0))</f>
        <v>#N/A</v>
      </c>
      <c r="P256" s="14"/>
      <c r="T256" s="12" t="e">
        <f>INDEX([1]流向迭代数据!K$2:K$65536,MATCH(L256,[1]流向迭代数据!H$2:H$65536,0))</f>
        <v>#N/A</v>
      </c>
      <c r="W256" s="12" t="str">
        <f t="shared" si="7"/>
        <v/>
      </c>
    </row>
    <row r="257" spans="1:23" x14ac:dyDescent="0.15">
      <c r="A257" s="14" t="str">
        <f t="shared" si="6"/>
        <v>190001</v>
      </c>
      <c r="C257" s="12" t="e">
        <f>INDEX(基础数据!$A$2:$A$1024,MATCH(转配商关联商!X257,基础数据!$D$2:$D$1024,0))</f>
        <v>#N/A</v>
      </c>
      <c r="E257" s="12" t="e">
        <f>INDEX(基础数据!$B$2:$B$1024,MATCH(转配商关联商!X257,基础数据!$D$2:$D$1024,0))</f>
        <v>#N/A</v>
      </c>
      <c r="G257" s="12" t="e">
        <f>INDEX([1]流向迭代数据!E$2:E$65536,MATCH(转配商关联商!W257,[1]流向迭代数据!M$2:M$65536,0))</f>
        <v>#N/A</v>
      </c>
      <c r="N257" s="12" t="e">
        <f>INDEX([1]流向迭代数据!J$2:J$65536,MATCH(L257,[1]流向迭代数据!H$2:H$65536,0))</f>
        <v>#N/A</v>
      </c>
      <c r="P257" s="14"/>
      <c r="T257" s="12" t="e">
        <f>INDEX([1]流向迭代数据!K$2:K$65536,MATCH(L257,[1]流向迭代数据!H$2:H$65536,0))</f>
        <v>#N/A</v>
      </c>
      <c r="W257" s="12" t="str">
        <f t="shared" si="7"/>
        <v/>
      </c>
    </row>
    <row r="258" spans="1:23" x14ac:dyDescent="0.15">
      <c r="A258" s="14" t="str">
        <f t="shared" si="6"/>
        <v>190001</v>
      </c>
      <c r="C258" s="12" t="e">
        <f>INDEX(基础数据!$A$2:$A$1024,MATCH(转配商关联商!X258,基础数据!$D$2:$D$1024,0))</f>
        <v>#N/A</v>
      </c>
      <c r="E258" s="12" t="e">
        <f>INDEX(基础数据!$B$2:$B$1024,MATCH(转配商关联商!X258,基础数据!$D$2:$D$1024,0))</f>
        <v>#N/A</v>
      </c>
      <c r="G258" s="12" t="e">
        <f>INDEX([1]流向迭代数据!E$2:E$65536,MATCH(转配商关联商!W258,[1]流向迭代数据!M$2:M$65536,0))</f>
        <v>#N/A</v>
      </c>
      <c r="N258" s="12" t="e">
        <f>INDEX([1]流向迭代数据!J$2:J$65536,MATCH(L258,[1]流向迭代数据!H$2:H$65536,0))</f>
        <v>#N/A</v>
      </c>
      <c r="P258" s="14"/>
      <c r="T258" s="12" t="e">
        <f>INDEX([1]流向迭代数据!K$2:K$65536,MATCH(L258,[1]流向迭代数据!H$2:H$65536,0))</f>
        <v>#N/A</v>
      </c>
      <c r="W258" s="12" t="str">
        <f t="shared" si="7"/>
        <v/>
      </c>
    </row>
    <row r="259" spans="1:23" x14ac:dyDescent="0.15">
      <c r="A259" s="14" t="str">
        <f t="shared" ref="A259:A322" si="8">IF(MONTH(P259)&lt;10,YEAR(P259)&amp;"0"&amp;MONTH(P259),YEAR(P259)&amp;MONTH(P259))</f>
        <v>190001</v>
      </c>
      <c r="C259" s="12" t="e">
        <f>INDEX(基础数据!$A$2:$A$1024,MATCH(转配商关联商!X259,基础数据!$D$2:$D$1024,0))</f>
        <v>#N/A</v>
      </c>
      <c r="E259" s="12" t="e">
        <f>INDEX(基础数据!$B$2:$B$1024,MATCH(转配商关联商!X259,基础数据!$D$2:$D$1024,0))</f>
        <v>#N/A</v>
      </c>
      <c r="G259" s="12" t="e">
        <f>INDEX([1]流向迭代数据!E$2:E$65536,MATCH(转配商关联商!W259,[1]流向迭代数据!M$2:M$65536,0))</f>
        <v>#N/A</v>
      </c>
      <c r="N259" s="12" t="e">
        <f>INDEX([1]流向迭代数据!J$2:J$65536,MATCH(L259,[1]流向迭代数据!H$2:H$65536,0))</f>
        <v>#N/A</v>
      </c>
      <c r="P259" s="14"/>
      <c r="T259" s="12" t="e">
        <f>INDEX([1]流向迭代数据!K$2:K$65536,MATCH(L259,[1]流向迭代数据!H$2:H$65536,0))</f>
        <v>#N/A</v>
      </c>
      <c r="W259" s="12" t="str">
        <f t="shared" ref="W259:W322" si="9">H259&amp;I259</f>
        <v/>
      </c>
    </row>
    <row r="260" spans="1:23" x14ac:dyDescent="0.15">
      <c r="A260" s="14" t="str">
        <f t="shared" si="8"/>
        <v>190001</v>
      </c>
      <c r="C260" s="12" t="e">
        <f>INDEX(基础数据!$A$2:$A$1024,MATCH(转配商关联商!X260,基础数据!$D$2:$D$1024,0))</f>
        <v>#N/A</v>
      </c>
      <c r="E260" s="12" t="e">
        <f>INDEX(基础数据!$B$2:$B$1024,MATCH(转配商关联商!X260,基础数据!$D$2:$D$1024,0))</f>
        <v>#N/A</v>
      </c>
      <c r="G260" s="12" t="e">
        <f>INDEX([1]流向迭代数据!E$2:E$65536,MATCH(转配商关联商!W260,[1]流向迭代数据!M$2:M$65536,0))</f>
        <v>#N/A</v>
      </c>
      <c r="N260" s="12" t="e">
        <f>INDEX([1]流向迭代数据!J$2:J$65536,MATCH(L260,[1]流向迭代数据!H$2:H$65536,0))</f>
        <v>#N/A</v>
      </c>
      <c r="P260" s="14"/>
      <c r="T260" s="12" t="e">
        <f>INDEX([1]流向迭代数据!K$2:K$65536,MATCH(L260,[1]流向迭代数据!H$2:H$65536,0))</f>
        <v>#N/A</v>
      </c>
      <c r="W260" s="12" t="str">
        <f t="shared" si="9"/>
        <v/>
      </c>
    </row>
    <row r="261" spans="1:23" x14ac:dyDescent="0.15">
      <c r="A261" s="14" t="str">
        <f t="shared" si="8"/>
        <v>190001</v>
      </c>
      <c r="C261" s="12" t="e">
        <f>INDEX(基础数据!$A$2:$A$1024,MATCH(转配商关联商!X261,基础数据!$D$2:$D$1024,0))</f>
        <v>#N/A</v>
      </c>
      <c r="E261" s="12" t="e">
        <f>INDEX(基础数据!$B$2:$B$1024,MATCH(转配商关联商!X261,基础数据!$D$2:$D$1024,0))</f>
        <v>#N/A</v>
      </c>
      <c r="G261" s="12" t="e">
        <f>INDEX([1]流向迭代数据!E$2:E$65536,MATCH(转配商关联商!W261,[1]流向迭代数据!M$2:M$65536,0))</f>
        <v>#N/A</v>
      </c>
      <c r="N261" s="12" t="e">
        <f>INDEX([1]流向迭代数据!J$2:J$65536,MATCH(L261,[1]流向迭代数据!H$2:H$65536,0))</f>
        <v>#N/A</v>
      </c>
      <c r="P261" s="14"/>
      <c r="T261" s="12" t="e">
        <f>INDEX([1]流向迭代数据!K$2:K$65536,MATCH(L261,[1]流向迭代数据!H$2:H$65536,0))</f>
        <v>#N/A</v>
      </c>
      <c r="W261" s="12" t="str">
        <f t="shared" si="9"/>
        <v/>
      </c>
    </row>
    <row r="262" spans="1:23" x14ac:dyDescent="0.15">
      <c r="A262" s="14" t="str">
        <f t="shared" si="8"/>
        <v>190001</v>
      </c>
      <c r="C262" s="12" t="e">
        <f>INDEX(基础数据!$A$2:$A$1024,MATCH(转配商关联商!X262,基础数据!$D$2:$D$1024,0))</f>
        <v>#N/A</v>
      </c>
      <c r="E262" s="12" t="e">
        <f>INDEX(基础数据!$B$2:$B$1024,MATCH(转配商关联商!X262,基础数据!$D$2:$D$1024,0))</f>
        <v>#N/A</v>
      </c>
      <c r="G262" s="12" t="e">
        <f>INDEX([1]流向迭代数据!E$2:E$65536,MATCH(转配商关联商!W262,[1]流向迭代数据!M$2:M$65536,0))</f>
        <v>#N/A</v>
      </c>
      <c r="N262" s="12" t="e">
        <f>INDEX([1]流向迭代数据!J$2:J$65536,MATCH(L262,[1]流向迭代数据!H$2:H$65536,0))</f>
        <v>#N/A</v>
      </c>
      <c r="P262" s="14"/>
      <c r="T262" s="12" t="e">
        <f>INDEX([1]流向迭代数据!K$2:K$65536,MATCH(L262,[1]流向迭代数据!H$2:H$65536,0))</f>
        <v>#N/A</v>
      </c>
      <c r="W262" s="12" t="str">
        <f t="shared" si="9"/>
        <v/>
      </c>
    </row>
    <row r="263" spans="1:23" x14ac:dyDescent="0.15">
      <c r="A263" s="14" t="str">
        <f t="shared" si="8"/>
        <v>190001</v>
      </c>
      <c r="C263" s="12" t="e">
        <f>INDEX(基础数据!$A$2:$A$1024,MATCH(转配商关联商!X263,基础数据!$D$2:$D$1024,0))</f>
        <v>#N/A</v>
      </c>
      <c r="E263" s="12" t="e">
        <f>INDEX(基础数据!$B$2:$B$1024,MATCH(转配商关联商!X263,基础数据!$D$2:$D$1024,0))</f>
        <v>#N/A</v>
      </c>
      <c r="G263" s="12" t="e">
        <f>INDEX([1]流向迭代数据!E$2:E$65536,MATCH(转配商关联商!W263,[1]流向迭代数据!M$2:M$65536,0))</f>
        <v>#N/A</v>
      </c>
      <c r="N263" s="12" t="e">
        <f>INDEX([1]流向迭代数据!J$2:J$65536,MATCH(L263,[1]流向迭代数据!H$2:H$65536,0))</f>
        <v>#N/A</v>
      </c>
      <c r="P263" s="14"/>
      <c r="T263" s="12" t="e">
        <f>INDEX([1]流向迭代数据!K$2:K$65536,MATCH(L263,[1]流向迭代数据!H$2:H$65536,0))</f>
        <v>#N/A</v>
      </c>
      <c r="W263" s="12" t="str">
        <f t="shared" si="9"/>
        <v/>
      </c>
    </row>
    <row r="264" spans="1:23" x14ac:dyDescent="0.15">
      <c r="A264" s="14" t="str">
        <f t="shared" si="8"/>
        <v>190001</v>
      </c>
      <c r="C264" s="12" t="e">
        <f>INDEX(基础数据!$A$2:$A$1024,MATCH(转配商关联商!X264,基础数据!$D$2:$D$1024,0))</f>
        <v>#N/A</v>
      </c>
      <c r="E264" s="12" t="e">
        <f>INDEX(基础数据!$B$2:$B$1024,MATCH(转配商关联商!X264,基础数据!$D$2:$D$1024,0))</f>
        <v>#N/A</v>
      </c>
      <c r="G264" s="12" t="e">
        <f>INDEX([1]流向迭代数据!E$2:E$65536,MATCH(转配商关联商!W264,[1]流向迭代数据!M$2:M$65536,0))</f>
        <v>#N/A</v>
      </c>
      <c r="N264" s="12" t="e">
        <f>INDEX([1]流向迭代数据!J$2:J$65536,MATCH(L264,[1]流向迭代数据!H$2:H$65536,0))</f>
        <v>#N/A</v>
      </c>
      <c r="P264" s="14"/>
      <c r="T264" s="12" t="e">
        <f>INDEX([1]流向迭代数据!K$2:K$65536,MATCH(L264,[1]流向迭代数据!H$2:H$65536,0))</f>
        <v>#N/A</v>
      </c>
      <c r="W264" s="12" t="str">
        <f t="shared" si="9"/>
        <v/>
      </c>
    </row>
    <row r="265" spans="1:23" x14ac:dyDescent="0.15">
      <c r="A265" s="14" t="str">
        <f t="shared" si="8"/>
        <v>190001</v>
      </c>
      <c r="C265" s="12" t="e">
        <f>INDEX(基础数据!$A$2:$A$1024,MATCH(转配商关联商!X265,基础数据!$D$2:$D$1024,0))</f>
        <v>#N/A</v>
      </c>
      <c r="E265" s="12" t="e">
        <f>INDEX(基础数据!$B$2:$B$1024,MATCH(转配商关联商!X265,基础数据!$D$2:$D$1024,0))</f>
        <v>#N/A</v>
      </c>
      <c r="G265" s="12" t="e">
        <f>INDEX([1]流向迭代数据!E$2:E$65536,MATCH(转配商关联商!W265,[1]流向迭代数据!M$2:M$65536,0))</f>
        <v>#N/A</v>
      </c>
      <c r="N265" s="12" t="e">
        <f>INDEX([1]流向迭代数据!J$2:J$65536,MATCH(L265,[1]流向迭代数据!H$2:H$65536,0))</f>
        <v>#N/A</v>
      </c>
      <c r="P265" s="14"/>
      <c r="T265" s="12" t="e">
        <f>INDEX([1]流向迭代数据!K$2:K$65536,MATCH(L265,[1]流向迭代数据!H$2:H$65536,0))</f>
        <v>#N/A</v>
      </c>
      <c r="W265" s="12" t="str">
        <f t="shared" si="9"/>
        <v/>
      </c>
    </row>
    <row r="266" spans="1:23" x14ac:dyDescent="0.15">
      <c r="A266" s="14" t="str">
        <f t="shared" si="8"/>
        <v>190001</v>
      </c>
      <c r="C266" s="12" t="e">
        <f>INDEX(基础数据!$A$2:$A$1024,MATCH(转配商关联商!X266,基础数据!$D$2:$D$1024,0))</f>
        <v>#N/A</v>
      </c>
      <c r="E266" s="12" t="e">
        <f>INDEX(基础数据!$B$2:$B$1024,MATCH(转配商关联商!X266,基础数据!$D$2:$D$1024,0))</f>
        <v>#N/A</v>
      </c>
      <c r="G266" s="12" t="e">
        <f>INDEX([1]流向迭代数据!E$2:E$65536,MATCH(转配商关联商!W266,[1]流向迭代数据!M$2:M$65536,0))</f>
        <v>#N/A</v>
      </c>
      <c r="N266" s="12" t="e">
        <f>INDEX([1]流向迭代数据!J$2:J$65536,MATCH(L266,[1]流向迭代数据!H$2:H$65536,0))</f>
        <v>#N/A</v>
      </c>
      <c r="P266" s="14"/>
      <c r="T266" s="12" t="e">
        <f>INDEX([1]流向迭代数据!K$2:K$65536,MATCH(L266,[1]流向迭代数据!H$2:H$65536,0))</f>
        <v>#N/A</v>
      </c>
      <c r="W266" s="12" t="str">
        <f t="shared" si="9"/>
        <v/>
      </c>
    </row>
    <row r="267" spans="1:23" x14ac:dyDescent="0.15">
      <c r="A267" s="14" t="str">
        <f t="shared" si="8"/>
        <v>190001</v>
      </c>
      <c r="C267" s="12" t="e">
        <f>INDEX(基础数据!$A$2:$A$1024,MATCH(转配商关联商!X267,基础数据!$D$2:$D$1024,0))</f>
        <v>#N/A</v>
      </c>
      <c r="E267" s="12" t="e">
        <f>INDEX(基础数据!$B$2:$B$1024,MATCH(转配商关联商!X267,基础数据!$D$2:$D$1024,0))</f>
        <v>#N/A</v>
      </c>
      <c r="G267" s="12" t="e">
        <f>INDEX([1]流向迭代数据!E$2:E$65536,MATCH(转配商关联商!W267,[1]流向迭代数据!M$2:M$65536,0))</f>
        <v>#N/A</v>
      </c>
      <c r="N267" s="12" t="e">
        <f>INDEX([1]流向迭代数据!J$2:J$65536,MATCH(L267,[1]流向迭代数据!H$2:H$65536,0))</f>
        <v>#N/A</v>
      </c>
      <c r="P267" s="14"/>
      <c r="T267" s="12" t="e">
        <f>INDEX([1]流向迭代数据!K$2:K$65536,MATCH(L267,[1]流向迭代数据!H$2:H$65536,0))</f>
        <v>#N/A</v>
      </c>
      <c r="W267" s="12" t="str">
        <f t="shared" si="9"/>
        <v/>
      </c>
    </row>
    <row r="268" spans="1:23" x14ac:dyDescent="0.15">
      <c r="A268" s="14" t="str">
        <f t="shared" si="8"/>
        <v>190001</v>
      </c>
      <c r="C268" s="12" t="e">
        <f>INDEX(基础数据!$A$2:$A$1024,MATCH(转配商关联商!X268,基础数据!$D$2:$D$1024,0))</f>
        <v>#N/A</v>
      </c>
      <c r="E268" s="12" t="e">
        <f>INDEX(基础数据!$B$2:$B$1024,MATCH(转配商关联商!X268,基础数据!$D$2:$D$1024,0))</f>
        <v>#N/A</v>
      </c>
      <c r="G268" s="12" t="e">
        <f>INDEX([1]流向迭代数据!E$2:E$65536,MATCH(转配商关联商!W268,[1]流向迭代数据!M$2:M$65536,0))</f>
        <v>#N/A</v>
      </c>
      <c r="N268" s="12" t="e">
        <f>INDEX([1]流向迭代数据!J$2:J$65536,MATCH(L268,[1]流向迭代数据!H$2:H$65536,0))</f>
        <v>#N/A</v>
      </c>
      <c r="P268" s="14"/>
      <c r="T268" s="12" t="e">
        <f>INDEX([1]流向迭代数据!K$2:K$65536,MATCH(L268,[1]流向迭代数据!H$2:H$65536,0))</f>
        <v>#N/A</v>
      </c>
      <c r="W268" s="12" t="str">
        <f t="shared" si="9"/>
        <v/>
      </c>
    </row>
    <row r="269" spans="1:23" x14ac:dyDescent="0.15">
      <c r="A269" s="14" t="str">
        <f t="shared" si="8"/>
        <v>190001</v>
      </c>
      <c r="C269" s="12" t="e">
        <f>INDEX(基础数据!$A$2:$A$1024,MATCH(转配商关联商!X269,基础数据!$D$2:$D$1024,0))</f>
        <v>#N/A</v>
      </c>
      <c r="E269" s="12" t="e">
        <f>INDEX(基础数据!$B$2:$B$1024,MATCH(转配商关联商!X269,基础数据!$D$2:$D$1024,0))</f>
        <v>#N/A</v>
      </c>
      <c r="G269" s="12" t="e">
        <f>INDEX([1]流向迭代数据!E$2:E$65536,MATCH(转配商关联商!W269,[1]流向迭代数据!M$2:M$65536,0))</f>
        <v>#N/A</v>
      </c>
      <c r="N269" s="12" t="e">
        <f>INDEX([1]流向迭代数据!J$2:J$65536,MATCH(L269,[1]流向迭代数据!H$2:H$65536,0))</f>
        <v>#N/A</v>
      </c>
      <c r="P269" s="14"/>
      <c r="T269" s="12" t="e">
        <f>INDEX([1]流向迭代数据!K$2:K$65536,MATCH(L269,[1]流向迭代数据!H$2:H$65536,0))</f>
        <v>#N/A</v>
      </c>
      <c r="W269" s="12" t="str">
        <f t="shared" si="9"/>
        <v/>
      </c>
    </row>
    <row r="270" spans="1:23" x14ac:dyDescent="0.15">
      <c r="A270" s="14" t="str">
        <f t="shared" si="8"/>
        <v>190001</v>
      </c>
      <c r="C270" s="12" t="e">
        <f>INDEX(基础数据!$A$2:$A$1024,MATCH(转配商关联商!X270,基础数据!$D$2:$D$1024,0))</f>
        <v>#N/A</v>
      </c>
      <c r="E270" s="12" t="e">
        <f>INDEX(基础数据!$B$2:$B$1024,MATCH(转配商关联商!X270,基础数据!$D$2:$D$1024,0))</f>
        <v>#N/A</v>
      </c>
      <c r="G270" s="12" t="e">
        <f>INDEX([1]流向迭代数据!E$2:E$65536,MATCH(转配商关联商!W270,[1]流向迭代数据!M$2:M$65536,0))</f>
        <v>#N/A</v>
      </c>
      <c r="N270" s="12" t="e">
        <f>INDEX([1]流向迭代数据!J$2:J$65536,MATCH(L270,[1]流向迭代数据!H$2:H$65536,0))</f>
        <v>#N/A</v>
      </c>
      <c r="P270" s="14"/>
      <c r="T270" s="12" t="e">
        <f>INDEX([1]流向迭代数据!K$2:K$65536,MATCH(L270,[1]流向迭代数据!H$2:H$65536,0))</f>
        <v>#N/A</v>
      </c>
      <c r="W270" s="12" t="str">
        <f t="shared" si="9"/>
        <v/>
      </c>
    </row>
    <row r="271" spans="1:23" x14ac:dyDescent="0.15">
      <c r="A271" s="14" t="str">
        <f t="shared" si="8"/>
        <v>190001</v>
      </c>
      <c r="C271" s="12" t="e">
        <f>INDEX(基础数据!$A$2:$A$1024,MATCH(转配商关联商!X271,基础数据!$D$2:$D$1024,0))</f>
        <v>#N/A</v>
      </c>
      <c r="E271" s="12" t="e">
        <f>INDEX(基础数据!$B$2:$B$1024,MATCH(转配商关联商!X271,基础数据!$D$2:$D$1024,0))</f>
        <v>#N/A</v>
      </c>
      <c r="G271" s="12" t="e">
        <f>INDEX([1]流向迭代数据!E$2:E$65536,MATCH(转配商关联商!W271,[1]流向迭代数据!M$2:M$65536,0))</f>
        <v>#N/A</v>
      </c>
      <c r="N271" s="12" t="e">
        <f>INDEX([1]流向迭代数据!J$2:J$65536,MATCH(L271,[1]流向迭代数据!H$2:H$65536,0))</f>
        <v>#N/A</v>
      </c>
      <c r="P271" s="14"/>
      <c r="T271" s="12" t="e">
        <f>INDEX([1]流向迭代数据!K$2:K$65536,MATCH(L271,[1]流向迭代数据!H$2:H$65536,0))</f>
        <v>#N/A</v>
      </c>
      <c r="W271" s="12" t="str">
        <f t="shared" si="9"/>
        <v/>
      </c>
    </row>
    <row r="272" spans="1:23" x14ac:dyDescent="0.15">
      <c r="A272" s="14" t="str">
        <f t="shared" si="8"/>
        <v>190001</v>
      </c>
      <c r="C272" s="12" t="e">
        <f>INDEX(基础数据!$A$2:$A$1024,MATCH(转配商关联商!X272,基础数据!$D$2:$D$1024,0))</f>
        <v>#N/A</v>
      </c>
      <c r="E272" s="12" t="e">
        <f>INDEX(基础数据!$B$2:$B$1024,MATCH(转配商关联商!X272,基础数据!$D$2:$D$1024,0))</f>
        <v>#N/A</v>
      </c>
      <c r="G272" s="12" t="e">
        <f>INDEX([1]流向迭代数据!E$2:E$65536,MATCH(转配商关联商!W272,[1]流向迭代数据!M$2:M$65536,0))</f>
        <v>#N/A</v>
      </c>
      <c r="N272" s="12" t="e">
        <f>INDEX([1]流向迭代数据!J$2:J$65536,MATCH(L272,[1]流向迭代数据!H$2:H$65536,0))</f>
        <v>#N/A</v>
      </c>
      <c r="P272" s="14"/>
      <c r="T272" s="12" t="e">
        <f>INDEX([1]流向迭代数据!K$2:K$65536,MATCH(L272,[1]流向迭代数据!H$2:H$65536,0))</f>
        <v>#N/A</v>
      </c>
      <c r="W272" s="12" t="str">
        <f t="shared" si="9"/>
        <v/>
      </c>
    </row>
    <row r="273" spans="1:23" x14ac:dyDescent="0.15">
      <c r="A273" s="14" t="str">
        <f t="shared" si="8"/>
        <v>190001</v>
      </c>
      <c r="C273" s="12" t="e">
        <f>INDEX(基础数据!$A$2:$A$1024,MATCH(转配商关联商!X273,基础数据!$D$2:$D$1024,0))</f>
        <v>#N/A</v>
      </c>
      <c r="E273" s="12" t="e">
        <f>INDEX(基础数据!$B$2:$B$1024,MATCH(转配商关联商!X273,基础数据!$D$2:$D$1024,0))</f>
        <v>#N/A</v>
      </c>
      <c r="G273" s="12" t="e">
        <f>INDEX([1]流向迭代数据!E$2:E$65536,MATCH(转配商关联商!W273,[1]流向迭代数据!M$2:M$65536,0))</f>
        <v>#N/A</v>
      </c>
      <c r="N273" s="12" t="e">
        <f>INDEX([1]流向迭代数据!J$2:J$65536,MATCH(L273,[1]流向迭代数据!H$2:H$65536,0))</f>
        <v>#N/A</v>
      </c>
      <c r="P273" s="14"/>
      <c r="T273" s="12" t="e">
        <f>INDEX([1]流向迭代数据!K$2:K$65536,MATCH(L273,[1]流向迭代数据!H$2:H$65536,0))</f>
        <v>#N/A</v>
      </c>
      <c r="W273" s="12" t="str">
        <f t="shared" si="9"/>
        <v/>
      </c>
    </row>
    <row r="274" spans="1:23" x14ac:dyDescent="0.15">
      <c r="A274" s="14" t="str">
        <f t="shared" si="8"/>
        <v>190001</v>
      </c>
      <c r="C274" s="12" t="e">
        <f>INDEX(基础数据!$A$2:$A$1024,MATCH(转配商关联商!X274,基础数据!$D$2:$D$1024,0))</f>
        <v>#N/A</v>
      </c>
      <c r="E274" s="12" t="e">
        <f>INDEX(基础数据!$B$2:$B$1024,MATCH(转配商关联商!X274,基础数据!$D$2:$D$1024,0))</f>
        <v>#N/A</v>
      </c>
      <c r="G274" s="12" t="e">
        <f>INDEX([1]流向迭代数据!E$2:E$65536,MATCH(转配商关联商!W274,[1]流向迭代数据!M$2:M$65536,0))</f>
        <v>#N/A</v>
      </c>
      <c r="N274" s="12" t="e">
        <f>INDEX([1]流向迭代数据!J$2:J$65536,MATCH(L274,[1]流向迭代数据!H$2:H$65536,0))</f>
        <v>#N/A</v>
      </c>
      <c r="P274" s="14"/>
      <c r="T274" s="12" t="e">
        <f>INDEX([1]流向迭代数据!K$2:K$65536,MATCH(L274,[1]流向迭代数据!H$2:H$65536,0))</f>
        <v>#N/A</v>
      </c>
      <c r="W274" s="12" t="str">
        <f t="shared" si="9"/>
        <v/>
      </c>
    </row>
    <row r="275" spans="1:23" x14ac:dyDescent="0.15">
      <c r="A275" s="14" t="str">
        <f t="shared" si="8"/>
        <v>190001</v>
      </c>
      <c r="C275" s="12" t="e">
        <f>INDEX(基础数据!$A$2:$A$1024,MATCH(转配商关联商!X275,基础数据!$D$2:$D$1024,0))</f>
        <v>#N/A</v>
      </c>
      <c r="E275" s="12" t="e">
        <f>INDEX(基础数据!$B$2:$B$1024,MATCH(转配商关联商!X275,基础数据!$D$2:$D$1024,0))</f>
        <v>#N/A</v>
      </c>
      <c r="G275" s="12" t="e">
        <f>INDEX([1]流向迭代数据!E$2:E$65536,MATCH(转配商关联商!W275,[1]流向迭代数据!M$2:M$65536,0))</f>
        <v>#N/A</v>
      </c>
      <c r="N275" s="12" t="e">
        <f>INDEX([1]流向迭代数据!J$2:J$65536,MATCH(L275,[1]流向迭代数据!H$2:H$65536,0))</f>
        <v>#N/A</v>
      </c>
      <c r="P275" s="14"/>
      <c r="T275" s="12" t="e">
        <f>INDEX([1]流向迭代数据!K$2:K$65536,MATCH(L275,[1]流向迭代数据!H$2:H$65536,0))</f>
        <v>#N/A</v>
      </c>
      <c r="W275" s="12" t="str">
        <f t="shared" si="9"/>
        <v/>
      </c>
    </row>
    <row r="276" spans="1:23" x14ac:dyDescent="0.15">
      <c r="A276" s="14" t="str">
        <f t="shared" si="8"/>
        <v>190001</v>
      </c>
      <c r="C276" s="12" t="e">
        <f>INDEX(基础数据!$A$2:$A$1024,MATCH(转配商关联商!X276,基础数据!$D$2:$D$1024,0))</f>
        <v>#N/A</v>
      </c>
      <c r="E276" s="12" t="e">
        <f>INDEX(基础数据!$B$2:$B$1024,MATCH(转配商关联商!X276,基础数据!$D$2:$D$1024,0))</f>
        <v>#N/A</v>
      </c>
      <c r="G276" s="12" t="e">
        <f>INDEX([1]流向迭代数据!E$2:E$65536,MATCH(转配商关联商!W276,[1]流向迭代数据!M$2:M$65536,0))</f>
        <v>#N/A</v>
      </c>
      <c r="N276" s="12" t="e">
        <f>INDEX([1]流向迭代数据!J$2:J$65536,MATCH(L276,[1]流向迭代数据!H$2:H$65536,0))</f>
        <v>#N/A</v>
      </c>
      <c r="P276" s="14"/>
      <c r="T276" s="12" t="e">
        <f>INDEX([1]流向迭代数据!K$2:K$65536,MATCH(L276,[1]流向迭代数据!H$2:H$65536,0))</f>
        <v>#N/A</v>
      </c>
      <c r="W276" s="12" t="str">
        <f t="shared" si="9"/>
        <v/>
      </c>
    </row>
    <row r="277" spans="1:23" x14ac:dyDescent="0.15">
      <c r="A277" s="14" t="str">
        <f t="shared" si="8"/>
        <v>190001</v>
      </c>
      <c r="C277" s="12" t="e">
        <f>INDEX(基础数据!$A$2:$A$1024,MATCH(转配商关联商!X277,基础数据!$D$2:$D$1024,0))</f>
        <v>#N/A</v>
      </c>
      <c r="E277" s="12" t="e">
        <f>INDEX(基础数据!$B$2:$B$1024,MATCH(转配商关联商!X277,基础数据!$D$2:$D$1024,0))</f>
        <v>#N/A</v>
      </c>
      <c r="G277" s="12" t="e">
        <f>INDEX([1]流向迭代数据!E$2:E$65536,MATCH(转配商关联商!W277,[1]流向迭代数据!M$2:M$65536,0))</f>
        <v>#N/A</v>
      </c>
      <c r="N277" s="12" t="e">
        <f>INDEX([1]流向迭代数据!J$2:J$65536,MATCH(L277,[1]流向迭代数据!H$2:H$65536,0))</f>
        <v>#N/A</v>
      </c>
      <c r="P277" s="14"/>
      <c r="T277" s="12" t="e">
        <f>INDEX([1]流向迭代数据!K$2:K$65536,MATCH(L277,[1]流向迭代数据!H$2:H$65536,0))</f>
        <v>#N/A</v>
      </c>
      <c r="W277" s="12" t="str">
        <f t="shared" si="9"/>
        <v/>
      </c>
    </row>
    <row r="278" spans="1:23" x14ac:dyDescent="0.15">
      <c r="A278" s="14" t="str">
        <f t="shared" si="8"/>
        <v>190001</v>
      </c>
      <c r="C278" s="12" t="e">
        <f>INDEX(基础数据!$A$2:$A$1024,MATCH(转配商关联商!X278,基础数据!$D$2:$D$1024,0))</f>
        <v>#N/A</v>
      </c>
      <c r="E278" s="12" t="e">
        <f>INDEX(基础数据!$B$2:$B$1024,MATCH(转配商关联商!X278,基础数据!$D$2:$D$1024,0))</f>
        <v>#N/A</v>
      </c>
      <c r="G278" s="12" t="e">
        <f>INDEX([1]流向迭代数据!E$2:E$65536,MATCH(转配商关联商!W278,[1]流向迭代数据!M$2:M$65536,0))</f>
        <v>#N/A</v>
      </c>
      <c r="N278" s="12" t="e">
        <f>INDEX([1]流向迭代数据!J$2:J$65536,MATCH(L278,[1]流向迭代数据!H$2:H$65536,0))</f>
        <v>#N/A</v>
      </c>
      <c r="P278" s="14"/>
      <c r="T278" s="12" t="e">
        <f>INDEX([1]流向迭代数据!K$2:K$65536,MATCH(L278,[1]流向迭代数据!H$2:H$65536,0))</f>
        <v>#N/A</v>
      </c>
      <c r="W278" s="12" t="str">
        <f t="shared" si="9"/>
        <v/>
      </c>
    </row>
    <row r="279" spans="1:23" x14ac:dyDescent="0.15">
      <c r="A279" s="14" t="str">
        <f t="shared" si="8"/>
        <v>190001</v>
      </c>
      <c r="C279" s="12" t="e">
        <f>INDEX(基础数据!$A$2:$A$1024,MATCH(转配商关联商!X279,基础数据!$D$2:$D$1024,0))</f>
        <v>#N/A</v>
      </c>
      <c r="E279" s="12" t="e">
        <f>INDEX(基础数据!$B$2:$B$1024,MATCH(转配商关联商!X279,基础数据!$D$2:$D$1024,0))</f>
        <v>#N/A</v>
      </c>
      <c r="G279" s="12" t="e">
        <f>INDEX([1]流向迭代数据!E$2:E$65536,MATCH(转配商关联商!W279,[1]流向迭代数据!M$2:M$65536,0))</f>
        <v>#N/A</v>
      </c>
      <c r="N279" s="12" t="e">
        <f>INDEX([1]流向迭代数据!J$2:J$65536,MATCH(L279,[1]流向迭代数据!H$2:H$65536,0))</f>
        <v>#N/A</v>
      </c>
      <c r="P279" s="14"/>
      <c r="T279" s="12" t="e">
        <f>INDEX([1]流向迭代数据!K$2:K$65536,MATCH(L279,[1]流向迭代数据!H$2:H$65536,0))</f>
        <v>#N/A</v>
      </c>
      <c r="W279" s="12" t="str">
        <f t="shared" si="9"/>
        <v/>
      </c>
    </row>
    <row r="280" spans="1:23" x14ac:dyDescent="0.15">
      <c r="A280" s="14" t="str">
        <f t="shared" si="8"/>
        <v>190001</v>
      </c>
      <c r="C280" s="12" t="e">
        <f>INDEX(基础数据!$A$2:$A$1024,MATCH(转配商关联商!X280,基础数据!$D$2:$D$1024,0))</f>
        <v>#N/A</v>
      </c>
      <c r="E280" s="12" t="e">
        <f>INDEX(基础数据!$B$2:$B$1024,MATCH(转配商关联商!X280,基础数据!$D$2:$D$1024,0))</f>
        <v>#N/A</v>
      </c>
      <c r="G280" s="12" t="e">
        <f>INDEX([1]流向迭代数据!E$2:E$65536,MATCH(转配商关联商!W280,[1]流向迭代数据!M$2:M$65536,0))</f>
        <v>#N/A</v>
      </c>
      <c r="N280" s="12" t="e">
        <f>INDEX([1]流向迭代数据!J$2:J$65536,MATCH(L280,[1]流向迭代数据!H$2:H$65536,0))</f>
        <v>#N/A</v>
      </c>
      <c r="P280" s="14"/>
      <c r="T280" s="12" t="e">
        <f>INDEX([1]流向迭代数据!K$2:K$65536,MATCH(L280,[1]流向迭代数据!H$2:H$65536,0))</f>
        <v>#N/A</v>
      </c>
      <c r="W280" s="12" t="str">
        <f t="shared" si="9"/>
        <v/>
      </c>
    </row>
    <row r="281" spans="1:23" x14ac:dyDescent="0.15">
      <c r="A281" s="14" t="str">
        <f t="shared" si="8"/>
        <v>190001</v>
      </c>
      <c r="C281" s="12" t="e">
        <f>INDEX(基础数据!$A$2:$A$1024,MATCH(转配商关联商!X281,基础数据!$D$2:$D$1024,0))</f>
        <v>#N/A</v>
      </c>
      <c r="E281" s="12" t="e">
        <f>INDEX(基础数据!$B$2:$B$1024,MATCH(转配商关联商!X281,基础数据!$D$2:$D$1024,0))</f>
        <v>#N/A</v>
      </c>
      <c r="G281" s="12" t="e">
        <f>INDEX([1]流向迭代数据!E$2:E$65536,MATCH(转配商关联商!W281,[1]流向迭代数据!M$2:M$65536,0))</f>
        <v>#N/A</v>
      </c>
      <c r="N281" s="12" t="e">
        <f>INDEX([1]流向迭代数据!J$2:J$65536,MATCH(L281,[1]流向迭代数据!H$2:H$65536,0))</f>
        <v>#N/A</v>
      </c>
      <c r="P281" s="14"/>
      <c r="T281" s="12" t="e">
        <f>INDEX([1]流向迭代数据!K$2:K$65536,MATCH(L281,[1]流向迭代数据!H$2:H$65536,0))</f>
        <v>#N/A</v>
      </c>
      <c r="W281" s="12" t="str">
        <f t="shared" si="9"/>
        <v/>
      </c>
    </row>
    <row r="282" spans="1:23" x14ac:dyDescent="0.15">
      <c r="A282" s="14" t="str">
        <f t="shared" si="8"/>
        <v>190001</v>
      </c>
      <c r="C282" s="12" t="e">
        <f>INDEX(基础数据!$A$2:$A$1024,MATCH(转配商关联商!X282,基础数据!$D$2:$D$1024,0))</f>
        <v>#N/A</v>
      </c>
      <c r="E282" s="12" t="e">
        <f>INDEX(基础数据!$B$2:$B$1024,MATCH(转配商关联商!X282,基础数据!$D$2:$D$1024,0))</f>
        <v>#N/A</v>
      </c>
      <c r="G282" s="12" t="e">
        <f>INDEX([1]流向迭代数据!E$2:E$65536,MATCH(转配商关联商!W282,[1]流向迭代数据!M$2:M$65536,0))</f>
        <v>#N/A</v>
      </c>
      <c r="N282" s="12" t="e">
        <f>INDEX([1]流向迭代数据!J$2:J$65536,MATCH(L282,[1]流向迭代数据!H$2:H$65536,0))</f>
        <v>#N/A</v>
      </c>
      <c r="P282" s="14"/>
      <c r="T282" s="12" t="e">
        <f>INDEX([1]流向迭代数据!K$2:K$65536,MATCH(L282,[1]流向迭代数据!H$2:H$65536,0))</f>
        <v>#N/A</v>
      </c>
      <c r="W282" s="12" t="str">
        <f t="shared" si="9"/>
        <v/>
      </c>
    </row>
    <row r="283" spans="1:23" x14ac:dyDescent="0.15">
      <c r="A283" s="14" t="str">
        <f t="shared" si="8"/>
        <v>190001</v>
      </c>
      <c r="C283" s="12" t="e">
        <f>INDEX(基础数据!$A$2:$A$1024,MATCH(转配商关联商!X283,基础数据!$D$2:$D$1024,0))</f>
        <v>#N/A</v>
      </c>
      <c r="E283" s="12" t="e">
        <f>INDEX(基础数据!$B$2:$B$1024,MATCH(转配商关联商!X283,基础数据!$D$2:$D$1024,0))</f>
        <v>#N/A</v>
      </c>
      <c r="G283" s="12" t="e">
        <f>INDEX([1]流向迭代数据!E$2:E$65536,MATCH(转配商关联商!W283,[1]流向迭代数据!M$2:M$65536,0))</f>
        <v>#N/A</v>
      </c>
      <c r="N283" s="12" t="e">
        <f>INDEX([1]流向迭代数据!J$2:J$65536,MATCH(L283,[1]流向迭代数据!H$2:H$65536,0))</f>
        <v>#N/A</v>
      </c>
      <c r="P283" s="14"/>
      <c r="T283" s="12" t="e">
        <f>INDEX([1]流向迭代数据!K$2:K$65536,MATCH(L283,[1]流向迭代数据!H$2:H$65536,0))</f>
        <v>#N/A</v>
      </c>
      <c r="W283" s="12" t="str">
        <f t="shared" si="9"/>
        <v/>
      </c>
    </row>
    <row r="284" spans="1:23" x14ac:dyDescent="0.15">
      <c r="A284" s="14" t="str">
        <f t="shared" si="8"/>
        <v>190001</v>
      </c>
      <c r="C284" s="12" t="e">
        <f>INDEX(基础数据!$A$2:$A$1024,MATCH(转配商关联商!X284,基础数据!$D$2:$D$1024,0))</f>
        <v>#N/A</v>
      </c>
      <c r="E284" s="12" t="e">
        <f>INDEX(基础数据!$B$2:$B$1024,MATCH(转配商关联商!X284,基础数据!$D$2:$D$1024,0))</f>
        <v>#N/A</v>
      </c>
      <c r="G284" s="12" t="e">
        <f>INDEX([1]流向迭代数据!E$2:E$65536,MATCH(转配商关联商!W284,[1]流向迭代数据!M$2:M$65536,0))</f>
        <v>#N/A</v>
      </c>
      <c r="N284" s="12" t="e">
        <f>INDEX([1]流向迭代数据!J$2:J$65536,MATCH(L284,[1]流向迭代数据!H$2:H$65536,0))</f>
        <v>#N/A</v>
      </c>
      <c r="P284" s="14"/>
      <c r="T284" s="12" t="e">
        <f>INDEX([1]流向迭代数据!K$2:K$65536,MATCH(L284,[1]流向迭代数据!H$2:H$65536,0))</f>
        <v>#N/A</v>
      </c>
      <c r="W284" s="12" t="str">
        <f t="shared" si="9"/>
        <v/>
      </c>
    </row>
    <row r="285" spans="1:23" x14ac:dyDescent="0.15">
      <c r="A285" s="14" t="str">
        <f t="shared" si="8"/>
        <v>190001</v>
      </c>
      <c r="C285" s="12" t="e">
        <f>INDEX(基础数据!$A$2:$A$1024,MATCH(转配商关联商!X285,基础数据!$D$2:$D$1024,0))</f>
        <v>#N/A</v>
      </c>
      <c r="E285" s="12" t="e">
        <f>INDEX(基础数据!$B$2:$B$1024,MATCH(转配商关联商!X285,基础数据!$D$2:$D$1024,0))</f>
        <v>#N/A</v>
      </c>
      <c r="G285" s="12" t="e">
        <f>INDEX([1]流向迭代数据!E$2:E$65536,MATCH(转配商关联商!W285,[1]流向迭代数据!M$2:M$65536,0))</f>
        <v>#N/A</v>
      </c>
      <c r="N285" s="12" t="e">
        <f>INDEX([1]流向迭代数据!J$2:J$65536,MATCH(L285,[1]流向迭代数据!H$2:H$65536,0))</f>
        <v>#N/A</v>
      </c>
      <c r="P285" s="14"/>
      <c r="T285" s="12" t="e">
        <f>INDEX([1]流向迭代数据!K$2:K$65536,MATCH(L285,[1]流向迭代数据!H$2:H$65536,0))</f>
        <v>#N/A</v>
      </c>
      <c r="W285" s="12" t="str">
        <f t="shared" si="9"/>
        <v/>
      </c>
    </row>
    <row r="286" spans="1:23" x14ac:dyDescent="0.15">
      <c r="A286" s="14" t="str">
        <f t="shared" si="8"/>
        <v>190001</v>
      </c>
      <c r="C286" s="12" t="e">
        <f>INDEX(基础数据!$A$2:$A$1024,MATCH(转配商关联商!X286,基础数据!$D$2:$D$1024,0))</f>
        <v>#N/A</v>
      </c>
      <c r="E286" s="12" t="e">
        <f>INDEX(基础数据!$B$2:$B$1024,MATCH(转配商关联商!X286,基础数据!$D$2:$D$1024,0))</f>
        <v>#N/A</v>
      </c>
      <c r="G286" s="12" t="e">
        <f>INDEX([1]流向迭代数据!E$2:E$65536,MATCH(转配商关联商!W286,[1]流向迭代数据!M$2:M$65536,0))</f>
        <v>#N/A</v>
      </c>
      <c r="N286" s="12" t="e">
        <f>INDEX([1]流向迭代数据!J$2:J$65536,MATCH(L286,[1]流向迭代数据!H$2:H$65536,0))</f>
        <v>#N/A</v>
      </c>
      <c r="P286" s="14"/>
      <c r="T286" s="12" t="e">
        <f>INDEX([1]流向迭代数据!K$2:K$65536,MATCH(L286,[1]流向迭代数据!H$2:H$65536,0))</f>
        <v>#N/A</v>
      </c>
      <c r="W286" s="12" t="str">
        <f t="shared" si="9"/>
        <v/>
      </c>
    </row>
    <row r="287" spans="1:23" x14ac:dyDescent="0.15">
      <c r="A287" s="14" t="str">
        <f t="shared" si="8"/>
        <v>190001</v>
      </c>
      <c r="C287" s="12" t="e">
        <f>INDEX(基础数据!$A$2:$A$1024,MATCH(转配商关联商!X287,基础数据!$D$2:$D$1024,0))</f>
        <v>#N/A</v>
      </c>
      <c r="E287" s="12" t="e">
        <f>INDEX(基础数据!$B$2:$B$1024,MATCH(转配商关联商!X287,基础数据!$D$2:$D$1024,0))</f>
        <v>#N/A</v>
      </c>
      <c r="G287" s="12" t="e">
        <f>INDEX([1]流向迭代数据!E$2:E$65536,MATCH(转配商关联商!W287,[1]流向迭代数据!M$2:M$65536,0))</f>
        <v>#N/A</v>
      </c>
      <c r="N287" s="12" t="e">
        <f>INDEX([1]流向迭代数据!J$2:J$65536,MATCH(L287,[1]流向迭代数据!H$2:H$65536,0))</f>
        <v>#N/A</v>
      </c>
      <c r="P287" s="14"/>
      <c r="T287" s="12" t="e">
        <f>INDEX([1]流向迭代数据!K$2:K$65536,MATCH(L287,[1]流向迭代数据!H$2:H$65536,0))</f>
        <v>#N/A</v>
      </c>
      <c r="W287" s="12" t="str">
        <f t="shared" si="9"/>
        <v/>
      </c>
    </row>
    <row r="288" spans="1:23" x14ac:dyDescent="0.15">
      <c r="A288" s="14" t="str">
        <f t="shared" si="8"/>
        <v>190001</v>
      </c>
      <c r="C288" s="12" t="e">
        <f>INDEX(基础数据!$A$2:$A$1024,MATCH(转配商关联商!X288,基础数据!$D$2:$D$1024,0))</f>
        <v>#N/A</v>
      </c>
      <c r="E288" s="12" t="e">
        <f>INDEX(基础数据!$B$2:$B$1024,MATCH(转配商关联商!X288,基础数据!$D$2:$D$1024,0))</f>
        <v>#N/A</v>
      </c>
      <c r="G288" s="12" t="e">
        <f>INDEX([1]流向迭代数据!E$2:E$65536,MATCH(转配商关联商!W288,[1]流向迭代数据!M$2:M$65536,0))</f>
        <v>#N/A</v>
      </c>
      <c r="N288" s="12" t="e">
        <f>INDEX([1]流向迭代数据!J$2:J$65536,MATCH(L288,[1]流向迭代数据!H$2:H$65536,0))</f>
        <v>#N/A</v>
      </c>
      <c r="P288" s="14"/>
      <c r="T288" s="12" t="e">
        <f>INDEX([1]流向迭代数据!K$2:K$65536,MATCH(L288,[1]流向迭代数据!H$2:H$65536,0))</f>
        <v>#N/A</v>
      </c>
      <c r="W288" s="12" t="str">
        <f t="shared" si="9"/>
        <v/>
      </c>
    </row>
    <row r="289" spans="1:23" x14ac:dyDescent="0.15">
      <c r="A289" s="14" t="str">
        <f t="shared" si="8"/>
        <v>190001</v>
      </c>
      <c r="C289" s="12" t="e">
        <f>INDEX(基础数据!$A$2:$A$1024,MATCH(转配商关联商!X289,基础数据!$D$2:$D$1024,0))</f>
        <v>#N/A</v>
      </c>
      <c r="E289" s="12" t="e">
        <f>INDEX(基础数据!$B$2:$B$1024,MATCH(转配商关联商!X289,基础数据!$D$2:$D$1024,0))</f>
        <v>#N/A</v>
      </c>
      <c r="G289" s="12" t="e">
        <f>INDEX([1]流向迭代数据!E$2:E$65536,MATCH(转配商关联商!W289,[1]流向迭代数据!M$2:M$65536,0))</f>
        <v>#N/A</v>
      </c>
      <c r="N289" s="12" t="e">
        <f>INDEX([1]流向迭代数据!J$2:J$65536,MATCH(L289,[1]流向迭代数据!H$2:H$65536,0))</f>
        <v>#N/A</v>
      </c>
      <c r="P289" s="14"/>
      <c r="T289" s="12" t="e">
        <f>INDEX([1]流向迭代数据!K$2:K$65536,MATCH(L289,[1]流向迭代数据!H$2:H$65536,0))</f>
        <v>#N/A</v>
      </c>
      <c r="W289" s="12" t="str">
        <f t="shared" si="9"/>
        <v/>
      </c>
    </row>
    <row r="290" spans="1:23" x14ac:dyDescent="0.15">
      <c r="A290" s="14" t="str">
        <f t="shared" si="8"/>
        <v>190001</v>
      </c>
      <c r="C290" s="12" t="e">
        <f>INDEX(基础数据!$A$2:$A$1024,MATCH(转配商关联商!X290,基础数据!$D$2:$D$1024,0))</f>
        <v>#N/A</v>
      </c>
      <c r="E290" s="12" t="e">
        <f>INDEX(基础数据!$B$2:$B$1024,MATCH(转配商关联商!X290,基础数据!$D$2:$D$1024,0))</f>
        <v>#N/A</v>
      </c>
      <c r="G290" s="12" t="e">
        <f>INDEX([1]流向迭代数据!E$2:E$65536,MATCH(转配商关联商!W290,[1]流向迭代数据!M$2:M$65536,0))</f>
        <v>#N/A</v>
      </c>
      <c r="N290" s="12" t="e">
        <f>INDEX([1]流向迭代数据!J$2:J$65536,MATCH(L290,[1]流向迭代数据!H$2:H$65536,0))</f>
        <v>#N/A</v>
      </c>
      <c r="P290" s="14"/>
      <c r="T290" s="12" t="e">
        <f>INDEX([1]流向迭代数据!K$2:K$65536,MATCH(L290,[1]流向迭代数据!H$2:H$65536,0))</f>
        <v>#N/A</v>
      </c>
      <c r="W290" s="12" t="str">
        <f t="shared" si="9"/>
        <v/>
      </c>
    </row>
    <row r="291" spans="1:23" x14ac:dyDescent="0.15">
      <c r="A291" s="14" t="str">
        <f t="shared" si="8"/>
        <v>190001</v>
      </c>
      <c r="C291" s="12" t="e">
        <f>INDEX(基础数据!$A$2:$A$1024,MATCH(转配商关联商!X291,基础数据!$D$2:$D$1024,0))</f>
        <v>#N/A</v>
      </c>
      <c r="E291" s="12" t="e">
        <f>INDEX(基础数据!$B$2:$B$1024,MATCH(转配商关联商!X291,基础数据!$D$2:$D$1024,0))</f>
        <v>#N/A</v>
      </c>
      <c r="G291" s="12" t="e">
        <f>INDEX([1]流向迭代数据!E$2:E$65536,MATCH(转配商关联商!W291,[1]流向迭代数据!M$2:M$65536,0))</f>
        <v>#N/A</v>
      </c>
      <c r="N291" s="12" t="e">
        <f>INDEX([1]流向迭代数据!J$2:J$65536,MATCH(L291,[1]流向迭代数据!H$2:H$65536,0))</f>
        <v>#N/A</v>
      </c>
      <c r="P291" s="14"/>
      <c r="T291" s="12" t="e">
        <f>INDEX([1]流向迭代数据!K$2:K$65536,MATCH(L291,[1]流向迭代数据!H$2:H$65536,0))</f>
        <v>#N/A</v>
      </c>
      <c r="W291" s="12" t="str">
        <f t="shared" si="9"/>
        <v/>
      </c>
    </row>
    <row r="292" spans="1:23" x14ac:dyDescent="0.15">
      <c r="A292" s="14" t="str">
        <f t="shared" si="8"/>
        <v>190001</v>
      </c>
      <c r="C292" s="12" t="e">
        <f>INDEX(基础数据!$A$2:$A$1024,MATCH(转配商关联商!X292,基础数据!$D$2:$D$1024,0))</f>
        <v>#N/A</v>
      </c>
      <c r="E292" s="12" t="e">
        <f>INDEX(基础数据!$B$2:$B$1024,MATCH(转配商关联商!X292,基础数据!$D$2:$D$1024,0))</f>
        <v>#N/A</v>
      </c>
      <c r="G292" s="12" t="e">
        <f>INDEX([1]流向迭代数据!E$2:E$65536,MATCH(转配商关联商!W292,[1]流向迭代数据!M$2:M$65536,0))</f>
        <v>#N/A</v>
      </c>
      <c r="N292" s="12" t="e">
        <f>INDEX([1]流向迭代数据!J$2:J$65536,MATCH(L292,[1]流向迭代数据!H$2:H$65536,0))</f>
        <v>#N/A</v>
      </c>
      <c r="P292" s="14"/>
      <c r="T292" s="12" t="e">
        <f>INDEX([1]流向迭代数据!K$2:K$65536,MATCH(L292,[1]流向迭代数据!H$2:H$65536,0))</f>
        <v>#N/A</v>
      </c>
      <c r="W292" s="12" t="str">
        <f t="shared" si="9"/>
        <v/>
      </c>
    </row>
    <row r="293" spans="1:23" x14ac:dyDescent="0.15">
      <c r="A293" s="14" t="str">
        <f t="shared" si="8"/>
        <v>190001</v>
      </c>
      <c r="C293" s="12" t="e">
        <f>INDEX(基础数据!$A$2:$A$1024,MATCH(转配商关联商!X293,基础数据!$D$2:$D$1024,0))</f>
        <v>#N/A</v>
      </c>
      <c r="E293" s="12" t="e">
        <f>INDEX(基础数据!$B$2:$B$1024,MATCH(转配商关联商!X293,基础数据!$D$2:$D$1024,0))</f>
        <v>#N/A</v>
      </c>
      <c r="G293" s="12" t="e">
        <f>INDEX([1]流向迭代数据!E$2:E$65536,MATCH(转配商关联商!W293,[1]流向迭代数据!M$2:M$65536,0))</f>
        <v>#N/A</v>
      </c>
      <c r="N293" s="12" t="e">
        <f>INDEX([1]流向迭代数据!J$2:J$65536,MATCH(L293,[1]流向迭代数据!H$2:H$65536,0))</f>
        <v>#N/A</v>
      </c>
      <c r="P293" s="14"/>
      <c r="T293" s="12" t="e">
        <f>INDEX([1]流向迭代数据!K$2:K$65536,MATCH(L293,[1]流向迭代数据!H$2:H$65536,0))</f>
        <v>#N/A</v>
      </c>
      <c r="W293" s="12" t="str">
        <f t="shared" si="9"/>
        <v/>
      </c>
    </row>
    <row r="294" spans="1:23" x14ac:dyDescent="0.15">
      <c r="A294" s="14" t="str">
        <f t="shared" si="8"/>
        <v>190001</v>
      </c>
      <c r="C294" s="12" t="e">
        <f>INDEX(基础数据!$A$2:$A$1024,MATCH(转配商关联商!X294,基础数据!$D$2:$D$1024,0))</f>
        <v>#N/A</v>
      </c>
      <c r="E294" s="12" t="e">
        <f>INDEX(基础数据!$B$2:$B$1024,MATCH(转配商关联商!X294,基础数据!$D$2:$D$1024,0))</f>
        <v>#N/A</v>
      </c>
      <c r="G294" s="12" t="e">
        <f>INDEX([1]流向迭代数据!E$2:E$65536,MATCH(转配商关联商!W294,[1]流向迭代数据!M$2:M$65536,0))</f>
        <v>#N/A</v>
      </c>
      <c r="N294" s="12" t="e">
        <f>INDEX([1]流向迭代数据!J$2:J$65536,MATCH(L294,[1]流向迭代数据!H$2:H$65536,0))</f>
        <v>#N/A</v>
      </c>
      <c r="P294" s="14"/>
      <c r="T294" s="12" t="e">
        <f>INDEX([1]流向迭代数据!K$2:K$65536,MATCH(L294,[1]流向迭代数据!H$2:H$65536,0))</f>
        <v>#N/A</v>
      </c>
      <c r="W294" s="12" t="str">
        <f t="shared" si="9"/>
        <v/>
      </c>
    </row>
    <row r="295" spans="1:23" x14ac:dyDescent="0.15">
      <c r="A295" s="14" t="str">
        <f t="shared" si="8"/>
        <v>190001</v>
      </c>
      <c r="C295" s="12" t="e">
        <f>INDEX(基础数据!$A$2:$A$1024,MATCH(转配商关联商!X295,基础数据!$D$2:$D$1024,0))</f>
        <v>#N/A</v>
      </c>
      <c r="E295" s="12" t="e">
        <f>INDEX(基础数据!$B$2:$B$1024,MATCH(转配商关联商!X295,基础数据!$D$2:$D$1024,0))</f>
        <v>#N/A</v>
      </c>
      <c r="G295" s="12" t="e">
        <f>INDEX([1]流向迭代数据!E$2:E$65536,MATCH(转配商关联商!W295,[1]流向迭代数据!M$2:M$65536,0))</f>
        <v>#N/A</v>
      </c>
      <c r="N295" s="12" t="e">
        <f>INDEX([1]流向迭代数据!J$2:J$65536,MATCH(L295,[1]流向迭代数据!H$2:H$65536,0))</f>
        <v>#N/A</v>
      </c>
      <c r="P295" s="14"/>
      <c r="T295" s="12" t="e">
        <f>INDEX([1]流向迭代数据!K$2:K$65536,MATCH(L295,[1]流向迭代数据!H$2:H$65536,0))</f>
        <v>#N/A</v>
      </c>
      <c r="W295" s="12" t="str">
        <f t="shared" si="9"/>
        <v/>
      </c>
    </row>
    <row r="296" spans="1:23" x14ac:dyDescent="0.15">
      <c r="A296" s="14" t="str">
        <f t="shared" si="8"/>
        <v>190001</v>
      </c>
      <c r="C296" s="12" t="e">
        <f>INDEX(基础数据!$A$2:$A$1024,MATCH(转配商关联商!X296,基础数据!$D$2:$D$1024,0))</f>
        <v>#N/A</v>
      </c>
      <c r="E296" s="12" t="e">
        <f>INDEX(基础数据!$B$2:$B$1024,MATCH(转配商关联商!X296,基础数据!$D$2:$D$1024,0))</f>
        <v>#N/A</v>
      </c>
      <c r="G296" s="12" t="e">
        <f>INDEX([1]流向迭代数据!E$2:E$65536,MATCH(转配商关联商!W296,[1]流向迭代数据!M$2:M$65536,0))</f>
        <v>#N/A</v>
      </c>
      <c r="N296" s="12" t="e">
        <f>INDEX([1]流向迭代数据!J$2:J$65536,MATCH(L296,[1]流向迭代数据!H$2:H$65536,0))</f>
        <v>#N/A</v>
      </c>
      <c r="P296" s="14"/>
      <c r="T296" s="12" t="e">
        <f>INDEX([1]流向迭代数据!K$2:K$65536,MATCH(L296,[1]流向迭代数据!H$2:H$65536,0))</f>
        <v>#N/A</v>
      </c>
      <c r="W296" s="12" t="str">
        <f t="shared" si="9"/>
        <v/>
      </c>
    </row>
    <row r="297" spans="1:23" x14ac:dyDescent="0.15">
      <c r="A297" s="14" t="str">
        <f t="shared" si="8"/>
        <v>190001</v>
      </c>
      <c r="C297" s="12" t="e">
        <f>INDEX(基础数据!$A$2:$A$1024,MATCH(转配商关联商!X297,基础数据!$D$2:$D$1024,0))</f>
        <v>#N/A</v>
      </c>
      <c r="E297" s="12" t="e">
        <f>INDEX(基础数据!$B$2:$B$1024,MATCH(转配商关联商!X297,基础数据!$D$2:$D$1024,0))</f>
        <v>#N/A</v>
      </c>
      <c r="G297" s="12" t="e">
        <f>INDEX([1]流向迭代数据!E$2:E$65536,MATCH(转配商关联商!W297,[1]流向迭代数据!M$2:M$65536,0))</f>
        <v>#N/A</v>
      </c>
      <c r="N297" s="12" t="e">
        <f>INDEX([1]流向迭代数据!J$2:J$65536,MATCH(L297,[1]流向迭代数据!H$2:H$65536,0))</f>
        <v>#N/A</v>
      </c>
      <c r="P297" s="14"/>
      <c r="T297" s="12" t="e">
        <f>INDEX([1]流向迭代数据!K$2:K$65536,MATCH(L297,[1]流向迭代数据!H$2:H$65536,0))</f>
        <v>#N/A</v>
      </c>
      <c r="W297" s="12" t="str">
        <f t="shared" si="9"/>
        <v/>
      </c>
    </row>
    <row r="298" spans="1:23" x14ac:dyDescent="0.15">
      <c r="A298" s="14" t="str">
        <f t="shared" si="8"/>
        <v>190001</v>
      </c>
      <c r="C298" s="12" t="e">
        <f>INDEX(基础数据!$A$2:$A$1024,MATCH(转配商关联商!X298,基础数据!$D$2:$D$1024,0))</f>
        <v>#N/A</v>
      </c>
      <c r="E298" s="12" t="e">
        <f>INDEX(基础数据!$B$2:$B$1024,MATCH(转配商关联商!X298,基础数据!$D$2:$D$1024,0))</f>
        <v>#N/A</v>
      </c>
      <c r="G298" s="12" t="e">
        <f>INDEX([1]流向迭代数据!E$2:E$65536,MATCH(转配商关联商!W298,[1]流向迭代数据!M$2:M$65536,0))</f>
        <v>#N/A</v>
      </c>
      <c r="N298" s="12" t="e">
        <f>INDEX([1]流向迭代数据!J$2:J$65536,MATCH(L298,[1]流向迭代数据!H$2:H$65536,0))</f>
        <v>#N/A</v>
      </c>
      <c r="P298" s="14"/>
      <c r="T298" s="12" t="e">
        <f>INDEX([1]流向迭代数据!K$2:K$65536,MATCH(L298,[1]流向迭代数据!H$2:H$65536,0))</f>
        <v>#N/A</v>
      </c>
      <c r="W298" s="12" t="str">
        <f t="shared" si="9"/>
        <v/>
      </c>
    </row>
    <row r="299" spans="1:23" x14ac:dyDescent="0.15">
      <c r="A299" s="14" t="str">
        <f t="shared" si="8"/>
        <v>190001</v>
      </c>
      <c r="C299" s="12" t="e">
        <f>INDEX(基础数据!$A$2:$A$1024,MATCH(转配商关联商!X299,基础数据!$D$2:$D$1024,0))</f>
        <v>#N/A</v>
      </c>
      <c r="E299" s="12" t="e">
        <f>INDEX(基础数据!$B$2:$B$1024,MATCH(转配商关联商!X299,基础数据!$D$2:$D$1024,0))</f>
        <v>#N/A</v>
      </c>
      <c r="G299" s="12" t="e">
        <f>INDEX([1]流向迭代数据!E$2:E$65536,MATCH(转配商关联商!W299,[1]流向迭代数据!M$2:M$65536,0))</f>
        <v>#N/A</v>
      </c>
      <c r="N299" s="12" t="e">
        <f>INDEX([1]流向迭代数据!J$2:J$65536,MATCH(L299,[1]流向迭代数据!H$2:H$65536,0))</f>
        <v>#N/A</v>
      </c>
      <c r="P299" s="14"/>
      <c r="T299" s="12" t="e">
        <f>INDEX([1]流向迭代数据!K$2:K$65536,MATCH(L299,[1]流向迭代数据!H$2:H$65536,0))</f>
        <v>#N/A</v>
      </c>
      <c r="W299" s="12" t="str">
        <f t="shared" si="9"/>
        <v/>
      </c>
    </row>
    <row r="300" spans="1:23" x14ac:dyDescent="0.15">
      <c r="A300" s="14" t="str">
        <f t="shared" si="8"/>
        <v>190001</v>
      </c>
      <c r="C300" s="12" t="e">
        <f>INDEX(基础数据!$A$2:$A$1024,MATCH(转配商关联商!X300,基础数据!$D$2:$D$1024,0))</f>
        <v>#N/A</v>
      </c>
      <c r="E300" s="12" t="e">
        <f>INDEX(基础数据!$B$2:$B$1024,MATCH(转配商关联商!X300,基础数据!$D$2:$D$1024,0))</f>
        <v>#N/A</v>
      </c>
      <c r="G300" s="12" t="e">
        <f>INDEX([1]流向迭代数据!E$2:E$65536,MATCH(转配商关联商!W300,[1]流向迭代数据!M$2:M$65536,0))</f>
        <v>#N/A</v>
      </c>
      <c r="N300" s="12" t="e">
        <f>INDEX([1]流向迭代数据!J$2:J$65536,MATCH(L300,[1]流向迭代数据!H$2:H$65536,0))</f>
        <v>#N/A</v>
      </c>
      <c r="P300" s="14"/>
      <c r="T300" s="12" t="e">
        <f>INDEX([1]流向迭代数据!K$2:K$65536,MATCH(L300,[1]流向迭代数据!H$2:H$65536,0))</f>
        <v>#N/A</v>
      </c>
      <c r="W300" s="12" t="str">
        <f t="shared" si="9"/>
        <v/>
      </c>
    </row>
    <row r="301" spans="1:23" x14ac:dyDescent="0.15">
      <c r="A301" s="14" t="str">
        <f t="shared" si="8"/>
        <v>190001</v>
      </c>
      <c r="C301" s="12" t="e">
        <f>INDEX(基础数据!$A$2:$A$1024,MATCH(转配商关联商!X301,基础数据!$D$2:$D$1024,0))</f>
        <v>#N/A</v>
      </c>
      <c r="E301" s="12" t="e">
        <f>INDEX(基础数据!$B$2:$B$1024,MATCH(转配商关联商!X301,基础数据!$D$2:$D$1024,0))</f>
        <v>#N/A</v>
      </c>
      <c r="G301" s="12" t="e">
        <f>INDEX([1]流向迭代数据!E$2:E$65536,MATCH(转配商关联商!W301,[1]流向迭代数据!M$2:M$65536,0))</f>
        <v>#N/A</v>
      </c>
      <c r="N301" s="12" t="e">
        <f>INDEX([1]流向迭代数据!J$2:J$65536,MATCH(L301,[1]流向迭代数据!H$2:H$65536,0))</f>
        <v>#N/A</v>
      </c>
      <c r="P301" s="14"/>
      <c r="T301" s="12" t="e">
        <f>INDEX([1]流向迭代数据!K$2:K$65536,MATCH(L301,[1]流向迭代数据!H$2:H$65536,0))</f>
        <v>#N/A</v>
      </c>
      <c r="W301" s="12" t="str">
        <f t="shared" si="9"/>
        <v/>
      </c>
    </row>
    <row r="302" spans="1:23" x14ac:dyDescent="0.15">
      <c r="A302" s="14" t="str">
        <f t="shared" si="8"/>
        <v>190001</v>
      </c>
      <c r="C302" s="12" t="e">
        <f>INDEX(基础数据!$A$2:$A$1024,MATCH(转配商关联商!X302,基础数据!$D$2:$D$1024,0))</f>
        <v>#N/A</v>
      </c>
      <c r="E302" s="12" t="e">
        <f>INDEX(基础数据!$B$2:$B$1024,MATCH(转配商关联商!X302,基础数据!$D$2:$D$1024,0))</f>
        <v>#N/A</v>
      </c>
      <c r="G302" s="12" t="e">
        <f>INDEX([1]流向迭代数据!E$2:E$65536,MATCH(转配商关联商!W302,[1]流向迭代数据!M$2:M$65536,0))</f>
        <v>#N/A</v>
      </c>
      <c r="N302" s="12" t="e">
        <f>INDEX([1]流向迭代数据!J$2:J$65536,MATCH(L302,[1]流向迭代数据!H$2:H$65536,0))</f>
        <v>#N/A</v>
      </c>
      <c r="P302" s="14"/>
      <c r="T302" s="12" t="e">
        <f>INDEX([1]流向迭代数据!K$2:K$65536,MATCH(L302,[1]流向迭代数据!H$2:H$65536,0))</f>
        <v>#N/A</v>
      </c>
      <c r="W302" s="12" t="str">
        <f t="shared" si="9"/>
        <v/>
      </c>
    </row>
    <row r="303" spans="1:23" x14ac:dyDescent="0.15">
      <c r="A303" s="14" t="str">
        <f t="shared" si="8"/>
        <v>190001</v>
      </c>
      <c r="C303" s="12" t="e">
        <f>INDEX(基础数据!$A$2:$A$1024,MATCH(转配商关联商!X303,基础数据!$D$2:$D$1024,0))</f>
        <v>#N/A</v>
      </c>
      <c r="E303" s="12" t="e">
        <f>INDEX(基础数据!$B$2:$B$1024,MATCH(转配商关联商!X303,基础数据!$D$2:$D$1024,0))</f>
        <v>#N/A</v>
      </c>
      <c r="G303" s="12" t="e">
        <f>INDEX([1]流向迭代数据!E$2:E$65536,MATCH(转配商关联商!W303,[1]流向迭代数据!M$2:M$65536,0))</f>
        <v>#N/A</v>
      </c>
      <c r="N303" s="12" t="e">
        <f>INDEX([1]流向迭代数据!J$2:J$65536,MATCH(L303,[1]流向迭代数据!H$2:H$65536,0))</f>
        <v>#N/A</v>
      </c>
      <c r="P303" s="14"/>
      <c r="T303" s="12" t="e">
        <f>INDEX([1]流向迭代数据!K$2:K$65536,MATCH(L303,[1]流向迭代数据!H$2:H$65536,0))</f>
        <v>#N/A</v>
      </c>
      <c r="W303" s="12" t="str">
        <f t="shared" si="9"/>
        <v/>
      </c>
    </row>
    <row r="304" spans="1:23" x14ac:dyDescent="0.15">
      <c r="A304" s="14" t="str">
        <f t="shared" si="8"/>
        <v>190001</v>
      </c>
      <c r="C304" s="12" t="e">
        <f>INDEX(基础数据!$A$2:$A$1024,MATCH(转配商关联商!X304,基础数据!$D$2:$D$1024,0))</f>
        <v>#N/A</v>
      </c>
      <c r="E304" s="12" t="e">
        <f>INDEX(基础数据!$B$2:$B$1024,MATCH(转配商关联商!X304,基础数据!$D$2:$D$1024,0))</f>
        <v>#N/A</v>
      </c>
      <c r="G304" s="12" t="e">
        <f>INDEX([1]流向迭代数据!E$2:E$65536,MATCH(转配商关联商!W304,[1]流向迭代数据!M$2:M$65536,0))</f>
        <v>#N/A</v>
      </c>
      <c r="N304" s="12" t="e">
        <f>INDEX([1]流向迭代数据!J$2:J$65536,MATCH(L304,[1]流向迭代数据!H$2:H$65536,0))</f>
        <v>#N/A</v>
      </c>
      <c r="P304" s="14"/>
      <c r="T304" s="12" t="e">
        <f>INDEX([1]流向迭代数据!K$2:K$65536,MATCH(L304,[1]流向迭代数据!H$2:H$65536,0))</f>
        <v>#N/A</v>
      </c>
      <c r="W304" s="12" t="str">
        <f t="shared" si="9"/>
        <v/>
      </c>
    </row>
    <row r="305" spans="1:23" x14ac:dyDescent="0.15">
      <c r="A305" s="14" t="str">
        <f t="shared" si="8"/>
        <v>190001</v>
      </c>
      <c r="C305" s="12" t="e">
        <f>INDEX(基础数据!$A$2:$A$1024,MATCH(转配商关联商!X305,基础数据!$D$2:$D$1024,0))</f>
        <v>#N/A</v>
      </c>
      <c r="E305" s="12" t="e">
        <f>INDEX(基础数据!$B$2:$B$1024,MATCH(转配商关联商!X305,基础数据!$D$2:$D$1024,0))</f>
        <v>#N/A</v>
      </c>
      <c r="G305" s="12" t="e">
        <f>INDEX([1]流向迭代数据!E$2:E$65536,MATCH(转配商关联商!W305,[1]流向迭代数据!M$2:M$65536,0))</f>
        <v>#N/A</v>
      </c>
      <c r="N305" s="12" t="e">
        <f>INDEX([1]流向迭代数据!J$2:J$65536,MATCH(L305,[1]流向迭代数据!H$2:H$65536,0))</f>
        <v>#N/A</v>
      </c>
      <c r="P305" s="14"/>
      <c r="T305" s="12" t="e">
        <f>INDEX([1]流向迭代数据!K$2:K$65536,MATCH(L305,[1]流向迭代数据!H$2:H$65536,0))</f>
        <v>#N/A</v>
      </c>
      <c r="W305" s="12" t="str">
        <f t="shared" si="9"/>
        <v/>
      </c>
    </row>
    <row r="306" spans="1:23" x14ac:dyDescent="0.15">
      <c r="A306" s="14" t="str">
        <f t="shared" si="8"/>
        <v>190001</v>
      </c>
      <c r="C306" s="12" t="e">
        <f>INDEX(基础数据!$A$2:$A$1024,MATCH(转配商关联商!X306,基础数据!$D$2:$D$1024,0))</f>
        <v>#N/A</v>
      </c>
      <c r="E306" s="12" t="e">
        <f>INDEX(基础数据!$B$2:$B$1024,MATCH(转配商关联商!X306,基础数据!$D$2:$D$1024,0))</f>
        <v>#N/A</v>
      </c>
      <c r="G306" s="12" t="e">
        <f>INDEX([1]流向迭代数据!E$2:E$65536,MATCH(转配商关联商!W306,[1]流向迭代数据!M$2:M$65536,0))</f>
        <v>#N/A</v>
      </c>
      <c r="N306" s="12" t="e">
        <f>INDEX([1]流向迭代数据!J$2:J$65536,MATCH(L306,[1]流向迭代数据!H$2:H$65536,0))</f>
        <v>#N/A</v>
      </c>
      <c r="P306" s="14"/>
      <c r="T306" s="12" t="e">
        <f>INDEX([1]流向迭代数据!K$2:K$65536,MATCH(L306,[1]流向迭代数据!H$2:H$65536,0))</f>
        <v>#N/A</v>
      </c>
      <c r="W306" s="12" t="str">
        <f t="shared" si="9"/>
        <v/>
      </c>
    </row>
    <row r="307" spans="1:23" x14ac:dyDescent="0.15">
      <c r="A307" s="14" t="str">
        <f t="shared" si="8"/>
        <v>190001</v>
      </c>
      <c r="C307" s="12" t="e">
        <f>INDEX(基础数据!$A$2:$A$1024,MATCH(转配商关联商!X307,基础数据!$D$2:$D$1024,0))</f>
        <v>#N/A</v>
      </c>
      <c r="E307" s="12" t="e">
        <f>INDEX(基础数据!$B$2:$B$1024,MATCH(转配商关联商!X307,基础数据!$D$2:$D$1024,0))</f>
        <v>#N/A</v>
      </c>
      <c r="G307" s="12" t="e">
        <f>INDEX([1]流向迭代数据!E$2:E$65536,MATCH(转配商关联商!W307,[1]流向迭代数据!M$2:M$65536,0))</f>
        <v>#N/A</v>
      </c>
      <c r="N307" s="12" t="e">
        <f>INDEX([1]流向迭代数据!J$2:J$65536,MATCH(L307,[1]流向迭代数据!H$2:H$65536,0))</f>
        <v>#N/A</v>
      </c>
      <c r="P307" s="14"/>
      <c r="T307" s="12" t="e">
        <f>INDEX([1]流向迭代数据!K$2:K$65536,MATCH(L307,[1]流向迭代数据!H$2:H$65536,0))</f>
        <v>#N/A</v>
      </c>
      <c r="W307" s="12" t="str">
        <f t="shared" si="9"/>
        <v/>
      </c>
    </row>
    <row r="308" spans="1:23" x14ac:dyDescent="0.15">
      <c r="A308" s="14" t="str">
        <f t="shared" si="8"/>
        <v>190001</v>
      </c>
      <c r="C308" s="12" t="e">
        <f>INDEX(基础数据!$A$2:$A$1024,MATCH(转配商关联商!X308,基础数据!$D$2:$D$1024,0))</f>
        <v>#N/A</v>
      </c>
      <c r="E308" s="12" t="e">
        <f>INDEX(基础数据!$B$2:$B$1024,MATCH(转配商关联商!X308,基础数据!$D$2:$D$1024,0))</f>
        <v>#N/A</v>
      </c>
      <c r="G308" s="12" t="e">
        <f>INDEX([1]流向迭代数据!E$2:E$65536,MATCH(转配商关联商!W308,[1]流向迭代数据!M$2:M$65536,0))</f>
        <v>#N/A</v>
      </c>
      <c r="N308" s="12" t="e">
        <f>INDEX([1]流向迭代数据!J$2:J$65536,MATCH(L308,[1]流向迭代数据!H$2:H$65536,0))</f>
        <v>#N/A</v>
      </c>
      <c r="P308" s="14"/>
      <c r="T308" s="12" t="e">
        <f>INDEX([1]流向迭代数据!K$2:K$65536,MATCH(L308,[1]流向迭代数据!H$2:H$65536,0))</f>
        <v>#N/A</v>
      </c>
      <c r="W308" s="12" t="str">
        <f t="shared" si="9"/>
        <v/>
      </c>
    </row>
    <row r="309" spans="1:23" x14ac:dyDescent="0.15">
      <c r="A309" s="14" t="str">
        <f t="shared" si="8"/>
        <v>190001</v>
      </c>
      <c r="C309" s="12" t="e">
        <f>INDEX(基础数据!$A$2:$A$1024,MATCH(转配商关联商!X309,基础数据!$D$2:$D$1024,0))</f>
        <v>#N/A</v>
      </c>
      <c r="E309" s="12" t="e">
        <f>INDEX(基础数据!$B$2:$B$1024,MATCH(转配商关联商!X309,基础数据!$D$2:$D$1024,0))</f>
        <v>#N/A</v>
      </c>
      <c r="G309" s="12" t="e">
        <f>INDEX([1]流向迭代数据!E$2:E$65536,MATCH(转配商关联商!W309,[1]流向迭代数据!M$2:M$65536,0))</f>
        <v>#N/A</v>
      </c>
      <c r="N309" s="12" t="e">
        <f>INDEX([1]流向迭代数据!J$2:J$65536,MATCH(L309,[1]流向迭代数据!H$2:H$65536,0))</f>
        <v>#N/A</v>
      </c>
      <c r="P309" s="14"/>
      <c r="T309" s="12" t="e">
        <f>INDEX([1]流向迭代数据!K$2:K$65536,MATCH(L309,[1]流向迭代数据!H$2:H$65536,0))</f>
        <v>#N/A</v>
      </c>
      <c r="W309" s="12" t="str">
        <f t="shared" si="9"/>
        <v/>
      </c>
    </row>
    <row r="310" spans="1:23" x14ac:dyDescent="0.15">
      <c r="A310" s="14" t="str">
        <f t="shared" si="8"/>
        <v>190001</v>
      </c>
      <c r="C310" s="12" t="e">
        <f>INDEX(基础数据!$A$2:$A$1024,MATCH(转配商关联商!X310,基础数据!$D$2:$D$1024,0))</f>
        <v>#N/A</v>
      </c>
      <c r="E310" s="12" t="e">
        <f>INDEX(基础数据!$B$2:$B$1024,MATCH(转配商关联商!X310,基础数据!$D$2:$D$1024,0))</f>
        <v>#N/A</v>
      </c>
      <c r="G310" s="12" t="e">
        <f>INDEX([1]流向迭代数据!E$2:E$65536,MATCH(转配商关联商!W310,[1]流向迭代数据!M$2:M$65536,0))</f>
        <v>#N/A</v>
      </c>
      <c r="N310" s="12" t="e">
        <f>INDEX([1]流向迭代数据!J$2:J$65536,MATCH(L310,[1]流向迭代数据!H$2:H$65536,0))</f>
        <v>#N/A</v>
      </c>
      <c r="P310" s="14"/>
      <c r="T310" s="12" t="e">
        <f>INDEX([1]流向迭代数据!K$2:K$65536,MATCH(L310,[1]流向迭代数据!H$2:H$65536,0))</f>
        <v>#N/A</v>
      </c>
      <c r="W310" s="12" t="str">
        <f t="shared" si="9"/>
        <v/>
      </c>
    </row>
    <row r="311" spans="1:23" x14ac:dyDescent="0.15">
      <c r="A311" s="14" t="str">
        <f t="shared" si="8"/>
        <v>190001</v>
      </c>
      <c r="C311" s="12" t="e">
        <f>INDEX(基础数据!$A$2:$A$1024,MATCH(转配商关联商!X311,基础数据!$D$2:$D$1024,0))</f>
        <v>#N/A</v>
      </c>
      <c r="E311" s="12" t="e">
        <f>INDEX(基础数据!$B$2:$B$1024,MATCH(转配商关联商!X311,基础数据!$D$2:$D$1024,0))</f>
        <v>#N/A</v>
      </c>
      <c r="G311" s="12" t="e">
        <f>INDEX([1]流向迭代数据!E$2:E$65536,MATCH(转配商关联商!W311,[1]流向迭代数据!M$2:M$65536,0))</f>
        <v>#N/A</v>
      </c>
      <c r="N311" s="12" t="e">
        <f>INDEX([1]流向迭代数据!J$2:J$65536,MATCH(L311,[1]流向迭代数据!H$2:H$65536,0))</f>
        <v>#N/A</v>
      </c>
      <c r="P311" s="14"/>
      <c r="T311" s="12" t="e">
        <f>INDEX([1]流向迭代数据!K$2:K$65536,MATCH(L311,[1]流向迭代数据!H$2:H$65536,0))</f>
        <v>#N/A</v>
      </c>
      <c r="W311" s="12" t="str">
        <f t="shared" si="9"/>
        <v/>
      </c>
    </row>
    <row r="312" spans="1:23" x14ac:dyDescent="0.15">
      <c r="A312" s="14" t="str">
        <f t="shared" si="8"/>
        <v>190001</v>
      </c>
      <c r="C312" s="12" t="e">
        <f>INDEX(基础数据!$A$2:$A$1024,MATCH(转配商关联商!X312,基础数据!$D$2:$D$1024,0))</f>
        <v>#N/A</v>
      </c>
      <c r="E312" s="12" t="e">
        <f>INDEX(基础数据!$B$2:$B$1024,MATCH(转配商关联商!X312,基础数据!$D$2:$D$1024,0))</f>
        <v>#N/A</v>
      </c>
      <c r="G312" s="12" t="e">
        <f>INDEX([1]流向迭代数据!E$2:E$65536,MATCH(转配商关联商!W312,[1]流向迭代数据!M$2:M$65536,0))</f>
        <v>#N/A</v>
      </c>
      <c r="N312" s="12" t="e">
        <f>INDEX([1]流向迭代数据!J$2:J$65536,MATCH(L312,[1]流向迭代数据!H$2:H$65536,0))</f>
        <v>#N/A</v>
      </c>
      <c r="P312" s="14"/>
      <c r="T312" s="12" t="e">
        <f>INDEX([1]流向迭代数据!K$2:K$65536,MATCH(L312,[1]流向迭代数据!H$2:H$65536,0))</f>
        <v>#N/A</v>
      </c>
      <c r="W312" s="12" t="str">
        <f t="shared" si="9"/>
        <v/>
      </c>
    </row>
    <row r="313" spans="1:23" x14ac:dyDescent="0.15">
      <c r="A313" s="14" t="str">
        <f t="shared" si="8"/>
        <v>190001</v>
      </c>
      <c r="C313" s="12" t="e">
        <f>INDEX(基础数据!$A$2:$A$1024,MATCH(转配商关联商!X313,基础数据!$D$2:$D$1024,0))</f>
        <v>#N/A</v>
      </c>
      <c r="E313" s="12" t="e">
        <f>INDEX(基础数据!$B$2:$B$1024,MATCH(转配商关联商!X313,基础数据!$D$2:$D$1024,0))</f>
        <v>#N/A</v>
      </c>
      <c r="G313" s="12" t="e">
        <f>INDEX([1]流向迭代数据!E$2:E$65536,MATCH(转配商关联商!W313,[1]流向迭代数据!M$2:M$65536,0))</f>
        <v>#N/A</v>
      </c>
      <c r="N313" s="12" t="e">
        <f>INDEX([1]流向迭代数据!J$2:J$65536,MATCH(L313,[1]流向迭代数据!H$2:H$65536,0))</f>
        <v>#N/A</v>
      </c>
      <c r="P313" s="14"/>
      <c r="T313" s="12" t="e">
        <f>INDEX([1]流向迭代数据!K$2:K$65536,MATCH(L313,[1]流向迭代数据!H$2:H$65536,0))</f>
        <v>#N/A</v>
      </c>
      <c r="W313" s="12" t="str">
        <f t="shared" si="9"/>
        <v/>
      </c>
    </row>
    <row r="314" spans="1:23" x14ac:dyDescent="0.15">
      <c r="A314" s="14" t="str">
        <f t="shared" si="8"/>
        <v>190001</v>
      </c>
      <c r="C314" s="12" t="e">
        <f>INDEX(基础数据!$A$2:$A$1024,MATCH(转配商关联商!X314,基础数据!$D$2:$D$1024,0))</f>
        <v>#N/A</v>
      </c>
      <c r="E314" s="12" t="e">
        <f>INDEX(基础数据!$B$2:$B$1024,MATCH(转配商关联商!X314,基础数据!$D$2:$D$1024,0))</f>
        <v>#N/A</v>
      </c>
      <c r="G314" s="12" t="e">
        <f>INDEX([1]流向迭代数据!E$2:E$65536,MATCH(转配商关联商!W314,[1]流向迭代数据!M$2:M$65536,0))</f>
        <v>#N/A</v>
      </c>
      <c r="N314" s="12" t="e">
        <f>INDEX([1]流向迭代数据!J$2:J$65536,MATCH(L314,[1]流向迭代数据!H$2:H$65536,0))</f>
        <v>#N/A</v>
      </c>
      <c r="P314" s="14"/>
      <c r="T314" s="12" t="e">
        <f>INDEX([1]流向迭代数据!K$2:K$65536,MATCH(L314,[1]流向迭代数据!H$2:H$65536,0))</f>
        <v>#N/A</v>
      </c>
      <c r="W314" s="12" t="str">
        <f t="shared" si="9"/>
        <v/>
      </c>
    </row>
    <row r="315" spans="1:23" x14ac:dyDescent="0.15">
      <c r="A315" s="14" t="str">
        <f t="shared" si="8"/>
        <v>190001</v>
      </c>
      <c r="C315" s="12" t="e">
        <f>INDEX(基础数据!$A$2:$A$1024,MATCH(转配商关联商!X315,基础数据!$D$2:$D$1024,0))</f>
        <v>#N/A</v>
      </c>
      <c r="E315" s="12" t="e">
        <f>INDEX(基础数据!$B$2:$B$1024,MATCH(转配商关联商!X315,基础数据!$D$2:$D$1024,0))</f>
        <v>#N/A</v>
      </c>
      <c r="G315" s="12" t="e">
        <f>INDEX([1]流向迭代数据!E$2:E$65536,MATCH(转配商关联商!W315,[1]流向迭代数据!M$2:M$65536,0))</f>
        <v>#N/A</v>
      </c>
      <c r="N315" s="12" t="e">
        <f>INDEX([1]流向迭代数据!J$2:J$65536,MATCH(L315,[1]流向迭代数据!H$2:H$65536,0))</f>
        <v>#N/A</v>
      </c>
      <c r="P315" s="14"/>
      <c r="T315" s="12" t="e">
        <f>INDEX([1]流向迭代数据!K$2:K$65536,MATCH(L315,[1]流向迭代数据!H$2:H$65536,0))</f>
        <v>#N/A</v>
      </c>
      <c r="W315" s="12" t="str">
        <f t="shared" si="9"/>
        <v/>
      </c>
    </row>
    <row r="316" spans="1:23" x14ac:dyDescent="0.15">
      <c r="A316" s="14" t="str">
        <f t="shared" si="8"/>
        <v>190001</v>
      </c>
      <c r="C316" s="12" t="e">
        <f>INDEX(基础数据!$A$2:$A$1024,MATCH(转配商关联商!X316,基础数据!$D$2:$D$1024,0))</f>
        <v>#N/A</v>
      </c>
      <c r="E316" s="12" t="e">
        <f>INDEX(基础数据!$B$2:$B$1024,MATCH(转配商关联商!X316,基础数据!$D$2:$D$1024,0))</f>
        <v>#N/A</v>
      </c>
      <c r="G316" s="12" t="e">
        <f>INDEX([1]流向迭代数据!E$2:E$65536,MATCH(转配商关联商!W316,[1]流向迭代数据!M$2:M$65536,0))</f>
        <v>#N/A</v>
      </c>
      <c r="N316" s="12" t="e">
        <f>INDEX([1]流向迭代数据!J$2:J$65536,MATCH(L316,[1]流向迭代数据!H$2:H$65536,0))</f>
        <v>#N/A</v>
      </c>
      <c r="P316" s="14"/>
      <c r="T316" s="12" t="e">
        <f>INDEX([1]流向迭代数据!K$2:K$65536,MATCH(L316,[1]流向迭代数据!H$2:H$65536,0))</f>
        <v>#N/A</v>
      </c>
      <c r="W316" s="12" t="str">
        <f t="shared" si="9"/>
        <v/>
      </c>
    </row>
    <row r="317" spans="1:23" x14ac:dyDescent="0.15">
      <c r="A317" s="14" t="str">
        <f t="shared" si="8"/>
        <v>190001</v>
      </c>
      <c r="C317" s="12" t="e">
        <f>INDEX(基础数据!$A$2:$A$1024,MATCH(转配商关联商!X317,基础数据!$D$2:$D$1024,0))</f>
        <v>#N/A</v>
      </c>
      <c r="E317" s="12" t="e">
        <f>INDEX(基础数据!$B$2:$B$1024,MATCH(转配商关联商!X317,基础数据!$D$2:$D$1024,0))</f>
        <v>#N/A</v>
      </c>
      <c r="G317" s="12" t="e">
        <f>INDEX([1]流向迭代数据!E$2:E$65536,MATCH(转配商关联商!W317,[1]流向迭代数据!M$2:M$65536,0))</f>
        <v>#N/A</v>
      </c>
      <c r="N317" s="12" t="e">
        <f>INDEX([1]流向迭代数据!J$2:J$65536,MATCH(L317,[1]流向迭代数据!H$2:H$65536,0))</f>
        <v>#N/A</v>
      </c>
      <c r="P317" s="14"/>
      <c r="T317" s="12" t="e">
        <f>INDEX([1]流向迭代数据!K$2:K$65536,MATCH(L317,[1]流向迭代数据!H$2:H$65536,0))</f>
        <v>#N/A</v>
      </c>
      <c r="W317" s="12" t="str">
        <f t="shared" si="9"/>
        <v/>
      </c>
    </row>
    <row r="318" spans="1:23" x14ac:dyDescent="0.15">
      <c r="A318" s="14" t="str">
        <f t="shared" si="8"/>
        <v>190001</v>
      </c>
      <c r="C318" s="12" t="e">
        <f>INDEX(基础数据!$A$2:$A$1024,MATCH(转配商关联商!X318,基础数据!$D$2:$D$1024,0))</f>
        <v>#N/A</v>
      </c>
      <c r="E318" s="12" t="e">
        <f>INDEX(基础数据!$B$2:$B$1024,MATCH(转配商关联商!X318,基础数据!$D$2:$D$1024,0))</f>
        <v>#N/A</v>
      </c>
      <c r="G318" s="12" t="e">
        <f>INDEX([1]流向迭代数据!E$2:E$65536,MATCH(转配商关联商!W318,[1]流向迭代数据!M$2:M$65536,0))</f>
        <v>#N/A</v>
      </c>
      <c r="N318" s="12" t="e">
        <f>INDEX([1]流向迭代数据!J$2:J$65536,MATCH(L318,[1]流向迭代数据!H$2:H$65536,0))</f>
        <v>#N/A</v>
      </c>
      <c r="P318" s="14"/>
      <c r="T318" s="12" t="e">
        <f>INDEX([1]流向迭代数据!K$2:K$65536,MATCH(L318,[1]流向迭代数据!H$2:H$65536,0))</f>
        <v>#N/A</v>
      </c>
      <c r="W318" s="12" t="str">
        <f t="shared" si="9"/>
        <v/>
      </c>
    </row>
    <row r="319" spans="1:23" x14ac:dyDescent="0.15">
      <c r="A319" s="14" t="str">
        <f t="shared" si="8"/>
        <v>190001</v>
      </c>
      <c r="C319" s="12" t="e">
        <f>INDEX(基础数据!$A$2:$A$1024,MATCH(转配商关联商!X319,基础数据!$D$2:$D$1024,0))</f>
        <v>#N/A</v>
      </c>
      <c r="E319" s="12" t="e">
        <f>INDEX(基础数据!$B$2:$B$1024,MATCH(转配商关联商!X319,基础数据!$D$2:$D$1024,0))</f>
        <v>#N/A</v>
      </c>
      <c r="G319" s="12" t="e">
        <f>INDEX([1]流向迭代数据!E$2:E$65536,MATCH(转配商关联商!W319,[1]流向迭代数据!M$2:M$65536,0))</f>
        <v>#N/A</v>
      </c>
      <c r="N319" s="12" t="e">
        <f>INDEX([1]流向迭代数据!J$2:J$65536,MATCH(L319,[1]流向迭代数据!H$2:H$65536,0))</f>
        <v>#N/A</v>
      </c>
      <c r="P319" s="14"/>
      <c r="T319" s="12" t="e">
        <f>INDEX([1]流向迭代数据!K$2:K$65536,MATCH(L319,[1]流向迭代数据!H$2:H$65536,0))</f>
        <v>#N/A</v>
      </c>
      <c r="W319" s="12" t="str">
        <f t="shared" si="9"/>
        <v/>
      </c>
    </row>
    <row r="320" spans="1:23" x14ac:dyDescent="0.15">
      <c r="A320" s="14" t="str">
        <f t="shared" si="8"/>
        <v>190001</v>
      </c>
      <c r="C320" s="12" t="e">
        <f>INDEX(基础数据!$A$2:$A$1024,MATCH(转配商关联商!X320,基础数据!$D$2:$D$1024,0))</f>
        <v>#N/A</v>
      </c>
      <c r="E320" s="12" t="e">
        <f>INDEX(基础数据!$B$2:$B$1024,MATCH(转配商关联商!X320,基础数据!$D$2:$D$1024,0))</f>
        <v>#N/A</v>
      </c>
      <c r="G320" s="12" t="e">
        <f>INDEX([1]流向迭代数据!E$2:E$65536,MATCH(转配商关联商!W320,[1]流向迭代数据!M$2:M$65536,0))</f>
        <v>#N/A</v>
      </c>
      <c r="N320" s="12" t="e">
        <f>INDEX([1]流向迭代数据!J$2:J$65536,MATCH(L320,[1]流向迭代数据!H$2:H$65536,0))</f>
        <v>#N/A</v>
      </c>
      <c r="P320" s="14"/>
      <c r="T320" s="12" t="e">
        <f>INDEX([1]流向迭代数据!K$2:K$65536,MATCH(L320,[1]流向迭代数据!H$2:H$65536,0))</f>
        <v>#N/A</v>
      </c>
      <c r="W320" s="12" t="str">
        <f t="shared" si="9"/>
        <v/>
      </c>
    </row>
    <row r="321" spans="1:23" x14ac:dyDescent="0.15">
      <c r="A321" s="14" t="str">
        <f t="shared" si="8"/>
        <v>190001</v>
      </c>
      <c r="C321" s="12" t="e">
        <f>INDEX(基础数据!$A$2:$A$1024,MATCH(转配商关联商!X321,基础数据!$D$2:$D$1024,0))</f>
        <v>#N/A</v>
      </c>
      <c r="E321" s="12" t="e">
        <f>INDEX(基础数据!$B$2:$B$1024,MATCH(转配商关联商!X321,基础数据!$D$2:$D$1024,0))</f>
        <v>#N/A</v>
      </c>
      <c r="G321" s="12" t="e">
        <f>INDEX([1]流向迭代数据!E$2:E$65536,MATCH(转配商关联商!W321,[1]流向迭代数据!M$2:M$65536,0))</f>
        <v>#N/A</v>
      </c>
      <c r="N321" s="12" t="e">
        <f>INDEX([1]流向迭代数据!J$2:J$65536,MATCH(L321,[1]流向迭代数据!H$2:H$65536,0))</f>
        <v>#N/A</v>
      </c>
      <c r="P321" s="14"/>
      <c r="T321" s="12" t="e">
        <f>INDEX([1]流向迭代数据!K$2:K$65536,MATCH(L321,[1]流向迭代数据!H$2:H$65536,0))</f>
        <v>#N/A</v>
      </c>
      <c r="W321" s="12" t="str">
        <f t="shared" si="9"/>
        <v/>
      </c>
    </row>
    <row r="322" spans="1:23" x14ac:dyDescent="0.15">
      <c r="A322" s="14" t="str">
        <f t="shared" si="8"/>
        <v>190001</v>
      </c>
      <c r="C322" s="12" t="e">
        <f>INDEX(基础数据!$A$2:$A$1024,MATCH(转配商关联商!X322,基础数据!$D$2:$D$1024,0))</f>
        <v>#N/A</v>
      </c>
      <c r="E322" s="12" t="e">
        <f>INDEX(基础数据!$B$2:$B$1024,MATCH(转配商关联商!X322,基础数据!$D$2:$D$1024,0))</f>
        <v>#N/A</v>
      </c>
      <c r="G322" s="12" t="e">
        <f>INDEX([1]流向迭代数据!E$2:E$65536,MATCH(转配商关联商!W322,[1]流向迭代数据!M$2:M$65536,0))</f>
        <v>#N/A</v>
      </c>
      <c r="N322" s="12" t="e">
        <f>INDEX([1]流向迭代数据!J$2:J$65536,MATCH(L322,[1]流向迭代数据!H$2:H$65536,0))</f>
        <v>#N/A</v>
      </c>
      <c r="P322" s="14"/>
      <c r="T322" s="12" t="e">
        <f>INDEX([1]流向迭代数据!K$2:K$65536,MATCH(L322,[1]流向迭代数据!H$2:H$65536,0))</f>
        <v>#N/A</v>
      </c>
      <c r="W322" s="12" t="str">
        <f t="shared" si="9"/>
        <v/>
      </c>
    </row>
    <row r="323" spans="1:23" x14ac:dyDescent="0.15">
      <c r="A323" s="14" t="str">
        <f t="shared" ref="A323:A386" si="10">IF(MONTH(P323)&lt;10,YEAR(P323)&amp;"0"&amp;MONTH(P323),YEAR(P323)&amp;MONTH(P323))</f>
        <v>190001</v>
      </c>
      <c r="C323" s="12" t="e">
        <f>INDEX(基础数据!$A$2:$A$1024,MATCH(转配商关联商!X323,基础数据!$D$2:$D$1024,0))</f>
        <v>#N/A</v>
      </c>
      <c r="E323" s="12" t="e">
        <f>INDEX(基础数据!$B$2:$B$1024,MATCH(转配商关联商!X323,基础数据!$D$2:$D$1024,0))</f>
        <v>#N/A</v>
      </c>
      <c r="G323" s="12" t="e">
        <f>INDEX([1]流向迭代数据!E$2:E$65536,MATCH(转配商关联商!W323,[1]流向迭代数据!M$2:M$65536,0))</f>
        <v>#N/A</v>
      </c>
      <c r="N323" s="12" t="e">
        <f>INDEX([1]流向迭代数据!J$2:J$65536,MATCH(L323,[1]流向迭代数据!H$2:H$65536,0))</f>
        <v>#N/A</v>
      </c>
      <c r="P323" s="14"/>
      <c r="T323" s="12" t="e">
        <f>INDEX([1]流向迭代数据!K$2:K$65536,MATCH(L323,[1]流向迭代数据!H$2:H$65536,0))</f>
        <v>#N/A</v>
      </c>
      <c r="W323" s="12" t="str">
        <f t="shared" ref="W323:W386" si="11">H323&amp;I323</f>
        <v/>
      </c>
    </row>
    <row r="324" spans="1:23" x14ac:dyDescent="0.15">
      <c r="A324" s="14" t="str">
        <f t="shared" si="10"/>
        <v>190001</v>
      </c>
      <c r="C324" s="12" t="e">
        <f>INDEX(基础数据!$A$2:$A$1024,MATCH(转配商关联商!X324,基础数据!$D$2:$D$1024,0))</f>
        <v>#N/A</v>
      </c>
      <c r="E324" s="12" t="e">
        <f>INDEX(基础数据!$B$2:$B$1024,MATCH(转配商关联商!X324,基础数据!$D$2:$D$1024,0))</f>
        <v>#N/A</v>
      </c>
      <c r="G324" s="12" t="e">
        <f>INDEX([1]流向迭代数据!E$2:E$65536,MATCH(转配商关联商!W324,[1]流向迭代数据!M$2:M$65536,0))</f>
        <v>#N/A</v>
      </c>
      <c r="N324" s="12" t="e">
        <f>INDEX([1]流向迭代数据!J$2:J$65536,MATCH(L324,[1]流向迭代数据!H$2:H$65536,0))</f>
        <v>#N/A</v>
      </c>
      <c r="P324" s="14"/>
      <c r="T324" s="12" t="e">
        <f>INDEX([1]流向迭代数据!K$2:K$65536,MATCH(L324,[1]流向迭代数据!H$2:H$65536,0))</f>
        <v>#N/A</v>
      </c>
      <c r="W324" s="12" t="str">
        <f t="shared" si="11"/>
        <v/>
      </c>
    </row>
    <row r="325" spans="1:23" x14ac:dyDescent="0.15">
      <c r="A325" s="14" t="str">
        <f t="shared" si="10"/>
        <v>190001</v>
      </c>
      <c r="C325" s="12" t="e">
        <f>INDEX(基础数据!$A$2:$A$1024,MATCH(转配商关联商!X325,基础数据!$D$2:$D$1024,0))</f>
        <v>#N/A</v>
      </c>
      <c r="E325" s="12" t="e">
        <f>INDEX(基础数据!$B$2:$B$1024,MATCH(转配商关联商!X325,基础数据!$D$2:$D$1024,0))</f>
        <v>#N/A</v>
      </c>
      <c r="G325" s="12" t="e">
        <f>INDEX([1]流向迭代数据!E$2:E$65536,MATCH(转配商关联商!W325,[1]流向迭代数据!M$2:M$65536,0))</f>
        <v>#N/A</v>
      </c>
      <c r="N325" s="12" t="e">
        <f>INDEX([1]流向迭代数据!J$2:J$65536,MATCH(L325,[1]流向迭代数据!H$2:H$65536,0))</f>
        <v>#N/A</v>
      </c>
      <c r="P325" s="14"/>
      <c r="T325" s="12" t="e">
        <f>INDEX([1]流向迭代数据!K$2:K$65536,MATCH(L325,[1]流向迭代数据!H$2:H$65536,0))</f>
        <v>#N/A</v>
      </c>
      <c r="W325" s="12" t="str">
        <f t="shared" si="11"/>
        <v/>
      </c>
    </row>
    <row r="326" spans="1:23" x14ac:dyDescent="0.15">
      <c r="A326" s="14" t="str">
        <f t="shared" si="10"/>
        <v>190001</v>
      </c>
      <c r="C326" s="12" t="e">
        <f>INDEX(基础数据!$A$2:$A$1024,MATCH(转配商关联商!X326,基础数据!$D$2:$D$1024,0))</f>
        <v>#N/A</v>
      </c>
      <c r="E326" s="12" t="e">
        <f>INDEX(基础数据!$B$2:$B$1024,MATCH(转配商关联商!X326,基础数据!$D$2:$D$1024,0))</f>
        <v>#N/A</v>
      </c>
      <c r="G326" s="12" t="e">
        <f>INDEX([1]流向迭代数据!E$2:E$65536,MATCH(转配商关联商!W326,[1]流向迭代数据!M$2:M$65536,0))</f>
        <v>#N/A</v>
      </c>
      <c r="N326" s="12" t="e">
        <f>INDEX([1]流向迭代数据!J$2:J$65536,MATCH(L326,[1]流向迭代数据!H$2:H$65536,0))</f>
        <v>#N/A</v>
      </c>
      <c r="P326" s="14"/>
      <c r="T326" s="12" t="e">
        <f>INDEX([1]流向迭代数据!K$2:K$65536,MATCH(L326,[1]流向迭代数据!H$2:H$65536,0))</f>
        <v>#N/A</v>
      </c>
      <c r="W326" s="12" t="str">
        <f t="shared" si="11"/>
        <v/>
      </c>
    </row>
    <row r="327" spans="1:23" x14ac:dyDescent="0.15">
      <c r="A327" s="14" t="str">
        <f t="shared" si="10"/>
        <v>190001</v>
      </c>
      <c r="C327" s="12" t="e">
        <f>INDEX(基础数据!$A$2:$A$1024,MATCH(转配商关联商!X327,基础数据!$D$2:$D$1024,0))</f>
        <v>#N/A</v>
      </c>
      <c r="E327" s="12" t="e">
        <f>INDEX(基础数据!$B$2:$B$1024,MATCH(转配商关联商!X327,基础数据!$D$2:$D$1024,0))</f>
        <v>#N/A</v>
      </c>
      <c r="G327" s="12" t="e">
        <f>INDEX([1]流向迭代数据!E$2:E$65536,MATCH(转配商关联商!W327,[1]流向迭代数据!M$2:M$65536,0))</f>
        <v>#N/A</v>
      </c>
      <c r="N327" s="12" t="e">
        <f>INDEX([1]流向迭代数据!J$2:J$65536,MATCH(L327,[1]流向迭代数据!H$2:H$65536,0))</f>
        <v>#N/A</v>
      </c>
      <c r="P327" s="14"/>
      <c r="T327" s="12" t="e">
        <f>INDEX([1]流向迭代数据!K$2:K$65536,MATCH(L327,[1]流向迭代数据!H$2:H$65536,0))</f>
        <v>#N/A</v>
      </c>
      <c r="W327" s="12" t="str">
        <f t="shared" si="11"/>
        <v/>
      </c>
    </row>
    <row r="328" spans="1:23" x14ac:dyDescent="0.15">
      <c r="A328" s="14" t="str">
        <f t="shared" si="10"/>
        <v>190001</v>
      </c>
      <c r="C328" s="12" t="e">
        <f>INDEX(基础数据!$A$2:$A$1024,MATCH(转配商关联商!X328,基础数据!$D$2:$D$1024,0))</f>
        <v>#N/A</v>
      </c>
      <c r="E328" s="12" t="e">
        <f>INDEX(基础数据!$B$2:$B$1024,MATCH(转配商关联商!X328,基础数据!$D$2:$D$1024,0))</f>
        <v>#N/A</v>
      </c>
      <c r="G328" s="12" t="e">
        <f>INDEX([1]流向迭代数据!E$2:E$65536,MATCH(转配商关联商!W328,[1]流向迭代数据!M$2:M$65536,0))</f>
        <v>#N/A</v>
      </c>
      <c r="N328" s="12" t="e">
        <f>INDEX([1]流向迭代数据!J$2:J$65536,MATCH(L328,[1]流向迭代数据!H$2:H$65536,0))</f>
        <v>#N/A</v>
      </c>
      <c r="P328" s="14"/>
      <c r="T328" s="12" t="e">
        <f>INDEX([1]流向迭代数据!K$2:K$65536,MATCH(L328,[1]流向迭代数据!H$2:H$65536,0))</f>
        <v>#N/A</v>
      </c>
      <c r="W328" s="12" t="str">
        <f t="shared" si="11"/>
        <v/>
      </c>
    </row>
    <row r="329" spans="1:23" x14ac:dyDescent="0.15">
      <c r="A329" s="14" t="str">
        <f t="shared" si="10"/>
        <v>190001</v>
      </c>
      <c r="C329" s="12" t="e">
        <f>INDEX(基础数据!$A$2:$A$1024,MATCH(转配商关联商!X329,基础数据!$D$2:$D$1024,0))</f>
        <v>#N/A</v>
      </c>
      <c r="E329" s="12" t="e">
        <f>INDEX(基础数据!$B$2:$B$1024,MATCH(转配商关联商!X329,基础数据!$D$2:$D$1024,0))</f>
        <v>#N/A</v>
      </c>
      <c r="G329" s="12" t="e">
        <f>INDEX([1]流向迭代数据!E$2:E$65536,MATCH(转配商关联商!W329,[1]流向迭代数据!M$2:M$65536,0))</f>
        <v>#N/A</v>
      </c>
      <c r="N329" s="12" t="e">
        <f>INDEX([1]流向迭代数据!J$2:J$65536,MATCH(L329,[1]流向迭代数据!H$2:H$65536,0))</f>
        <v>#N/A</v>
      </c>
      <c r="P329" s="14"/>
      <c r="T329" s="12" t="e">
        <f>INDEX([1]流向迭代数据!K$2:K$65536,MATCH(L329,[1]流向迭代数据!H$2:H$65536,0))</f>
        <v>#N/A</v>
      </c>
      <c r="W329" s="12" t="str">
        <f t="shared" si="11"/>
        <v/>
      </c>
    </row>
    <row r="330" spans="1:23" x14ac:dyDescent="0.15">
      <c r="A330" s="14" t="str">
        <f t="shared" si="10"/>
        <v>190001</v>
      </c>
      <c r="C330" s="12" t="e">
        <f>INDEX(基础数据!$A$2:$A$1024,MATCH(转配商关联商!X330,基础数据!$D$2:$D$1024,0))</f>
        <v>#N/A</v>
      </c>
      <c r="E330" s="12" t="e">
        <f>INDEX(基础数据!$B$2:$B$1024,MATCH(转配商关联商!X330,基础数据!$D$2:$D$1024,0))</f>
        <v>#N/A</v>
      </c>
      <c r="G330" s="12" t="e">
        <f>INDEX([1]流向迭代数据!E$2:E$65536,MATCH(转配商关联商!W330,[1]流向迭代数据!M$2:M$65536,0))</f>
        <v>#N/A</v>
      </c>
      <c r="N330" s="12" t="e">
        <f>INDEX([1]流向迭代数据!J$2:J$65536,MATCH(L330,[1]流向迭代数据!H$2:H$65536,0))</f>
        <v>#N/A</v>
      </c>
      <c r="P330" s="14"/>
      <c r="T330" s="12" t="e">
        <f>INDEX([1]流向迭代数据!K$2:K$65536,MATCH(L330,[1]流向迭代数据!H$2:H$65536,0))</f>
        <v>#N/A</v>
      </c>
      <c r="W330" s="12" t="str">
        <f t="shared" si="11"/>
        <v/>
      </c>
    </row>
    <row r="331" spans="1:23" x14ac:dyDescent="0.15">
      <c r="A331" s="14" t="str">
        <f t="shared" si="10"/>
        <v>190001</v>
      </c>
      <c r="C331" s="12" t="e">
        <f>INDEX(基础数据!$A$2:$A$1024,MATCH(转配商关联商!X331,基础数据!$D$2:$D$1024,0))</f>
        <v>#N/A</v>
      </c>
      <c r="E331" s="12" t="e">
        <f>INDEX(基础数据!$B$2:$B$1024,MATCH(转配商关联商!X331,基础数据!$D$2:$D$1024,0))</f>
        <v>#N/A</v>
      </c>
      <c r="G331" s="12" t="e">
        <f>INDEX([1]流向迭代数据!E$2:E$65536,MATCH(转配商关联商!W331,[1]流向迭代数据!M$2:M$65536,0))</f>
        <v>#N/A</v>
      </c>
      <c r="N331" s="12" t="e">
        <f>INDEX([1]流向迭代数据!J$2:J$65536,MATCH(L331,[1]流向迭代数据!H$2:H$65536,0))</f>
        <v>#N/A</v>
      </c>
      <c r="P331" s="14"/>
      <c r="T331" s="12" t="e">
        <f>INDEX([1]流向迭代数据!K$2:K$65536,MATCH(L331,[1]流向迭代数据!H$2:H$65536,0))</f>
        <v>#N/A</v>
      </c>
      <c r="W331" s="12" t="str">
        <f t="shared" si="11"/>
        <v/>
      </c>
    </row>
    <row r="332" spans="1:23" x14ac:dyDescent="0.15">
      <c r="A332" s="14" t="str">
        <f t="shared" si="10"/>
        <v>190001</v>
      </c>
      <c r="C332" s="12" t="e">
        <f>INDEX(基础数据!$A$2:$A$1024,MATCH(转配商关联商!X332,基础数据!$D$2:$D$1024,0))</f>
        <v>#N/A</v>
      </c>
      <c r="E332" s="12" t="e">
        <f>INDEX(基础数据!$B$2:$B$1024,MATCH(转配商关联商!X332,基础数据!$D$2:$D$1024,0))</f>
        <v>#N/A</v>
      </c>
      <c r="G332" s="12" t="e">
        <f>INDEX([1]流向迭代数据!E$2:E$65536,MATCH(转配商关联商!W332,[1]流向迭代数据!M$2:M$65536,0))</f>
        <v>#N/A</v>
      </c>
      <c r="N332" s="12" t="e">
        <f>INDEX([1]流向迭代数据!J$2:J$65536,MATCH(L332,[1]流向迭代数据!H$2:H$65536,0))</f>
        <v>#N/A</v>
      </c>
      <c r="P332" s="14"/>
      <c r="T332" s="12" t="e">
        <f>INDEX([1]流向迭代数据!K$2:K$65536,MATCH(L332,[1]流向迭代数据!H$2:H$65536,0))</f>
        <v>#N/A</v>
      </c>
      <c r="W332" s="12" t="str">
        <f t="shared" si="11"/>
        <v/>
      </c>
    </row>
    <row r="333" spans="1:23" x14ac:dyDescent="0.15">
      <c r="A333" s="14" t="str">
        <f t="shared" si="10"/>
        <v>190001</v>
      </c>
      <c r="C333" s="12" t="e">
        <f>INDEX(基础数据!$A$2:$A$1024,MATCH(转配商关联商!X333,基础数据!$D$2:$D$1024,0))</f>
        <v>#N/A</v>
      </c>
      <c r="E333" s="12" t="e">
        <f>INDEX(基础数据!$B$2:$B$1024,MATCH(转配商关联商!X333,基础数据!$D$2:$D$1024,0))</f>
        <v>#N/A</v>
      </c>
      <c r="G333" s="12" t="e">
        <f>INDEX([1]流向迭代数据!E$2:E$65536,MATCH(转配商关联商!W333,[1]流向迭代数据!M$2:M$65536,0))</f>
        <v>#N/A</v>
      </c>
      <c r="N333" s="12" t="e">
        <f>INDEX([1]流向迭代数据!J$2:J$65536,MATCH(L333,[1]流向迭代数据!H$2:H$65536,0))</f>
        <v>#N/A</v>
      </c>
      <c r="P333" s="14"/>
      <c r="T333" s="12" t="e">
        <f>INDEX([1]流向迭代数据!K$2:K$65536,MATCH(L333,[1]流向迭代数据!H$2:H$65536,0))</f>
        <v>#N/A</v>
      </c>
      <c r="W333" s="12" t="str">
        <f t="shared" si="11"/>
        <v/>
      </c>
    </row>
    <row r="334" spans="1:23" x14ac:dyDescent="0.15">
      <c r="A334" s="14" t="str">
        <f t="shared" si="10"/>
        <v>190001</v>
      </c>
      <c r="C334" s="12" t="e">
        <f>INDEX(基础数据!$A$2:$A$1024,MATCH(转配商关联商!X334,基础数据!$D$2:$D$1024,0))</f>
        <v>#N/A</v>
      </c>
      <c r="E334" s="12" t="e">
        <f>INDEX(基础数据!$B$2:$B$1024,MATCH(转配商关联商!X334,基础数据!$D$2:$D$1024,0))</f>
        <v>#N/A</v>
      </c>
      <c r="G334" s="12" t="e">
        <f>INDEX([1]流向迭代数据!E$2:E$65536,MATCH(转配商关联商!W334,[1]流向迭代数据!M$2:M$65536,0))</f>
        <v>#N/A</v>
      </c>
      <c r="N334" s="12" t="e">
        <f>INDEX([1]流向迭代数据!J$2:J$65536,MATCH(L334,[1]流向迭代数据!H$2:H$65536,0))</f>
        <v>#N/A</v>
      </c>
      <c r="P334" s="14"/>
      <c r="T334" s="12" t="e">
        <f>INDEX([1]流向迭代数据!K$2:K$65536,MATCH(L334,[1]流向迭代数据!H$2:H$65536,0))</f>
        <v>#N/A</v>
      </c>
      <c r="W334" s="12" t="str">
        <f t="shared" si="11"/>
        <v/>
      </c>
    </row>
    <row r="335" spans="1:23" x14ac:dyDescent="0.15">
      <c r="A335" s="14" t="str">
        <f t="shared" si="10"/>
        <v>190001</v>
      </c>
      <c r="C335" s="12" t="e">
        <f>INDEX(基础数据!$A$2:$A$1024,MATCH(转配商关联商!X335,基础数据!$D$2:$D$1024,0))</f>
        <v>#N/A</v>
      </c>
      <c r="E335" s="12" t="e">
        <f>INDEX(基础数据!$B$2:$B$1024,MATCH(转配商关联商!X335,基础数据!$D$2:$D$1024,0))</f>
        <v>#N/A</v>
      </c>
      <c r="G335" s="12" t="e">
        <f>INDEX([1]流向迭代数据!E$2:E$65536,MATCH(转配商关联商!W335,[1]流向迭代数据!M$2:M$65536,0))</f>
        <v>#N/A</v>
      </c>
      <c r="N335" s="12" t="e">
        <f>INDEX([1]流向迭代数据!J$2:J$65536,MATCH(L335,[1]流向迭代数据!H$2:H$65536,0))</f>
        <v>#N/A</v>
      </c>
      <c r="P335" s="14"/>
      <c r="T335" s="12" t="e">
        <f>INDEX([1]流向迭代数据!K$2:K$65536,MATCH(L335,[1]流向迭代数据!H$2:H$65536,0))</f>
        <v>#N/A</v>
      </c>
      <c r="W335" s="12" t="str">
        <f t="shared" si="11"/>
        <v/>
      </c>
    </row>
    <row r="336" spans="1:23" x14ac:dyDescent="0.15">
      <c r="A336" s="14" t="str">
        <f t="shared" si="10"/>
        <v>190001</v>
      </c>
      <c r="C336" s="12" t="e">
        <f>INDEX(基础数据!$A$2:$A$1024,MATCH(转配商关联商!X336,基础数据!$D$2:$D$1024,0))</f>
        <v>#N/A</v>
      </c>
      <c r="E336" s="12" t="e">
        <f>INDEX(基础数据!$B$2:$B$1024,MATCH(转配商关联商!X336,基础数据!$D$2:$D$1024,0))</f>
        <v>#N/A</v>
      </c>
      <c r="G336" s="12" t="e">
        <f>INDEX([1]流向迭代数据!E$2:E$65536,MATCH(转配商关联商!W336,[1]流向迭代数据!M$2:M$65536,0))</f>
        <v>#N/A</v>
      </c>
      <c r="N336" s="12" t="e">
        <f>INDEX([1]流向迭代数据!J$2:J$65536,MATCH(L336,[1]流向迭代数据!H$2:H$65536,0))</f>
        <v>#N/A</v>
      </c>
      <c r="P336" s="14"/>
      <c r="T336" s="12" t="e">
        <f>INDEX([1]流向迭代数据!K$2:K$65536,MATCH(L336,[1]流向迭代数据!H$2:H$65536,0))</f>
        <v>#N/A</v>
      </c>
      <c r="W336" s="12" t="str">
        <f t="shared" si="11"/>
        <v/>
      </c>
    </row>
    <row r="337" spans="1:23" x14ac:dyDescent="0.15">
      <c r="A337" s="14" t="str">
        <f t="shared" si="10"/>
        <v>190001</v>
      </c>
      <c r="C337" s="12" t="e">
        <f>INDEX(基础数据!$A$2:$A$1024,MATCH(转配商关联商!X337,基础数据!$D$2:$D$1024,0))</f>
        <v>#N/A</v>
      </c>
      <c r="E337" s="12" t="e">
        <f>INDEX(基础数据!$B$2:$B$1024,MATCH(转配商关联商!X337,基础数据!$D$2:$D$1024,0))</f>
        <v>#N/A</v>
      </c>
      <c r="G337" s="12" t="e">
        <f>INDEX([1]流向迭代数据!E$2:E$65536,MATCH(转配商关联商!W337,[1]流向迭代数据!M$2:M$65536,0))</f>
        <v>#N/A</v>
      </c>
      <c r="N337" s="12" t="e">
        <f>INDEX([1]流向迭代数据!J$2:J$65536,MATCH(L337,[1]流向迭代数据!H$2:H$65536,0))</f>
        <v>#N/A</v>
      </c>
      <c r="P337" s="14"/>
      <c r="T337" s="12" t="e">
        <f>INDEX([1]流向迭代数据!K$2:K$65536,MATCH(L337,[1]流向迭代数据!H$2:H$65536,0))</f>
        <v>#N/A</v>
      </c>
      <c r="W337" s="12" t="str">
        <f t="shared" si="11"/>
        <v/>
      </c>
    </row>
    <row r="338" spans="1:23" x14ac:dyDescent="0.15">
      <c r="A338" s="14" t="str">
        <f t="shared" si="10"/>
        <v>190001</v>
      </c>
      <c r="C338" s="12" t="e">
        <f>INDEX(基础数据!$A$2:$A$1024,MATCH(转配商关联商!X338,基础数据!$D$2:$D$1024,0))</f>
        <v>#N/A</v>
      </c>
      <c r="E338" s="12" t="e">
        <f>INDEX(基础数据!$B$2:$B$1024,MATCH(转配商关联商!X338,基础数据!$D$2:$D$1024,0))</f>
        <v>#N/A</v>
      </c>
      <c r="G338" s="12" t="e">
        <f>INDEX([1]流向迭代数据!E$2:E$65536,MATCH(转配商关联商!W338,[1]流向迭代数据!M$2:M$65536,0))</f>
        <v>#N/A</v>
      </c>
      <c r="N338" s="12" t="e">
        <f>INDEX([1]流向迭代数据!J$2:J$65536,MATCH(L338,[1]流向迭代数据!H$2:H$65536,0))</f>
        <v>#N/A</v>
      </c>
      <c r="P338" s="14"/>
      <c r="T338" s="12" t="e">
        <f>INDEX([1]流向迭代数据!K$2:K$65536,MATCH(L338,[1]流向迭代数据!H$2:H$65536,0))</f>
        <v>#N/A</v>
      </c>
      <c r="W338" s="12" t="str">
        <f t="shared" si="11"/>
        <v/>
      </c>
    </row>
    <row r="339" spans="1:23" x14ac:dyDescent="0.15">
      <c r="A339" s="14" t="str">
        <f t="shared" si="10"/>
        <v>190001</v>
      </c>
      <c r="C339" s="12" t="e">
        <f>INDEX(基础数据!$A$2:$A$1024,MATCH(转配商关联商!X339,基础数据!$D$2:$D$1024,0))</f>
        <v>#N/A</v>
      </c>
      <c r="E339" s="12" t="e">
        <f>INDEX(基础数据!$B$2:$B$1024,MATCH(转配商关联商!X339,基础数据!$D$2:$D$1024,0))</f>
        <v>#N/A</v>
      </c>
      <c r="G339" s="12" t="e">
        <f>INDEX([1]流向迭代数据!E$2:E$65536,MATCH(转配商关联商!W339,[1]流向迭代数据!M$2:M$65536,0))</f>
        <v>#N/A</v>
      </c>
      <c r="N339" s="12" t="e">
        <f>INDEX([1]流向迭代数据!J$2:J$65536,MATCH(L339,[1]流向迭代数据!H$2:H$65536,0))</f>
        <v>#N/A</v>
      </c>
      <c r="P339" s="14"/>
      <c r="T339" s="12" t="e">
        <f>INDEX([1]流向迭代数据!K$2:K$65536,MATCH(L339,[1]流向迭代数据!H$2:H$65536,0))</f>
        <v>#N/A</v>
      </c>
      <c r="W339" s="12" t="str">
        <f t="shared" si="11"/>
        <v/>
      </c>
    </row>
    <row r="340" spans="1:23" x14ac:dyDescent="0.15">
      <c r="A340" s="14" t="str">
        <f t="shared" si="10"/>
        <v>190001</v>
      </c>
      <c r="C340" s="12" t="e">
        <f>INDEX(基础数据!$A$2:$A$1024,MATCH(转配商关联商!X340,基础数据!$D$2:$D$1024,0))</f>
        <v>#N/A</v>
      </c>
      <c r="E340" s="12" t="e">
        <f>INDEX(基础数据!$B$2:$B$1024,MATCH(转配商关联商!X340,基础数据!$D$2:$D$1024,0))</f>
        <v>#N/A</v>
      </c>
      <c r="G340" s="12" t="e">
        <f>INDEX([1]流向迭代数据!E$2:E$65536,MATCH(转配商关联商!W340,[1]流向迭代数据!M$2:M$65536,0))</f>
        <v>#N/A</v>
      </c>
      <c r="N340" s="12" t="e">
        <f>INDEX([1]流向迭代数据!J$2:J$65536,MATCH(L340,[1]流向迭代数据!H$2:H$65536,0))</f>
        <v>#N/A</v>
      </c>
      <c r="P340" s="14"/>
      <c r="T340" s="12" t="e">
        <f>INDEX([1]流向迭代数据!K$2:K$65536,MATCH(L340,[1]流向迭代数据!H$2:H$65536,0))</f>
        <v>#N/A</v>
      </c>
      <c r="W340" s="12" t="str">
        <f t="shared" si="11"/>
        <v/>
      </c>
    </row>
    <row r="341" spans="1:23" x14ac:dyDescent="0.15">
      <c r="A341" s="14" t="str">
        <f t="shared" si="10"/>
        <v>190001</v>
      </c>
      <c r="C341" s="12" t="e">
        <f>INDEX(基础数据!$A$2:$A$1024,MATCH(转配商关联商!X341,基础数据!$D$2:$D$1024,0))</f>
        <v>#N/A</v>
      </c>
      <c r="E341" s="12" t="e">
        <f>INDEX(基础数据!$B$2:$B$1024,MATCH(转配商关联商!X341,基础数据!$D$2:$D$1024,0))</f>
        <v>#N/A</v>
      </c>
      <c r="G341" s="12" t="e">
        <f>INDEX([1]流向迭代数据!E$2:E$65536,MATCH(转配商关联商!W341,[1]流向迭代数据!M$2:M$65536,0))</f>
        <v>#N/A</v>
      </c>
      <c r="N341" s="12" t="e">
        <f>INDEX([1]流向迭代数据!J$2:J$65536,MATCH(L341,[1]流向迭代数据!H$2:H$65536,0))</f>
        <v>#N/A</v>
      </c>
      <c r="P341" s="14"/>
      <c r="T341" s="12" t="e">
        <f>INDEX([1]流向迭代数据!K$2:K$65536,MATCH(L341,[1]流向迭代数据!H$2:H$65536,0))</f>
        <v>#N/A</v>
      </c>
      <c r="W341" s="12" t="str">
        <f t="shared" si="11"/>
        <v/>
      </c>
    </row>
    <row r="342" spans="1:23" x14ac:dyDescent="0.15">
      <c r="A342" s="14" t="str">
        <f t="shared" si="10"/>
        <v>190001</v>
      </c>
      <c r="C342" s="12" t="e">
        <f>INDEX(基础数据!$A$2:$A$1024,MATCH(转配商关联商!X342,基础数据!$D$2:$D$1024,0))</f>
        <v>#N/A</v>
      </c>
      <c r="E342" s="12" t="e">
        <f>INDEX(基础数据!$B$2:$B$1024,MATCH(转配商关联商!X342,基础数据!$D$2:$D$1024,0))</f>
        <v>#N/A</v>
      </c>
      <c r="G342" s="12" t="e">
        <f>INDEX([1]流向迭代数据!E$2:E$65536,MATCH(转配商关联商!W342,[1]流向迭代数据!M$2:M$65536,0))</f>
        <v>#N/A</v>
      </c>
      <c r="N342" s="12" t="e">
        <f>INDEX([1]流向迭代数据!J$2:J$65536,MATCH(L342,[1]流向迭代数据!H$2:H$65536,0))</f>
        <v>#N/A</v>
      </c>
      <c r="P342" s="14"/>
      <c r="T342" s="12" t="e">
        <f>INDEX([1]流向迭代数据!K$2:K$65536,MATCH(L342,[1]流向迭代数据!H$2:H$65536,0))</f>
        <v>#N/A</v>
      </c>
      <c r="W342" s="12" t="str">
        <f t="shared" si="11"/>
        <v/>
      </c>
    </row>
    <row r="343" spans="1:23" x14ac:dyDescent="0.15">
      <c r="A343" s="14" t="str">
        <f t="shared" si="10"/>
        <v>190001</v>
      </c>
      <c r="C343" s="12" t="e">
        <f>INDEX(基础数据!$A$2:$A$1024,MATCH(转配商关联商!X343,基础数据!$D$2:$D$1024,0))</f>
        <v>#N/A</v>
      </c>
      <c r="E343" s="12" t="e">
        <f>INDEX(基础数据!$B$2:$B$1024,MATCH(转配商关联商!X343,基础数据!$D$2:$D$1024,0))</f>
        <v>#N/A</v>
      </c>
      <c r="G343" s="12" t="e">
        <f>INDEX([1]流向迭代数据!E$2:E$65536,MATCH(转配商关联商!W343,[1]流向迭代数据!M$2:M$65536,0))</f>
        <v>#N/A</v>
      </c>
      <c r="N343" s="12" t="e">
        <f>INDEX([1]流向迭代数据!J$2:J$65536,MATCH(L343,[1]流向迭代数据!H$2:H$65536,0))</f>
        <v>#N/A</v>
      </c>
      <c r="P343" s="14"/>
      <c r="T343" s="12" t="e">
        <f>INDEX([1]流向迭代数据!K$2:K$65536,MATCH(L343,[1]流向迭代数据!H$2:H$65536,0))</f>
        <v>#N/A</v>
      </c>
      <c r="W343" s="12" t="str">
        <f t="shared" si="11"/>
        <v/>
      </c>
    </row>
    <row r="344" spans="1:23" x14ac:dyDescent="0.15">
      <c r="A344" s="14" t="str">
        <f t="shared" si="10"/>
        <v>190001</v>
      </c>
      <c r="C344" s="12" t="e">
        <f>INDEX(基础数据!$A$2:$A$1024,MATCH(转配商关联商!X344,基础数据!$D$2:$D$1024,0))</f>
        <v>#N/A</v>
      </c>
      <c r="E344" s="12" t="e">
        <f>INDEX(基础数据!$B$2:$B$1024,MATCH(转配商关联商!X344,基础数据!$D$2:$D$1024,0))</f>
        <v>#N/A</v>
      </c>
      <c r="G344" s="12" t="e">
        <f>INDEX([1]流向迭代数据!E$2:E$65536,MATCH(转配商关联商!W344,[1]流向迭代数据!M$2:M$65536,0))</f>
        <v>#N/A</v>
      </c>
      <c r="N344" s="12" t="e">
        <f>INDEX([1]流向迭代数据!J$2:J$65536,MATCH(L344,[1]流向迭代数据!H$2:H$65536,0))</f>
        <v>#N/A</v>
      </c>
      <c r="P344" s="14"/>
      <c r="T344" s="12" t="e">
        <f>INDEX([1]流向迭代数据!K$2:K$65536,MATCH(L344,[1]流向迭代数据!H$2:H$65536,0))</f>
        <v>#N/A</v>
      </c>
      <c r="W344" s="12" t="str">
        <f t="shared" si="11"/>
        <v/>
      </c>
    </row>
    <row r="345" spans="1:23" x14ac:dyDescent="0.15">
      <c r="A345" s="14" t="str">
        <f t="shared" si="10"/>
        <v>190001</v>
      </c>
      <c r="C345" s="12" t="e">
        <f>INDEX(基础数据!$A$2:$A$1024,MATCH(转配商关联商!X345,基础数据!$D$2:$D$1024,0))</f>
        <v>#N/A</v>
      </c>
      <c r="E345" s="12" t="e">
        <f>INDEX(基础数据!$B$2:$B$1024,MATCH(转配商关联商!X345,基础数据!$D$2:$D$1024,0))</f>
        <v>#N/A</v>
      </c>
      <c r="G345" s="12" t="e">
        <f>INDEX([1]流向迭代数据!E$2:E$65536,MATCH(转配商关联商!W345,[1]流向迭代数据!M$2:M$65536,0))</f>
        <v>#N/A</v>
      </c>
      <c r="N345" s="12" t="e">
        <f>INDEX([1]流向迭代数据!J$2:J$65536,MATCH(L345,[1]流向迭代数据!H$2:H$65536,0))</f>
        <v>#N/A</v>
      </c>
      <c r="P345" s="14"/>
      <c r="T345" s="12" t="e">
        <f>INDEX([1]流向迭代数据!K$2:K$65536,MATCH(L345,[1]流向迭代数据!H$2:H$65536,0))</f>
        <v>#N/A</v>
      </c>
      <c r="W345" s="12" t="str">
        <f t="shared" si="11"/>
        <v/>
      </c>
    </row>
    <row r="346" spans="1:23" x14ac:dyDescent="0.15">
      <c r="A346" s="14" t="str">
        <f t="shared" si="10"/>
        <v>190001</v>
      </c>
      <c r="C346" s="12" t="e">
        <f>INDEX(基础数据!$A$2:$A$1024,MATCH(转配商关联商!X346,基础数据!$D$2:$D$1024,0))</f>
        <v>#N/A</v>
      </c>
      <c r="E346" s="12" t="e">
        <f>INDEX(基础数据!$B$2:$B$1024,MATCH(转配商关联商!X346,基础数据!$D$2:$D$1024,0))</f>
        <v>#N/A</v>
      </c>
      <c r="G346" s="12" t="e">
        <f>INDEX([1]流向迭代数据!E$2:E$65536,MATCH(转配商关联商!W346,[1]流向迭代数据!M$2:M$65536,0))</f>
        <v>#N/A</v>
      </c>
      <c r="N346" s="12" t="e">
        <f>INDEX([1]流向迭代数据!J$2:J$65536,MATCH(L346,[1]流向迭代数据!H$2:H$65536,0))</f>
        <v>#N/A</v>
      </c>
      <c r="P346" s="14"/>
      <c r="T346" s="12" t="e">
        <f>INDEX([1]流向迭代数据!K$2:K$65536,MATCH(L346,[1]流向迭代数据!H$2:H$65536,0))</f>
        <v>#N/A</v>
      </c>
      <c r="W346" s="12" t="str">
        <f t="shared" si="11"/>
        <v/>
      </c>
    </row>
    <row r="347" spans="1:23" x14ac:dyDescent="0.15">
      <c r="A347" s="14" t="str">
        <f t="shared" si="10"/>
        <v>190001</v>
      </c>
      <c r="C347" s="12" t="e">
        <f>INDEX(基础数据!$A$2:$A$1024,MATCH(转配商关联商!X347,基础数据!$D$2:$D$1024,0))</f>
        <v>#N/A</v>
      </c>
      <c r="E347" s="12" t="e">
        <f>INDEX(基础数据!$B$2:$B$1024,MATCH(转配商关联商!X347,基础数据!$D$2:$D$1024,0))</f>
        <v>#N/A</v>
      </c>
      <c r="G347" s="12" t="e">
        <f>INDEX([1]流向迭代数据!E$2:E$65536,MATCH(转配商关联商!W347,[1]流向迭代数据!M$2:M$65536,0))</f>
        <v>#N/A</v>
      </c>
      <c r="N347" s="12" t="e">
        <f>INDEX([1]流向迭代数据!J$2:J$65536,MATCH(L347,[1]流向迭代数据!H$2:H$65536,0))</f>
        <v>#N/A</v>
      </c>
      <c r="P347" s="14"/>
      <c r="T347" s="12" t="e">
        <f>INDEX([1]流向迭代数据!K$2:K$65536,MATCH(L347,[1]流向迭代数据!H$2:H$65536,0))</f>
        <v>#N/A</v>
      </c>
      <c r="W347" s="12" t="str">
        <f t="shared" si="11"/>
        <v/>
      </c>
    </row>
    <row r="348" spans="1:23" x14ac:dyDescent="0.15">
      <c r="A348" s="14" t="str">
        <f t="shared" si="10"/>
        <v>190001</v>
      </c>
      <c r="C348" s="12" t="e">
        <f>INDEX(基础数据!$A$2:$A$1024,MATCH(转配商关联商!X348,基础数据!$D$2:$D$1024,0))</f>
        <v>#N/A</v>
      </c>
      <c r="E348" s="12" t="e">
        <f>INDEX(基础数据!$B$2:$B$1024,MATCH(转配商关联商!X348,基础数据!$D$2:$D$1024,0))</f>
        <v>#N/A</v>
      </c>
      <c r="G348" s="12" t="e">
        <f>INDEX([1]流向迭代数据!E$2:E$65536,MATCH(转配商关联商!W348,[1]流向迭代数据!M$2:M$65536,0))</f>
        <v>#N/A</v>
      </c>
      <c r="N348" s="12" t="e">
        <f>INDEX([1]流向迭代数据!J$2:J$65536,MATCH(L348,[1]流向迭代数据!H$2:H$65536,0))</f>
        <v>#N/A</v>
      </c>
      <c r="P348" s="14"/>
      <c r="T348" s="12" t="e">
        <f>INDEX([1]流向迭代数据!K$2:K$65536,MATCH(L348,[1]流向迭代数据!H$2:H$65536,0))</f>
        <v>#N/A</v>
      </c>
      <c r="W348" s="12" t="str">
        <f t="shared" si="11"/>
        <v/>
      </c>
    </row>
    <row r="349" spans="1:23" x14ac:dyDescent="0.15">
      <c r="A349" s="14" t="str">
        <f t="shared" si="10"/>
        <v>190001</v>
      </c>
      <c r="C349" s="12" t="e">
        <f>INDEX(基础数据!$A$2:$A$1024,MATCH(转配商关联商!X349,基础数据!$D$2:$D$1024,0))</f>
        <v>#N/A</v>
      </c>
      <c r="E349" s="12" t="e">
        <f>INDEX(基础数据!$B$2:$B$1024,MATCH(转配商关联商!X349,基础数据!$D$2:$D$1024,0))</f>
        <v>#N/A</v>
      </c>
      <c r="G349" s="12" t="e">
        <f>INDEX([1]流向迭代数据!E$2:E$65536,MATCH(转配商关联商!W349,[1]流向迭代数据!M$2:M$65536,0))</f>
        <v>#N/A</v>
      </c>
      <c r="N349" s="12" t="e">
        <f>INDEX([1]流向迭代数据!J$2:J$65536,MATCH(L349,[1]流向迭代数据!H$2:H$65536,0))</f>
        <v>#N/A</v>
      </c>
      <c r="P349" s="14"/>
      <c r="T349" s="12" t="e">
        <f>INDEX([1]流向迭代数据!K$2:K$65536,MATCH(L349,[1]流向迭代数据!H$2:H$65536,0))</f>
        <v>#N/A</v>
      </c>
      <c r="W349" s="12" t="str">
        <f t="shared" si="11"/>
        <v/>
      </c>
    </row>
    <row r="350" spans="1:23" x14ac:dyDescent="0.15">
      <c r="A350" s="14" t="str">
        <f t="shared" si="10"/>
        <v>190001</v>
      </c>
      <c r="C350" s="12" t="e">
        <f>INDEX(基础数据!$A$2:$A$1024,MATCH(转配商关联商!X350,基础数据!$D$2:$D$1024,0))</f>
        <v>#N/A</v>
      </c>
      <c r="E350" s="12" t="e">
        <f>INDEX(基础数据!$B$2:$B$1024,MATCH(转配商关联商!X350,基础数据!$D$2:$D$1024,0))</f>
        <v>#N/A</v>
      </c>
      <c r="G350" s="12" t="e">
        <f>INDEX([1]流向迭代数据!E$2:E$65536,MATCH(转配商关联商!W350,[1]流向迭代数据!M$2:M$65536,0))</f>
        <v>#N/A</v>
      </c>
      <c r="N350" s="12" t="e">
        <f>INDEX([1]流向迭代数据!J$2:J$65536,MATCH(L350,[1]流向迭代数据!H$2:H$65536,0))</f>
        <v>#N/A</v>
      </c>
      <c r="P350" s="14"/>
      <c r="T350" s="12" t="e">
        <f>INDEX([1]流向迭代数据!K$2:K$65536,MATCH(L350,[1]流向迭代数据!H$2:H$65536,0))</f>
        <v>#N/A</v>
      </c>
      <c r="W350" s="12" t="str">
        <f t="shared" si="11"/>
        <v/>
      </c>
    </row>
    <row r="351" spans="1:23" x14ac:dyDescent="0.15">
      <c r="A351" s="14" t="str">
        <f t="shared" si="10"/>
        <v>190001</v>
      </c>
      <c r="C351" s="12" t="e">
        <f>INDEX(基础数据!$A$2:$A$1024,MATCH(转配商关联商!X351,基础数据!$D$2:$D$1024,0))</f>
        <v>#N/A</v>
      </c>
      <c r="E351" s="12" t="e">
        <f>INDEX(基础数据!$B$2:$B$1024,MATCH(转配商关联商!X351,基础数据!$D$2:$D$1024,0))</f>
        <v>#N/A</v>
      </c>
      <c r="G351" s="12" t="e">
        <f>INDEX([1]流向迭代数据!E$2:E$65536,MATCH(转配商关联商!W351,[1]流向迭代数据!M$2:M$65536,0))</f>
        <v>#N/A</v>
      </c>
      <c r="N351" s="12" t="e">
        <f>INDEX([1]流向迭代数据!J$2:J$65536,MATCH(L351,[1]流向迭代数据!H$2:H$65536,0))</f>
        <v>#N/A</v>
      </c>
      <c r="P351" s="14"/>
      <c r="T351" s="12" t="e">
        <f>INDEX([1]流向迭代数据!K$2:K$65536,MATCH(L351,[1]流向迭代数据!H$2:H$65536,0))</f>
        <v>#N/A</v>
      </c>
      <c r="W351" s="12" t="str">
        <f t="shared" si="11"/>
        <v/>
      </c>
    </row>
    <row r="352" spans="1:23" x14ac:dyDescent="0.15">
      <c r="A352" s="14" t="str">
        <f t="shared" si="10"/>
        <v>190001</v>
      </c>
      <c r="C352" s="12" t="e">
        <f>INDEX(基础数据!$A$2:$A$1024,MATCH(转配商关联商!X352,基础数据!$D$2:$D$1024,0))</f>
        <v>#N/A</v>
      </c>
      <c r="E352" s="12" t="e">
        <f>INDEX(基础数据!$B$2:$B$1024,MATCH(转配商关联商!X352,基础数据!$D$2:$D$1024,0))</f>
        <v>#N/A</v>
      </c>
      <c r="G352" s="12" t="e">
        <f>INDEX([1]流向迭代数据!E$2:E$65536,MATCH(转配商关联商!W352,[1]流向迭代数据!M$2:M$65536,0))</f>
        <v>#N/A</v>
      </c>
      <c r="N352" s="12" t="e">
        <f>INDEX([1]流向迭代数据!J$2:J$65536,MATCH(L352,[1]流向迭代数据!H$2:H$65536,0))</f>
        <v>#N/A</v>
      </c>
      <c r="P352" s="14"/>
      <c r="T352" s="12" t="e">
        <f>INDEX([1]流向迭代数据!K$2:K$65536,MATCH(L352,[1]流向迭代数据!H$2:H$65536,0))</f>
        <v>#N/A</v>
      </c>
      <c r="W352" s="12" t="str">
        <f t="shared" si="11"/>
        <v/>
      </c>
    </row>
    <row r="353" spans="1:23" x14ac:dyDescent="0.15">
      <c r="A353" s="14" t="str">
        <f t="shared" si="10"/>
        <v>190001</v>
      </c>
      <c r="C353" s="12" t="e">
        <f>INDEX(基础数据!$A$2:$A$1024,MATCH(转配商关联商!X353,基础数据!$D$2:$D$1024,0))</f>
        <v>#N/A</v>
      </c>
      <c r="E353" s="12" t="e">
        <f>INDEX(基础数据!$B$2:$B$1024,MATCH(转配商关联商!X353,基础数据!$D$2:$D$1024,0))</f>
        <v>#N/A</v>
      </c>
      <c r="G353" s="12" t="e">
        <f>INDEX([1]流向迭代数据!E$2:E$65536,MATCH(转配商关联商!W353,[1]流向迭代数据!M$2:M$65536,0))</f>
        <v>#N/A</v>
      </c>
      <c r="N353" s="12" t="e">
        <f>INDEX([1]流向迭代数据!J$2:J$65536,MATCH(L353,[1]流向迭代数据!H$2:H$65536,0))</f>
        <v>#N/A</v>
      </c>
      <c r="P353" s="14"/>
      <c r="T353" s="12" t="e">
        <f>INDEX([1]流向迭代数据!K$2:K$65536,MATCH(L353,[1]流向迭代数据!H$2:H$65536,0))</f>
        <v>#N/A</v>
      </c>
      <c r="W353" s="12" t="str">
        <f t="shared" si="11"/>
        <v/>
      </c>
    </row>
    <row r="354" spans="1:23" x14ac:dyDescent="0.15">
      <c r="A354" s="14" t="str">
        <f t="shared" si="10"/>
        <v>190001</v>
      </c>
      <c r="C354" s="12" t="e">
        <f>INDEX(基础数据!$A$2:$A$1024,MATCH(转配商关联商!X354,基础数据!$D$2:$D$1024,0))</f>
        <v>#N/A</v>
      </c>
      <c r="E354" s="12" t="e">
        <f>INDEX(基础数据!$B$2:$B$1024,MATCH(转配商关联商!X354,基础数据!$D$2:$D$1024,0))</f>
        <v>#N/A</v>
      </c>
      <c r="G354" s="12" t="e">
        <f>INDEX([1]流向迭代数据!E$2:E$65536,MATCH(转配商关联商!W354,[1]流向迭代数据!M$2:M$65536,0))</f>
        <v>#N/A</v>
      </c>
      <c r="N354" s="12" t="e">
        <f>INDEX([1]流向迭代数据!J$2:J$65536,MATCH(L354,[1]流向迭代数据!H$2:H$65536,0))</f>
        <v>#N/A</v>
      </c>
      <c r="P354" s="14"/>
      <c r="T354" s="12" t="e">
        <f>INDEX([1]流向迭代数据!K$2:K$65536,MATCH(L354,[1]流向迭代数据!H$2:H$65536,0))</f>
        <v>#N/A</v>
      </c>
      <c r="W354" s="12" t="str">
        <f t="shared" si="11"/>
        <v/>
      </c>
    </row>
    <row r="355" spans="1:23" x14ac:dyDescent="0.15">
      <c r="A355" s="14" t="str">
        <f t="shared" si="10"/>
        <v>190001</v>
      </c>
      <c r="C355" s="12" t="e">
        <f>INDEX(基础数据!$A$2:$A$1024,MATCH(转配商关联商!X355,基础数据!$D$2:$D$1024,0))</f>
        <v>#N/A</v>
      </c>
      <c r="E355" s="12" t="e">
        <f>INDEX(基础数据!$B$2:$B$1024,MATCH(转配商关联商!X355,基础数据!$D$2:$D$1024,0))</f>
        <v>#N/A</v>
      </c>
      <c r="G355" s="12" t="e">
        <f>INDEX([1]流向迭代数据!E$2:E$65536,MATCH(转配商关联商!W355,[1]流向迭代数据!M$2:M$65536,0))</f>
        <v>#N/A</v>
      </c>
      <c r="N355" s="12" t="e">
        <f>INDEX([1]流向迭代数据!J$2:J$65536,MATCH(L355,[1]流向迭代数据!H$2:H$65536,0))</f>
        <v>#N/A</v>
      </c>
      <c r="P355" s="14"/>
      <c r="T355" s="12" t="e">
        <f>INDEX([1]流向迭代数据!K$2:K$65536,MATCH(L355,[1]流向迭代数据!H$2:H$65536,0))</f>
        <v>#N/A</v>
      </c>
      <c r="W355" s="12" t="str">
        <f t="shared" si="11"/>
        <v/>
      </c>
    </row>
    <row r="356" spans="1:23" x14ac:dyDescent="0.15">
      <c r="A356" s="14" t="str">
        <f t="shared" si="10"/>
        <v>190001</v>
      </c>
      <c r="C356" s="12" t="e">
        <f>INDEX(基础数据!$A$2:$A$1024,MATCH(转配商关联商!X356,基础数据!$D$2:$D$1024,0))</f>
        <v>#N/A</v>
      </c>
      <c r="E356" s="12" t="e">
        <f>INDEX(基础数据!$B$2:$B$1024,MATCH(转配商关联商!X356,基础数据!$D$2:$D$1024,0))</f>
        <v>#N/A</v>
      </c>
      <c r="G356" s="12" t="e">
        <f>INDEX([1]流向迭代数据!E$2:E$65536,MATCH(转配商关联商!W356,[1]流向迭代数据!M$2:M$65536,0))</f>
        <v>#N/A</v>
      </c>
      <c r="N356" s="12" t="e">
        <f>INDEX([1]流向迭代数据!J$2:J$65536,MATCH(L356,[1]流向迭代数据!H$2:H$65536,0))</f>
        <v>#N/A</v>
      </c>
      <c r="P356" s="14"/>
      <c r="T356" s="12" t="e">
        <f>INDEX([1]流向迭代数据!K$2:K$65536,MATCH(L356,[1]流向迭代数据!H$2:H$65536,0))</f>
        <v>#N/A</v>
      </c>
      <c r="W356" s="12" t="str">
        <f t="shared" si="11"/>
        <v/>
      </c>
    </row>
    <row r="357" spans="1:23" x14ac:dyDescent="0.15">
      <c r="A357" s="14" t="str">
        <f t="shared" si="10"/>
        <v>190001</v>
      </c>
      <c r="C357" s="12" t="e">
        <f>INDEX(基础数据!$A$2:$A$1024,MATCH(转配商关联商!X357,基础数据!$D$2:$D$1024,0))</f>
        <v>#N/A</v>
      </c>
      <c r="E357" s="12" t="e">
        <f>INDEX(基础数据!$B$2:$B$1024,MATCH(转配商关联商!X357,基础数据!$D$2:$D$1024,0))</f>
        <v>#N/A</v>
      </c>
      <c r="G357" s="12" t="e">
        <f>INDEX([1]流向迭代数据!E$2:E$65536,MATCH(转配商关联商!W357,[1]流向迭代数据!M$2:M$65536,0))</f>
        <v>#N/A</v>
      </c>
      <c r="N357" s="12" t="e">
        <f>INDEX([1]流向迭代数据!J$2:J$65536,MATCH(L357,[1]流向迭代数据!H$2:H$65536,0))</f>
        <v>#N/A</v>
      </c>
      <c r="P357" s="14"/>
      <c r="T357" s="12" t="e">
        <f>INDEX([1]流向迭代数据!K$2:K$65536,MATCH(L357,[1]流向迭代数据!H$2:H$65536,0))</f>
        <v>#N/A</v>
      </c>
      <c r="W357" s="12" t="str">
        <f t="shared" si="11"/>
        <v/>
      </c>
    </row>
    <row r="358" spans="1:23" x14ac:dyDescent="0.15">
      <c r="A358" s="14" t="str">
        <f t="shared" si="10"/>
        <v>190001</v>
      </c>
      <c r="C358" s="12" t="e">
        <f>INDEX(基础数据!$A$2:$A$1024,MATCH(转配商关联商!X358,基础数据!$D$2:$D$1024,0))</f>
        <v>#N/A</v>
      </c>
      <c r="E358" s="12" t="e">
        <f>INDEX(基础数据!$B$2:$B$1024,MATCH(转配商关联商!X358,基础数据!$D$2:$D$1024,0))</f>
        <v>#N/A</v>
      </c>
      <c r="G358" s="12" t="e">
        <f>INDEX([1]流向迭代数据!E$2:E$65536,MATCH(转配商关联商!W358,[1]流向迭代数据!M$2:M$65536,0))</f>
        <v>#N/A</v>
      </c>
      <c r="N358" s="12" t="e">
        <f>INDEX([1]流向迭代数据!J$2:J$65536,MATCH(L358,[1]流向迭代数据!H$2:H$65536,0))</f>
        <v>#N/A</v>
      </c>
      <c r="P358" s="14"/>
      <c r="T358" s="12" t="e">
        <f>INDEX([1]流向迭代数据!K$2:K$65536,MATCH(L358,[1]流向迭代数据!H$2:H$65536,0))</f>
        <v>#N/A</v>
      </c>
      <c r="W358" s="12" t="str">
        <f t="shared" si="11"/>
        <v/>
      </c>
    </row>
    <row r="359" spans="1:23" x14ac:dyDescent="0.15">
      <c r="A359" s="14" t="str">
        <f t="shared" si="10"/>
        <v>190001</v>
      </c>
      <c r="C359" s="12" t="e">
        <f>INDEX(基础数据!$A$2:$A$1024,MATCH(转配商关联商!X359,基础数据!$D$2:$D$1024,0))</f>
        <v>#N/A</v>
      </c>
      <c r="E359" s="12" t="e">
        <f>INDEX(基础数据!$B$2:$B$1024,MATCH(转配商关联商!X359,基础数据!$D$2:$D$1024,0))</f>
        <v>#N/A</v>
      </c>
      <c r="G359" s="12" t="e">
        <f>INDEX([1]流向迭代数据!E$2:E$65536,MATCH(转配商关联商!W359,[1]流向迭代数据!M$2:M$65536,0))</f>
        <v>#N/A</v>
      </c>
      <c r="N359" s="12" t="e">
        <f>INDEX([1]流向迭代数据!J$2:J$65536,MATCH(L359,[1]流向迭代数据!H$2:H$65536,0))</f>
        <v>#N/A</v>
      </c>
      <c r="P359" s="14"/>
      <c r="T359" s="12" t="e">
        <f>INDEX([1]流向迭代数据!K$2:K$65536,MATCH(L359,[1]流向迭代数据!H$2:H$65536,0))</f>
        <v>#N/A</v>
      </c>
      <c r="W359" s="12" t="str">
        <f t="shared" si="11"/>
        <v/>
      </c>
    </row>
    <row r="360" spans="1:23" x14ac:dyDescent="0.15">
      <c r="A360" s="14" t="str">
        <f t="shared" si="10"/>
        <v>190001</v>
      </c>
      <c r="C360" s="12" t="e">
        <f>INDEX(基础数据!$A$2:$A$1024,MATCH(转配商关联商!X360,基础数据!$D$2:$D$1024,0))</f>
        <v>#N/A</v>
      </c>
      <c r="E360" s="12" t="e">
        <f>INDEX(基础数据!$B$2:$B$1024,MATCH(转配商关联商!X360,基础数据!$D$2:$D$1024,0))</f>
        <v>#N/A</v>
      </c>
      <c r="G360" s="12" t="e">
        <f>INDEX([1]流向迭代数据!E$2:E$65536,MATCH(转配商关联商!W360,[1]流向迭代数据!M$2:M$65536,0))</f>
        <v>#N/A</v>
      </c>
      <c r="N360" s="12" t="e">
        <f>INDEX([1]流向迭代数据!J$2:J$65536,MATCH(L360,[1]流向迭代数据!H$2:H$65536,0))</f>
        <v>#N/A</v>
      </c>
      <c r="P360" s="14"/>
      <c r="T360" s="12" t="e">
        <f>INDEX([1]流向迭代数据!K$2:K$65536,MATCH(L360,[1]流向迭代数据!H$2:H$65536,0))</f>
        <v>#N/A</v>
      </c>
      <c r="W360" s="12" t="str">
        <f t="shared" si="11"/>
        <v/>
      </c>
    </row>
    <row r="361" spans="1:23" x14ac:dyDescent="0.15">
      <c r="A361" s="14" t="str">
        <f t="shared" si="10"/>
        <v>190001</v>
      </c>
      <c r="C361" s="12" t="e">
        <f>INDEX(基础数据!$A$2:$A$1024,MATCH(转配商关联商!X361,基础数据!$D$2:$D$1024,0))</f>
        <v>#N/A</v>
      </c>
      <c r="E361" s="12" t="e">
        <f>INDEX(基础数据!$B$2:$B$1024,MATCH(转配商关联商!X361,基础数据!$D$2:$D$1024,0))</f>
        <v>#N/A</v>
      </c>
      <c r="G361" s="12" t="e">
        <f>INDEX([1]流向迭代数据!E$2:E$65536,MATCH(转配商关联商!W361,[1]流向迭代数据!M$2:M$65536,0))</f>
        <v>#N/A</v>
      </c>
      <c r="N361" s="12" t="e">
        <f>INDEX([1]流向迭代数据!J$2:J$65536,MATCH(L361,[1]流向迭代数据!H$2:H$65536,0))</f>
        <v>#N/A</v>
      </c>
      <c r="P361" s="14"/>
      <c r="T361" s="12" t="e">
        <f>INDEX([1]流向迭代数据!K$2:K$65536,MATCH(L361,[1]流向迭代数据!H$2:H$65536,0))</f>
        <v>#N/A</v>
      </c>
      <c r="W361" s="12" t="str">
        <f t="shared" si="11"/>
        <v/>
      </c>
    </row>
    <row r="362" spans="1:23" x14ac:dyDescent="0.15">
      <c r="A362" s="14" t="str">
        <f t="shared" si="10"/>
        <v>190001</v>
      </c>
      <c r="C362" s="12" t="e">
        <f>INDEX(基础数据!$A$2:$A$1024,MATCH(转配商关联商!X362,基础数据!$D$2:$D$1024,0))</f>
        <v>#N/A</v>
      </c>
      <c r="E362" s="12" t="e">
        <f>INDEX(基础数据!$B$2:$B$1024,MATCH(转配商关联商!X362,基础数据!$D$2:$D$1024,0))</f>
        <v>#N/A</v>
      </c>
      <c r="G362" s="12" t="e">
        <f>INDEX([1]流向迭代数据!E$2:E$65536,MATCH(转配商关联商!W362,[1]流向迭代数据!M$2:M$65536,0))</f>
        <v>#N/A</v>
      </c>
      <c r="N362" s="12" t="e">
        <f>INDEX([1]流向迭代数据!J$2:J$65536,MATCH(L362,[1]流向迭代数据!H$2:H$65536,0))</f>
        <v>#N/A</v>
      </c>
      <c r="P362" s="14"/>
      <c r="T362" s="12" t="e">
        <f>INDEX([1]流向迭代数据!K$2:K$65536,MATCH(L362,[1]流向迭代数据!H$2:H$65536,0))</f>
        <v>#N/A</v>
      </c>
      <c r="W362" s="12" t="str">
        <f t="shared" si="11"/>
        <v/>
      </c>
    </row>
    <row r="363" spans="1:23" x14ac:dyDescent="0.15">
      <c r="A363" s="14" t="str">
        <f t="shared" si="10"/>
        <v>190001</v>
      </c>
      <c r="C363" s="12" t="e">
        <f>INDEX(基础数据!$A$2:$A$1024,MATCH(转配商关联商!X363,基础数据!$D$2:$D$1024,0))</f>
        <v>#N/A</v>
      </c>
      <c r="E363" s="12" t="e">
        <f>INDEX(基础数据!$B$2:$B$1024,MATCH(转配商关联商!X363,基础数据!$D$2:$D$1024,0))</f>
        <v>#N/A</v>
      </c>
      <c r="G363" s="12" t="e">
        <f>INDEX([1]流向迭代数据!E$2:E$65536,MATCH(转配商关联商!W363,[1]流向迭代数据!M$2:M$65536,0))</f>
        <v>#N/A</v>
      </c>
      <c r="N363" s="12" t="e">
        <f>INDEX([1]流向迭代数据!J$2:J$65536,MATCH(L363,[1]流向迭代数据!H$2:H$65536,0))</f>
        <v>#N/A</v>
      </c>
      <c r="P363" s="14"/>
      <c r="T363" s="12" t="e">
        <f>INDEX([1]流向迭代数据!K$2:K$65536,MATCH(L363,[1]流向迭代数据!H$2:H$65536,0))</f>
        <v>#N/A</v>
      </c>
      <c r="W363" s="12" t="str">
        <f t="shared" si="11"/>
        <v/>
      </c>
    </row>
    <row r="364" spans="1:23" x14ac:dyDescent="0.15">
      <c r="A364" s="14" t="str">
        <f t="shared" si="10"/>
        <v>190001</v>
      </c>
      <c r="C364" s="12" t="e">
        <f>INDEX(基础数据!$A$2:$A$1024,MATCH(转配商关联商!X364,基础数据!$D$2:$D$1024,0))</f>
        <v>#N/A</v>
      </c>
      <c r="E364" s="12" t="e">
        <f>INDEX(基础数据!$B$2:$B$1024,MATCH(转配商关联商!X364,基础数据!$D$2:$D$1024,0))</f>
        <v>#N/A</v>
      </c>
      <c r="G364" s="12" t="e">
        <f>INDEX([1]流向迭代数据!E$2:E$65536,MATCH(转配商关联商!W364,[1]流向迭代数据!M$2:M$65536,0))</f>
        <v>#N/A</v>
      </c>
      <c r="N364" s="12" t="e">
        <f>INDEX([1]流向迭代数据!J$2:J$65536,MATCH(L364,[1]流向迭代数据!H$2:H$65536,0))</f>
        <v>#N/A</v>
      </c>
      <c r="P364" s="14"/>
      <c r="T364" s="12" t="e">
        <f>INDEX([1]流向迭代数据!K$2:K$65536,MATCH(L364,[1]流向迭代数据!H$2:H$65536,0))</f>
        <v>#N/A</v>
      </c>
      <c r="W364" s="12" t="str">
        <f t="shared" si="11"/>
        <v/>
      </c>
    </row>
    <row r="365" spans="1:23" x14ac:dyDescent="0.15">
      <c r="A365" s="14" t="str">
        <f t="shared" si="10"/>
        <v>190001</v>
      </c>
      <c r="C365" s="12" t="e">
        <f>INDEX(基础数据!$A$2:$A$1024,MATCH(转配商关联商!X365,基础数据!$D$2:$D$1024,0))</f>
        <v>#N/A</v>
      </c>
      <c r="E365" s="12" t="e">
        <f>INDEX(基础数据!$B$2:$B$1024,MATCH(转配商关联商!X365,基础数据!$D$2:$D$1024,0))</f>
        <v>#N/A</v>
      </c>
      <c r="G365" s="12" t="e">
        <f>INDEX([1]流向迭代数据!E$2:E$65536,MATCH(转配商关联商!W365,[1]流向迭代数据!M$2:M$65536,0))</f>
        <v>#N/A</v>
      </c>
      <c r="N365" s="12" t="e">
        <f>INDEX([1]流向迭代数据!J$2:J$65536,MATCH(L365,[1]流向迭代数据!H$2:H$65536,0))</f>
        <v>#N/A</v>
      </c>
      <c r="P365" s="14"/>
      <c r="T365" s="12" t="e">
        <f>INDEX([1]流向迭代数据!K$2:K$65536,MATCH(L365,[1]流向迭代数据!H$2:H$65536,0))</f>
        <v>#N/A</v>
      </c>
      <c r="W365" s="12" t="str">
        <f t="shared" si="11"/>
        <v/>
      </c>
    </row>
    <row r="366" spans="1:23" x14ac:dyDescent="0.15">
      <c r="A366" s="14" t="str">
        <f t="shared" si="10"/>
        <v>190001</v>
      </c>
      <c r="C366" s="12" t="e">
        <f>INDEX(基础数据!$A$2:$A$1024,MATCH(转配商关联商!X366,基础数据!$D$2:$D$1024,0))</f>
        <v>#N/A</v>
      </c>
      <c r="E366" s="12" t="e">
        <f>INDEX(基础数据!$B$2:$B$1024,MATCH(转配商关联商!X366,基础数据!$D$2:$D$1024,0))</f>
        <v>#N/A</v>
      </c>
      <c r="G366" s="12" t="e">
        <f>INDEX([1]流向迭代数据!E$2:E$65536,MATCH(转配商关联商!W366,[1]流向迭代数据!M$2:M$65536,0))</f>
        <v>#N/A</v>
      </c>
      <c r="N366" s="12" t="e">
        <f>INDEX([1]流向迭代数据!J$2:J$65536,MATCH(L366,[1]流向迭代数据!H$2:H$65536,0))</f>
        <v>#N/A</v>
      </c>
      <c r="P366" s="14"/>
      <c r="T366" s="12" t="e">
        <f>INDEX([1]流向迭代数据!K$2:K$65536,MATCH(L366,[1]流向迭代数据!H$2:H$65536,0))</f>
        <v>#N/A</v>
      </c>
      <c r="W366" s="12" t="str">
        <f t="shared" si="11"/>
        <v/>
      </c>
    </row>
    <row r="367" spans="1:23" x14ac:dyDescent="0.15">
      <c r="A367" s="14" t="str">
        <f t="shared" si="10"/>
        <v>190001</v>
      </c>
      <c r="C367" s="12" t="e">
        <f>INDEX(基础数据!$A$2:$A$1024,MATCH(转配商关联商!X367,基础数据!$D$2:$D$1024,0))</f>
        <v>#N/A</v>
      </c>
      <c r="E367" s="12" t="e">
        <f>INDEX(基础数据!$B$2:$B$1024,MATCH(转配商关联商!X367,基础数据!$D$2:$D$1024,0))</f>
        <v>#N/A</v>
      </c>
      <c r="G367" s="12" t="e">
        <f>INDEX([1]流向迭代数据!E$2:E$65536,MATCH(转配商关联商!W367,[1]流向迭代数据!M$2:M$65536,0))</f>
        <v>#N/A</v>
      </c>
      <c r="N367" s="12" t="e">
        <f>INDEX([1]流向迭代数据!J$2:J$65536,MATCH(L367,[1]流向迭代数据!H$2:H$65536,0))</f>
        <v>#N/A</v>
      </c>
      <c r="P367" s="14"/>
      <c r="T367" s="12" t="e">
        <f>INDEX([1]流向迭代数据!K$2:K$65536,MATCH(L367,[1]流向迭代数据!H$2:H$65536,0))</f>
        <v>#N/A</v>
      </c>
      <c r="W367" s="12" t="str">
        <f t="shared" si="11"/>
        <v/>
      </c>
    </row>
    <row r="368" spans="1:23" x14ac:dyDescent="0.15">
      <c r="A368" s="14" t="str">
        <f t="shared" si="10"/>
        <v>190001</v>
      </c>
      <c r="C368" s="12" t="e">
        <f>INDEX(基础数据!$A$2:$A$1024,MATCH(转配商关联商!X368,基础数据!$D$2:$D$1024,0))</f>
        <v>#N/A</v>
      </c>
      <c r="E368" s="12" t="e">
        <f>INDEX(基础数据!$B$2:$B$1024,MATCH(转配商关联商!X368,基础数据!$D$2:$D$1024,0))</f>
        <v>#N/A</v>
      </c>
      <c r="G368" s="12" t="e">
        <f>INDEX([1]流向迭代数据!E$2:E$65536,MATCH(转配商关联商!W368,[1]流向迭代数据!M$2:M$65536,0))</f>
        <v>#N/A</v>
      </c>
      <c r="N368" s="12" t="e">
        <f>INDEX([1]流向迭代数据!J$2:J$65536,MATCH(L368,[1]流向迭代数据!H$2:H$65536,0))</f>
        <v>#N/A</v>
      </c>
      <c r="P368" s="14"/>
      <c r="T368" s="12" t="e">
        <f>INDEX([1]流向迭代数据!K$2:K$65536,MATCH(L368,[1]流向迭代数据!H$2:H$65536,0))</f>
        <v>#N/A</v>
      </c>
      <c r="W368" s="12" t="str">
        <f t="shared" si="11"/>
        <v/>
      </c>
    </row>
    <row r="369" spans="1:23" x14ac:dyDescent="0.15">
      <c r="A369" s="14" t="str">
        <f t="shared" si="10"/>
        <v>190001</v>
      </c>
      <c r="C369" s="12" t="e">
        <f>INDEX(基础数据!$A$2:$A$1024,MATCH(转配商关联商!X369,基础数据!$D$2:$D$1024,0))</f>
        <v>#N/A</v>
      </c>
      <c r="E369" s="12" t="e">
        <f>INDEX(基础数据!$B$2:$B$1024,MATCH(转配商关联商!X369,基础数据!$D$2:$D$1024,0))</f>
        <v>#N/A</v>
      </c>
      <c r="G369" s="12" t="e">
        <f>INDEX([1]流向迭代数据!E$2:E$65536,MATCH(转配商关联商!W369,[1]流向迭代数据!M$2:M$65536,0))</f>
        <v>#N/A</v>
      </c>
      <c r="N369" s="12" t="e">
        <f>INDEX([1]流向迭代数据!J$2:J$65536,MATCH(L369,[1]流向迭代数据!H$2:H$65536,0))</f>
        <v>#N/A</v>
      </c>
      <c r="P369" s="14"/>
      <c r="T369" s="12" t="e">
        <f>INDEX([1]流向迭代数据!K$2:K$65536,MATCH(L369,[1]流向迭代数据!H$2:H$65536,0))</f>
        <v>#N/A</v>
      </c>
      <c r="W369" s="12" t="str">
        <f t="shared" si="11"/>
        <v/>
      </c>
    </row>
    <row r="370" spans="1:23" x14ac:dyDescent="0.15">
      <c r="A370" s="14" t="str">
        <f t="shared" si="10"/>
        <v>190001</v>
      </c>
      <c r="C370" s="12" t="e">
        <f>INDEX(基础数据!$A$2:$A$1024,MATCH(转配商关联商!X370,基础数据!$D$2:$D$1024,0))</f>
        <v>#N/A</v>
      </c>
      <c r="E370" s="12" t="e">
        <f>INDEX(基础数据!$B$2:$B$1024,MATCH(转配商关联商!X370,基础数据!$D$2:$D$1024,0))</f>
        <v>#N/A</v>
      </c>
      <c r="G370" s="12" t="e">
        <f>INDEX([1]流向迭代数据!E$2:E$65536,MATCH(转配商关联商!W370,[1]流向迭代数据!M$2:M$65536,0))</f>
        <v>#N/A</v>
      </c>
      <c r="N370" s="12" t="e">
        <f>INDEX([1]流向迭代数据!J$2:J$65536,MATCH(L370,[1]流向迭代数据!H$2:H$65536,0))</f>
        <v>#N/A</v>
      </c>
      <c r="P370" s="14"/>
      <c r="T370" s="12" t="e">
        <f>INDEX([1]流向迭代数据!K$2:K$65536,MATCH(L370,[1]流向迭代数据!H$2:H$65536,0))</f>
        <v>#N/A</v>
      </c>
      <c r="W370" s="12" t="str">
        <f t="shared" si="11"/>
        <v/>
      </c>
    </row>
    <row r="371" spans="1:23" x14ac:dyDescent="0.15">
      <c r="A371" s="14" t="str">
        <f t="shared" si="10"/>
        <v>190001</v>
      </c>
      <c r="C371" s="12" t="e">
        <f>INDEX(基础数据!$A$2:$A$1024,MATCH(转配商关联商!X371,基础数据!$D$2:$D$1024,0))</f>
        <v>#N/A</v>
      </c>
      <c r="E371" s="12" t="e">
        <f>INDEX(基础数据!$B$2:$B$1024,MATCH(转配商关联商!X371,基础数据!$D$2:$D$1024,0))</f>
        <v>#N/A</v>
      </c>
      <c r="G371" s="12" t="e">
        <f>INDEX([1]流向迭代数据!E$2:E$65536,MATCH(转配商关联商!W371,[1]流向迭代数据!M$2:M$65536,0))</f>
        <v>#N/A</v>
      </c>
      <c r="N371" s="12" t="e">
        <f>INDEX([1]流向迭代数据!J$2:J$65536,MATCH(L371,[1]流向迭代数据!H$2:H$65536,0))</f>
        <v>#N/A</v>
      </c>
      <c r="P371" s="14"/>
      <c r="T371" s="12" t="e">
        <f>INDEX([1]流向迭代数据!K$2:K$65536,MATCH(L371,[1]流向迭代数据!H$2:H$65536,0))</f>
        <v>#N/A</v>
      </c>
      <c r="W371" s="12" t="str">
        <f t="shared" si="11"/>
        <v/>
      </c>
    </row>
    <row r="372" spans="1:23" x14ac:dyDescent="0.15">
      <c r="A372" s="14" t="str">
        <f t="shared" si="10"/>
        <v>190001</v>
      </c>
      <c r="C372" s="12" t="e">
        <f>INDEX(基础数据!$A$2:$A$1024,MATCH(转配商关联商!X372,基础数据!$D$2:$D$1024,0))</f>
        <v>#N/A</v>
      </c>
      <c r="E372" s="12" t="e">
        <f>INDEX(基础数据!$B$2:$B$1024,MATCH(转配商关联商!X372,基础数据!$D$2:$D$1024,0))</f>
        <v>#N/A</v>
      </c>
      <c r="G372" s="12" t="e">
        <f>INDEX([1]流向迭代数据!E$2:E$65536,MATCH(转配商关联商!W372,[1]流向迭代数据!M$2:M$65536,0))</f>
        <v>#N/A</v>
      </c>
      <c r="N372" s="12" t="e">
        <f>INDEX([1]流向迭代数据!J$2:J$65536,MATCH(L372,[1]流向迭代数据!H$2:H$65536,0))</f>
        <v>#N/A</v>
      </c>
      <c r="P372" s="14"/>
      <c r="T372" s="12" t="e">
        <f>INDEX([1]流向迭代数据!K$2:K$65536,MATCH(L372,[1]流向迭代数据!H$2:H$65536,0))</f>
        <v>#N/A</v>
      </c>
      <c r="W372" s="12" t="str">
        <f t="shared" si="11"/>
        <v/>
      </c>
    </row>
    <row r="373" spans="1:23" x14ac:dyDescent="0.15">
      <c r="A373" s="14" t="str">
        <f t="shared" si="10"/>
        <v>190001</v>
      </c>
      <c r="C373" s="12" t="e">
        <f>INDEX(基础数据!$A$2:$A$1024,MATCH(转配商关联商!X373,基础数据!$D$2:$D$1024,0))</f>
        <v>#N/A</v>
      </c>
      <c r="E373" s="12" t="e">
        <f>INDEX(基础数据!$B$2:$B$1024,MATCH(转配商关联商!X373,基础数据!$D$2:$D$1024,0))</f>
        <v>#N/A</v>
      </c>
      <c r="G373" s="12" t="e">
        <f>INDEX([1]流向迭代数据!E$2:E$65536,MATCH(转配商关联商!W373,[1]流向迭代数据!M$2:M$65536,0))</f>
        <v>#N/A</v>
      </c>
      <c r="N373" s="12" t="e">
        <f>INDEX([1]流向迭代数据!J$2:J$65536,MATCH(L373,[1]流向迭代数据!H$2:H$65536,0))</f>
        <v>#N/A</v>
      </c>
      <c r="P373" s="14"/>
      <c r="T373" s="12" t="e">
        <f>INDEX([1]流向迭代数据!K$2:K$65536,MATCH(L373,[1]流向迭代数据!H$2:H$65536,0))</f>
        <v>#N/A</v>
      </c>
      <c r="W373" s="12" t="str">
        <f t="shared" si="11"/>
        <v/>
      </c>
    </row>
    <row r="374" spans="1:23" x14ac:dyDescent="0.15">
      <c r="A374" s="14" t="str">
        <f t="shared" si="10"/>
        <v>190001</v>
      </c>
      <c r="C374" s="12" t="e">
        <f>INDEX(基础数据!$A$2:$A$1024,MATCH(转配商关联商!X374,基础数据!$D$2:$D$1024,0))</f>
        <v>#N/A</v>
      </c>
      <c r="E374" s="12" t="e">
        <f>INDEX(基础数据!$B$2:$B$1024,MATCH(转配商关联商!X374,基础数据!$D$2:$D$1024,0))</f>
        <v>#N/A</v>
      </c>
      <c r="G374" s="12" t="e">
        <f>INDEX([1]流向迭代数据!E$2:E$65536,MATCH(转配商关联商!W374,[1]流向迭代数据!M$2:M$65536,0))</f>
        <v>#N/A</v>
      </c>
      <c r="N374" s="12" t="e">
        <f>INDEX([1]流向迭代数据!J$2:J$65536,MATCH(L374,[1]流向迭代数据!H$2:H$65536,0))</f>
        <v>#N/A</v>
      </c>
      <c r="P374" s="14"/>
      <c r="T374" s="12" t="e">
        <f>INDEX([1]流向迭代数据!K$2:K$65536,MATCH(L374,[1]流向迭代数据!H$2:H$65536,0))</f>
        <v>#N/A</v>
      </c>
      <c r="W374" s="12" t="str">
        <f t="shared" si="11"/>
        <v/>
      </c>
    </row>
    <row r="375" spans="1:23" x14ac:dyDescent="0.15">
      <c r="A375" s="14" t="str">
        <f t="shared" si="10"/>
        <v>190001</v>
      </c>
      <c r="C375" s="12" t="e">
        <f>INDEX(基础数据!$A$2:$A$1024,MATCH(转配商关联商!X375,基础数据!$D$2:$D$1024,0))</f>
        <v>#N/A</v>
      </c>
      <c r="E375" s="12" t="e">
        <f>INDEX(基础数据!$B$2:$B$1024,MATCH(转配商关联商!X375,基础数据!$D$2:$D$1024,0))</f>
        <v>#N/A</v>
      </c>
      <c r="G375" s="12" t="e">
        <f>INDEX([1]流向迭代数据!E$2:E$65536,MATCH(转配商关联商!W375,[1]流向迭代数据!M$2:M$65536,0))</f>
        <v>#N/A</v>
      </c>
      <c r="N375" s="12" t="e">
        <f>INDEX([1]流向迭代数据!J$2:J$65536,MATCH(L375,[1]流向迭代数据!H$2:H$65536,0))</f>
        <v>#N/A</v>
      </c>
      <c r="P375" s="14"/>
      <c r="T375" s="12" t="e">
        <f>INDEX([1]流向迭代数据!K$2:K$65536,MATCH(L375,[1]流向迭代数据!H$2:H$65536,0))</f>
        <v>#N/A</v>
      </c>
      <c r="W375" s="12" t="str">
        <f t="shared" si="11"/>
        <v/>
      </c>
    </row>
    <row r="376" spans="1:23" x14ac:dyDescent="0.15">
      <c r="A376" s="14" t="str">
        <f t="shared" si="10"/>
        <v>190001</v>
      </c>
      <c r="C376" s="12" t="e">
        <f>INDEX(基础数据!$A$2:$A$1024,MATCH(转配商关联商!X376,基础数据!$D$2:$D$1024,0))</f>
        <v>#N/A</v>
      </c>
      <c r="E376" s="12" t="e">
        <f>INDEX(基础数据!$B$2:$B$1024,MATCH(转配商关联商!X376,基础数据!$D$2:$D$1024,0))</f>
        <v>#N/A</v>
      </c>
      <c r="G376" s="12" t="e">
        <f>INDEX([1]流向迭代数据!E$2:E$65536,MATCH(转配商关联商!W376,[1]流向迭代数据!M$2:M$65536,0))</f>
        <v>#N/A</v>
      </c>
      <c r="N376" s="12" t="e">
        <f>INDEX([1]流向迭代数据!J$2:J$65536,MATCH(L376,[1]流向迭代数据!H$2:H$65536,0))</f>
        <v>#N/A</v>
      </c>
      <c r="P376" s="14"/>
      <c r="T376" s="12" t="e">
        <f>INDEX([1]流向迭代数据!K$2:K$65536,MATCH(L376,[1]流向迭代数据!H$2:H$65536,0))</f>
        <v>#N/A</v>
      </c>
      <c r="W376" s="12" t="str">
        <f t="shared" si="11"/>
        <v/>
      </c>
    </row>
    <row r="377" spans="1:23" x14ac:dyDescent="0.15">
      <c r="A377" s="14" t="str">
        <f t="shared" si="10"/>
        <v>190001</v>
      </c>
      <c r="C377" s="12" t="e">
        <f>INDEX(基础数据!$A$2:$A$1024,MATCH(转配商关联商!X377,基础数据!$D$2:$D$1024,0))</f>
        <v>#N/A</v>
      </c>
      <c r="E377" s="12" t="e">
        <f>INDEX(基础数据!$B$2:$B$1024,MATCH(转配商关联商!X377,基础数据!$D$2:$D$1024,0))</f>
        <v>#N/A</v>
      </c>
      <c r="G377" s="12" t="e">
        <f>INDEX([1]流向迭代数据!E$2:E$65536,MATCH(转配商关联商!W377,[1]流向迭代数据!M$2:M$65536,0))</f>
        <v>#N/A</v>
      </c>
      <c r="N377" s="12" t="e">
        <f>INDEX([1]流向迭代数据!J$2:J$65536,MATCH(L377,[1]流向迭代数据!H$2:H$65536,0))</f>
        <v>#N/A</v>
      </c>
      <c r="P377" s="14"/>
      <c r="T377" s="12" t="e">
        <f>INDEX([1]流向迭代数据!K$2:K$65536,MATCH(L377,[1]流向迭代数据!H$2:H$65536,0))</f>
        <v>#N/A</v>
      </c>
      <c r="W377" s="12" t="str">
        <f t="shared" si="11"/>
        <v/>
      </c>
    </row>
    <row r="378" spans="1:23" x14ac:dyDescent="0.15">
      <c r="A378" s="14" t="str">
        <f t="shared" si="10"/>
        <v>190001</v>
      </c>
      <c r="C378" s="12" t="e">
        <f>INDEX(基础数据!$A$2:$A$1024,MATCH(转配商关联商!X378,基础数据!$D$2:$D$1024,0))</f>
        <v>#N/A</v>
      </c>
      <c r="E378" s="12" t="e">
        <f>INDEX(基础数据!$B$2:$B$1024,MATCH(转配商关联商!X378,基础数据!$D$2:$D$1024,0))</f>
        <v>#N/A</v>
      </c>
      <c r="G378" s="12" t="e">
        <f>INDEX([1]流向迭代数据!E$2:E$65536,MATCH(转配商关联商!W378,[1]流向迭代数据!M$2:M$65536,0))</f>
        <v>#N/A</v>
      </c>
      <c r="N378" s="12" t="e">
        <f>INDEX([1]流向迭代数据!J$2:J$65536,MATCH(L378,[1]流向迭代数据!H$2:H$65536,0))</f>
        <v>#N/A</v>
      </c>
      <c r="P378" s="14"/>
      <c r="T378" s="12" t="e">
        <f>INDEX([1]流向迭代数据!K$2:K$65536,MATCH(L378,[1]流向迭代数据!H$2:H$65536,0))</f>
        <v>#N/A</v>
      </c>
      <c r="W378" s="12" t="str">
        <f t="shared" si="11"/>
        <v/>
      </c>
    </row>
    <row r="379" spans="1:23" x14ac:dyDescent="0.15">
      <c r="A379" s="14" t="str">
        <f t="shared" si="10"/>
        <v>190001</v>
      </c>
      <c r="C379" s="12" t="e">
        <f>INDEX(基础数据!$A$2:$A$1024,MATCH(转配商关联商!X379,基础数据!$D$2:$D$1024,0))</f>
        <v>#N/A</v>
      </c>
      <c r="E379" s="12" t="e">
        <f>INDEX(基础数据!$B$2:$B$1024,MATCH(转配商关联商!X379,基础数据!$D$2:$D$1024,0))</f>
        <v>#N/A</v>
      </c>
      <c r="G379" s="12" t="e">
        <f>INDEX([1]流向迭代数据!E$2:E$65536,MATCH(转配商关联商!W379,[1]流向迭代数据!M$2:M$65536,0))</f>
        <v>#N/A</v>
      </c>
      <c r="N379" s="12" t="e">
        <f>INDEX([1]流向迭代数据!J$2:J$65536,MATCH(L379,[1]流向迭代数据!H$2:H$65536,0))</f>
        <v>#N/A</v>
      </c>
      <c r="P379" s="14"/>
      <c r="T379" s="12" t="e">
        <f>INDEX([1]流向迭代数据!K$2:K$65536,MATCH(L379,[1]流向迭代数据!H$2:H$65536,0))</f>
        <v>#N/A</v>
      </c>
      <c r="W379" s="12" t="str">
        <f t="shared" si="11"/>
        <v/>
      </c>
    </row>
    <row r="380" spans="1:23" x14ac:dyDescent="0.15">
      <c r="A380" s="14" t="str">
        <f t="shared" si="10"/>
        <v>190001</v>
      </c>
      <c r="C380" s="12" t="e">
        <f>INDEX(基础数据!$A$2:$A$1024,MATCH(转配商关联商!X380,基础数据!$D$2:$D$1024,0))</f>
        <v>#N/A</v>
      </c>
      <c r="E380" s="12" t="e">
        <f>INDEX(基础数据!$B$2:$B$1024,MATCH(转配商关联商!X380,基础数据!$D$2:$D$1024,0))</f>
        <v>#N/A</v>
      </c>
      <c r="G380" s="12" t="e">
        <f>INDEX([1]流向迭代数据!E$2:E$65536,MATCH(转配商关联商!W380,[1]流向迭代数据!M$2:M$65536,0))</f>
        <v>#N/A</v>
      </c>
      <c r="N380" s="12" t="e">
        <f>INDEX([1]流向迭代数据!J$2:J$65536,MATCH(L380,[1]流向迭代数据!H$2:H$65536,0))</f>
        <v>#N/A</v>
      </c>
      <c r="P380" s="14"/>
      <c r="T380" s="12" t="e">
        <f>INDEX([1]流向迭代数据!K$2:K$65536,MATCH(L380,[1]流向迭代数据!H$2:H$65536,0))</f>
        <v>#N/A</v>
      </c>
      <c r="W380" s="12" t="str">
        <f t="shared" si="11"/>
        <v/>
      </c>
    </row>
    <row r="381" spans="1:23" x14ac:dyDescent="0.15">
      <c r="A381" s="14" t="str">
        <f t="shared" si="10"/>
        <v>190001</v>
      </c>
      <c r="C381" s="12" t="e">
        <f>INDEX(基础数据!$A$2:$A$1024,MATCH(转配商关联商!X381,基础数据!$D$2:$D$1024,0))</f>
        <v>#N/A</v>
      </c>
      <c r="E381" s="12" t="e">
        <f>INDEX(基础数据!$B$2:$B$1024,MATCH(转配商关联商!X381,基础数据!$D$2:$D$1024,0))</f>
        <v>#N/A</v>
      </c>
      <c r="G381" s="12" t="e">
        <f>INDEX([1]流向迭代数据!E$2:E$65536,MATCH(转配商关联商!W381,[1]流向迭代数据!M$2:M$65536,0))</f>
        <v>#N/A</v>
      </c>
      <c r="N381" s="12" t="e">
        <f>INDEX([1]流向迭代数据!J$2:J$65536,MATCH(L381,[1]流向迭代数据!H$2:H$65536,0))</f>
        <v>#N/A</v>
      </c>
      <c r="P381" s="14"/>
      <c r="T381" s="12" t="e">
        <f>INDEX([1]流向迭代数据!K$2:K$65536,MATCH(L381,[1]流向迭代数据!H$2:H$65536,0))</f>
        <v>#N/A</v>
      </c>
      <c r="W381" s="12" t="str">
        <f t="shared" si="11"/>
        <v/>
      </c>
    </row>
    <row r="382" spans="1:23" x14ac:dyDescent="0.15">
      <c r="A382" s="14" t="str">
        <f t="shared" si="10"/>
        <v>190001</v>
      </c>
      <c r="C382" s="12" t="e">
        <f>INDEX(基础数据!$A$2:$A$1024,MATCH(转配商关联商!X382,基础数据!$D$2:$D$1024,0))</f>
        <v>#N/A</v>
      </c>
      <c r="E382" s="12" t="e">
        <f>INDEX(基础数据!$B$2:$B$1024,MATCH(转配商关联商!X382,基础数据!$D$2:$D$1024,0))</f>
        <v>#N/A</v>
      </c>
      <c r="G382" s="12" t="e">
        <f>INDEX([1]流向迭代数据!E$2:E$65536,MATCH(转配商关联商!W382,[1]流向迭代数据!M$2:M$65536,0))</f>
        <v>#N/A</v>
      </c>
      <c r="N382" s="12" t="e">
        <f>INDEX([1]流向迭代数据!J$2:J$65536,MATCH(L382,[1]流向迭代数据!H$2:H$65536,0))</f>
        <v>#N/A</v>
      </c>
      <c r="P382" s="14"/>
      <c r="T382" s="12" t="e">
        <f>INDEX([1]流向迭代数据!K$2:K$65536,MATCH(L382,[1]流向迭代数据!H$2:H$65536,0))</f>
        <v>#N/A</v>
      </c>
      <c r="W382" s="12" t="str">
        <f t="shared" si="11"/>
        <v/>
      </c>
    </row>
    <row r="383" spans="1:23" x14ac:dyDescent="0.15">
      <c r="A383" s="14" t="str">
        <f t="shared" si="10"/>
        <v>190001</v>
      </c>
      <c r="C383" s="12" t="e">
        <f>INDEX(基础数据!$A$2:$A$1024,MATCH(转配商关联商!X383,基础数据!$D$2:$D$1024,0))</f>
        <v>#N/A</v>
      </c>
      <c r="E383" s="12" t="e">
        <f>INDEX(基础数据!$B$2:$B$1024,MATCH(转配商关联商!X383,基础数据!$D$2:$D$1024,0))</f>
        <v>#N/A</v>
      </c>
      <c r="G383" s="12" t="e">
        <f>INDEX([1]流向迭代数据!E$2:E$65536,MATCH(转配商关联商!W383,[1]流向迭代数据!M$2:M$65536,0))</f>
        <v>#N/A</v>
      </c>
      <c r="N383" s="12" t="e">
        <f>INDEX([1]流向迭代数据!J$2:J$65536,MATCH(L383,[1]流向迭代数据!H$2:H$65536,0))</f>
        <v>#N/A</v>
      </c>
      <c r="P383" s="14"/>
      <c r="T383" s="12" t="e">
        <f>INDEX([1]流向迭代数据!K$2:K$65536,MATCH(L383,[1]流向迭代数据!H$2:H$65536,0))</f>
        <v>#N/A</v>
      </c>
      <c r="W383" s="12" t="str">
        <f t="shared" si="11"/>
        <v/>
      </c>
    </row>
    <row r="384" spans="1:23" x14ac:dyDescent="0.15">
      <c r="A384" s="14" t="str">
        <f t="shared" si="10"/>
        <v>190001</v>
      </c>
      <c r="C384" s="12" t="e">
        <f>INDEX(基础数据!$A$2:$A$1024,MATCH(转配商关联商!X384,基础数据!$D$2:$D$1024,0))</f>
        <v>#N/A</v>
      </c>
      <c r="E384" s="12" t="e">
        <f>INDEX(基础数据!$B$2:$B$1024,MATCH(转配商关联商!X384,基础数据!$D$2:$D$1024,0))</f>
        <v>#N/A</v>
      </c>
      <c r="G384" s="12" t="e">
        <f>INDEX([1]流向迭代数据!E$2:E$65536,MATCH(转配商关联商!W384,[1]流向迭代数据!M$2:M$65536,0))</f>
        <v>#N/A</v>
      </c>
      <c r="N384" s="12" t="e">
        <f>INDEX([1]流向迭代数据!J$2:J$65536,MATCH(L384,[1]流向迭代数据!H$2:H$65536,0))</f>
        <v>#N/A</v>
      </c>
      <c r="P384" s="14"/>
      <c r="T384" s="12" t="e">
        <f>INDEX([1]流向迭代数据!K$2:K$65536,MATCH(L384,[1]流向迭代数据!H$2:H$65536,0))</f>
        <v>#N/A</v>
      </c>
      <c r="W384" s="12" t="str">
        <f t="shared" si="11"/>
        <v/>
      </c>
    </row>
    <row r="385" spans="1:23" x14ac:dyDescent="0.15">
      <c r="A385" s="14" t="str">
        <f t="shared" si="10"/>
        <v>190001</v>
      </c>
      <c r="C385" s="12" t="e">
        <f>INDEX(基础数据!$A$2:$A$1024,MATCH(转配商关联商!X385,基础数据!$D$2:$D$1024,0))</f>
        <v>#N/A</v>
      </c>
      <c r="E385" s="12" t="e">
        <f>INDEX(基础数据!$B$2:$B$1024,MATCH(转配商关联商!X385,基础数据!$D$2:$D$1024,0))</f>
        <v>#N/A</v>
      </c>
      <c r="G385" s="12" t="e">
        <f>INDEX([1]流向迭代数据!E$2:E$65536,MATCH(转配商关联商!W385,[1]流向迭代数据!M$2:M$65536,0))</f>
        <v>#N/A</v>
      </c>
      <c r="N385" s="12" t="e">
        <f>INDEX([1]流向迭代数据!J$2:J$65536,MATCH(L385,[1]流向迭代数据!H$2:H$65536,0))</f>
        <v>#N/A</v>
      </c>
      <c r="P385" s="14"/>
      <c r="T385" s="12" t="e">
        <f>INDEX([1]流向迭代数据!K$2:K$65536,MATCH(L385,[1]流向迭代数据!H$2:H$65536,0))</f>
        <v>#N/A</v>
      </c>
      <c r="W385" s="12" t="str">
        <f t="shared" si="11"/>
        <v/>
      </c>
    </row>
    <row r="386" spans="1:23" x14ac:dyDescent="0.15">
      <c r="A386" s="14" t="str">
        <f t="shared" si="10"/>
        <v>190001</v>
      </c>
      <c r="C386" s="12" t="e">
        <f>INDEX(基础数据!$A$2:$A$1024,MATCH(转配商关联商!X386,基础数据!$D$2:$D$1024,0))</f>
        <v>#N/A</v>
      </c>
      <c r="E386" s="12" t="e">
        <f>INDEX(基础数据!$B$2:$B$1024,MATCH(转配商关联商!X386,基础数据!$D$2:$D$1024,0))</f>
        <v>#N/A</v>
      </c>
      <c r="G386" s="12" t="e">
        <f>INDEX([1]流向迭代数据!E$2:E$65536,MATCH(转配商关联商!W386,[1]流向迭代数据!M$2:M$65536,0))</f>
        <v>#N/A</v>
      </c>
      <c r="N386" s="12" t="e">
        <f>INDEX([1]流向迭代数据!J$2:J$65536,MATCH(L386,[1]流向迭代数据!H$2:H$65536,0))</f>
        <v>#N/A</v>
      </c>
      <c r="P386" s="14"/>
      <c r="T386" s="12" t="e">
        <f>INDEX([1]流向迭代数据!K$2:K$65536,MATCH(L386,[1]流向迭代数据!H$2:H$65536,0))</f>
        <v>#N/A</v>
      </c>
      <c r="W386" s="12" t="str">
        <f t="shared" si="11"/>
        <v/>
      </c>
    </row>
    <row r="387" spans="1:23" x14ac:dyDescent="0.15">
      <c r="A387" s="14" t="str">
        <f t="shared" ref="A387:A450" si="12">IF(MONTH(P387)&lt;10,YEAR(P387)&amp;"0"&amp;MONTH(P387),YEAR(P387)&amp;MONTH(P387))</f>
        <v>190001</v>
      </c>
      <c r="C387" s="12" t="e">
        <f>INDEX(基础数据!$A$2:$A$1024,MATCH(转配商关联商!X387,基础数据!$D$2:$D$1024,0))</f>
        <v>#N/A</v>
      </c>
      <c r="E387" s="12" t="e">
        <f>INDEX(基础数据!$B$2:$B$1024,MATCH(转配商关联商!X387,基础数据!$D$2:$D$1024,0))</f>
        <v>#N/A</v>
      </c>
      <c r="G387" s="12" t="e">
        <f>INDEX([1]流向迭代数据!E$2:E$65536,MATCH(转配商关联商!W387,[1]流向迭代数据!M$2:M$65536,0))</f>
        <v>#N/A</v>
      </c>
      <c r="N387" s="12" t="e">
        <f>INDEX([1]流向迭代数据!J$2:J$65536,MATCH(L387,[1]流向迭代数据!H$2:H$65536,0))</f>
        <v>#N/A</v>
      </c>
      <c r="P387" s="14"/>
      <c r="T387" s="12" t="e">
        <f>INDEX([1]流向迭代数据!K$2:K$65536,MATCH(L387,[1]流向迭代数据!H$2:H$65536,0))</f>
        <v>#N/A</v>
      </c>
      <c r="W387" s="12" t="str">
        <f t="shared" ref="W387:W450" si="13">H387&amp;I387</f>
        <v/>
      </c>
    </row>
    <row r="388" spans="1:23" x14ac:dyDescent="0.15">
      <c r="A388" s="14" t="str">
        <f t="shared" si="12"/>
        <v>190001</v>
      </c>
      <c r="C388" s="12" t="e">
        <f>INDEX(基础数据!$A$2:$A$1024,MATCH(转配商关联商!X388,基础数据!$D$2:$D$1024,0))</f>
        <v>#N/A</v>
      </c>
      <c r="E388" s="12" t="e">
        <f>INDEX(基础数据!$B$2:$B$1024,MATCH(转配商关联商!X388,基础数据!$D$2:$D$1024,0))</f>
        <v>#N/A</v>
      </c>
      <c r="G388" s="12" t="e">
        <f>INDEX([1]流向迭代数据!E$2:E$65536,MATCH(转配商关联商!W388,[1]流向迭代数据!M$2:M$65536,0))</f>
        <v>#N/A</v>
      </c>
      <c r="N388" s="12" t="e">
        <f>INDEX([1]流向迭代数据!J$2:J$65536,MATCH(L388,[1]流向迭代数据!H$2:H$65536,0))</f>
        <v>#N/A</v>
      </c>
      <c r="P388" s="14"/>
      <c r="T388" s="12" t="e">
        <f>INDEX([1]流向迭代数据!K$2:K$65536,MATCH(L388,[1]流向迭代数据!H$2:H$65536,0))</f>
        <v>#N/A</v>
      </c>
      <c r="W388" s="12" t="str">
        <f t="shared" si="13"/>
        <v/>
      </c>
    </row>
    <row r="389" spans="1:23" x14ac:dyDescent="0.15">
      <c r="A389" s="14" t="str">
        <f t="shared" si="12"/>
        <v>190001</v>
      </c>
      <c r="C389" s="12" t="e">
        <f>INDEX(基础数据!$A$2:$A$1024,MATCH(转配商关联商!X389,基础数据!$D$2:$D$1024,0))</f>
        <v>#N/A</v>
      </c>
      <c r="E389" s="12" t="e">
        <f>INDEX(基础数据!$B$2:$B$1024,MATCH(转配商关联商!X389,基础数据!$D$2:$D$1024,0))</f>
        <v>#N/A</v>
      </c>
      <c r="G389" s="12" t="e">
        <f>INDEX([1]流向迭代数据!E$2:E$65536,MATCH(转配商关联商!W389,[1]流向迭代数据!M$2:M$65536,0))</f>
        <v>#N/A</v>
      </c>
      <c r="N389" s="12" t="e">
        <f>INDEX([1]流向迭代数据!J$2:J$65536,MATCH(L389,[1]流向迭代数据!H$2:H$65536,0))</f>
        <v>#N/A</v>
      </c>
      <c r="P389" s="14"/>
      <c r="T389" s="12" t="e">
        <f>INDEX([1]流向迭代数据!K$2:K$65536,MATCH(L389,[1]流向迭代数据!H$2:H$65536,0))</f>
        <v>#N/A</v>
      </c>
      <c r="W389" s="12" t="str">
        <f t="shared" si="13"/>
        <v/>
      </c>
    </row>
    <row r="390" spans="1:23" x14ac:dyDescent="0.15">
      <c r="A390" s="14" t="str">
        <f t="shared" si="12"/>
        <v>190001</v>
      </c>
      <c r="C390" s="12" t="e">
        <f>INDEX(基础数据!$A$2:$A$1024,MATCH(转配商关联商!X390,基础数据!$D$2:$D$1024,0))</f>
        <v>#N/A</v>
      </c>
      <c r="E390" s="12" t="e">
        <f>INDEX(基础数据!$B$2:$B$1024,MATCH(转配商关联商!X390,基础数据!$D$2:$D$1024,0))</f>
        <v>#N/A</v>
      </c>
      <c r="G390" s="12" t="e">
        <f>INDEX([1]流向迭代数据!E$2:E$65536,MATCH(转配商关联商!W390,[1]流向迭代数据!M$2:M$65536,0))</f>
        <v>#N/A</v>
      </c>
      <c r="N390" s="12" t="e">
        <f>INDEX([1]流向迭代数据!J$2:J$65536,MATCH(L390,[1]流向迭代数据!H$2:H$65536,0))</f>
        <v>#N/A</v>
      </c>
      <c r="P390" s="14"/>
      <c r="T390" s="12" t="e">
        <f>INDEX([1]流向迭代数据!K$2:K$65536,MATCH(L390,[1]流向迭代数据!H$2:H$65536,0))</f>
        <v>#N/A</v>
      </c>
      <c r="W390" s="12" t="str">
        <f t="shared" si="13"/>
        <v/>
      </c>
    </row>
    <row r="391" spans="1:23" x14ac:dyDescent="0.15">
      <c r="A391" s="14" t="str">
        <f t="shared" si="12"/>
        <v>190001</v>
      </c>
      <c r="C391" s="12" t="e">
        <f>INDEX(基础数据!$A$2:$A$1024,MATCH(转配商关联商!X391,基础数据!$D$2:$D$1024,0))</f>
        <v>#N/A</v>
      </c>
      <c r="E391" s="12" t="e">
        <f>INDEX(基础数据!$B$2:$B$1024,MATCH(转配商关联商!X391,基础数据!$D$2:$D$1024,0))</f>
        <v>#N/A</v>
      </c>
      <c r="G391" s="12" t="e">
        <f>INDEX([1]流向迭代数据!E$2:E$65536,MATCH(转配商关联商!W391,[1]流向迭代数据!M$2:M$65536,0))</f>
        <v>#N/A</v>
      </c>
      <c r="N391" s="12" t="e">
        <f>INDEX([1]流向迭代数据!J$2:J$65536,MATCH(L391,[1]流向迭代数据!H$2:H$65536,0))</f>
        <v>#N/A</v>
      </c>
      <c r="P391" s="14"/>
      <c r="T391" s="12" t="e">
        <f>INDEX([1]流向迭代数据!K$2:K$65536,MATCH(L391,[1]流向迭代数据!H$2:H$65536,0))</f>
        <v>#N/A</v>
      </c>
      <c r="W391" s="12" t="str">
        <f t="shared" si="13"/>
        <v/>
      </c>
    </row>
    <row r="392" spans="1:23" x14ac:dyDescent="0.15">
      <c r="A392" s="14" t="str">
        <f t="shared" si="12"/>
        <v>190001</v>
      </c>
      <c r="C392" s="12" t="e">
        <f>INDEX(基础数据!$A$2:$A$1024,MATCH(转配商关联商!X392,基础数据!$D$2:$D$1024,0))</f>
        <v>#N/A</v>
      </c>
      <c r="E392" s="12" t="e">
        <f>INDEX(基础数据!$B$2:$B$1024,MATCH(转配商关联商!X392,基础数据!$D$2:$D$1024,0))</f>
        <v>#N/A</v>
      </c>
      <c r="G392" s="12" t="e">
        <f>INDEX([1]流向迭代数据!E$2:E$65536,MATCH(转配商关联商!W392,[1]流向迭代数据!M$2:M$65536,0))</f>
        <v>#N/A</v>
      </c>
      <c r="N392" s="12" t="e">
        <f>INDEX([1]流向迭代数据!J$2:J$65536,MATCH(L392,[1]流向迭代数据!H$2:H$65536,0))</f>
        <v>#N/A</v>
      </c>
      <c r="P392" s="14"/>
      <c r="T392" s="12" t="e">
        <f>INDEX([1]流向迭代数据!K$2:K$65536,MATCH(L392,[1]流向迭代数据!H$2:H$65536,0))</f>
        <v>#N/A</v>
      </c>
      <c r="W392" s="12" t="str">
        <f t="shared" si="13"/>
        <v/>
      </c>
    </row>
    <row r="393" spans="1:23" x14ac:dyDescent="0.15">
      <c r="A393" s="14" t="str">
        <f t="shared" si="12"/>
        <v>190001</v>
      </c>
      <c r="C393" s="12" t="e">
        <f>INDEX(基础数据!$A$2:$A$1024,MATCH(转配商关联商!X393,基础数据!$D$2:$D$1024,0))</f>
        <v>#N/A</v>
      </c>
      <c r="E393" s="12" t="e">
        <f>INDEX(基础数据!$B$2:$B$1024,MATCH(转配商关联商!X393,基础数据!$D$2:$D$1024,0))</f>
        <v>#N/A</v>
      </c>
      <c r="G393" s="12" t="e">
        <f>INDEX([1]流向迭代数据!E$2:E$65536,MATCH(转配商关联商!W393,[1]流向迭代数据!M$2:M$65536,0))</f>
        <v>#N/A</v>
      </c>
      <c r="N393" s="12" t="e">
        <f>INDEX([1]流向迭代数据!J$2:J$65536,MATCH(L393,[1]流向迭代数据!H$2:H$65536,0))</f>
        <v>#N/A</v>
      </c>
      <c r="P393" s="14"/>
      <c r="T393" s="12" t="e">
        <f>INDEX([1]流向迭代数据!K$2:K$65536,MATCH(L393,[1]流向迭代数据!H$2:H$65536,0))</f>
        <v>#N/A</v>
      </c>
      <c r="W393" s="12" t="str">
        <f t="shared" si="13"/>
        <v/>
      </c>
    </row>
    <row r="394" spans="1:23" x14ac:dyDescent="0.15">
      <c r="A394" s="14" t="str">
        <f t="shared" si="12"/>
        <v>190001</v>
      </c>
      <c r="C394" s="12" t="e">
        <f>INDEX(基础数据!$A$2:$A$1024,MATCH(转配商关联商!X394,基础数据!$D$2:$D$1024,0))</f>
        <v>#N/A</v>
      </c>
      <c r="E394" s="12" t="e">
        <f>INDEX(基础数据!$B$2:$B$1024,MATCH(转配商关联商!X394,基础数据!$D$2:$D$1024,0))</f>
        <v>#N/A</v>
      </c>
      <c r="G394" s="12" t="e">
        <f>INDEX([1]流向迭代数据!E$2:E$65536,MATCH(转配商关联商!W394,[1]流向迭代数据!M$2:M$65536,0))</f>
        <v>#N/A</v>
      </c>
      <c r="N394" s="12" t="e">
        <f>INDEX([1]流向迭代数据!J$2:J$65536,MATCH(L394,[1]流向迭代数据!H$2:H$65536,0))</f>
        <v>#N/A</v>
      </c>
      <c r="P394" s="14"/>
      <c r="T394" s="12" t="e">
        <f>INDEX([1]流向迭代数据!K$2:K$65536,MATCH(L394,[1]流向迭代数据!H$2:H$65536,0))</f>
        <v>#N/A</v>
      </c>
      <c r="W394" s="12" t="str">
        <f t="shared" si="13"/>
        <v/>
      </c>
    </row>
    <row r="395" spans="1:23" x14ac:dyDescent="0.15">
      <c r="A395" s="14" t="str">
        <f t="shared" si="12"/>
        <v>190001</v>
      </c>
      <c r="C395" s="12" t="e">
        <f>INDEX(基础数据!$A$2:$A$1024,MATCH(转配商关联商!X395,基础数据!$D$2:$D$1024,0))</f>
        <v>#N/A</v>
      </c>
      <c r="E395" s="12" t="e">
        <f>INDEX(基础数据!$B$2:$B$1024,MATCH(转配商关联商!X395,基础数据!$D$2:$D$1024,0))</f>
        <v>#N/A</v>
      </c>
      <c r="G395" s="12" t="e">
        <f>INDEX([1]流向迭代数据!E$2:E$65536,MATCH(转配商关联商!W395,[1]流向迭代数据!M$2:M$65536,0))</f>
        <v>#N/A</v>
      </c>
      <c r="N395" s="12" t="e">
        <f>INDEX([1]流向迭代数据!J$2:J$65536,MATCH(L395,[1]流向迭代数据!H$2:H$65536,0))</f>
        <v>#N/A</v>
      </c>
      <c r="P395" s="14"/>
      <c r="T395" s="12" t="e">
        <f>INDEX([1]流向迭代数据!K$2:K$65536,MATCH(L395,[1]流向迭代数据!H$2:H$65536,0))</f>
        <v>#N/A</v>
      </c>
      <c r="W395" s="12" t="str">
        <f t="shared" si="13"/>
        <v/>
      </c>
    </row>
    <row r="396" spans="1:23" x14ac:dyDescent="0.15">
      <c r="A396" s="14" t="str">
        <f t="shared" si="12"/>
        <v>190001</v>
      </c>
      <c r="C396" s="12" t="e">
        <f>INDEX(基础数据!$A$2:$A$1024,MATCH(转配商关联商!X396,基础数据!$D$2:$D$1024,0))</f>
        <v>#N/A</v>
      </c>
      <c r="E396" s="12" t="e">
        <f>INDEX(基础数据!$B$2:$B$1024,MATCH(转配商关联商!X396,基础数据!$D$2:$D$1024,0))</f>
        <v>#N/A</v>
      </c>
      <c r="G396" s="12" t="e">
        <f>INDEX([1]流向迭代数据!E$2:E$65536,MATCH(转配商关联商!W396,[1]流向迭代数据!M$2:M$65536,0))</f>
        <v>#N/A</v>
      </c>
      <c r="N396" s="12" t="e">
        <f>INDEX([1]流向迭代数据!J$2:J$65536,MATCH(L396,[1]流向迭代数据!H$2:H$65536,0))</f>
        <v>#N/A</v>
      </c>
      <c r="P396" s="14"/>
      <c r="T396" s="12" t="e">
        <f>INDEX([1]流向迭代数据!K$2:K$65536,MATCH(L396,[1]流向迭代数据!H$2:H$65536,0))</f>
        <v>#N/A</v>
      </c>
      <c r="W396" s="12" t="str">
        <f t="shared" si="13"/>
        <v/>
      </c>
    </row>
    <row r="397" spans="1:23" x14ac:dyDescent="0.15">
      <c r="A397" s="14" t="str">
        <f t="shared" si="12"/>
        <v>190001</v>
      </c>
      <c r="C397" s="12" t="e">
        <f>INDEX(基础数据!$A$2:$A$1024,MATCH(转配商关联商!X397,基础数据!$D$2:$D$1024,0))</f>
        <v>#N/A</v>
      </c>
      <c r="E397" s="12" t="e">
        <f>INDEX(基础数据!$B$2:$B$1024,MATCH(转配商关联商!X397,基础数据!$D$2:$D$1024,0))</f>
        <v>#N/A</v>
      </c>
      <c r="G397" s="12" t="e">
        <f>INDEX([1]流向迭代数据!E$2:E$65536,MATCH(转配商关联商!W397,[1]流向迭代数据!M$2:M$65536,0))</f>
        <v>#N/A</v>
      </c>
      <c r="N397" s="12" t="e">
        <f>INDEX([1]流向迭代数据!J$2:J$65536,MATCH(L397,[1]流向迭代数据!H$2:H$65536,0))</f>
        <v>#N/A</v>
      </c>
      <c r="P397" s="14"/>
      <c r="T397" s="12" t="e">
        <f>INDEX([1]流向迭代数据!K$2:K$65536,MATCH(L397,[1]流向迭代数据!H$2:H$65536,0))</f>
        <v>#N/A</v>
      </c>
      <c r="W397" s="12" t="str">
        <f t="shared" si="13"/>
        <v/>
      </c>
    </row>
    <row r="398" spans="1:23" x14ac:dyDescent="0.15">
      <c r="A398" s="14" t="str">
        <f t="shared" si="12"/>
        <v>190001</v>
      </c>
      <c r="C398" s="12" t="e">
        <f>INDEX(基础数据!$A$2:$A$1024,MATCH(转配商关联商!X398,基础数据!$D$2:$D$1024,0))</f>
        <v>#N/A</v>
      </c>
      <c r="E398" s="12" t="e">
        <f>INDEX(基础数据!$B$2:$B$1024,MATCH(转配商关联商!X398,基础数据!$D$2:$D$1024,0))</f>
        <v>#N/A</v>
      </c>
      <c r="G398" s="12" t="e">
        <f>INDEX([1]流向迭代数据!E$2:E$65536,MATCH(转配商关联商!W398,[1]流向迭代数据!M$2:M$65536,0))</f>
        <v>#N/A</v>
      </c>
      <c r="N398" s="12" t="e">
        <f>INDEX([1]流向迭代数据!J$2:J$65536,MATCH(L398,[1]流向迭代数据!H$2:H$65536,0))</f>
        <v>#N/A</v>
      </c>
      <c r="P398" s="14"/>
      <c r="T398" s="12" t="e">
        <f>INDEX([1]流向迭代数据!K$2:K$65536,MATCH(L398,[1]流向迭代数据!H$2:H$65536,0))</f>
        <v>#N/A</v>
      </c>
      <c r="W398" s="12" t="str">
        <f t="shared" si="13"/>
        <v/>
      </c>
    </row>
    <row r="399" spans="1:23" x14ac:dyDescent="0.15">
      <c r="A399" s="14" t="str">
        <f t="shared" si="12"/>
        <v>190001</v>
      </c>
      <c r="C399" s="12" t="e">
        <f>INDEX(基础数据!$A$2:$A$1024,MATCH(转配商关联商!X399,基础数据!$D$2:$D$1024,0))</f>
        <v>#N/A</v>
      </c>
      <c r="E399" s="12" t="e">
        <f>INDEX(基础数据!$B$2:$B$1024,MATCH(转配商关联商!X399,基础数据!$D$2:$D$1024,0))</f>
        <v>#N/A</v>
      </c>
      <c r="G399" s="12" t="e">
        <f>INDEX([1]流向迭代数据!E$2:E$65536,MATCH(转配商关联商!W399,[1]流向迭代数据!M$2:M$65536,0))</f>
        <v>#N/A</v>
      </c>
      <c r="N399" s="12" t="e">
        <f>INDEX([1]流向迭代数据!J$2:J$65536,MATCH(L399,[1]流向迭代数据!H$2:H$65536,0))</f>
        <v>#N/A</v>
      </c>
      <c r="P399" s="14"/>
      <c r="T399" s="12" t="e">
        <f>INDEX([1]流向迭代数据!K$2:K$65536,MATCH(L399,[1]流向迭代数据!H$2:H$65536,0))</f>
        <v>#N/A</v>
      </c>
      <c r="W399" s="12" t="str">
        <f t="shared" si="13"/>
        <v/>
      </c>
    </row>
    <row r="400" spans="1:23" x14ac:dyDescent="0.15">
      <c r="A400" s="14" t="str">
        <f t="shared" si="12"/>
        <v>190001</v>
      </c>
      <c r="C400" s="12" t="e">
        <f>INDEX(基础数据!$A$2:$A$1024,MATCH(转配商关联商!X400,基础数据!$D$2:$D$1024,0))</f>
        <v>#N/A</v>
      </c>
      <c r="E400" s="12" t="e">
        <f>INDEX(基础数据!$B$2:$B$1024,MATCH(转配商关联商!X400,基础数据!$D$2:$D$1024,0))</f>
        <v>#N/A</v>
      </c>
      <c r="G400" s="12" t="e">
        <f>INDEX([1]流向迭代数据!E$2:E$65536,MATCH(转配商关联商!W400,[1]流向迭代数据!M$2:M$65536,0))</f>
        <v>#N/A</v>
      </c>
      <c r="N400" s="12" t="e">
        <f>INDEX([1]流向迭代数据!J$2:J$65536,MATCH(L400,[1]流向迭代数据!H$2:H$65536,0))</f>
        <v>#N/A</v>
      </c>
      <c r="P400" s="14"/>
      <c r="T400" s="12" t="e">
        <f>INDEX([1]流向迭代数据!K$2:K$65536,MATCH(L400,[1]流向迭代数据!H$2:H$65536,0))</f>
        <v>#N/A</v>
      </c>
      <c r="W400" s="12" t="str">
        <f t="shared" si="13"/>
        <v/>
      </c>
    </row>
    <row r="401" spans="1:23" x14ac:dyDescent="0.15">
      <c r="A401" s="14" t="str">
        <f t="shared" si="12"/>
        <v>190001</v>
      </c>
      <c r="C401" s="12" t="e">
        <f>INDEX(基础数据!$A$2:$A$1024,MATCH(转配商关联商!X401,基础数据!$D$2:$D$1024,0))</f>
        <v>#N/A</v>
      </c>
      <c r="E401" s="12" t="e">
        <f>INDEX(基础数据!$B$2:$B$1024,MATCH(转配商关联商!X401,基础数据!$D$2:$D$1024,0))</f>
        <v>#N/A</v>
      </c>
      <c r="G401" s="12" t="e">
        <f>INDEX([1]流向迭代数据!E$2:E$65536,MATCH(转配商关联商!W401,[1]流向迭代数据!M$2:M$65536,0))</f>
        <v>#N/A</v>
      </c>
      <c r="N401" s="12" t="e">
        <f>INDEX([1]流向迭代数据!J$2:J$65536,MATCH(L401,[1]流向迭代数据!H$2:H$65536,0))</f>
        <v>#N/A</v>
      </c>
      <c r="P401" s="14"/>
      <c r="T401" s="12" t="e">
        <f>INDEX([1]流向迭代数据!K$2:K$65536,MATCH(L401,[1]流向迭代数据!H$2:H$65536,0))</f>
        <v>#N/A</v>
      </c>
      <c r="W401" s="12" t="str">
        <f t="shared" si="13"/>
        <v/>
      </c>
    </row>
    <row r="402" spans="1:23" x14ac:dyDescent="0.15">
      <c r="A402" s="14" t="str">
        <f t="shared" si="12"/>
        <v>190001</v>
      </c>
      <c r="C402" s="12" t="e">
        <f>INDEX(基础数据!$A$2:$A$1024,MATCH(转配商关联商!X402,基础数据!$D$2:$D$1024,0))</f>
        <v>#N/A</v>
      </c>
      <c r="E402" s="12" t="e">
        <f>INDEX(基础数据!$B$2:$B$1024,MATCH(转配商关联商!X402,基础数据!$D$2:$D$1024,0))</f>
        <v>#N/A</v>
      </c>
      <c r="G402" s="12" t="e">
        <f>INDEX([1]流向迭代数据!E$2:E$65536,MATCH(转配商关联商!W402,[1]流向迭代数据!M$2:M$65536,0))</f>
        <v>#N/A</v>
      </c>
      <c r="N402" s="12" t="e">
        <f>INDEX([1]流向迭代数据!J$2:J$65536,MATCH(L402,[1]流向迭代数据!H$2:H$65536,0))</f>
        <v>#N/A</v>
      </c>
      <c r="P402" s="14"/>
      <c r="T402" s="12" t="e">
        <f>INDEX([1]流向迭代数据!K$2:K$65536,MATCH(L402,[1]流向迭代数据!H$2:H$65536,0))</f>
        <v>#N/A</v>
      </c>
      <c r="W402" s="12" t="str">
        <f t="shared" si="13"/>
        <v/>
      </c>
    </row>
    <row r="403" spans="1:23" x14ac:dyDescent="0.15">
      <c r="A403" s="14" t="str">
        <f t="shared" si="12"/>
        <v>190001</v>
      </c>
      <c r="C403" s="12" t="e">
        <f>INDEX(基础数据!$A$2:$A$1024,MATCH(转配商关联商!X403,基础数据!$D$2:$D$1024,0))</f>
        <v>#N/A</v>
      </c>
      <c r="E403" s="12" t="e">
        <f>INDEX(基础数据!$B$2:$B$1024,MATCH(转配商关联商!X403,基础数据!$D$2:$D$1024,0))</f>
        <v>#N/A</v>
      </c>
      <c r="G403" s="12" t="e">
        <f>INDEX([1]流向迭代数据!E$2:E$65536,MATCH(转配商关联商!W403,[1]流向迭代数据!M$2:M$65536,0))</f>
        <v>#N/A</v>
      </c>
      <c r="N403" s="12" t="e">
        <f>INDEX([1]流向迭代数据!J$2:J$65536,MATCH(L403,[1]流向迭代数据!H$2:H$65536,0))</f>
        <v>#N/A</v>
      </c>
      <c r="P403" s="14"/>
      <c r="T403" s="12" t="e">
        <f>INDEX([1]流向迭代数据!K$2:K$65536,MATCH(L403,[1]流向迭代数据!H$2:H$65536,0))</f>
        <v>#N/A</v>
      </c>
      <c r="W403" s="12" t="str">
        <f t="shared" si="13"/>
        <v/>
      </c>
    </row>
    <row r="404" spans="1:23" x14ac:dyDescent="0.15">
      <c r="A404" s="14" t="str">
        <f t="shared" si="12"/>
        <v>190001</v>
      </c>
      <c r="C404" s="12" t="e">
        <f>INDEX(基础数据!$A$2:$A$1024,MATCH(转配商关联商!X404,基础数据!$D$2:$D$1024,0))</f>
        <v>#N/A</v>
      </c>
      <c r="E404" s="12" t="e">
        <f>INDEX(基础数据!$B$2:$B$1024,MATCH(转配商关联商!X404,基础数据!$D$2:$D$1024,0))</f>
        <v>#N/A</v>
      </c>
      <c r="G404" s="12" t="e">
        <f>INDEX([1]流向迭代数据!E$2:E$65536,MATCH(转配商关联商!W404,[1]流向迭代数据!M$2:M$65536,0))</f>
        <v>#N/A</v>
      </c>
      <c r="N404" s="12" t="e">
        <f>INDEX([1]流向迭代数据!J$2:J$65536,MATCH(L404,[1]流向迭代数据!H$2:H$65536,0))</f>
        <v>#N/A</v>
      </c>
      <c r="P404" s="14"/>
      <c r="T404" s="12" t="e">
        <f>INDEX([1]流向迭代数据!K$2:K$65536,MATCH(L404,[1]流向迭代数据!H$2:H$65536,0))</f>
        <v>#N/A</v>
      </c>
      <c r="W404" s="12" t="str">
        <f t="shared" si="13"/>
        <v/>
      </c>
    </row>
    <row r="405" spans="1:23" x14ac:dyDescent="0.15">
      <c r="A405" s="14" t="str">
        <f t="shared" si="12"/>
        <v>190001</v>
      </c>
      <c r="C405" s="12" t="e">
        <f>INDEX(基础数据!$A$2:$A$1024,MATCH(转配商关联商!X405,基础数据!$D$2:$D$1024,0))</f>
        <v>#N/A</v>
      </c>
      <c r="E405" s="12" t="e">
        <f>INDEX(基础数据!$B$2:$B$1024,MATCH(转配商关联商!X405,基础数据!$D$2:$D$1024,0))</f>
        <v>#N/A</v>
      </c>
      <c r="G405" s="12" t="e">
        <f>INDEX([1]流向迭代数据!E$2:E$65536,MATCH(转配商关联商!W405,[1]流向迭代数据!M$2:M$65536,0))</f>
        <v>#N/A</v>
      </c>
      <c r="N405" s="12" t="e">
        <f>INDEX([1]流向迭代数据!J$2:J$65536,MATCH(L405,[1]流向迭代数据!H$2:H$65536,0))</f>
        <v>#N/A</v>
      </c>
      <c r="P405" s="14"/>
      <c r="T405" s="12" t="e">
        <f>INDEX([1]流向迭代数据!K$2:K$65536,MATCH(L405,[1]流向迭代数据!H$2:H$65536,0))</f>
        <v>#N/A</v>
      </c>
      <c r="W405" s="12" t="str">
        <f t="shared" si="13"/>
        <v/>
      </c>
    </row>
    <row r="406" spans="1:23" x14ac:dyDescent="0.15">
      <c r="A406" s="14" t="str">
        <f t="shared" si="12"/>
        <v>190001</v>
      </c>
      <c r="C406" s="12" t="e">
        <f>INDEX(基础数据!$A$2:$A$1024,MATCH(转配商关联商!X406,基础数据!$D$2:$D$1024,0))</f>
        <v>#N/A</v>
      </c>
      <c r="E406" s="12" t="e">
        <f>INDEX(基础数据!$B$2:$B$1024,MATCH(转配商关联商!X406,基础数据!$D$2:$D$1024,0))</f>
        <v>#N/A</v>
      </c>
      <c r="G406" s="12" t="e">
        <f>INDEX([1]流向迭代数据!E$2:E$65536,MATCH(转配商关联商!W406,[1]流向迭代数据!M$2:M$65536,0))</f>
        <v>#N/A</v>
      </c>
      <c r="N406" s="12" t="e">
        <f>INDEX([1]流向迭代数据!J$2:J$65536,MATCH(L406,[1]流向迭代数据!H$2:H$65536,0))</f>
        <v>#N/A</v>
      </c>
      <c r="P406" s="14"/>
      <c r="T406" s="12" t="e">
        <f>INDEX([1]流向迭代数据!K$2:K$65536,MATCH(L406,[1]流向迭代数据!H$2:H$65536,0))</f>
        <v>#N/A</v>
      </c>
      <c r="W406" s="12" t="str">
        <f t="shared" si="13"/>
        <v/>
      </c>
    </row>
    <row r="407" spans="1:23" x14ac:dyDescent="0.15">
      <c r="A407" s="14" t="str">
        <f t="shared" si="12"/>
        <v>190001</v>
      </c>
      <c r="C407" s="12" t="e">
        <f>INDEX(基础数据!$A$2:$A$1024,MATCH(转配商关联商!X407,基础数据!$D$2:$D$1024,0))</f>
        <v>#N/A</v>
      </c>
      <c r="E407" s="12" t="e">
        <f>INDEX(基础数据!$B$2:$B$1024,MATCH(转配商关联商!X407,基础数据!$D$2:$D$1024,0))</f>
        <v>#N/A</v>
      </c>
      <c r="G407" s="12" t="e">
        <f>INDEX([1]流向迭代数据!E$2:E$65536,MATCH(转配商关联商!W407,[1]流向迭代数据!M$2:M$65536,0))</f>
        <v>#N/A</v>
      </c>
      <c r="N407" s="12" t="e">
        <f>INDEX([1]流向迭代数据!J$2:J$65536,MATCH(L407,[1]流向迭代数据!H$2:H$65536,0))</f>
        <v>#N/A</v>
      </c>
      <c r="P407" s="14"/>
      <c r="T407" s="12" t="e">
        <f>INDEX([1]流向迭代数据!K$2:K$65536,MATCH(L407,[1]流向迭代数据!H$2:H$65536,0))</f>
        <v>#N/A</v>
      </c>
      <c r="W407" s="12" t="str">
        <f t="shared" si="13"/>
        <v/>
      </c>
    </row>
    <row r="408" spans="1:23" x14ac:dyDescent="0.15">
      <c r="A408" s="14" t="str">
        <f t="shared" si="12"/>
        <v>190001</v>
      </c>
      <c r="C408" s="12" t="e">
        <f>INDEX(基础数据!$A$2:$A$1024,MATCH(转配商关联商!X408,基础数据!$D$2:$D$1024,0))</f>
        <v>#N/A</v>
      </c>
      <c r="E408" s="12" t="e">
        <f>INDEX(基础数据!$B$2:$B$1024,MATCH(转配商关联商!X408,基础数据!$D$2:$D$1024,0))</f>
        <v>#N/A</v>
      </c>
      <c r="G408" s="12" t="e">
        <f>INDEX([1]流向迭代数据!E$2:E$65536,MATCH(转配商关联商!W408,[1]流向迭代数据!M$2:M$65536,0))</f>
        <v>#N/A</v>
      </c>
      <c r="N408" s="12" t="e">
        <f>INDEX([1]流向迭代数据!J$2:J$65536,MATCH(L408,[1]流向迭代数据!H$2:H$65536,0))</f>
        <v>#N/A</v>
      </c>
      <c r="P408" s="14"/>
      <c r="T408" s="12" t="e">
        <f>INDEX([1]流向迭代数据!K$2:K$65536,MATCH(L408,[1]流向迭代数据!H$2:H$65536,0))</f>
        <v>#N/A</v>
      </c>
      <c r="W408" s="12" t="str">
        <f t="shared" si="13"/>
        <v/>
      </c>
    </row>
    <row r="409" spans="1:23" x14ac:dyDescent="0.15">
      <c r="A409" s="14" t="str">
        <f t="shared" si="12"/>
        <v>190001</v>
      </c>
      <c r="C409" s="12" t="e">
        <f>INDEX(基础数据!$A$2:$A$1024,MATCH(转配商关联商!X409,基础数据!$D$2:$D$1024,0))</f>
        <v>#N/A</v>
      </c>
      <c r="E409" s="12" t="e">
        <f>INDEX(基础数据!$B$2:$B$1024,MATCH(转配商关联商!X409,基础数据!$D$2:$D$1024,0))</f>
        <v>#N/A</v>
      </c>
      <c r="G409" s="12" t="e">
        <f>INDEX([1]流向迭代数据!E$2:E$65536,MATCH(转配商关联商!W409,[1]流向迭代数据!M$2:M$65536,0))</f>
        <v>#N/A</v>
      </c>
      <c r="N409" s="12" t="e">
        <f>INDEX([1]流向迭代数据!J$2:J$65536,MATCH(L409,[1]流向迭代数据!H$2:H$65536,0))</f>
        <v>#N/A</v>
      </c>
      <c r="P409" s="14"/>
      <c r="T409" s="12" t="e">
        <f>INDEX([1]流向迭代数据!K$2:K$65536,MATCH(L409,[1]流向迭代数据!H$2:H$65536,0))</f>
        <v>#N/A</v>
      </c>
      <c r="W409" s="12" t="str">
        <f t="shared" si="13"/>
        <v/>
      </c>
    </row>
    <row r="410" spans="1:23" x14ac:dyDescent="0.15">
      <c r="A410" s="14" t="str">
        <f t="shared" si="12"/>
        <v>190001</v>
      </c>
      <c r="C410" s="12" t="e">
        <f>INDEX(基础数据!$A$2:$A$1024,MATCH(转配商关联商!X410,基础数据!$D$2:$D$1024,0))</f>
        <v>#N/A</v>
      </c>
      <c r="E410" s="12" t="e">
        <f>INDEX(基础数据!$B$2:$B$1024,MATCH(转配商关联商!X410,基础数据!$D$2:$D$1024,0))</f>
        <v>#N/A</v>
      </c>
      <c r="G410" s="12" t="e">
        <f>INDEX([1]流向迭代数据!E$2:E$65536,MATCH(转配商关联商!W410,[1]流向迭代数据!M$2:M$65536,0))</f>
        <v>#N/A</v>
      </c>
      <c r="N410" s="12" t="e">
        <f>INDEX([1]流向迭代数据!J$2:J$65536,MATCH(L410,[1]流向迭代数据!H$2:H$65536,0))</f>
        <v>#N/A</v>
      </c>
      <c r="P410" s="14"/>
      <c r="T410" s="12" t="e">
        <f>INDEX([1]流向迭代数据!K$2:K$65536,MATCH(L410,[1]流向迭代数据!H$2:H$65536,0))</f>
        <v>#N/A</v>
      </c>
      <c r="W410" s="12" t="str">
        <f t="shared" si="13"/>
        <v/>
      </c>
    </row>
    <row r="411" spans="1:23" x14ac:dyDescent="0.15">
      <c r="A411" s="14" t="str">
        <f t="shared" si="12"/>
        <v>190001</v>
      </c>
      <c r="C411" s="12" t="e">
        <f>INDEX(基础数据!$A$2:$A$1024,MATCH(转配商关联商!X411,基础数据!$D$2:$D$1024,0))</f>
        <v>#N/A</v>
      </c>
      <c r="E411" s="12" t="e">
        <f>INDEX(基础数据!$B$2:$B$1024,MATCH(转配商关联商!X411,基础数据!$D$2:$D$1024,0))</f>
        <v>#N/A</v>
      </c>
      <c r="G411" s="12" t="e">
        <f>INDEX([1]流向迭代数据!E$2:E$65536,MATCH(转配商关联商!W411,[1]流向迭代数据!M$2:M$65536,0))</f>
        <v>#N/A</v>
      </c>
      <c r="N411" s="12" t="e">
        <f>INDEX([1]流向迭代数据!J$2:J$65536,MATCH(L411,[1]流向迭代数据!H$2:H$65536,0))</f>
        <v>#N/A</v>
      </c>
      <c r="P411" s="14"/>
      <c r="T411" s="12" t="e">
        <f>INDEX([1]流向迭代数据!K$2:K$65536,MATCH(L411,[1]流向迭代数据!H$2:H$65536,0))</f>
        <v>#N/A</v>
      </c>
      <c r="W411" s="12" t="str">
        <f t="shared" si="13"/>
        <v/>
      </c>
    </row>
    <row r="412" spans="1:23" x14ac:dyDescent="0.15">
      <c r="A412" s="14" t="str">
        <f t="shared" si="12"/>
        <v>190001</v>
      </c>
      <c r="C412" s="12" t="e">
        <f>INDEX(基础数据!$A$2:$A$1024,MATCH(转配商关联商!X412,基础数据!$D$2:$D$1024,0))</f>
        <v>#N/A</v>
      </c>
      <c r="E412" s="12" t="e">
        <f>INDEX(基础数据!$B$2:$B$1024,MATCH(转配商关联商!X412,基础数据!$D$2:$D$1024,0))</f>
        <v>#N/A</v>
      </c>
      <c r="G412" s="12" t="e">
        <f>INDEX([1]流向迭代数据!E$2:E$65536,MATCH(转配商关联商!W412,[1]流向迭代数据!M$2:M$65536,0))</f>
        <v>#N/A</v>
      </c>
      <c r="N412" s="12" t="e">
        <f>INDEX([1]流向迭代数据!J$2:J$65536,MATCH(L412,[1]流向迭代数据!H$2:H$65536,0))</f>
        <v>#N/A</v>
      </c>
      <c r="P412" s="14"/>
      <c r="T412" s="12" t="e">
        <f>INDEX([1]流向迭代数据!K$2:K$65536,MATCH(L412,[1]流向迭代数据!H$2:H$65536,0))</f>
        <v>#N/A</v>
      </c>
      <c r="W412" s="12" t="str">
        <f t="shared" si="13"/>
        <v/>
      </c>
    </row>
    <row r="413" spans="1:23" x14ac:dyDescent="0.15">
      <c r="A413" s="14" t="str">
        <f t="shared" si="12"/>
        <v>190001</v>
      </c>
      <c r="C413" s="12" t="e">
        <f>INDEX(基础数据!$A$2:$A$1024,MATCH(转配商关联商!X413,基础数据!$D$2:$D$1024,0))</f>
        <v>#N/A</v>
      </c>
      <c r="E413" s="12" t="e">
        <f>INDEX(基础数据!$B$2:$B$1024,MATCH(转配商关联商!X413,基础数据!$D$2:$D$1024,0))</f>
        <v>#N/A</v>
      </c>
      <c r="G413" s="12" t="e">
        <f>INDEX([1]流向迭代数据!E$2:E$65536,MATCH(转配商关联商!W413,[1]流向迭代数据!M$2:M$65536,0))</f>
        <v>#N/A</v>
      </c>
      <c r="N413" s="12" t="e">
        <f>INDEX([1]流向迭代数据!J$2:J$65536,MATCH(L413,[1]流向迭代数据!H$2:H$65536,0))</f>
        <v>#N/A</v>
      </c>
      <c r="P413" s="14"/>
      <c r="T413" s="12" t="e">
        <f>INDEX([1]流向迭代数据!K$2:K$65536,MATCH(L413,[1]流向迭代数据!H$2:H$65536,0))</f>
        <v>#N/A</v>
      </c>
      <c r="W413" s="12" t="str">
        <f t="shared" si="13"/>
        <v/>
      </c>
    </row>
    <row r="414" spans="1:23" x14ac:dyDescent="0.15">
      <c r="A414" s="14" t="str">
        <f t="shared" si="12"/>
        <v>190001</v>
      </c>
      <c r="C414" s="12" t="e">
        <f>INDEX(基础数据!$A$2:$A$1024,MATCH(转配商关联商!X414,基础数据!$D$2:$D$1024,0))</f>
        <v>#N/A</v>
      </c>
      <c r="E414" s="12" t="e">
        <f>INDEX(基础数据!$B$2:$B$1024,MATCH(转配商关联商!X414,基础数据!$D$2:$D$1024,0))</f>
        <v>#N/A</v>
      </c>
      <c r="G414" s="12" t="e">
        <f>INDEX([1]流向迭代数据!E$2:E$65536,MATCH(转配商关联商!W414,[1]流向迭代数据!M$2:M$65536,0))</f>
        <v>#N/A</v>
      </c>
      <c r="N414" s="12" t="e">
        <f>INDEX([1]流向迭代数据!J$2:J$65536,MATCH(L414,[1]流向迭代数据!H$2:H$65536,0))</f>
        <v>#N/A</v>
      </c>
      <c r="P414" s="14"/>
      <c r="T414" s="12" t="e">
        <f>INDEX([1]流向迭代数据!K$2:K$65536,MATCH(L414,[1]流向迭代数据!H$2:H$65536,0))</f>
        <v>#N/A</v>
      </c>
      <c r="W414" s="12" t="str">
        <f t="shared" si="13"/>
        <v/>
      </c>
    </row>
    <row r="415" spans="1:23" x14ac:dyDescent="0.15">
      <c r="A415" s="14" t="str">
        <f t="shared" si="12"/>
        <v>190001</v>
      </c>
      <c r="C415" s="12" t="e">
        <f>INDEX(基础数据!$A$2:$A$1024,MATCH(转配商关联商!X415,基础数据!$D$2:$D$1024,0))</f>
        <v>#N/A</v>
      </c>
      <c r="E415" s="12" t="e">
        <f>INDEX(基础数据!$B$2:$B$1024,MATCH(转配商关联商!X415,基础数据!$D$2:$D$1024,0))</f>
        <v>#N/A</v>
      </c>
      <c r="G415" s="12" t="e">
        <f>INDEX([1]流向迭代数据!E$2:E$65536,MATCH(转配商关联商!W415,[1]流向迭代数据!M$2:M$65536,0))</f>
        <v>#N/A</v>
      </c>
      <c r="N415" s="12" t="e">
        <f>INDEX([1]流向迭代数据!J$2:J$65536,MATCH(L415,[1]流向迭代数据!H$2:H$65536,0))</f>
        <v>#N/A</v>
      </c>
      <c r="P415" s="14"/>
      <c r="T415" s="12" t="e">
        <f>INDEX([1]流向迭代数据!K$2:K$65536,MATCH(L415,[1]流向迭代数据!H$2:H$65536,0))</f>
        <v>#N/A</v>
      </c>
      <c r="W415" s="12" t="str">
        <f t="shared" si="13"/>
        <v/>
      </c>
    </row>
    <row r="416" spans="1:23" x14ac:dyDescent="0.15">
      <c r="A416" s="14" t="str">
        <f t="shared" si="12"/>
        <v>190001</v>
      </c>
      <c r="C416" s="12" t="e">
        <f>INDEX(基础数据!$A$2:$A$1024,MATCH(转配商关联商!X416,基础数据!$D$2:$D$1024,0))</f>
        <v>#N/A</v>
      </c>
      <c r="E416" s="12" t="e">
        <f>INDEX(基础数据!$B$2:$B$1024,MATCH(转配商关联商!X416,基础数据!$D$2:$D$1024,0))</f>
        <v>#N/A</v>
      </c>
      <c r="G416" s="12" t="e">
        <f>INDEX([1]流向迭代数据!E$2:E$65536,MATCH(转配商关联商!W416,[1]流向迭代数据!M$2:M$65536,0))</f>
        <v>#N/A</v>
      </c>
      <c r="N416" s="12" t="e">
        <f>INDEX([1]流向迭代数据!J$2:J$65536,MATCH(L416,[1]流向迭代数据!H$2:H$65536,0))</f>
        <v>#N/A</v>
      </c>
      <c r="P416" s="14"/>
      <c r="T416" s="12" t="e">
        <f>INDEX([1]流向迭代数据!K$2:K$65536,MATCH(L416,[1]流向迭代数据!H$2:H$65536,0))</f>
        <v>#N/A</v>
      </c>
      <c r="W416" s="12" t="str">
        <f t="shared" si="13"/>
        <v/>
      </c>
    </row>
    <row r="417" spans="1:23" x14ac:dyDescent="0.15">
      <c r="A417" s="14" t="str">
        <f t="shared" si="12"/>
        <v>190001</v>
      </c>
      <c r="C417" s="12" t="e">
        <f>INDEX(基础数据!$A$2:$A$1024,MATCH(转配商关联商!X417,基础数据!$D$2:$D$1024,0))</f>
        <v>#N/A</v>
      </c>
      <c r="E417" s="12" t="e">
        <f>INDEX(基础数据!$B$2:$B$1024,MATCH(转配商关联商!X417,基础数据!$D$2:$D$1024,0))</f>
        <v>#N/A</v>
      </c>
      <c r="G417" s="12" t="e">
        <f>INDEX([1]流向迭代数据!E$2:E$65536,MATCH(转配商关联商!W417,[1]流向迭代数据!M$2:M$65536,0))</f>
        <v>#N/A</v>
      </c>
      <c r="N417" s="12" t="e">
        <f>INDEX([1]流向迭代数据!J$2:J$65536,MATCH(L417,[1]流向迭代数据!H$2:H$65536,0))</f>
        <v>#N/A</v>
      </c>
      <c r="P417" s="14"/>
      <c r="T417" s="12" t="e">
        <f>INDEX([1]流向迭代数据!K$2:K$65536,MATCH(L417,[1]流向迭代数据!H$2:H$65536,0))</f>
        <v>#N/A</v>
      </c>
      <c r="W417" s="12" t="str">
        <f t="shared" si="13"/>
        <v/>
      </c>
    </row>
    <row r="418" spans="1:23" x14ac:dyDescent="0.15">
      <c r="A418" s="14" t="str">
        <f t="shared" si="12"/>
        <v>190001</v>
      </c>
      <c r="C418" s="12" t="e">
        <f>INDEX(基础数据!$A$2:$A$1024,MATCH(转配商关联商!X418,基础数据!$D$2:$D$1024,0))</f>
        <v>#N/A</v>
      </c>
      <c r="E418" s="12" t="e">
        <f>INDEX(基础数据!$B$2:$B$1024,MATCH(转配商关联商!X418,基础数据!$D$2:$D$1024,0))</f>
        <v>#N/A</v>
      </c>
      <c r="G418" s="12" t="e">
        <f>INDEX([1]流向迭代数据!E$2:E$65536,MATCH(转配商关联商!W418,[1]流向迭代数据!M$2:M$65536,0))</f>
        <v>#N/A</v>
      </c>
      <c r="N418" s="12" t="e">
        <f>INDEX([1]流向迭代数据!J$2:J$65536,MATCH(L418,[1]流向迭代数据!H$2:H$65536,0))</f>
        <v>#N/A</v>
      </c>
      <c r="P418" s="14"/>
      <c r="T418" s="12" t="e">
        <f>INDEX([1]流向迭代数据!K$2:K$65536,MATCH(L418,[1]流向迭代数据!H$2:H$65536,0))</f>
        <v>#N/A</v>
      </c>
      <c r="W418" s="12" t="str">
        <f t="shared" si="13"/>
        <v/>
      </c>
    </row>
    <row r="419" spans="1:23" x14ac:dyDescent="0.15">
      <c r="A419" s="14" t="str">
        <f t="shared" si="12"/>
        <v>190001</v>
      </c>
      <c r="C419" s="12" t="e">
        <f>INDEX(基础数据!$A$2:$A$1024,MATCH(转配商关联商!X419,基础数据!$D$2:$D$1024,0))</f>
        <v>#N/A</v>
      </c>
      <c r="E419" s="12" t="e">
        <f>INDEX(基础数据!$B$2:$B$1024,MATCH(转配商关联商!X419,基础数据!$D$2:$D$1024,0))</f>
        <v>#N/A</v>
      </c>
      <c r="G419" s="12" t="e">
        <f>INDEX([1]流向迭代数据!E$2:E$65536,MATCH(转配商关联商!W419,[1]流向迭代数据!M$2:M$65536,0))</f>
        <v>#N/A</v>
      </c>
      <c r="N419" s="12" t="e">
        <f>INDEX([1]流向迭代数据!J$2:J$65536,MATCH(L419,[1]流向迭代数据!H$2:H$65536,0))</f>
        <v>#N/A</v>
      </c>
      <c r="P419" s="14"/>
      <c r="T419" s="12" t="e">
        <f>INDEX([1]流向迭代数据!K$2:K$65536,MATCH(L419,[1]流向迭代数据!H$2:H$65536,0))</f>
        <v>#N/A</v>
      </c>
      <c r="W419" s="12" t="str">
        <f t="shared" si="13"/>
        <v/>
      </c>
    </row>
    <row r="420" spans="1:23" x14ac:dyDescent="0.15">
      <c r="A420" s="14" t="str">
        <f t="shared" si="12"/>
        <v>190001</v>
      </c>
      <c r="C420" s="12" t="e">
        <f>INDEX(基础数据!$A$2:$A$1024,MATCH(转配商关联商!X420,基础数据!$D$2:$D$1024,0))</f>
        <v>#N/A</v>
      </c>
      <c r="E420" s="12" t="e">
        <f>INDEX(基础数据!$B$2:$B$1024,MATCH(转配商关联商!X420,基础数据!$D$2:$D$1024,0))</f>
        <v>#N/A</v>
      </c>
      <c r="G420" s="12" t="e">
        <f>INDEX([1]流向迭代数据!E$2:E$65536,MATCH(转配商关联商!W420,[1]流向迭代数据!M$2:M$65536,0))</f>
        <v>#N/A</v>
      </c>
      <c r="N420" s="12" t="e">
        <f>INDEX([1]流向迭代数据!J$2:J$65536,MATCH(L420,[1]流向迭代数据!H$2:H$65536,0))</f>
        <v>#N/A</v>
      </c>
      <c r="P420" s="14"/>
      <c r="T420" s="12" t="e">
        <f>INDEX([1]流向迭代数据!K$2:K$65536,MATCH(L420,[1]流向迭代数据!H$2:H$65536,0))</f>
        <v>#N/A</v>
      </c>
      <c r="W420" s="12" t="str">
        <f t="shared" si="13"/>
        <v/>
      </c>
    </row>
    <row r="421" spans="1:23" x14ac:dyDescent="0.15">
      <c r="A421" s="14" t="str">
        <f t="shared" si="12"/>
        <v>190001</v>
      </c>
      <c r="C421" s="12" t="e">
        <f>INDEX(基础数据!$A$2:$A$1024,MATCH(转配商关联商!X421,基础数据!$D$2:$D$1024,0))</f>
        <v>#N/A</v>
      </c>
      <c r="E421" s="12" t="e">
        <f>INDEX(基础数据!$B$2:$B$1024,MATCH(转配商关联商!X421,基础数据!$D$2:$D$1024,0))</f>
        <v>#N/A</v>
      </c>
      <c r="G421" s="12" t="e">
        <f>INDEX([1]流向迭代数据!E$2:E$65536,MATCH(转配商关联商!W421,[1]流向迭代数据!M$2:M$65536,0))</f>
        <v>#N/A</v>
      </c>
      <c r="N421" s="12" t="e">
        <f>INDEX([1]流向迭代数据!J$2:J$65536,MATCH(L421,[1]流向迭代数据!H$2:H$65536,0))</f>
        <v>#N/A</v>
      </c>
      <c r="P421" s="14"/>
      <c r="T421" s="12" t="e">
        <f>INDEX([1]流向迭代数据!K$2:K$65536,MATCH(L421,[1]流向迭代数据!H$2:H$65536,0))</f>
        <v>#N/A</v>
      </c>
      <c r="W421" s="12" t="str">
        <f t="shared" si="13"/>
        <v/>
      </c>
    </row>
    <row r="422" spans="1:23" x14ac:dyDescent="0.15">
      <c r="A422" s="14" t="str">
        <f t="shared" si="12"/>
        <v>190001</v>
      </c>
      <c r="C422" s="12" t="e">
        <f>INDEX(基础数据!$A$2:$A$1024,MATCH(转配商关联商!X422,基础数据!$D$2:$D$1024,0))</f>
        <v>#N/A</v>
      </c>
      <c r="E422" s="12" t="e">
        <f>INDEX(基础数据!$B$2:$B$1024,MATCH(转配商关联商!X422,基础数据!$D$2:$D$1024,0))</f>
        <v>#N/A</v>
      </c>
      <c r="G422" s="12" t="e">
        <f>INDEX([1]流向迭代数据!E$2:E$65536,MATCH(转配商关联商!W422,[1]流向迭代数据!M$2:M$65536,0))</f>
        <v>#N/A</v>
      </c>
      <c r="N422" s="12" t="e">
        <f>INDEX([1]流向迭代数据!J$2:J$65536,MATCH(L422,[1]流向迭代数据!H$2:H$65536,0))</f>
        <v>#N/A</v>
      </c>
      <c r="P422" s="14"/>
      <c r="T422" s="12" t="e">
        <f>INDEX([1]流向迭代数据!K$2:K$65536,MATCH(L422,[1]流向迭代数据!H$2:H$65536,0))</f>
        <v>#N/A</v>
      </c>
      <c r="W422" s="12" t="str">
        <f t="shared" si="13"/>
        <v/>
      </c>
    </row>
    <row r="423" spans="1:23" x14ac:dyDescent="0.15">
      <c r="A423" s="14" t="str">
        <f t="shared" si="12"/>
        <v>190001</v>
      </c>
      <c r="C423" s="12" t="e">
        <f>INDEX(基础数据!$A$2:$A$1024,MATCH(转配商关联商!X423,基础数据!$D$2:$D$1024,0))</f>
        <v>#N/A</v>
      </c>
      <c r="E423" s="12" t="e">
        <f>INDEX(基础数据!$B$2:$B$1024,MATCH(转配商关联商!X423,基础数据!$D$2:$D$1024,0))</f>
        <v>#N/A</v>
      </c>
      <c r="G423" s="12" t="e">
        <f>INDEX([1]流向迭代数据!E$2:E$65536,MATCH(转配商关联商!W423,[1]流向迭代数据!M$2:M$65536,0))</f>
        <v>#N/A</v>
      </c>
      <c r="N423" s="12" t="e">
        <f>INDEX([1]流向迭代数据!J$2:J$65536,MATCH(L423,[1]流向迭代数据!H$2:H$65536,0))</f>
        <v>#N/A</v>
      </c>
      <c r="P423" s="14"/>
      <c r="T423" s="12" t="e">
        <f>INDEX([1]流向迭代数据!K$2:K$65536,MATCH(L423,[1]流向迭代数据!H$2:H$65536,0))</f>
        <v>#N/A</v>
      </c>
      <c r="W423" s="12" t="str">
        <f t="shared" si="13"/>
        <v/>
      </c>
    </row>
    <row r="424" spans="1:23" x14ac:dyDescent="0.15">
      <c r="A424" s="14" t="str">
        <f t="shared" si="12"/>
        <v>190001</v>
      </c>
      <c r="C424" s="12" t="e">
        <f>INDEX(基础数据!$A$2:$A$1024,MATCH(转配商关联商!X424,基础数据!$D$2:$D$1024,0))</f>
        <v>#N/A</v>
      </c>
      <c r="E424" s="12" t="e">
        <f>INDEX(基础数据!$B$2:$B$1024,MATCH(转配商关联商!X424,基础数据!$D$2:$D$1024,0))</f>
        <v>#N/A</v>
      </c>
      <c r="G424" s="12" t="e">
        <f>INDEX([1]流向迭代数据!E$2:E$65536,MATCH(转配商关联商!W424,[1]流向迭代数据!M$2:M$65536,0))</f>
        <v>#N/A</v>
      </c>
      <c r="N424" s="12" t="e">
        <f>INDEX([1]流向迭代数据!J$2:J$65536,MATCH(L424,[1]流向迭代数据!H$2:H$65536,0))</f>
        <v>#N/A</v>
      </c>
      <c r="P424" s="14"/>
      <c r="T424" s="12" t="e">
        <f>INDEX([1]流向迭代数据!K$2:K$65536,MATCH(L424,[1]流向迭代数据!H$2:H$65536,0))</f>
        <v>#N/A</v>
      </c>
      <c r="W424" s="12" t="str">
        <f t="shared" si="13"/>
        <v/>
      </c>
    </row>
    <row r="425" spans="1:23" x14ac:dyDescent="0.15">
      <c r="A425" s="14" t="str">
        <f t="shared" si="12"/>
        <v>190001</v>
      </c>
      <c r="C425" s="12" t="e">
        <f>INDEX(基础数据!$A$2:$A$1024,MATCH(转配商关联商!X425,基础数据!$D$2:$D$1024,0))</f>
        <v>#N/A</v>
      </c>
      <c r="E425" s="12" t="e">
        <f>INDEX(基础数据!$B$2:$B$1024,MATCH(转配商关联商!X425,基础数据!$D$2:$D$1024,0))</f>
        <v>#N/A</v>
      </c>
      <c r="G425" s="12" t="e">
        <f>INDEX([1]流向迭代数据!E$2:E$65536,MATCH(转配商关联商!W425,[1]流向迭代数据!M$2:M$65536,0))</f>
        <v>#N/A</v>
      </c>
      <c r="N425" s="12" t="e">
        <f>INDEX([1]流向迭代数据!J$2:J$65536,MATCH(L425,[1]流向迭代数据!H$2:H$65536,0))</f>
        <v>#N/A</v>
      </c>
      <c r="P425" s="14"/>
      <c r="T425" s="12" t="e">
        <f>INDEX([1]流向迭代数据!K$2:K$65536,MATCH(L425,[1]流向迭代数据!H$2:H$65536,0))</f>
        <v>#N/A</v>
      </c>
      <c r="W425" s="12" t="str">
        <f t="shared" si="13"/>
        <v/>
      </c>
    </row>
    <row r="426" spans="1:23" x14ac:dyDescent="0.15">
      <c r="A426" s="14" t="str">
        <f t="shared" si="12"/>
        <v>190001</v>
      </c>
      <c r="C426" s="12" t="e">
        <f>INDEX(基础数据!$A$2:$A$1024,MATCH(转配商关联商!X426,基础数据!$D$2:$D$1024,0))</f>
        <v>#N/A</v>
      </c>
      <c r="E426" s="12" t="e">
        <f>INDEX(基础数据!$B$2:$B$1024,MATCH(转配商关联商!X426,基础数据!$D$2:$D$1024,0))</f>
        <v>#N/A</v>
      </c>
      <c r="G426" s="12" t="e">
        <f>INDEX([1]流向迭代数据!E$2:E$65536,MATCH(转配商关联商!W426,[1]流向迭代数据!M$2:M$65536,0))</f>
        <v>#N/A</v>
      </c>
      <c r="N426" s="12" t="e">
        <f>INDEX([1]流向迭代数据!J$2:J$65536,MATCH(L426,[1]流向迭代数据!H$2:H$65536,0))</f>
        <v>#N/A</v>
      </c>
      <c r="P426" s="14"/>
      <c r="T426" s="12" t="e">
        <f>INDEX([1]流向迭代数据!K$2:K$65536,MATCH(L426,[1]流向迭代数据!H$2:H$65536,0))</f>
        <v>#N/A</v>
      </c>
      <c r="W426" s="12" t="str">
        <f t="shared" si="13"/>
        <v/>
      </c>
    </row>
    <row r="427" spans="1:23" x14ac:dyDescent="0.15">
      <c r="A427" s="14" t="str">
        <f t="shared" si="12"/>
        <v>190001</v>
      </c>
      <c r="C427" s="12" t="e">
        <f>INDEX(基础数据!$A$2:$A$1024,MATCH(转配商关联商!X427,基础数据!$D$2:$D$1024,0))</f>
        <v>#N/A</v>
      </c>
      <c r="E427" s="12" t="e">
        <f>INDEX(基础数据!$B$2:$B$1024,MATCH(转配商关联商!X427,基础数据!$D$2:$D$1024,0))</f>
        <v>#N/A</v>
      </c>
      <c r="G427" s="12" t="e">
        <f>INDEX([1]流向迭代数据!E$2:E$65536,MATCH(转配商关联商!W427,[1]流向迭代数据!M$2:M$65536,0))</f>
        <v>#N/A</v>
      </c>
      <c r="N427" s="12" t="e">
        <f>INDEX([1]流向迭代数据!J$2:J$65536,MATCH(L427,[1]流向迭代数据!H$2:H$65536,0))</f>
        <v>#N/A</v>
      </c>
      <c r="P427" s="14"/>
      <c r="T427" s="12" t="e">
        <f>INDEX([1]流向迭代数据!K$2:K$65536,MATCH(L427,[1]流向迭代数据!H$2:H$65536,0))</f>
        <v>#N/A</v>
      </c>
      <c r="W427" s="12" t="str">
        <f t="shared" si="13"/>
        <v/>
      </c>
    </row>
    <row r="428" spans="1:23" x14ac:dyDescent="0.15">
      <c r="A428" s="14" t="str">
        <f t="shared" si="12"/>
        <v>190001</v>
      </c>
      <c r="C428" s="12" t="e">
        <f>INDEX(基础数据!$A$2:$A$1024,MATCH(转配商关联商!X428,基础数据!$D$2:$D$1024,0))</f>
        <v>#N/A</v>
      </c>
      <c r="E428" s="12" t="e">
        <f>INDEX(基础数据!$B$2:$B$1024,MATCH(转配商关联商!X428,基础数据!$D$2:$D$1024,0))</f>
        <v>#N/A</v>
      </c>
      <c r="G428" s="12" t="e">
        <f>INDEX([1]流向迭代数据!E$2:E$65536,MATCH(转配商关联商!W428,[1]流向迭代数据!M$2:M$65536,0))</f>
        <v>#N/A</v>
      </c>
      <c r="N428" s="12" t="e">
        <f>INDEX([1]流向迭代数据!J$2:J$65536,MATCH(L428,[1]流向迭代数据!H$2:H$65536,0))</f>
        <v>#N/A</v>
      </c>
      <c r="P428" s="14"/>
      <c r="T428" s="12" t="e">
        <f>INDEX([1]流向迭代数据!K$2:K$65536,MATCH(L428,[1]流向迭代数据!H$2:H$65536,0))</f>
        <v>#N/A</v>
      </c>
      <c r="W428" s="12" t="str">
        <f t="shared" si="13"/>
        <v/>
      </c>
    </row>
    <row r="429" spans="1:23" x14ac:dyDescent="0.15">
      <c r="A429" s="14" t="str">
        <f t="shared" si="12"/>
        <v>190001</v>
      </c>
      <c r="C429" s="12" t="e">
        <f>INDEX(基础数据!$A$2:$A$1024,MATCH(转配商关联商!X429,基础数据!$D$2:$D$1024,0))</f>
        <v>#N/A</v>
      </c>
      <c r="E429" s="12" t="e">
        <f>INDEX(基础数据!$B$2:$B$1024,MATCH(转配商关联商!X429,基础数据!$D$2:$D$1024,0))</f>
        <v>#N/A</v>
      </c>
      <c r="G429" s="12" t="e">
        <f>INDEX([1]流向迭代数据!E$2:E$65536,MATCH(转配商关联商!W429,[1]流向迭代数据!M$2:M$65536,0))</f>
        <v>#N/A</v>
      </c>
      <c r="N429" s="12" t="e">
        <f>INDEX([1]流向迭代数据!J$2:J$65536,MATCH(L429,[1]流向迭代数据!H$2:H$65536,0))</f>
        <v>#N/A</v>
      </c>
      <c r="P429" s="14"/>
      <c r="T429" s="12" t="e">
        <f>INDEX([1]流向迭代数据!K$2:K$65536,MATCH(L429,[1]流向迭代数据!H$2:H$65536,0))</f>
        <v>#N/A</v>
      </c>
      <c r="W429" s="12" t="str">
        <f t="shared" si="13"/>
        <v/>
      </c>
    </row>
    <row r="430" spans="1:23" x14ac:dyDescent="0.15">
      <c r="A430" s="14" t="str">
        <f t="shared" si="12"/>
        <v>190001</v>
      </c>
      <c r="C430" s="12" t="e">
        <f>INDEX(基础数据!$A$2:$A$1024,MATCH(转配商关联商!X430,基础数据!$D$2:$D$1024,0))</f>
        <v>#N/A</v>
      </c>
      <c r="E430" s="12" t="e">
        <f>INDEX(基础数据!$B$2:$B$1024,MATCH(转配商关联商!X430,基础数据!$D$2:$D$1024,0))</f>
        <v>#N/A</v>
      </c>
      <c r="G430" s="12" t="e">
        <f>INDEX([1]流向迭代数据!E$2:E$65536,MATCH(转配商关联商!W430,[1]流向迭代数据!M$2:M$65536,0))</f>
        <v>#N/A</v>
      </c>
      <c r="N430" s="12" t="e">
        <f>INDEX([1]流向迭代数据!J$2:J$65536,MATCH(L430,[1]流向迭代数据!H$2:H$65536,0))</f>
        <v>#N/A</v>
      </c>
      <c r="P430" s="14"/>
      <c r="T430" s="12" t="e">
        <f>INDEX([1]流向迭代数据!K$2:K$65536,MATCH(L430,[1]流向迭代数据!H$2:H$65536,0))</f>
        <v>#N/A</v>
      </c>
      <c r="W430" s="12" t="str">
        <f t="shared" si="13"/>
        <v/>
      </c>
    </row>
    <row r="431" spans="1:23" x14ac:dyDescent="0.15">
      <c r="A431" s="14" t="str">
        <f t="shared" si="12"/>
        <v>190001</v>
      </c>
      <c r="C431" s="12" t="e">
        <f>INDEX(基础数据!$A$2:$A$1024,MATCH(转配商关联商!X431,基础数据!$D$2:$D$1024,0))</f>
        <v>#N/A</v>
      </c>
      <c r="E431" s="12" t="e">
        <f>INDEX(基础数据!$B$2:$B$1024,MATCH(转配商关联商!X431,基础数据!$D$2:$D$1024,0))</f>
        <v>#N/A</v>
      </c>
      <c r="G431" s="12" t="e">
        <f>INDEX([1]流向迭代数据!E$2:E$65536,MATCH(转配商关联商!W431,[1]流向迭代数据!M$2:M$65536,0))</f>
        <v>#N/A</v>
      </c>
      <c r="N431" s="12" t="e">
        <f>INDEX([1]流向迭代数据!J$2:J$65536,MATCH(L431,[1]流向迭代数据!H$2:H$65536,0))</f>
        <v>#N/A</v>
      </c>
      <c r="P431" s="14"/>
      <c r="T431" s="12" t="e">
        <f>INDEX([1]流向迭代数据!K$2:K$65536,MATCH(L431,[1]流向迭代数据!H$2:H$65536,0))</f>
        <v>#N/A</v>
      </c>
      <c r="W431" s="12" t="str">
        <f t="shared" si="13"/>
        <v/>
      </c>
    </row>
    <row r="432" spans="1:23" x14ac:dyDescent="0.15">
      <c r="A432" s="14" t="str">
        <f t="shared" si="12"/>
        <v>190001</v>
      </c>
      <c r="C432" s="12" t="e">
        <f>INDEX(基础数据!$A$2:$A$1024,MATCH(转配商关联商!X432,基础数据!$D$2:$D$1024,0))</f>
        <v>#N/A</v>
      </c>
      <c r="E432" s="12" t="e">
        <f>INDEX(基础数据!$B$2:$B$1024,MATCH(转配商关联商!X432,基础数据!$D$2:$D$1024,0))</f>
        <v>#N/A</v>
      </c>
      <c r="G432" s="12" t="e">
        <f>INDEX([1]流向迭代数据!E$2:E$65536,MATCH(转配商关联商!W432,[1]流向迭代数据!M$2:M$65536,0))</f>
        <v>#N/A</v>
      </c>
      <c r="N432" s="12" t="e">
        <f>INDEX([1]流向迭代数据!J$2:J$65536,MATCH(L432,[1]流向迭代数据!H$2:H$65536,0))</f>
        <v>#N/A</v>
      </c>
      <c r="P432" s="14"/>
      <c r="T432" s="12" t="e">
        <f>INDEX([1]流向迭代数据!K$2:K$65536,MATCH(L432,[1]流向迭代数据!H$2:H$65536,0))</f>
        <v>#N/A</v>
      </c>
      <c r="W432" s="12" t="str">
        <f t="shared" si="13"/>
        <v/>
      </c>
    </row>
    <row r="433" spans="1:23" x14ac:dyDescent="0.15">
      <c r="A433" s="14" t="str">
        <f t="shared" si="12"/>
        <v>190001</v>
      </c>
      <c r="C433" s="12" t="e">
        <f>INDEX(基础数据!$A$2:$A$1024,MATCH(转配商关联商!X433,基础数据!$D$2:$D$1024,0))</f>
        <v>#N/A</v>
      </c>
      <c r="E433" s="12" t="e">
        <f>INDEX(基础数据!$B$2:$B$1024,MATCH(转配商关联商!X433,基础数据!$D$2:$D$1024,0))</f>
        <v>#N/A</v>
      </c>
      <c r="G433" s="12" t="e">
        <f>INDEX([1]流向迭代数据!E$2:E$65536,MATCH(转配商关联商!W433,[1]流向迭代数据!M$2:M$65536,0))</f>
        <v>#N/A</v>
      </c>
      <c r="N433" s="12" t="e">
        <f>INDEX([1]流向迭代数据!J$2:J$65536,MATCH(L433,[1]流向迭代数据!H$2:H$65536,0))</f>
        <v>#N/A</v>
      </c>
      <c r="P433" s="14"/>
      <c r="T433" s="12" t="e">
        <f>INDEX([1]流向迭代数据!K$2:K$65536,MATCH(L433,[1]流向迭代数据!H$2:H$65536,0))</f>
        <v>#N/A</v>
      </c>
      <c r="W433" s="12" t="str">
        <f t="shared" si="13"/>
        <v/>
      </c>
    </row>
    <row r="434" spans="1:23" x14ac:dyDescent="0.15">
      <c r="A434" s="14" t="str">
        <f t="shared" si="12"/>
        <v>190001</v>
      </c>
      <c r="C434" s="12" t="e">
        <f>INDEX(基础数据!$A$2:$A$1024,MATCH(转配商关联商!X434,基础数据!$D$2:$D$1024,0))</f>
        <v>#N/A</v>
      </c>
      <c r="E434" s="12" t="e">
        <f>INDEX(基础数据!$B$2:$B$1024,MATCH(转配商关联商!X434,基础数据!$D$2:$D$1024,0))</f>
        <v>#N/A</v>
      </c>
      <c r="G434" s="12" t="e">
        <f>INDEX([1]流向迭代数据!E$2:E$65536,MATCH(转配商关联商!W434,[1]流向迭代数据!M$2:M$65536,0))</f>
        <v>#N/A</v>
      </c>
      <c r="N434" s="12" t="e">
        <f>INDEX([1]流向迭代数据!J$2:J$65536,MATCH(L434,[1]流向迭代数据!H$2:H$65536,0))</f>
        <v>#N/A</v>
      </c>
      <c r="P434" s="14"/>
      <c r="T434" s="12" t="e">
        <f>INDEX([1]流向迭代数据!K$2:K$65536,MATCH(L434,[1]流向迭代数据!H$2:H$65536,0))</f>
        <v>#N/A</v>
      </c>
      <c r="W434" s="12" t="str">
        <f t="shared" si="13"/>
        <v/>
      </c>
    </row>
    <row r="435" spans="1:23" x14ac:dyDescent="0.15">
      <c r="A435" s="14" t="str">
        <f t="shared" si="12"/>
        <v>190001</v>
      </c>
      <c r="C435" s="12" t="e">
        <f>INDEX(基础数据!$A$2:$A$1024,MATCH(转配商关联商!X435,基础数据!$D$2:$D$1024,0))</f>
        <v>#N/A</v>
      </c>
      <c r="E435" s="12" t="e">
        <f>INDEX(基础数据!$B$2:$B$1024,MATCH(转配商关联商!X435,基础数据!$D$2:$D$1024,0))</f>
        <v>#N/A</v>
      </c>
      <c r="G435" s="12" t="e">
        <f>INDEX([1]流向迭代数据!E$2:E$65536,MATCH(转配商关联商!W435,[1]流向迭代数据!M$2:M$65536,0))</f>
        <v>#N/A</v>
      </c>
      <c r="N435" s="12" t="e">
        <f>INDEX([1]流向迭代数据!J$2:J$65536,MATCH(L435,[1]流向迭代数据!H$2:H$65536,0))</f>
        <v>#N/A</v>
      </c>
      <c r="P435" s="14"/>
      <c r="T435" s="12" t="e">
        <f>INDEX([1]流向迭代数据!K$2:K$65536,MATCH(L435,[1]流向迭代数据!H$2:H$65536,0))</f>
        <v>#N/A</v>
      </c>
      <c r="W435" s="12" t="str">
        <f t="shared" si="13"/>
        <v/>
      </c>
    </row>
    <row r="436" spans="1:23" x14ac:dyDescent="0.15">
      <c r="A436" s="14" t="str">
        <f t="shared" si="12"/>
        <v>190001</v>
      </c>
      <c r="C436" s="12" t="e">
        <f>INDEX(基础数据!$A$2:$A$1024,MATCH(转配商关联商!X436,基础数据!$D$2:$D$1024,0))</f>
        <v>#N/A</v>
      </c>
      <c r="E436" s="12" t="e">
        <f>INDEX(基础数据!$B$2:$B$1024,MATCH(转配商关联商!X436,基础数据!$D$2:$D$1024,0))</f>
        <v>#N/A</v>
      </c>
      <c r="G436" s="12" t="e">
        <f>INDEX([1]流向迭代数据!E$2:E$65536,MATCH(转配商关联商!W436,[1]流向迭代数据!M$2:M$65536,0))</f>
        <v>#N/A</v>
      </c>
      <c r="N436" s="12" t="e">
        <f>INDEX([1]流向迭代数据!J$2:J$65536,MATCH(L436,[1]流向迭代数据!H$2:H$65536,0))</f>
        <v>#N/A</v>
      </c>
      <c r="P436" s="14"/>
      <c r="T436" s="12" t="e">
        <f>INDEX([1]流向迭代数据!K$2:K$65536,MATCH(L436,[1]流向迭代数据!H$2:H$65536,0))</f>
        <v>#N/A</v>
      </c>
      <c r="W436" s="12" t="str">
        <f t="shared" si="13"/>
        <v/>
      </c>
    </row>
    <row r="437" spans="1:23" x14ac:dyDescent="0.15">
      <c r="A437" s="14" t="str">
        <f t="shared" si="12"/>
        <v>190001</v>
      </c>
      <c r="C437" s="12" t="e">
        <f>INDEX(基础数据!$A$2:$A$1024,MATCH(转配商关联商!X437,基础数据!$D$2:$D$1024,0))</f>
        <v>#N/A</v>
      </c>
      <c r="E437" s="12" t="e">
        <f>INDEX(基础数据!$B$2:$B$1024,MATCH(转配商关联商!X437,基础数据!$D$2:$D$1024,0))</f>
        <v>#N/A</v>
      </c>
      <c r="G437" s="12" t="e">
        <f>INDEX([1]流向迭代数据!E$2:E$65536,MATCH(转配商关联商!W437,[1]流向迭代数据!M$2:M$65536,0))</f>
        <v>#N/A</v>
      </c>
      <c r="N437" s="12" t="e">
        <f>INDEX([1]流向迭代数据!J$2:J$65536,MATCH(L437,[1]流向迭代数据!H$2:H$65536,0))</f>
        <v>#N/A</v>
      </c>
      <c r="P437" s="14"/>
      <c r="T437" s="12" t="e">
        <f>INDEX([1]流向迭代数据!K$2:K$65536,MATCH(L437,[1]流向迭代数据!H$2:H$65536,0))</f>
        <v>#N/A</v>
      </c>
      <c r="W437" s="12" t="str">
        <f t="shared" si="13"/>
        <v/>
      </c>
    </row>
    <row r="438" spans="1:23" x14ac:dyDescent="0.15">
      <c r="A438" s="14" t="str">
        <f t="shared" si="12"/>
        <v>190001</v>
      </c>
      <c r="C438" s="12" t="e">
        <f>INDEX(基础数据!$A$2:$A$1024,MATCH(转配商关联商!X438,基础数据!$D$2:$D$1024,0))</f>
        <v>#N/A</v>
      </c>
      <c r="E438" s="12" t="e">
        <f>INDEX(基础数据!$B$2:$B$1024,MATCH(转配商关联商!X438,基础数据!$D$2:$D$1024,0))</f>
        <v>#N/A</v>
      </c>
      <c r="G438" s="12" t="e">
        <f>INDEX([1]流向迭代数据!E$2:E$65536,MATCH(转配商关联商!W438,[1]流向迭代数据!M$2:M$65536,0))</f>
        <v>#N/A</v>
      </c>
      <c r="N438" s="12" t="e">
        <f>INDEX([1]流向迭代数据!J$2:J$65536,MATCH(L438,[1]流向迭代数据!H$2:H$65536,0))</f>
        <v>#N/A</v>
      </c>
      <c r="P438" s="14"/>
      <c r="T438" s="12" t="e">
        <f>INDEX([1]流向迭代数据!K$2:K$65536,MATCH(L438,[1]流向迭代数据!H$2:H$65536,0))</f>
        <v>#N/A</v>
      </c>
      <c r="W438" s="12" t="str">
        <f t="shared" si="13"/>
        <v/>
      </c>
    </row>
    <row r="439" spans="1:23" x14ac:dyDescent="0.15">
      <c r="A439" s="14" t="str">
        <f t="shared" si="12"/>
        <v>190001</v>
      </c>
      <c r="C439" s="12" t="e">
        <f>INDEX(基础数据!$A$2:$A$1024,MATCH(转配商关联商!X439,基础数据!$D$2:$D$1024,0))</f>
        <v>#N/A</v>
      </c>
      <c r="E439" s="12" t="e">
        <f>INDEX(基础数据!$B$2:$B$1024,MATCH(转配商关联商!X439,基础数据!$D$2:$D$1024,0))</f>
        <v>#N/A</v>
      </c>
      <c r="G439" s="12" t="e">
        <f>INDEX([1]流向迭代数据!E$2:E$65536,MATCH(转配商关联商!W439,[1]流向迭代数据!M$2:M$65536,0))</f>
        <v>#N/A</v>
      </c>
      <c r="N439" s="12" t="e">
        <f>INDEX([1]流向迭代数据!J$2:J$65536,MATCH(L439,[1]流向迭代数据!H$2:H$65536,0))</f>
        <v>#N/A</v>
      </c>
      <c r="P439" s="14"/>
      <c r="T439" s="12" t="e">
        <f>INDEX([1]流向迭代数据!K$2:K$65536,MATCH(L439,[1]流向迭代数据!H$2:H$65536,0))</f>
        <v>#N/A</v>
      </c>
      <c r="W439" s="12" t="str">
        <f t="shared" si="13"/>
        <v/>
      </c>
    </row>
    <row r="440" spans="1:23" x14ac:dyDescent="0.15">
      <c r="A440" s="14" t="str">
        <f t="shared" si="12"/>
        <v>190001</v>
      </c>
      <c r="C440" s="12" t="e">
        <f>INDEX(基础数据!$A$2:$A$1024,MATCH(转配商关联商!X440,基础数据!$D$2:$D$1024,0))</f>
        <v>#N/A</v>
      </c>
      <c r="E440" s="12" t="e">
        <f>INDEX(基础数据!$B$2:$B$1024,MATCH(转配商关联商!X440,基础数据!$D$2:$D$1024,0))</f>
        <v>#N/A</v>
      </c>
      <c r="G440" s="12" t="e">
        <f>INDEX([1]流向迭代数据!E$2:E$65536,MATCH(转配商关联商!W440,[1]流向迭代数据!M$2:M$65536,0))</f>
        <v>#N/A</v>
      </c>
      <c r="N440" s="12" t="e">
        <f>INDEX([1]流向迭代数据!J$2:J$65536,MATCH(L440,[1]流向迭代数据!H$2:H$65536,0))</f>
        <v>#N/A</v>
      </c>
      <c r="P440" s="14"/>
      <c r="T440" s="12" t="e">
        <f>INDEX([1]流向迭代数据!K$2:K$65536,MATCH(L440,[1]流向迭代数据!H$2:H$65536,0))</f>
        <v>#N/A</v>
      </c>
      <c r="W440" s="12" t="str">
        <f t="shared" si="13"/>
        <v/>
      </c>
    </row>
    <row r="441" spans="1:23" x14ac:dyDescent="0.15">
      <c r="A441" s="14" t="str">
        <f t="shared" si="12"/>
        <v>190001</v>
      </c>
      <c r="C441" s="12" t="e">
        <f>INDEX(基础数据!$A$2:$A$1024,MATCH(转配商关联商!X441,基础数据!$D$2:$D$1024,0))</f>
        <v>#N/A</v>
      </c>
      <c r="E441" s="12" t="e">
        <f>INDEX(基础数据!$B$2:$B$1024,MATCH(转配商关联商!X441,基础数据!$D$2:$D$1024,0))</f>
        <v>#N/A</v>
      </c>
      <c r="G441" s="12" t="e">
        <f>INDEX([1]流向迭代数据!E$2:E$65536,MATCH(转配商关联商!W441,[1]流向迭代数据!M$2:M$65536,0))</f>
        <v>#N/A</v>
      </c>
      <c r="N441" s="12" t="e">
        <f>INDEX([1]流向迭代数据!J$2:J$65536,MATCH(L441,[1]流向迭代数据!H$2:H$65536,0))</f>
        <v>#N/A</v>
      </c>
      <c r="P441" s="14"/>
      <c r="T441" s="12" t="e">
        <f>INDEX([1]流向迭代数据!K$2:K$65536,MATCH(L441,[1]流向迭代数据!H$2:H$65536,0))</f>
        <v>#N/A</v>
      </c>
      <c r="W441" s="12" t="str">
        <f t="shared" si="13"/>
        <v/>
      </c>
    </row>
    <row r="442" spans="1:23" x14ac:dyDescent="0.15">
      <c r="A442" s="14" t="str">
        <f t="shared" si="12"/>
        <v>190001</v>
      </c>
      <c r="C442" s="12" t="e">
        <f>INDEX(基础数据!$A$2:$A$1024,MATCH(转配商关联商!X442,基础数据!$D$2:$D$1024,0))</f>
        <v>#N/A</v>
      </c>
      <c r="E442" s="12" t="e">
        <f>INDEX(基础数据!$B$2:$B$1024,MATCH(转配商关联商!X442,基础数据!$D$2:$D$1024,0))</f>
        <v>#N/A</v>
      </c>
      <c r="G442" s="12" t="e">
        <f>INDEX([1]流向迭代数据!E$2:E$65536,MATCH(转配商关联商!W442,[1]流向迭代数据!M$2:M$65536,0))</f>
        <v>#N/A</v>
      </c>
      <c r="N442" s="12" t="e">
        <f>INDEX([1]流向迭代数据!J$2:J$65536,MATCH(L442,[1]流向迭代数据!H$2:H$65536,0))</f>
        <v>#N/A</v>
      </c>
      <c r="P442" s="14"/>
      <c r="T442" s="12" t="e">
        <f>INDEX([1]流向迭代数据!K$2:K$65536,MATCH(L442,[1]流向迭代数据!H$2:H$65536,0))</f>
        <v>#N/A</v>
      </c>
      <c r="W442" s="12" t="str">
        <f t="shared" si="13"/>
        <v/>
      </c>
    </row>
    <row r="443" spans="1:23" x14ac:dyDescent="0.15">
      <c r="A443" s="14" t="str">
        <f t="shared" si="12"/>
        <v>190001</v>
      </c>
      <c r="C443" s="12" t="e">
        <f>INDEX(基础数据!$A$2:$A$1024,MATCH(转配商关联商!X443,基础数据!$D$2:$D$1024,0))</f>
        <v>#N/A</v>
      </c>
      <c r="E443" s="12" t="e">
        <f>INDEX(基础数据!$B$2:$B$1024,MATCH(转配商关联商!X443,基础数据!$D$2:$D$1024,0))</f>
        <v>#N/A</v>
      </c>
      <c r="G443" s="12" t="e">
        <f>INDEX([1]流向迭代数据!E$2:E$65536,MATCH(转配商关联商!W443,[1]流向迭代数据!M$2:M$65536,0))</f>
        <v>#N/A</v>
      </c>
      <c r="N443" s="12" t="e">
        <f>INDEX([1]流向迭代数据!J$2:J$65536,MATCH(L443,[1]流向迭代数据!H$2:H$65536,0))</f>
        <v>#N/A</v>
      </c>
      <c r="P443" s="14"/>
      <c r="T443" s="12" t="e">
        <f>INDEX([1]流向迭代数据!K$2:K$65536,MATCH(L443,[1]流向迭代数据!H$2:H$65536,0))</f>
        <v>#N/A</v>
      </c>
      <c r="W443" s="12" t="str">
        <f t="shared" si="13"/>
        <v/>
      </c>
    </row>
    <row r="444" spans="1:23" x14ac:dyDescent="0.15">
      <c r="A444" s="14" t="str">
        <f t="shared" si="12"/>
        <v>190001</v>
      </c>
      <c r="C444" s="12" t="e">
        <f>INDEX(基础数据!$A$2:$A$1024,MATCH(转配商关联商!X444,基础数据!$D$2:$D$1024,0))</f>
        <v>#N/A</v>
      </c>
      <c r="E444" s="12" t="e">
        <f>INDEX(基础数据!$B$2:$B$1024,MATCH(转配商关联商!X444,基础数据!$D$2:$D$1024,0))</f>
        <v>#N/A</v>
      </c>
      <c r="G444" s="12" t="e">
        <f>INDEX([1]流向迭代数据!E$2:E$65536,MATCH(转配商关联商!W444,[1]流向迭代数据!M$2:M$65536,0))</f>
        <v>#N/A</v>
      </c>
      <c r="N444" s="12" t="e">
        <f>INDEX([1]流向迭代数据!J$2:J$65536,MATCH(L444,[1]流向迭代数据!H$2:H$65536,0))</f>
        <v>#N/A</v>
      </c>
      <c r="P444" s="14"/>
      <c r="T444" s="12" t="e">
        <f>INDEX([1]流向迭代数据!K$2:K$65536,MATCH(L444,[1]流向迭代数据!H$2:H$65536,0))</f>
        <v>#N/A</v>
      </c>
      <c r="W444" s="12" t="str">
        <f t="shared" si="13"/>
        <v/>
      </c>
    </row>
    <row r="445" spans="1:23" x14ac:dyDescent="0.15">
      <c r="A445" s="14" t="str">
        <f t="shared" si="12"/>
        <v>190001</v>
      </c>
      <c r="C445" s="12" t="e">
        <f>INDEX(基础数据!$A$2:$A$1024,MATCH(转配商关联商!X445,基础数据!$D$2:$D$1024,0))</f>
        <v>#N/A</v>
      </c>
      <c r="E445" s="12" t="e">
        <f>INDEX(基础数据!$B$2:$B$1024,MATCH(转配商关联商!X445,基础数据!$D$2:$D$1024,0))</f>
        <v>#N/A</v>
      </c>
      <c r="G445" s="12" t="e">
        <f>INDEX([1]流向迭代数据!E$2:E$65536,MATCH(转配商关联商!W445,[1]流向迭代数据!M$2:M$65536,0))</f>
        <v>#N/A</v>
      </c>
      <c r="N445" s="12" t="e">
        <f>INDEX([1]流向迭代数据!J$2:J$65536,MATCH(L445,[1]流向迭代数据!H$2:H$65536,0))</f>
        <v>#N/A</v>
      </c>
      <c r="P445" s="14"/>
      <c r="T445" s="12" t="e">
        <f>INDEX([1]流向迭代数据!K$2:K$65536,MATCH(L445,[1]流向迭代数据!H$2:H$65536,0))</f>
        <v>#N/A</v>
      </c>
      <c r="W445" s="12" t="str">
        <f t="shared" si="13"/>
        <v/>
      </c>
    </row>
    <row r="446" spans="1:23" x14ac:dyDescent="0.15">
      <c r="A446" s="14" t="str">
        <f t="shared" si="12"/>
        <v>190001</v>
      </c>
      <c r="C446" s="12" t="e">
        <f>INDEX(基础数据!$A$2:$A$1024,MATCH(转配商关联商!X446,基础数据!$D$2:$D$1024,0))</f>
        <v>#N/A</v>
      </c>
      <c r="E446" s="12" t="e">
        <f>INDEX(基础数据!$B$2:$B$1024,MATCH(转配商关联商!X446,基础数据!$D$2:$D$1024,0))</f>
        <v>#N/A</v>
      </c>
      <c r="G446" s="12" t="e">
        <f>INDEX([1]流向迭代数据!E$2:E$65536,MATCH(转配商关联商!W446,[1]流向迭代数据!M$2:M$65536,0))</f>
        <v>#N/A</v>
      </c>
      <c r="N446" s="12" t="e">
        <f>INDEX([1]流向迭代数据!J$2:J$65536,MATCH(L446,[1]流向迭代数据!H$2:H$65536,0))</f>
        <v>#N/A</v>
      </c>
      <c r="P446" s="14"/>
      <c r="T446" s="12" t="e">
        <f>INDEX([1]流向迭代数据!K$2:K$65536,MATCH(L446,[1]流向迭代数据!H$2:H$65536,0))</f>
        <v>#N/A</v>
      </c>
      <c r="W446" s="12" t="str">
        <f t="shared" si="13"/>
        <v/>
      </c>
    </row>
    <row r="447" spans="1:23" x14ac:dyDescent="0.15">
      <c r="A447" s="14" t="str">
        <f t="shared" si="12"/>
        <v>190001</v>
      </c>
      <c r="C447" s="12" t="e">
        <f>INDEX(基础数据!$A$2:$A$1024,MATCH(转配商关联商!X447,基础数据!$D$2:$D$1024,0))</f>
        <v>#N/A</v>
      </c>
      <c r="E447" s="12" t="e">
        <f>INDEX(基础数据!$B$2:$B$1024,MATCH(转配商关联商!X447,基础数据!$D$2:$D$1024,0))</f>
        <v>#N/A</v>
      </c>
      <c r="G447" s="12" t="e">
        <f>INDEX([1]流向迭代数据!E$2:E$65536,MATCH(转配商关联商!W447,[1]流向迭代数据!M$2:M$65536,0))</f>
        <v>#N/A</v>
      </c>
      <c r="N447" s="12" t="e">
        <f>INDEX([1]流向迭代数据!J$2:J$65536,MATCH(L447,[1]流向迭代数据!H$2:H$65536,0))</f>
        <v>#N/A</v>
      </c>
      <c r="P447" s="14"/>
      <c r="T447" s="12" t="e">
        <f>INDEX([1]流向迭代数据!K$2:K$65536,MATCH(L447,[1]流向迭代数据!H$2:H$65536,0))</f>
        <v>#N/A</v>
      </c>
      <c r="W447" s="12" t="str">
        <f t="shared" si="13"/>
        <v/>
      </c>
    </row>
    <row r="448" spans="1:23" x14ac:dyDescent="0.15">
      <c r="A448" s="14" t="str">
        <f t="shared" si="12"/>
        <v>190001</v>
      </c>
      <c r="C448" s="12" t="e">
        <f>INDEX(基础数据!$A$2:$A$1024,MATCH(转配商关联商!X448,基础数据!$D$2:$D$1024,0))</f>
        <v>#N/A</v>
      </c>
      <c r="E448" s="12" t="e">
        <f>INDEX(基础数据!$B$2:$B$1024,MATCH(转配商关联商!X448,基础数据!$D$2:$D$1024,0))</f>
        <v>#N/A</v>
      </c>
      <c r="G448" s="12" t="e">
        <f>INDEX([1]流向迭代数据!E$2:E$65536,MATCH(转配商关联商!W448,[1]流向迭代数据!M$2:M$65536,0))</f>
        <v>#N/A</v>
      </c>
      <c r="N448" s="12" t="e">
        <f>INDEX([1]流向迭代数据!J$2:J$65536,MATCH(L448,[1]流向迭代数据!H$2:H$65536,0))</f>
        <v>#N/A</v>
      </c>
      <c r="P448" s="14"/>
      <c r="T448" s="12" t="e">
        <f>INDEX([1]流向迭代数据!K$2:K$65536,MATCH(L448,[1]流向迭代数据!H$2:H$65536,0))</f>
        <v>#N/A</v>
      </c>
      <c r="W448" s="12" t="str">
        <f t="shared" si="13"/>
        <v/>
      </c>
    </row>
    <row r="449" spans="1:23" x14ac:dyDescent="0.15">
      <c r="A449" s="14" t="str">
        <f t="shared" si="12"/>
        <v>190001</v>
      </c>
      <c r="C449" s="12" t="e">
        <f>INDEX(基础数据!$A$2:$A$1024,MATCH(转配商关联商!X449,基础数据!$D$2:$D$1024,0))</f>
        <v>#N/A</v>
      </c>
      <c r="E449" s="12" t="e">
        <f>INDEX(基础数据!$B$2:$B$1024,MATCH(转配商关联商!X449,基础数据!$D$2:$D$1024,0))</f>
        <v>#N/A</v>
      </c>
      <c r="G449" s="12" t="e">
        <f>INDEX([1]流向迭代数据!E$2:E$65536,MATCH(转配商关联商!W449,[1]流向迭代数据!M$2:M$65536,0))</f>
        <v>#N/A</v>
      </c>
      <c r="N449" s="12" t="e">
        <f>INDEX([1]流向迭代数据!J$2:J$65536,MATCH(L449,[1]流向迭代数据!H$2:H$65536,0))</f>
        <v>#N/A</v>
      </c>
      <c r="P449" s="14"/>
      <c r="T449" s="12" t="e">
        <f>INDEX([1]流向迭代数据!K$2:K$65536,MATCH(L449,[1]流向迭代数据!H$2:H$65536,0))</f>
        <v>#N/A</v>
      </c>
      <c r="W449" s="12" t="str">
        <f t="shared" si="13"/>
        <v/>
      </c>
    </row>
    <row r="450" spans="1:23" x14ac:dyDescent="0.15">
      <c r="A450" s="14" t="str">
        <f t="shared" si="12"/>
        <v>190001</v>
      </c>
      <c r="C450" s="12" t="e">
        <f>INDEX(基础数据!$A$2:$A$1024,MATCH(转配商关联商!X450,基础数据!$D$2:$D$1024,0))</f>
        <v>#N/A</v>
      </c>
      <c r="E450" s="12" t="e">
        <f>INDEX(基础数据!$B$2:$B$1024,MATCH(转配商关联商!X450,基础数据!$D$2:$D$1024,0))</f>
        <v>#N/A</v>
      </c>
      <c r="G450" s="12" t="e">
        <f>INDEX([1]流向迭代数据!E$2:E$65536,MATCH(转配商关联商!W450,[1]流向迭代数据!M$2:M$65536,0))</f>
        <v>#N/A</v>
      </c>
      <c r="N450" s="12" t="e">
        <f>INDEX([1]流向迭代数据!J$2:J$65536,MATCH(L450,[1]流向迭代数据!H$2:H$65536,0))</f>
        <v>#N/A</v>
      </c>
      <c r="P450" s="14"/>
      <c r="T450" s="12" t="e">
        <f>INDEX([1]流向迭代数据!K$2:K$65536,MATCH(L450,[1]流向迭代数据!H$2:H$65536,0))</f>
        <v>#N/A</v>
      </c>
      <c r="W450" s="12" t="str">
        <f t="shared" si="13"/>
        <v/>
      </c>
    </row>
    <row r="451" spans="1:23" x14ac:dyDescent="0.15">
      <c r="A451" s="14" t="str">
        <f t="shared" ref="A451:A514" si="14">IF(MONTH(P451)&lt;10,YEAR(P451)&amp;"0"&amp;MONTH(P451),YEAR(P451)&amp;MONTH(P451))</f>
        <v>190001</v>
      </c>
      <c r="C451" s="12" t="e">
        <f>INDEX(基础数据!$A$2:$A$1024,MATCH(转配商关联商!X451,基础数据!$D$2:$D$1024,0))</f>
        <v>#N/A</v>
      </c>
      <c r="E451" s="12" t="e">
        <f>INDEX(基础数据!$B$2:$B$1024,MATCH(转配商关联商!X451,基础数据!$D$2:$D$1024,0))</f>
        <v>#N/A</v>
      </c>
      <c r="G451" s="12" t="e">
        <f>INDEX([1]流向迭代数据!E$2:E$65536,MATCH(转配商关联商!W451,[1]流向迭代数据!M$2:M$65536,0))</f>
        <v>#N/A</v>
      </c>
      <c r="N451" s="12" t="e">
        <f>INDEX([1]流向迭代数据!J$2:J$65536,MATCH(L451,[1]流向迭代数据!H$2:H$65536,0))</f>
        <v>#N/A</v>
      </c>
      <c r="P451" s="14"/>
      <c r="T451" s="12" t="e">
        <f>INDEX([1]流向迭代数据!K$2:K$65536,MATCH(L451,[1]流向迭代数据!H$2:H$65536,0))</f>
        <v>#N/A</v>
      </c>
      <c r="W451" s="12" t="str">
        <f t="shared" ref="W451:W514" si="15">H451&amp;I451</f>
        <v/>
      </c>
    </row>
    <row r="452" spans="1:23" x14ac:dyDescent="0.15">
      <c r="A452" s="14" t="str">
        <f t="shared" si="14"/>
        <v>190001</v>
      </c>
      <c r="C452" s="12" t="e">
        <f>INDEX(基础数据!$A$2:$A$1024,MATCH(转配商关联商!X452,基础数据!$D$2:$D$1024,0))</f>
        <v>#N/A</v>
      </c>
      <c r="E452" s="12" t="e">
        <f>INDEX(基础数据!$B$2:$B$1024,MATCH(转配商关联商!X452,基础数据!$D$2:$D$1024,0))</f>
        <v>#N/A</v>
      </c>
      <c r="G452" s="12" t="e">
        <f>INDEX([1]流向迭代数据!E$2:E$65536,MATCH(转配商关联商!W452,[1]流向迭代数据!M$2:M$65536,0))</f>
        <v>#N/A</v>
      </c>
      <c r="N452" s="12" t="e">
        <f>INDEX([1]流向迭代数据!J$2:J$65536,MATCH(L452,[1]流向迭代数据!H$2:H$65536,0))</f>
        <v>#N/A</v>
      </c>
      <c r="P452" s="14"/>
      <c r="T452" s="12" t="e">
        <f>INDEX([1]流向迭代数据!K$2:K$65536,MATCH(L452,[1]流向迭代数据!H$2:H$65536,0))</f>
        <v>#N/A</v>
      </c>
      <c r="W452" s="12" t="str">
        <f t="shared" si="15"/>
        <v/>
      </c>
    </row>
    <row r="453" spans="1:23" x14ac:dyDescent="0.15">
      <c r="A453" s="14" t="str">
        <f t="shared" si="14"/>
        <v>190001</v>
      </c>
      <c r="C453" s="12" t="e">
        <f>INDEX(基础数据!$A$2:$A$1024,MATCH(转配商关联商!X453,基础数据!$D$2:$D$1024,0))</f>
        <v>#N/A</v>
      </c>
      <c r="E453" s="12" t="e">
        <f>INDEX(基础数据!$B$2:$B$1024,MATCH(转配商关联商!X453,基础数据!$D$2:$D$1024,0))</f>
        <v>#N/A</v>
      </c>
      <c r="G453" s="12" t="e">
        <f>INDEX([1]流向迭代数据!E$2:E$65536,MATCH(转配商关联商!W453,[1]流向迭代数据!M$2:M$65536,0))</f>
        <v>#N/A</v>
      </c>
      <c r="N453" s="12" t="e">
        <f>INDEX([1]流向迭代数据!J$2:J$65536,MATCH(L453,[1]流向迭代数据!H$2:H$65536,0))</f>
        <v>#N/A</v>
      </c>
      <c r="P453" s="14"/>
      <c r="T453" s="12" t="e">
        <f>INDEX([1]流向迭代数据!K$2:K$65536,MATCH(L453,[1]流向迭代数据!H$2:H$65536,0))</f>
        <v>#N/A</v>
      </c>
      <c r="W453" s="12" t="str">
        <f t="shared" si="15"/>
        <v/>
      </c>
    </row>
    <row r="454" spans="1:23" x14ac:dyDescent="0.15">
      <c r="A454" s="14" t="str">
        <f t="shared" si="14"/>
        <v>190001</v>
      </c>
      <c r="C454" s="12" t="e">
        <f>INDEX(基础数据!$A$2:$A$1024,MATCH(转配商关联商!X454,基础数据!$D$2:$D$1024,0))</f>
        <v>#N/A</v>
      </c>
      <c r="E454" s="12" t="e">
        <f>INDEX(基础数据!$B$2:$B$1024,MATCH(转配商关联商!X454,基础数据!$D$2:$D$1024,0))</f>
        <v>#N/A</v>
      </c>
      <c r="G454" s="12" t="e">
        <f>INDEX([1]流向迭代数据!E$2:E$65536,MATCH(转配商关联商!W454,[1]流向迭代数据!M$2:M$65536,0))</f>
        <v>#N/A</v>
      </c>
      <c r="N454" s="12" t="e">
        <f>INDEX([1]流向迭代数据!J$2:J$65536,MATCH(L454,[1]流向迭代数据!H$2:H$65536,0))</f>
        <v>#N/A</v>
      </c>
      <c r="P454" s="14"/>
      <c r="T454" s="12" t="e">
        <f>INDEX([1]流向迭代数据!K$2:K$65536,MATCH(L454,[1]流向迭代数据!H$2:H$65536,0))</f>
        <v>#N/A</v>
      </c>
      <c r="W454" s="12" t="str">
        <f t="shared" si="15"/>
        <v/>
      </c>
    </row>
    <row r="455" spans="1:23" x14ac:dyDescent="0.15">
      <c r="A455" s="14" t="str">
        <f t="shared" si="14"/>
        <v>190001</v>
      </c>
      <c r="C455" s="12" t="e">
        <f>INDEX(基础数据!$A$2:$A$1024,MATCH(转配商关联商!X455,基础数据!$D$2:$D$1024,0))</f>
        <v>#N/A</v>
      </c>
      <c r="E455" s="12" t="e">
        <f>INDEX(基础数据!$B$2:$B$1024,MATCH(转配商关联商!X455,基础数据!$D$2:$D$1024,0))</f>
        <v>#N/A</v>
      </c>
      <c r="G455" s="12" t="e">
        <f>INDEX([1]流向迭代数据!E$2:E$65536,MATCH(转配商关联商!W455,[1]流向迭代数据!M$2:M$65536,0))</f>
        <v>#N/A</v>
      </c>
      <c r="N455" s="12" t="e">
        <f>INDEX([1]流向迭代数据!J$2:J$65536,MATCH(L455,[1]流向迭代数据!H$2:H$65536,0))</f>
        <v>#N/A</v>
      </c>
      <c r="P455" s="14"/>
      <c r="T455" s="12" t="e">
        <f>INDEX([1]流向迭代数据!K$2:K$65536,MATCH(L455,[1]流向迭代数据!H$2:H$65536,0))</f>
        <v>#N/A</v>
      </c>
      <c r="W455" s="12" t="str">
        <f t="shared" si="15"/>
        <v/>
      </c>
    </row>
    <row r="456" spans="1:23" x14ac:dyDescent="0.15">
      <c r="A456" s="14" t="str">
        <f t="shared" si="14"/>
        <v>190001</v>
      </c>
      <c r="C456" s="12" t="e">
        <f>INDEX(基础数据!$A$2:$A$1024,MATCH(转配商关联商!X456,基础数据!$D$2:$D$1024,0))</f>
        <v>#N/A</v>
      </c>
      <c r="E456" s="12" t="e">
        <f>INDEX(基础数据!$B$2:$B$1024,MATCH(转配商关联商!X456,基础数据!$D$2:$D$1024,0))</f>
        <v>#N/A</v>
      </c>
      <c r="G456" s="12" t="e">
        <f>INDEX([1]流向迭代数据!E$2:E$65536,MATCH(转配商关联商!W456,[1]流向迭代数据!M$2:M$65536,0))</f>
        <v>#N/A</v>
      </c>
      <c r="N456" s="12" t="e">
        <f>INDEX([1]流向迭代数据!J$2:J$65536,MATCH(L456,[1]流向迭代数据!H$2:H$65536,0))</f>
        <v>#N/A</v>
      </c>
      <c r="P456" s="14"/>
      <c r="T456" s="12" t="e">
        <f>INDEX([1]流向迭代数据!K$2:K$65536,MATCH(L456,[1]流向迭代数据!H$2:H$65536,0))</f>
        <v>#N/A</v>
      </c>
      <c r="W456" s="12" t="str">
        <f t="shared" si="15"/>
        <v/>
      </c>
    </row>
    <row r="457" spans="1:23" x14ac:dyDescent="0.15">
      <c r="A457" s="14" t="str">
        <f t="shared" si="14"/>
        <v>190001</v>
      </c>
      <c r="C457" s="12" t="e">
        <f>INDEX(基础数据!$A$2:$A$1024,MATCH(转配商关联商!X457,基础数据!$D$2:$D$1024,0))</f>
        <v>#N/A</v>
      </c>
      <c r="E457" s="12" t="e">
        <f>INDEX(基础数据!$B$2:$B$1024,MATCH(转配商关联商!X457,基础数据!$D$2:$D$1024,0))</f>
        <v>#N/A</v>
      </c>
      <c r="G457" s="12" t="e">
        <f>INDEX([1]流向迭代数据!E$2:E$65536,MATCH(转配商关联商!W457,[1]流向迭代数据!M$2:M$65536,0))</f>
        <v>#N/A</v>
      </c>
      <c r="N457" s="12" t="e">
        <f>INDEX([1]流向迭代数据!J$2:J$65536,MATCH(L457,[1]流向迭代数据!H$2:H$65536,0))</f>
        <v>#N/A</v>
      </c>
      <c r="P457" s="14"/>
      <c r="T457" s="12" t="e">
        <f>INDEX([1]流向迭代数据!K$2:K$65536,MATCH(L457,[1]流向迭代数据!H$2:H$65536,0))</f>
        <v>#N/A</v>
      </c>
      <c r="W457" s="12" t="str">
        <f t="shared" si="15"/>
        <v/>
      </c>
    </row>
    <row r="458" spans="1:23" x14ac:dyDescent="0.15">
      <c r="A458" s="14" t="str">
        <f t="shared" si="14"/>
        <v>190001</v>
      </c>
      <c r="C458" s="12" t="e">
        <f>INDEX(基础数据!$A$2:$A$1024,MATCH(转配商关联商!X458,基础数据!$D$2:$D$1024,0))</f>
        <v>#N/A</v>
      </c>
      <c r="E458" s="12" t="e">
        <f>INDEX(基础数据!$B$2:$B$1024,MATCH(转配商关联商!X458,基础数据!$D$2:$D$1024,0))</f>
        <v>#N/A</v>
      </c>
      <c r="G458" s="12" t="e">
        <f>INDEX([1]流向迭代数据!E$2:E$65536,MATCH(转配商关联商!W458,[1]流向迭代数据!M$2:M$65536,0))</f>
        <v>#N/A</v>
      </c>
      <c r="N458" s="12" t="e">
        <f>INDEX([1]流向迭代数据!J$2:J$65536,MATCH(L458,[1]流向迭代数据!H$2:H$65536,0))</f>
        <v>#N/A</v>
      </c>
      <c r="P458" s="14"/>
      <c r="T458" s="12" t="e">
        <f>INDEX([1]流向迭代数据!K$2:K$65536,MATCH(L458,[1]流向迭代数据!H$2:H$65536,0))</f>
        <v>#N/A</v>
      </c>
      <c r="W458" s="12" t="str">
        <f t="shared" si="15"/>
        <v/>
      </c>
    </row>
    <row r="459" spans="1:23" x14ac:dyDescent="0.15">
      <c r="A459" s="14" t="str">
        <f t="shared" si="14"/>
        <v>190001</v>
      </c>
      <c r="C459" s="12" t="e">
        <f>INDEX(基础数据!$A$2:$A$1024,MATCH(转配商关联商!X459,基础数据!$D$2:$D$1024,0))</f>
        <v>#N/A</v>
      </c>
      <c r="E459" s="12" t="e">
        <f>INDEX(基础数据!$B$2:$B$1024,MATCH(转配商关联商!X459,基础数据!$D$2:$D$1024,0))</f>
        <v>#N/A</v>
      </c>
      <c r="G459" s="12" t="e">
        <f>INDEX([1]流向迭代数据!E$2:E$65536,MATCH(转配商关联商!W459,[1]流向迭代数据!M$2:M$65536,0))</f>
        <v>#N/A</v>
      </c>
      <c r="N459" s="12" t="e">
        <f>INDEX([1]流向迭代数据!J$2:J$65536,MATCH(L459,[1]流向迭代数据!H$2:H$65536,0))</f>
        <v>#N/A</v>
      </c>
      <c r="P459" s="14"/>
      <c r="T459" s="12" t="e">
        <f>INDEX([1]流向迭代数据!K$2:K$65536,MATCH(L459,[1]流向迭代数据!H$2:H$65536,0))</f>
        <v>#N/A</v>
      </c>
      <c r="W459" s="12" t="str">
        <f t="shared" si="15"/>
        <v/>
      </c>
    </row>
    <row r="460" spans="1:23" x14ac:dyDescent="0.15">
      <c r="A460" s="14" t="str">
        <f t="shared" si="14"/>
        <v>190001</v>
      </c>
      <c r="C460" s="12" t="e">
        <f>INDEX(基础数据!$A$2:$A$1024,MATCH(转配商关联商!X460,基础数据!$D$2:$D$1024,0))</f>
        <v>#N/A</v>
      </c>
      <c r="E460" s="12" t="e">
        <f>INDEX(基础数据!$B$2:$B$1024,MATCH(转配商关联商!X460,基础数据!$D$2:$D$1024,0))</f>
        <v>#N/A</v>
      </c>
      <c r="G460" s="12" t="e">
        <f>INDEX([1]流向迭代数据!E$2:E$65536,MATCH(转配商关联商!W460,[1]流向迭代数据!M$2:M$65536,0))</f>
        <v>#N/A</v>
      </c>
      <c r="N460" s="12" t="e">
        <f>INDEX([1]流向迭代数据!J$2:J$65536,MATCH(L460,[1]流向迭代数据!H$2:H$65536,0))</f>
        <v>#N/A</v>
      </c>
      <c r="P460" s="14"/>
      <c r="T460" s="12" t="e">
        <f>INDEX([1]流向迭代数据!K$2:K$65536,MATCH(L460,[1]流向迭代数据!H$2:H$65536,0))</f>
        <v>#N/A</v>
      </c>
      <c r="W460" s="12" t="str">
        <f t="shared" si="15"/>
        <v/>
      </c>
    </row>
    <row r="461" spans="1:23" x14ac:dyDescent="0.15">
      <c r="A461" s="14" t="str">
        <f t="shared" si="14"/>
        <v>190001</v>
      </c>
      <c r="C461" s="12" t="e">
        <f>INDEX(基础数据!$A$2:$A$1024,MATCH(转配商关联商!X461,基础数据!$D$2:$D$1024,0))</f>
        <v>#N/A</v>
      </c>
      <c r="E461" s="12" t="e">
        <f>INDEX(基础数据!$B$2:$B$1024,MATCH(转配商关联商!X461,基础数据!$D$2:$D$1024,0))</f>
        <v>#N/A</v>
      </c>
      <c r="G461" s="12" t="e">
        <f>INDEX([1]流向迭代数据!E$2:E$65536,MATCH(转配商关联商!W461,[1]流向迭代数据!M$2:M$65536,0))</f>
        <v>#N/A</v>
      </c>
      <c r="N461" s="12" t="e">
        <f>INDEX([1]流向迭代数据!J$2:J$65536,MATCH(L461,[1]流向迭代数据!H$2:H$65536,0))</f>
        <v>#N/A</v>
      </c>
      <c r="P461" s="14"/>
      <c r="T461" s="12" t="e">
        <f>INDEX([1]流向迭代数据!K$2:K$65536,MATCH(L461,[1]流向迭代数据!H$2:H$65536,0))</f>
        <v>#N/A</v>
      </c>
      <c r="W461" s="12" t="str">
        <f t="shared" si="15"/>
        <v/>
      </c>
    </row>
    <row r="462" spans="1:23" x14ac:dyDescent="0.15">
      <c r="A462" s="14" t="str">
        <f t="shared" si="14"/>
        <v>190001</v>
      </c>
      <c r="C462" s="12" t="e">
        <f>INDEX(基础数据!$A$2:$A$1024,MATCH(转配商关联商!X462,基础数据!$D$2:$D$1024,0))</f>
        <v>#N/A</v>
      </c>
      <c r="E462" s="12" t="e">
        <f>INDEX(基础数据!$B$2:$B$1024,MATCH(转配商关联商!X462,基础数据!$D$2:$D$1024,0))</f>
        <v>#N/A</v>
      </c>
      <c r="G462" s="12" t="e">
        <f>INDEX([1]流向迭代数据!E$2:E$65536,MATCH(转配商关联商!W462,[1]流向迭代数据!M$2:M$65536,0))</f>
        <v>#N/A</v>
      </c>
      <c r="N462" s="12" t="e">
        <f>INDEX([1]流向迭代数据!J$2:J$65536,MATCH(L462,[1]流向迭代数据!H$2:H$65536,0))</f>
        <v>#N/A</v>
      </c>
      <c r="P462" s="14"/>
      <c r="T462" s="12" t="e">
        <f>INDEX([1]流向迭代数据!K$2:K$65536,MATCH(L462,[1]流向迭代数据!H$2:H$65536,0))</f>
        <v>#N/A</v>
      </c>
      <c r="W462" s="12" t="str">
        <f t="shared" si="15"/>
        <v/>
      </c>
    </row>
    <row r="463" spans="1:23" x14ac:dyDescent="0.15">
      <c r="A463" s="14" t="str">
        <f t="shared" si="14"/>
        <v>190001</v>
      </c>
      <c r="C463" s="12" t="e">
        <f>INDEX(基础数据!$A$2:$A$1024,MATCH(转配商关联商!X463,基础数据!$D$2:$D$1024,0))</f>
        <v>#N/A</v>
      </c>
      <c r="E463" s="12" t="e">
        <f>INDEX(基础数据!$B$2:$B$1024,MATCH(转配商关联商!X463,基础数据!$D$2:$D$1024,0))</f>
        <v>#N/A</v>
      </c>
      <c r="G463" s="12" t="e">
        <f>INDEX([1]流向迭代数据!E$2:E$65536,MATCH(转配商关联商!W463,[1]流向迭代数据!M$2:M$65536,0))</f>
        <v>#N/A</v>
      </c>
      <c r="N463" s="12" t="e">
        <f>INDEX([1]流向迭代数据!J$2:J$65536,MATCH(L463,[1]流向迭代数据!H$2:H$65536,0))</f>
        <v>#N/A</v>
      </c>
      <c r="P463" s="14"/>
      <c r="T463" s="12" t="e">
        <f>INDEX([1]流向迭代数据!K$2:K$65536,MATCH(L463,[1]流向迭代数据!H$2:H$65536,0))</f>
        <v>#N/A</v>
      </c>
      <c r="W463" s="12" t="str">
        <f t="shared" si="15"/>
        <v/>
      </c>
    </row>
    <row r="464" spans="1:23" x14ac:dyDescent="0.15">
      <c r="A464" s="14" t="str">
        <f t="shared" si="14"/>
        <v>190001</v>
      </c>
      <c r="C464" s="12" t="e">
        <f>INDEX(基础数据!$A$2:$A$1024,MATCH(转配商关联商!X464,基础数据!$D$2:$D$1024,0))</f>
        <v>#N/A</v>
      </c>
      <c r="E464" s="12" t="e">
        <f>INDEX(基础数据!$B$2:$B$1024,MATCH(转配商关联商!X464,基础数据!$D$2:$D$1024,0))</f>
        <v>#N/A</v>
      </c>
      <c r="G464" s="12" t="e">
        <f>INDEX([1]流向迭代数据!E$2:E$65536,MATCH(转配商关联商!W464,[1]流向迭代数据!M$2:M$65536,0))</f>
        <v>#N/A</v>
      </c>
      <c r="N464" s="12" t="e">
        <f>INDEX([1]流向迭代数据!J$2:J$65536,MATCH(L464,[1]流向迭代数据!H$2:H$65536,0))</f>
        <v>#N/A</v>
      </c>
      <c r="P464" s="14"/>
      <c r="T464" s="12" t="e">
        <f>INDEX([1]流向迭代数据!K$2:K$65536,MATCH(L464,[1]流向迭代数据!H$2:H$65536,0))</f>
        <v>#N/A</v>
      </c>
      <c r="W464" s="12" t="str">
        <f t="shared" si="15"/>
        <v/>
      </c>
    </row>
    <row r="465" spans="1:23" x14ac:dyDescent="0.15">
      <c r="A465" s="14" t="str">
        <f t="shared" si="14"/>
        <v>190001</v>
      </c>
      <c r="C465" s="12" t="e">
        <f>INDEX(基础数据!$A$2:$A$1024,MATCH(转配商关联商!X465,基础数据!$D$2:$D$1024,0))</f>
        <v>#N/A</v>
      </c>
      <c r="E465" s="12" t="e">
        <f>INDEX(基础数据!$B$2:$B$1024,MATCH(转配商关联商!X465,基础数据!$D$2:$D$1024,0))</f>
        <v>#N/A</v>
      </c>
      <c r="G465" s="12" t="e">
        <f>INDEX([1]流向迭代数据!E$2:E$65536,MATCH(转配商关联商!W465,[1]流向迭代数据!M$2:M$65536,0))</f>
        <v>#N/A</v>
      </c>
      <c r="N465" s="12" t="e">
        <f>INDEX([1]流向迭代数据!J$2:J$65536,MATCH(L465,[1]流向迭代数据!H$2:H$65536,0))</f>
        <v>#N/A</v>
      </c>
      <c r="P465" s="14"/>
      <c r="T465" s="12" t="e">
        <f>INDEX([1]流向迭代数据!K$2:K$65536,MATCH(L465,[1]流向迭代数据!H$2:H$65536,0))</f>
        <v>#N/A</v>
      </c>
      <c r="W465" s="12" t="str">
        <f t="shared" si="15"/>
        <v/>
      </c>
    </row>
    <row r="466" spans="1:23" x14ac:dyDescent="0.15">
      <c r="A466" s="14" t="str">
        <f t="shared" si="14"/>
        <v>190001</v>
      </c>
      <c r="C466" s="12" t="e">
        <f>INDEX(基础数据!$A$2:$A$1024,MATCH(转配商关联商!X466,基础数据!$D$2:$D$1024,0))</f>
        <v>#N/A</v>
      </c>
      <c r="E466" s="12" t="e">
        <f>INDEX(基础数据!$B$2:$B$1024,MATCH(转配商关联商!X466,基础数据!$D$2:$D$1024,0))</f>
        <v>#N/A</v>
      </c>
      <c r="G466" s="12" t="e">
        <f>INDEX([1]流向迭代数据!E$2:E$65536,MATCH(转配商关联商!W466,[1]流向迭代数据!M$2:M$65536,0))</f>
        <v>#N/A</v>
      </c>
      <c r="N466" s="12" t="e">
        <f>INDEX([1]流向迭代数据!J$2:J$65536,MATCH(L466,[1]流向迭代数据!H$2:H$65536,0))</f>
        <v>#N/A</v>
      </c>
      <c r="P466" s="14"/>
      <c r="T466" s="12" t="e">
        <f>INDEX([1]流向迭代数据!K$2:K$65536,MATCH(L466,[1]流向迭代数据!H$2:H$65536,0))</f>
        <v>#N/A</v>
      </c>
      <c r="W466" s="12" t="str">
        <f t="shared" si="15"/>
        <v/>
      </c>
    </row>
    <row r="467" spans="1:23" x14ac:dyDescent="0.15">
      <c r="A467" s="14" t="str">
        <f t="shared" si="14"/>
        <v>190001</v>
      </c>
      <c r="C467" s="12" t="e">
        <f>INDEX(基础数据!$A$2:$A$1024,MATCH(转配商关联商!X467,基础数据!$D$2:$D$1024,0))</f>
        <v>#N/A</v>
      </c>
      <c r="E467" s="12" t="e">
        <f>INDEX(基础数据!$B$2:$B$1024,MATCH(转配商关联商!X467,基础数据!$D$2:$D$1024,0))</f>
        <v>#N/A</v>
      </c>
      <c r="G467" s="12" t="e">
        <f>INDEX([1]流向迭代数据!E$2:E$65536,MATCH(转配商关联商!W467,[1]流向迭代数据!M$2:M$65536,0))</f>
        <v>#N/A</v>
      </c>
      <c r="N467" s="12" t="e">
        <f>INDEX([1]流向迭代数据!J$2:J$65536,MATCH(L467,[1]流向迭代数据!H$2:H$65536,0))</f>
        <v>#N/A</v>
      </c>
      <c r="P467" s="14"/>
      <c r="T467" s="12" t="e">
        <f>INDEX([1]流向迭代数据!K$2:K$65536,MATCH(L467,[1]流向迭代数据!H$2:H$65536,0))</f>
        <v>#N/A</v>
      </c>
      <c r="W467" s="12" t="str">
        <f t="shared" si="15"/>
        <v/>
      </c>
    </row>
    <row r="468" spans="1:23" x14ac:dyDescent="0.15">
      <c r="A468" s="14" t="str">
        <f t="shared" si="14"/>
        <v>190001</v>
      </c>
      <c r="C468" s="12" t="e">
        <f>INDEX(基础数据!$A$2:$A$1024,MATCH(转配商关联商!X468,基础数据!$D$2:$D$1024,0))</f>
        <v>#N/A</v>
      </c>
      <c r="E468" s="12" t="e">
        <f>INDEX(基础数据!$B$2:$B$1024,MATCH(转配商关联商!X468,基础数据!$D$2:$D$1024,0))</f>
        <v>#N/A</v>
      </c>
      <c r="G468" s="12" t="e">
        <f>INDEX([1]流向迭代数据!E$2:E$65536,MATCH(转配商关联商!W468,[1]流向迭代数据!M$2:M$65536,0))</f>
        <v>#N/A</v>
      </c>
      <c r="N468" s="12" t="e">
        <f>INDEX([1]流向迭代数据!J$2:J$65536,MATCH(L468,[1]流向迭代数据!H$2:H$65536,0))</f>
        <v>#N/A</v>
      </c>
      <c r="P468" s="14"/>
      <c r="T468" s="12" t="e">
        <f>INDEX([1]流向迭代数据!K$2:K$65536,MATCH(L468,[1]流向迭代数据!H$2:H$65536,0))</f>
        <v>#N/A</v>
      </c>
      <c r="W468" s="12" t="str">
        <f t="shared" si="15"/>
        <v/>
      </c>
    </row>
    <row r="469" spans="1:23" x14ac:dyDescent="0.15">
      <c r="A469" s="14" t="str">
        <f t="shared" si="14"/>
        <v>190001</v>
      </c>
      <c r="C469" s="12" t="e">
        <f>INDEX(基础数据!$A$2:$A$1024,MATCH(转配商关联商!X469,基础数据!$D$2:$D$1024,0))</f>
        <v>#N/A</v>
      </c>
      <c r="E469" s="12" t="e">
        <f>INDEX(基础数据!$B$2:$B$1024,MATCH(转配商关联商!X469,基础数据!$D$2:$D$1024,0))</f>
        <v>#N/A</v>
      </c>
      <c r="G469" s="12" t="e">
        <f>INDEX([1]流向迭代数据!E$2:E$65536,MATCH(转配商关联商!W469,[1]流向迭代数据!M$2:M$65536,0))</f>
        <v>#N/A</v>
      </c>
      <c r="N469" s="12" t="e">
        <f>INDEX([1]流向迭代数据!J$2:J$65536,MATCH(L469,[1]流向迭代数据!H$2:H$65536,0))</f>
        <v>#N/A</v>
      </c>
      <c r="P469" s="14"/>
      <c r="T469" s="12" t="e">
        <f>INDEX([1]流向迭代数据!K$2:K$65536,MATCH(L469,[1]流向迭代数据!H$2:H$65536,0))</f>
        <v>#N/A</v>
      </c>
      <c r="W469" s="12" t="str">
        <f t="shared" si="15"/>
        <v/>
      </c>
    </row>
    <row r="470" spans="1:23" x14ac:dyDescent="0.15">
      <c r="A470" s="14" t="str">
        <f t="shared" si="14"/>
        <v>190001</v>
      </c>
      <c r="C470" s="12" t="e">
        <f>INDEX(基础数据!$A$2:$A$1024,MATCH(转配商关联商!X470,基础数据!$D$2:$D$1024,0))</f>
        <v>#N/A</v>
      </c>
      <c r="E470" s="12" t="e">
        <f>INDEX(基础数据!$B$2:$B$1024,MATCH(转配商关联商!X470,基础数据!$D$2:$D$1024,0))</f>
        <v>#N/A</v>
      </c>
      <c r="G470" s="12" t="e">
        <f>INDEX([1]流向迭代数据!E$2:E$65536,MATCH(转配商关联商!W470,[1]流向迭代数据!M$2:M$65536,0))</f>
        <v>#N/A</v>
      </c>
      <c r="N470" s="12" t="e">
        <f>INDEX([1]流向迭代数据!J$2:J$65536,MATCH(L470,[1]流向迭代数据!H$2:H$65536,0))</f>
        <v>#N/A</v>
      </c>
      <c r="P470" s="14"/>
      <c r="T470" s="12" t="e">
        <f>INDEX([1]流向迭代数据!K$2:K$65536,MATCH(L470,[1]流向迭代数据!H$2:H$65536,0))</f>
        <v>#N/A</v>
      </c>
      <c r="W470" s="12" t="str">
        <f t="shared" si="15"/>
        <v/>
      </c>
    </row>
    <row r="471" spans="1:23" x14ac:dyDescent="0.15">
      <c r="A471" s="14" t="str">
        <f t="shared" si="14"/>
        <v>190001</v>
      </c>
      <c r="C471" s="12" t="e">
        <f>INDEX(基础数据!$A$2:$A$1024,MATCH(转配商关联商!X471,基础数据!$D$2:$D$1024,0))</f>
        <v>#N/A</v>
      </c>
      <c r="E471" s="12" t="e">
        <f>INDEX(基础数据!$B$2:$B$1024,MATCH(转配商关联商!X471,基础数据!$D$2:$D$1024,0))</f>
        <v>#N/A</v>
      </c>
      <c r="G471" s="12" t="e">
        <f>INDEX([1]流向迭代数据!E$2:E$65536,MATCH(转配商关联商!W471,[1]流向迭代数据!M$2:M$65536,0))</f>
        <v>#N/A</v>
      </c>
      <c r="N471" s="12" t="e">
        <f>INDEX([1]流向迭代数据!J$2:J$65536,MATCH(L471,[1]流向迭代数据!H$2:H$65536,0))</f>
        <v>#N/A</v>
      </c>
      <c r="P471" s="14"/>
      <c r="T471" s="12" t="e">
        <f>INDEX([1]流向迭代数据!K$2:K$65536,MATCH(L471,[1]流向迭代数据!H$2:H$65536,0))</f>
        <v>#N/A</v>
      </c>
      <c r="W471" s="12" t="str">
        <f t="shared" si="15"/>
        <v/>
      </c>
    </row>
    <row r="472" spans="1:23" x14ac:dyDescent="0.15">
      <c r="A472" s="14" t="str">
        <f t="shared" si="14"/>
        <v>190001</v>
      </c>
      <c r="C472" s="12" t="e">
        <f>INDEX(基础数据!$A$2:$A$1024,MATCH(转配商关联商!X472,基础数据!$D$2:$D$1024,0))</f>
        <v>#N/A</v>
      </c>
      <c r="E472" s="12" t="e">
        <f>INDEX(基础数据!$B$2:$B$1024,MATCH(转配商关联商!X472,基础数据!$D$2:$D$1024,0))</f>
        <v>#N/A</v>
      </c>
      <c r="G472" s="12" t="e">
        <f>INDEX([1]流向迭代数据!E$2:E$65536,MATCH(转配商关联商!W472,[1]流向迭代数据!M$2:M$65536,0))</f>
        <v>#N/A</v>
      </c>
      <c r="N472" s="12" t="e">
        <f>INDEX([1]流向迭代数据!J$2:J$65536,MATCH(L472,[1]流向迭代数据!H$2:H$65536,0))</f>
        <v>#N/A</v>
      </c>
      <c r="P472" s="14"/>
      <c r="T472" s="12" t="e">
        <f>INDEX([1]流向迭代数据!K$2:K$65536,MATCH(L472,[1]流向迭代数据!H$2:H$65536,0))</f>
        <v>#N/A</v>
      </c>
      <c r="W472" s="12" t="str">
        <f t="shared" si="15"/>
        <v/>
      </c>
    </row>
    <row r="473" spans="1:23" x14ac:dyDescent="0.15">
      <c r="A473" s="14" t="str">
        <f t="shared" si="14"/>
        <v>190001</v>
      </c>
      <c r="C473" s="12" t="e">
        <f>INDEX(基础数据!$A$2:$A$1024,MATCH(转配商关联商!X473,基础数据!$D$2:$D$1024,0))</f>
        <v>#N/A</v>
      </c>
      <c r="E473" s="12" t="e">
        <f>INDEX(基础数据!$B$2:$B$1024,MATCH(转配商关联商!X473,基础数据!$D$2:$D$1024,0))</f>
        <v>#N/A</v>
      </c>
      <c r="G473" s="12" t="e">
        <f>INDEX([1]流向迭代数据!E$2:E$65536,MATCH(转配商关联商!W473,[1]流向迭代数据!M$2:M$65536,0))</f>
        <v>#N/A</v>
      </c>
      <c r="N473" s="12" t="e">
        <f>INDEX([1]流向迭代数据!J$2:J$65536,MATCH(L473,[1]流向迭代数据!H$2:H$65536,0))</f>
        <v>#N/A</v>
      </c>
      <c r="P473" s="14"/>
      <c r="T473" s="12" t="e">
        <f>INDEX([1]流向迭代数据!K$2:K$65536,MATCH(L473,[1]流向迭代数据!H$2:H$65536,0))</f>
        <v>#N/A</v>
      </c>
      <c r="W473" s="12" t="str">
        <f t="shared" si="15"/>
        <v/>
      </c>
    </row>
    <row r="474" spans="1:23" x14ac:dyDescent="0.15">
      <c r="A474" s="14" t="str">
        <f t="shared" si="14"/>
        <v>190001</v>
      </c>
      <c r="C474" s="12" t="e">
        <f>INDEX(基础数据!$A$2:$A$1024,MATCH(转配商关联商!X474,基础数据!$D$2:$D$1024,0))</f>
        <v>#N/A</v>
      </c>
      <c r="E474" s="12" t="e">
        <f>INDEX(基础数据!$B$2:$B$1024,MATCH(转配商关联商!X474,基础数据!$D$2:$D$1024,0))</f>
        <v>#N/A</v>
      </c>
      <c r="G474" s="12" t="e">
        <f>INDEX([1]流向迭代数据!E$2:E$65536,MATCH(转配商关联商!W474,[1]流向迭代数据!M$2:M$65536,0))</f>
        <v>#N/A</v>
      </c>
      <c r="N474" s="12" t="e">
        <f>INDEX([1]流向迭代数据!J$2:J$65536,MATCH(L474,[1]流向迭代数据!H$2:H$65536,0))</f>
        <v>#N/A</v>
      </c>
      <c r="P474" s="14"/>
      <c r="T474" s="12" t="e">
        <f>INDEX([1]流向迭代数据!K$2:K$65536,MATCH(L474,[1]流向迭代数据!H$2:H$65536,0))</f>
        <v>#N/A</v>
      </c>
      <c r="W474" s="12" t="str">
        <f t="shared" si="15"/>
        <v/>
      </c>
    </row>
    <row r="475" spans="1:23" x14ac:dyDescent="0.15">
      <c r="A475" s="14" t="str">
        <f t="shared" si="14"/>
        <v>190001</v>
      </c>
      <c r="C475" s="12" t="e">
        <f>INDEX(基础数据!$A$2:$A$1024,MATCH(转配商关联商!X475,基础数据!$D$2:$D$1024,0))</f>
        <v>#N/A</v>
      </c>
      <c r="E475" s="12" t="e">
        <f>INDEX(基础数据!$B$2:$B$1024,MATCH(转配商关联商!X475,基础数据!$D$2:$D$1024,0))</f>
        <v>#N/A</v>
      </c>
      <c r="G475" s="12" t="e">
        <f>INDEX([1]流向迭代数据!E$2:E$65536,MATCH(转配商关联商!W475,[1]流向迭代数据!M$2:M$65536,0))</f>
        <v>#N/A</v>
      </c>
      <c r="N475" s="12" t="e">
        <f>INDEX([1]流向迭代数据!J$2:J$65536,MATCH(L475,[1]流向迭代数据!H$2:H$65536,0))</f>
        <v>#N/A</v>
      </c>
      <c r="P475" s="14"/>
      <c r="T475" s="12" t="e">
        <f>INDEX([1]流向迭代数据!K$2:K$65536,MATCH(L475,[1]流向迭代数据!H$2:H$65536,0))</f>
        <v>#N/A</v>
      </c>
      <c r="W475" s="12" t="str">
        <f t="shared" si="15"/>
        <v/>
      </c>
    </row>
    <row r="476" spans="1:23" x14ac:dyDescent="0.15">
      <c r="A476" s="14" t="str">
        <f t="shared" si="14"/>
        <v>190001</v>
      </c>
      <c r="C476" s="12" t="e">
        <f>INDEX(基础数据!$A$2:$A$1024,MATCH(转配商关联商!X476,基础数据!$D$2:$D$1024,0))</f>
        <v>#N/A</v>
      </c>
      <c r="E476" s="12" t="e">
        <f>INDEX(基础数据!$B$2:$B$1024,MATCH(转配商关联商!X476,基础数据!$D$2:$D$1024,0))</f>
        <v>#N/A</v>
      </c>
      <c r="G476" s="12" t="e">
        <f>INDEX([1]流向迭代数据!E$2:E$65536,MATCH(转配商关联商!W476,[1]流向迭代数据!M$2:M$65536,0))</f>
        <v>#N/A</v>
      </c>
      <c r="N476" s="12" t="e">
        <f>INDEX([1]流向迭代数据!J$2:J$65536,MATCH(L476,[1]流向迭代数据!H$2:H$65536,0))</f>
        <v>#N/A</v>
      </c>
      <c r="P476" s="14"/>
      <c r="T476" s="12" t="e">
        <f>INDEX([1]流向迭代数据!K$2:K$65536,MATCH(L476,[1]流向迭代数据!H$2:H$65536,0))</f>
        <v>#N/A</v>
      </c>
      <c r="W476" s="12" t="str">
        <f t="shared" si="15"/>
        <v/>
      </c>
    </row>
    <row r="477" spans="1:23" x14ac:dyDescent="0.15">
      <c r="A477" s="14" t="str">
        <f t="shared" si="14"/>
        <v>190001</v>
      </c>
      <c r="C477" s="12" t="e">
        <f>INDEX(基础数据!$A$2:$A$1024,MATCH(转配商关联商!X477,基础数据!$D$2:$D$1024,0))</f>
        <v>#N/A</v>
      </c>
      <c r="E477" s="12" t="e">
        <f>INDEX(基础数据!$B$2:$B$1024,MATCH(转配商关联商!X477,基础数据!$D$2:$D$1024,0))</f>
        <v>#N/A</v>
      </c>
      <c r="G477" s="12" t="e">
        <f>INDEX([1]流向迭代数据!E$2:E$65536,MATCH(转配商关联商!W477,[1]流向迭代数据!M$2:M$65536,0))</f>
        <v>#N/A</v>
      </c>
      <c r="N477" s="12" t="e">
        <f>INDEX([1]流向迭代数据!J$2:J$65536,MATCH(L477,[1]流向迭代数据!H$2:H$65536,0))</f>
        <v>#N/A</v>
      </c>
      <c r="P477" s="14"/>
      <c r="T477" s="12" t="e">
        <f>INDEX([1]流向迭代数据!K$2:K$65536,MATCH(L477,[1]流向迭代数据!H$2:H$65536,0))</f>
        <v>#N/A</v>
      </c>
      <c r="W477" s="12" t="str">
        <f t="shared" si="15"/>
        <v/>
      </c>
    </row>
    <row r="478" spans="1:23" x14ac:dyDescent="0.15">
      <c r="A478" s="14" t="str">
        <f t="shared" si="14"/>
        <v>190001</v>
      </c>
      <c r="C478" s="12" t="e">
        <f>INDEX(基础数据!$A$2:$A$1024,MATCH(转配商关联商!X478,基础数据!$D$2:$D$1024,0))</f>
        <v>#N/A</v>
      </c>
      <c r="E478" s="12" t="e">
        <f>INDEX(基础数据!$B$2:$B$1024,MATCH(转配商关联商!X478,基础数据!$D$2:$D$1024,0))</f>
        <v>#N/A</v>
      </c>
      <c r="G478" s="12" t="e">
        <f>INDEX([1]流向迭代数据!E$2:E$65536,MATCH(转配商关联商!W478,[1]流向迭代数据!M$2:M$65536,0))</f>
        <v>#N/A</v>
      </c>
      <c r="N478" s="12" t="e">
        <f>INDEX([1]流向迭代数据!J$2:J$65536,MATCH(L478,[1]流向迭代数据!H$2:H$65536,0))</f>
        <v>#N/A</v>
      </c>
      <c r="P478" s="14"/>
      <c r="T478" s="12" t="e">
        <f>INDEX([1]流向迭代数据!K$2:K$65536,MATCH(L478,[1]流向迭代数据!H$2:H$65536,0))</f>
        <v>#N/A</v>
      </c>
      <c r="W478" s="12" t="str">
        <f t="shared" si="15"/>
        <v/>
      </c>
    </row>
    <row r="479" spans="1:23" x14ac:dyDescent="0.15">
      <c r="A479" s="14" t="str">
        <f t="shared" si="14"/>
        <v>190001</v>
      </c>
      <c r="C479" s="12" t="e">
        <f>INDEX(基础数据!$A$2:$A$1024,MATCH(转配商关联商!X479,基础数据!$D$2:$D$1024,0))</f>
        <v>#N/A</v>
      </c>
      <c r="E479" s="12" t="e">
        <f>INDEX(基础数据!$B$2:$B$1024,MATCH(转配商关联商!X479,基础数据!$D$2:$D$1024,0))</f>
        <v>#N/A</v>
      </c>
      <c r="G479" s="12" t="e">
        <f>INDEX([1]流向迭代数据!E$2:E$65536,MATCH(转配商关联商!W479,[1]流向迭代数据!M$2:M$65536,0))</f>
        <v>#N/A</v>
      </c>
      <c r="N479" s="12" t="e">
        <f>INDEX([1]流向迭代数据!J$2:J$65536,MATCH(L479,[1]流向迭代数据!H$2:H$65536,0))</f>
        <v>#N/A</v>
      </c>
      <c r="P479" s="14"/>
      <c r="T479" s="12" t="e">
        <f>INDEX([1]流向迭代数据!K$2:K$65536,MATCH(L479,[1]流向迭代数据!H$2:H$65536,0))</f>
        <v>#N/A</v>
      </c>
      <c r="W479" s="12" t="str">
        <f t="shared" si="15"/>
        <v/>
      </c>
    </row>
    <row r="480" spans="1:23" x14ac:dyDescent="0.15">
      <c r="A480" s="14" t="str">
        <f t="shared" si="14"/>
        <v>190001</v>
      </c>
      <c r="C480" s="12" t="e">
        <f>INDEX(基础数据!$A$2:$A$1024,MATCH(转配商关联商!X480,基础数据!$D$2:$D$1024,0))</f>
        <v>#N/A</v>
      </c>
      <c r="E480" s="12" t="e">
        <f>INDEX(基础数据!$B$2:$B$1024,MATCH(转配商关联商!X480,基础数据!$D$2:$D$1024,0))</f>
        <v>#N/A</v>
      </c>
      <c r="G480" s="12" t="e">
        <f>INDEX([1]流向迭代数据!E$2:E$65536,MATCH(转配商关联商!W480,[1]流向迭代数据!M$2:M$65536,0))</f>
        <v>#N/A</v>
      </c>
      <c r="N480" s="12" t="e">
        <f>INDEX([1]流向迭代数据!J$2:J$65536,MATCH(L480,[1]流向迭代数据!H$2:H$65536,0))</f>
        <v>#N/A</v>
      </c>
      <c r="P480" s="14"/>
      <c r="T480" s="12" t="e">
        <f>INDEX([1]流向迭代数据!K$2:K$65536,MATCH(L480,[1]流向迭代数据!H$2:H$65536,0))</f>
        <v>#N/A</v>
      </c>
      <c r="W480" s="12" t="str">
        <f t="shared" si="15"/>
        <v/>
      </c>
    </row>
    <row r="481" spans="1:23" x14ac:dyDescent="0.15">
      <c r="A481" s="14" t="str">
        <f t="shared" si="14"/>
        <v>190001</v>
      </c>
      <c r="C481" s="12" t="e">
        <f>INDEX(基础数据!$A$2:$A$1024,MATCH(转配商关联商!X481,基础数据!$D$2:$D$1024,0))</f>
        <v>#N/A</v>
      </c>
      <c r="E481" s="12" t="e">
        <f>INDEX(基础数据!$B$2:$B$1024,MATCH(转配商关联商!X481,基础数据!$D$2:$D$1024,0))</f>
        <v>#N/A</v>
      </c>
      <c r="G481" s="12" t="e">
        <f>INDEX([1]流向迭代数据!E$2:E$65536,MATCH(转配商关联商!W481,[1]流向迭代数据!M$2:M$65536,0))</f>
        <v>#N/A</v>
      </c>
      <c r="N481" s="12" t="e">
        <f>INDEX([1]流向迭代数据!J$2:J$65536,MATCH(L481,[1]流向迭代数据!H$2:H$65536,0))</f>
        <v>#N/A</v>
      </c>
      <c r="P481" s="14"/>
      <c r="T481" s="12" t="e">
        <f>INDEX([1]流向迭代数据!K$2:K$65536,MATCH(L481,[1]流向迭代数据!H$2:H$65536,0))</f>
        <v>#N/A</v>
      </c>
      <c r="W481" s="12" t="str">
        <f t="shared" si="15"/>
        <v/>
      </c>
    </row>
    <row r="482" spans="1:23" x14ac:dyDescent="0.15">
      <c r="A482" s="14" t="str">
        <f t="shared" si="14"/>
        <v>190001</v>
      </c>
      <c r="C482" s="12" t="e">
        <f>INDEX(基础数据!$A$2:$A$1024,MATCH(转配商关联商!X482,基础数据!$D$2:$D$1024,0))</f>
        <v>#N/A</v>
      </c>
      <c r="E482" s="12" t="e">
        <f>INDEX(基础数据!$B$2:$B$1024,MATCH(转配商关联商!X482,基础数据!$D$2:$D$1024,0))</f>
        <v>#N/A</v>
      </c>
      <c r="G482" s="12" t="e">
        <f>INDEX([1]流向迭代数据!E$2:E$65536,MATCH(转配商关联商!W482,[1]流向迭代数据!M$2:M$65536,0))</f>
        <v>#N/A</v>
      </c>
      <c r="N482" s="12" t="e">
        <f>INDEX([1]流向迭代数据!J$2:J$65536,MATCH(L482,[1]流向迭代数据!H$2:H$65536,0))</f>
        <v>#N/A</v>
      </c>
      <c r="P482" s="14"/>
      <c r="T482" s="12" t="e">
        <f>INDEX([1]流向迭代数据!K$2:K$65536,MATCH(L482,[1]流向迭代数据!H$2:H$65536,0))</f>
        <v>#N/A</v>
      </c>
      <c r="W482" s="12" t="str">
        <f t="shared" si="15"/>
        <v/>
      </c>
    </row>
    <row r="483" spans="1:23" x14ac:dyDescent="0.15">
      <c r="A483" s="14" t="str">
        <f t="shared" si="14"/>
        <v>190001</v>
      </c>
      <c r="C483" s="12" t="e">
        <f>INDEX(基础数据!$A$2:$A$1024,MATCH(转配商关联商!X483,基础数据!$D$2:$D$1024,0))</f>
        <v>#N/A</v>
      </c>
      <c r="E483" s="12" t="e">
        <f>INDEX(基础数据!$B$2:$B$1024,MATCH(转配商关联商!X483,基础数据!$D$2:$D$1024,0))</f>
        <v>#N/A</v>
      </c>
      <c r="G483" s="12" t="e">
        <f>INDEX([1]流向迭代数据!E$2:E$65536,MATCH(转配商关联商!W483,[1]流向迭代数据!M$2:M$65536,0))</f>
        <v>#N/A</v>
      </c>
      <c r="N483" s="12" t="e">
        <f>INDEX([1]流向迭代数据!J$2:J$65536,MATCH(L483,[1]流向迭代数据!H$2:H$65536,0))</f>
        <v>#N/A</v>
      </c>
      <c r="P483" s="14"/>
      <c r="T483" s="12" t="e">
        <f>INDEX([1]流向迭代数据!K$2:K$65536,MATCH(L483,[1]流向迭代数据!H$2:H$65536,0))</f>
        <v>#N/A</v>
      </c>
      <c r="W483" s="12" t="str">
        <f t="shared" si="15"/>
        <v/>
      </c>
    </row>
    <row r="484" spans="1:23" x14ac:dyDescent="0.15">
      <c r="A484" s="14" t="str">
        <f t="shared" si="14"/>
        <v>190001</v>
      </c>
      <c r="C484" s="12" t="e">
        <f>INDEX(基础数据!$A$2:$A$1024,MATCH(转配商关联商!X484,基础数据!$D$2:$D$1024,0))</f>
        <v>#N/A</v>
      </c>
      <c r="E484" s="12" t="e">
        <f>INDEX(基础数据!$B$2:$B$1024,MATCH(转配商关联商!X484,基础数据!$D$2:$D$1024,0))</f>
        <v>#N/A</v>
      </c>
      <c r="G484" s="12" t="e">
        <f>INDEX([1]流向迭代数据!E$2:E$65536,MATCH(转配商关联商!W484,[1]流向迭代数据!M$2:M$65536,0))</f>
        <v>#N/A</v>
      </c>
      <c r="N484" s="12" t="e">
        <f>INDEX([1]流向迭代数据!J$2:J$65536,MATCH(L484,[1]流向迭代数据!H$2:H$65536,0))</f>
        <v>#N/A</v>
      </c>
      <c r="P484" s="14"/>
      <c r="T484" s="12" t="e">
        <f>INDEX([1]流向迭代数据!K$2:K$65536,MATCH(L484,[1]流向迭代数据!H$2:H$65536,0))</f>
        <v>#N/A</v>
      </c>
      <c r="W484" s="12" t="str">
        <f t="shared" si="15"/>
        <v/>
      </c>
    </row>
    <row r="485" spans="1:23" x14ac:dyDescent="0.15">
      <c r="A485" s="14" t="str">
        <f t="shared" si="14"/>
        <v>190001</v>
      </c>
      <c r="C485" s="12" t="e">
        <f>INDEX(基础数据!$A$2:$A$1024,MATCH(转配商关联商!X485,基础数据!$D$2:$D$1024,0))</f>
        <v>#N/A</v>
      </c>
      <c r="E485" s="12" t="e">
        <f>INDEX(基础数据!$B$2:$B$1024,MATCH(转配商关联商!X485,基础数据!$D$2:$D$1024,0))</f>
        <v>#N/A</v>
      </c>
      <c r="G485" s="12" t="e">
        <f>INDEX([1]流向迭代数据!E$2:E$65536,MATCH(转配商关联商!W485,[1]流向迭代数据!M$2:M$65536,0))</f>
        <v>#N/A</v>
      </c>
      <c r="N485" s="12" t="e">
        <f>INDEX([1]流向迭代数据!J$2:J$65536,MATCH(L485,[1]流向迭代数据!H$2:H$65536,0))</f>
        <v>#N/A</v>
      </c>
      <c r="P485" s="14"/>
      <c r="T485" s="12" t="e">
        <f>INDEX([1]流向迭代数据!K$2:K$65536,MATCH(L485,[1]流向迭代数据!H$2:H$65536,0))</f>
        <v>#N/A</v>
      </c>
      <c r="W485" s="12" t="str">
        <f t="shared" si="15"/>
        <v/>
      </c>
    </row>
    <row r="486" spans="1:23" x14ac:dyDescent="0.15">
      <c r="A486" s="14" t="str">
        <f t="shared" si="14"/>
        <v>190001</v>
      </c>
      <c r="C486" s="12" t="e">
        <f>INDEX(基础数据!$A$2:$A$1024,MATCH(转配商关联商!X486,基础数据!$D$2:$D$1024,0))</f>
        <v>#N/A</v>
      </c>
      <c r="E486" s="12" t="e">
        <f>INDEX(基础数据!$B$2:$B$1024,MATCH(转配商关联商!X486,基础数据!$D$2:$D$1024,0))</f>
        <v>#N/A</v>
      </c>
      <c r="G486" s="12" t="e">
        <f>INDEX([1]流向迭代数据!E$2:E$65536,MATCH(转配商关联商!W486,[1]流向迭代数据!M$2:M$65536,0))</f>
        <v>#N/A</v>
      </c>
      <c r="N486" s="12" t="e">
        <f>INDEX([1]流向迭代数据!J$2:J$65536,MATCH(L486,[1]流向迭代数据!H$2:H$65536,0))</f>
        <v>#N/A</v>
      </c>
      <c r="P486" s="14"/>
      <c r="T486" s="12" t="e">
        <f>INDEX([1]流向迭代数据!K$2:K$65536,MATCH(L486,[1]流向迭代数据!H$2:H$65536,0))</f>
        <v>#N/A</v>
      </c>
      <c r="W486" s="12" t="str">
        <f t="shared" si="15"/>
        <v/>
      </c>
    </row>
    <row r="487" spans="1:23" x14ac:dyDescent="0.15">
      <c r="A487" s="14" t="str">
        <f t="shared" si="14"/>
        <v>190001</v>
      </c>
      <c r="C487" s="12" t="e">
        <f>INDEX(基础数据!$A$2:$A$1024,MATCH(转配商关联商!X487,基础数据!$D$2:$D$1024,0))</f>
        <v>#N/A</v>
      </c>
      <c r="E487" s="12" t="e">
        <f>INDEX(基础数据!$B$2:$B$1024,MATCH(转配商关联商!X487,基础数据!$D$2:$D$1024,0))</f>
        <v>#N/A</v>
      </c>
      <c r="G487" s="12" t="e">
        <f>INDEX([1]流向迭代数据!E$2:E$65536,MATCH(转配商关联商!W487,[1]流向迭代数据!M$2:M$65536,0))</f>
        <v>#N/A</v>
      </c>
      <c r="N487" s="12" t="e">
        <f>INDEX([1]流向迭代数据!J$2:J$65536,MATCH(L487,[1]流向迭代数据!H$2:H$65536,0))</f>
        <v>#N/A</v>
      </c>
      <c r="P487" s="14"/>
      <c r="T487" s="12" t="e">
        <f>INDEX([1]流向迭代数据!K$2:K$65536,MATCH(L487,[1]流向迭代数据!H$2:H$65536,0))</f>
        <v>#N/A</v>
      </c>
      <c r="W487" s="12" t="str">
        <f t="shared" si="15"/>
        <v/>
      </c>
    </row>
    <row r="488" spans="1:23" x14ac:dyDescent="0.15">
      <c r="A488" s="14" t="str">
        <f t="shared" si="14"/>
        <v>190001</v>
      </c>
      <c r="C488" s="12" t="e">
        <f>INDEX(基础数据!$A$2:$A$1024,MATCH(转配商关联商!X488,基础数据!$D$2:$D$1024,0))</f>
        <v>#N/A</v>
      </c>
      <c r="E488" s="12" t="e">
        <f>INDEX(基础数据!$B$2:$B$1024,MATCH(转配商关联商!X488,基础数据!$D$2:$D$1024,0))</f>
        <v>#N/A</v>
      </c>
      <c r="G488" s="12" t="e">
        <f>INDEX([1]流向迭代数据!E$2:E$65536,MATCH(转配商关联商!W488,[1]流向迭代数据!M$2:M$65536,0))</f>
        <v>#N/A</v>
      </c>
      <c r="N488" s="12" t="e">
        <f>INDEX([1]流向迭代数据!J$2:J$65536,MATCH(L488,[1]流向迭代数据!H$2:H$65536,0))</f>
        <v>#N/A</v>
      </c>
      <c r="P488" s="14"/>
      <c r="T488" s="12" t="e">
        <f>INDEX([1]流向迭代数据!K$2:K$65536,MATCH(L488,[1]流向迭代数据!H$2:H$65536,0))</f>
        <v>#N/A</v>
      </c>
      <c r="W488" s="12" t="str">
        <f t="shared" si="15"/>
        <v/>
      </c>
    </row>
    <row r="489" spans="1:23" x14ac:dyDescent="0.15">
      <c r="A489" s="14" t="str">
        <f t="shared" si="14"/>
        <v>190001</v>
      </c>
      <c r="C489" s="12" t="e">
        <f>INDEX(基础数据!$A$2:$A$1024,MATCH(转配商关联商!X489,基础数据!$D$2:$D$1024,0))</f>
        <v>#N/A</v>
      </c>
      <c r="E489" s="12" t="e">
        <f>INDEX(基础数据!$B$2:$B$1024,MATCH(转配商关联商!X489,基础数据!$D$2:$D$1024,0))</f>
        <v>#N/A</v>
      </c>
      <c r="G489" s="12" t="e">
        <f>INDEX([1]流向迭代数据!E$2:E$65536,MATCH(转配商关联商!W489,[1]流向迭代数据!M$2:M$65536,0))</f>
        <v>#N/A</v>
      </c>
      <c r="N489" s="12" t="e">
        <f>INDEX([1]流向迭代数据!J$2:J$65536,MATCH(L489,[1]流向迭代数据!H$2:H$65536,0))</f>
        <v>#N/A</v>
      </c>
      <c r="P489" s="14"/>
      <c r="T489" s="12" t="e">
        <f>INDEX([1]流向迭代数据!K$2:K$65536,MATCH(L489,[1]流向迭代数据!H$2:H$65536,0))</f>
        <v>#N/A</v>
      </c>
      <c r="W489" s="12" t="str">
        <f t="shared" si="15"/>
        <v/>
      </c>
    </row>
    <row r="490" spans="1:23" x14ac:dyDescent="0.15">
      <c r="A490" s="14" t="str">
        <f t="shared" si="14"/>
        <v>190001</v>
      </c>
      <c r="C490" s="12" t="e">
        <f>INDEX(基础数据!$A$2:$A$1024,MATCH(转配商关联商!X490,基础数据!$D$2:$D$1024,0))</f>
        <v>#N/A</v>
      </c>
      <c r="E490" s="12" t="e">
        <f>INDEX(基础数据!$B$2:$B$1024,MATCH(转配商关联商!X490,基础数据!$D$2:$D$1024,0))</f>
        <v>#N/A</v>
      </c>
      <c r="G490" s="12" t="e">
        <f>INDEX([1]流向迭代数据!E$2:E$65536,MATCH(转配商关联商!W490,[1]流向迭代数据!M$2:M$65536,0))</f>
        <v>#N/A</v>
      </c>
      <c r="N490" s="12" t="e">
        <f>INDEX([1]流向迭代数据!J$2:J$65536,MATCH(L490,[1]流向迭代数据!H$2:H$65536,0))</f>
        <v>#N/A</v>
      </c>
      <c r="P490" s="14"/>
      <c r="T490" s="12" t="e">
        <f>INDEX([1]流向迭代数据!K$2:K$65536,MATCH(L490,[1]流向迭代数据!H$2:H$65536,0))</f>
        <v>#N/A</v>
      </c>
      <c r="W490" s="12" t="str">
        <f t="shared" si="15"/>
        <v/>
      </c>
    </row>
    <row r="491" spans="1:23" x14ac:dyDescent="0.15">
      <c r="A491" s="14" t="str">
        <f t="shared" si="14"/>
        <v>190001</v>
      </c>
      <c r="C491" s="12" t="e">
        <f>INDEX(基础数据!$A$2:$A$1024,MATCH(转配商关联商!X491,基础数据!$D$2:$D$1024,0))</f>
        <v>#N/A</v>
      </c>
      <c r="E491" s="12" t="e">
        <f>INDEX(基础数据!$B$2:$B$1024,MATCH(转配商关联商!X491,基础数据!$D$2:$D$1024,0))</f>
        <v>#N/A</v>
      </c>
      <c r="G491" s="12" t="e">
        <f>INDEX([1]流向迭代数据!E$2:E$65536,MATCH(转配商关联商!W491,[1]流向迭代数据!M$2:M$65536,0))</f>
        <v>#N/A</v>
      </c>
      <c r="N491" s="12" t="e">
        <f>INDEX([1]流向迭代数据!J$2:J$65536,MATCH(L491,[1]流向迭代数据!H$2:H$65536,0))</f>
        <v>#N/A</v>
      </c>
      <c r="P491" s="14"/>
      <c r="T491" s="12" t="e">
        <f>INDEX([1]流向迭代数据!K$2:K$65536,MATCH(L491,[1]流向迭代数据!H$2:H$65536,0))</f>
        <v>#N/A</v>
      </c>
      <c r="W491" s="12" t="str">
        <f t="shared" si="15"/>
        <v/>
      </c>
    </row>
    <row r="492" spans="1:23" x14ac:dyDescent="0.15">
      <c r="A492" s="14" t="str">
        <f t="shared" si="14"/>
        <v>190001</v>
      </c>
      <c r="C492" s="12" t="e">
        <f>INDEX(基础数据!$A$2:$A$1024,MATCH(转配商关联商!X492,基础数据!$D$2:$D$1024,0))</f>
        <v>#N/A</v>
      </c>
      <c r="E492" s="12" t="e">
        <f>INDEX(基础数据!$B$2:$B$1024,MATCH(转配商关联商!X492,基础数据!$D$2:$D$1024,0))</f>
        <v>#N/A</v>
      </c>
      <c r="G492" s="12" t="e">
        <f>INDEX([1]流向迭代数据!E$2:E$65536,MATCH(转配商关联商!W492,[1]流向迭代数据!M$2:M$65536,0))</f>
        <v>#N/A</v>
      </c>
      <c r="N492" s="12" t="e">
        <f>INDEX([1]流向迭代数据!J$2:J$65536,MATCH(L492,[1]流向迭代数据!H$2:H$65536,0))</f>
        <v>#N/A</v>
      </c>
      <c r="P492" s="14"/>
      <c r="T492" s="12" t="e">
        <f>INDEX([1]流向迭代数据!K$2:K$65536,MATCH(L492,[1]流向迭代数据!H$2:H$65536,0))</f>
        <v>#N/A</v>
      </c>
      <c r="W492" s="12" t="str">
        <f t="shared" si="15"/>
        <v/>
      </c>
    </row>
    <row r="493" spans="1:23" x14ac:dyDescent="0.15">
      <c r="A493" s="14" t="str">
        <f t="shared" si="14"/>
        <v>190001</v>
      </c>
      <c r="C493" s="12" t="e">
        <f>INDEX(基础数据!$A$2:$A$1024,MATCH(转配商关联商!X493,基础数据!$D$2:$D$1024,0))</f>
        <v>#N/A</v>
      </c>
      <c r="E493" s="12" t="e">
        <f>INDEX(基础数据!$B$2:$B$1024,MATCH(转配商关联商!X493,基础数据!$D$2:$D$1024,0))</f>
        <v>#N/A</v>
      </c>
      <c r="G493" s="12" t="e">
        <f>INDEX([1]流向迭代数据!E$2:E$65536,MATCH(转配商关联商!W493,[1]流向迭代数据!M$2:M$65536,0))</f>
        <v>#N/A</v>
      </c>
      <c r="N493" s="12" t="e">
        <f>INDEX([1]流向迭代数据!J$2:J$65536,MATCH(L493,[1]流向迭代数据!H$2:H$65536,0))</f>
        <v>#N/A</v>
      </c>
      <c r="P493" s="14"/>
      <c r="T493" s="12" t="e">
        <f>INDEX([1]流向迭代数据!K$2:K$65536,MATCH(L493,[1]流向迭代数据!H$2:H$65536,0))</f>
        <v>#N/A</v>
      </c>
      <c r="W493" s="12" t="str">
        <f t="shared" si="15"/>
        <v/>
      </c>
    </row>
    <row r="494" spans="1:23" x14ac:dyDescent="0.15">
      <c r="A494" s="14" t="str">
        <f t="shared" si="14"/>
        <v>190001</v>
      </c>
      <c r="C494" s="12" t="e">
        <f>INDEX(基础数据!$A$2:$A$1024,MATCH(转配商关联商!X494,基础数据!$D$2:$D$1024,0))</f>
        <v>#N/A</v>
      </c>
      <c r="E494" s="12" t="e">
        <f>INDEX(基础数据!$B$2:$B$1024,MATCH(转配商关联商!X494,基础数据!$D$2:$D$1024,0))</f>
        <v>#N/A</v>
      </c>
      <c r="G494" s="12" t="e">
        <f>INDEX([1]流向迭代数据!E$2:E$65536,MATCH(转配商关联商!W494,[1]流向迭代数据!M$2:M$65536,0))</f>
        <v>#N/A</v>
      </c>
      <c r="N494" s="12" t="e">
        <f>INDEX([1]流向迭代数据!J$2:J$65536,MATCH(L494,[1]流向迭代数据!H$2:H$65536,0))</f>
        <v>#N/A</v>
      </c>
      <c r="P494" s="14"/>
      <c r="T494" s="12" t="e">
        <f>INDEX([1]流向迭代数据!K$2:K$65536,MATCH(L494,[1]流向迭代数据!H$2:H$65536,0))</f>
        <v>#N/A</v>
      </c>
      <c r="W494" s="12" t="str">
        <f t="shared" si="15"/>
        <v/>
      </c>
    </row>
    <row r="495" spans="1:23" x14ac:dyDescent="0.15">
      <c r="A495" s="14" t="str">
        <f t="shared" si="14"/>
        <v>190001</v>
      </c>
      <c r="C495" s="12" t="e">
        <f>INDEX(基础数据!$A$2:$A$1024,MATCH(转配商关联商!X495,基础数据!$D$2:$D$1024,0))</f>
        <v>#N/A</v>
      </c>
      <c r="E495" s="12" t="e">
        <f>INDEX(基础数据!$B$2:$B$1024,MATCH(转配商关联商!X495,基础数据!$D$2:$D$1024,0))</f>
        <v>#N/A</v>
      </c>
      <c r="G495" s="12" t="e">
        <f>INDEX([1]流向迭代数据!E$2:E$65536,MATCH(转配商关联商!W495,[1]流向迭代数据!M$2:M$65536,0))</f>
        <v>#N/A</v>
      </c>
      <c r="N495" s="12" t="e">
        <f>INDEX([1]流向迭代数据!J$2:J$65536,MATCH(L495,[1]流向迭代数据!H$2:H$65536,0))</f>
        <v>#N/A</v>
      </c>
      <c r="P495" s="14"/>
      <c r="T495" s="12" t="e">
        <f>INDEX([1]流向迭代数据!K$2:K$65536,MATCH(L495,[1]流向迭代数据!H$2:H$65536,0))</f>
        <v>#N/A</v>
      </c>
      <c r="W495" s="12" t="str">
        <f t="shared" si="15"/>
        <v/>
      </c>
    </row>
    <row r="496" spans="1:23" x14ac:dyDescent="0.15">
      <c r="A496" s="14" t="str">
        <f t="shared" si="14"/>
        <v>190001</v>
      </c>
      <c r="C496" s="12" t="e">
        <f>INDEX(基础数据!$A$2:$A$1024,MATCH(转配商关联商!X496,基础数据!$D$2:$D$1024,0))</f>
        <v>#N/A</v>
      </c>
      <c r="E496" s="12" t="e">
        <f>INDEX(基础数据!$B$2:$B$1024,MATCH(转配商关联商!X496,基础数据!$D$2:$D$1024,0))</f>
        <v>#N/A</v>
      </c>
      <c r="G496" s="12" t="e">
        <f>INDEX([1]流向迭代数据!E$2:E$65536,MATCH(转配商关联商!W496,[1]流向迭代数据!M$2:M$65536,0))</f>
        <v>#N/A</v>
      </c>
      <c r="N496" s="12" t="e">
        <f>INDEX([1]流向迭代数据!J$2:J$65536,MATCH(L496,[1]流向迭代数据!H$2:H$65536,0))</f>
        <v>#N/A</v>
      </c>
      <c r="P496" s="14"/>
      <c r="T496" s="12" t="e">
        <f>INDEX([1]流向迭代数据!K$2:K$65536,MATCH(L496,[1]流向迭代数据!H$2:H$65536,0))</f>
        <v>#N/A</v>
      </c>
      <c r="W496" s="12" t="str">
        <f t="shared" si="15"/>
        <v/>
      </c>
    </row>
    <row r="497" spans="1:23" x14ac:dyDescent="0.15">
      <c r="A497" s="14" t="str">
        <f t="shared" si="14"/>
        <v>190001</v>
      </c>
      <c r="C497" s="12" t="e">
        <f>INDEX(基础数据!$A$2:$A$1024,MATCH(转配商关联商!X497,基础数据!$D$2:$D$1024,0))</f>
        <v>#N/A</v>
      </c>
      <c r="E497" s="12" t="e">
        <f>INDEX(基础数据!$B$2:$B$1024,MATCH(转配商关联商!X497,基础数据!$D$2:$D$1024,0))</f>
        <v>#N/A</v>
      </c>
      <c r="G497" s="12" t="e">
        <f>INDEX([1]流向迭代数据!E$2:E$65536,MATCH(转配商关联商!W497,[1]流向迭代数据!M$2:M$65536,0))</f>
        <v>#N/A</v>
      </c>
      <c r="N497" s="12" t="e">
        <f>INDEX([1]流向迭代数据!J$2:J$65536,MATCH(L497,[1]流向迭代数据!H$2:H$65536,0))</f>
        <v>#N/A</v>
      </c>
      <c r="P497" s="14"/>
      <c r="T497" s="12" t="e">
        <f>INDEX([1]流向迭代数据!K$2:K$65536,MATCH(L497,[1]流向迭代数据!H$2:H$65536,0))</f>
        <v>#N/A</v>
      </c>
      <c r="W497" s="12" t="str">
        <f t="shared" si="15"/>
        <v/>
      </c>
    </row>
    <row r="498" spans="1:23" x14ac:dyDescent="0.15">
      <c r="A498" s="14" t="str">
        <f t="shared" si="14"/>
        <v>190001</v>
      </c>
      <c r="C498" s="12" t="e">
        <f>INDEX(基础数据!$A$2:$A$1024,MATCH(转配商关联商!X498,基础数据!$D$2:$D$1024,0))</f>
        <v>#N/A</v>
      </c>
      <c r="E498" s="12" t="e">
        <f>INDEX(基础数据!$B$2:$B$1024,MATCH(转配商关联商!X498,基础数据!$D$2:$D$1024,0))</f>
        <v>#N/A</v>
      </c>
      <c r="G498" s="12" t="e">
        <f>INDEX([1]流向迭代数据!E$2:E$65536,MATCH(转配商关联商!W498,[1]流向迭代数据!M$2:M$65536,0))</f>
        <v>#N/A</v>
      </c>
      <c r="N498" s="12" t="e">
        <f>INDEX([1]流向迭代数据!J$2:J$65536,MATCH(L498,[1]流向迭代数据!H$2:H$65536,0))</f>
        <v>#N/A</v>
      </c>
      <c r="P498" s="14"/>
      <c r="T498" s="12" t="e">
        <f>INDEX([1]流向迭代数据!K$2:K$65536,MATCH(L498,[1]流向迭代数据!H$2:H$65536,0))</f>
        <v>#N/A</v>
      </c>
      <c r="W498" s="12" t="str">
        <f t="shared" si="15"/>
        <v/>
      </c>
    </row>
    <row r="499" spans="1:23" x14ac:dyDescent="0.15">
      <c r="A499" s="14" t="str">
        <f t="shared" si="14"/>
        <v>190001</v>
      </c>
      <c r="C499" s="12" t="e">
        <f>INDEX(基础数据!$A$2:$A$1024,MATCH(转配商关联商!X499,基础数据!$D$2:$D$1024,0))</f>
        <v>#N/A</v>
      </c>
      <c r="E499" s="12" t="e">
        <f>INDEX(基础数据!$B$2:$B$1024,MATCH(转配商关联商!X499,基础数据!$D$2:$D$1024,0))</f>
        <v>#N/A</v>
      </c>
      <c r="G499" s="12" t="e">
        <f>INDEX([1]流向迭代数据!E$2:E$65536,MATCH(转配商关联商!W499,[1]流向迭代数据!M$2:M$65536,0))</f>
        <v>#N/A</v>
      </c>
      <c r="N499" s="12" t="e">
        <f>INDEX([1]流向迭代数据!J$2:J$65536,MATCH(L499,[1]流向迭代数据!H$2:H$65536,0))</f>
        <v>#N/A</v>
      </c>
      <c r="P499" s="14"/>
      <c r="T499" s="12" t="e">
        <f>INDEX([1]流向迭代数据!K$2:K$65536,MATCH(L499,[1]流向迭代数据!H$2:H$65536,0))</f>
        <v>#N/A</v>
      </c>
      <c r="W499" s="12" t="str">
        <f t="shared" si="15"/>
        <v/>
      </c>
    </row>
    <row r="500" spans="1:23" x14ac:dyDescent="0.15">
      <c r="A500" s="14" t="str">
        <f t="shared" si="14"/>
        <v>190001</v>
      </c>
      <c r="C500" s="12" t="e">
        <f>INDEX(基础数据!$A$2:$A$1024,MATCH(转配商关联商!X500,基础数据!$D$2:$D$1024,0))</f>
        <v>#N/A</v>
      </c>
      <c r="E500" s="12" t="e">
        <f>INDEX(基础数据!$B$2:$B$1024,MATCH(转配商关联商!X500,基础数据!$D$2:$D$1024,0))</f>
        <v>#N/A</v>
      </c>
      <c r="G500" s="12" t="e">
        <f>INDEX([1]流向迭代数据!E$2:E$65536,MATCH(转配商关联商!W500,[1]流向迭代数据!M$2:M$65536,0))</f>
        <v>#N/A</v>
      </c>
      <c r="N500" s="12" t="e">
        <f>INDEX([1]流向迭代数据!J$2:J$65536,MATCH(L500,[1]流向迭代数据!H$2:H$65536,0))</f>
        <v>#N/A</v>
      </c>
      <c r="P500" s="14"/>
      <c r="T500" s="12" t="e">
        <f>INDEX([1]流向迭代数据!K$2:K$65536,MATCH(L500,[1]流向迭代数据!H$2:H$65536,0))</f>
        <v>#N/A</v>
      </c>
      <c r="W500" s="12" t="str">
        <f t="shared" si="15"/>
        <v/>
      </c>
    </row>
    <row r="501" spans="1:23" x14ac:dyDescent="0.15">
      <c r="A501" s="14" t="str">
        <f t="shared" si="14"/>
        <v>190001</v>
      </c>
      <c r="C501" s="12" t="e">
        <f>INDEX(基础数据!$A$2:$A$1024,MATCH(转配商关联商!X501,基础数据!$D$2:$D$1024,0))</f>
        <v>#N/A</v>
      </c>
      <c r="E501" s="12" t="e">
        <f>INDEX(基础数据!$B$2:$B$1024,MATCH(转配商关联商!X501,基础数据!$D$2:$D$1024,0))</f>
        <v>#N/A</v>
      </c>
      <c r="G501" s="12" t="e">
        <f>INDEX([1]流向迭代数据!E$2:E$65536,MATCH(转配商关联商!W501,[1]流向迭代数据!M$2:M$65536,0))</f>
        <v>#N/A</v>
      </c>
      <c r="N501" s="12" t="e">
        <f>INDEX([1]流向迭代数据!J$2:J$65536,MATCH(L501,[1]流向迭代数据!H$2:H$65536,0))</f>
        <v>#N/A</v>
      </c>
      <c r="P501" s="14"/>
      <c r="T501" s="12" t="e">
        <f>INDEX([1]流向迭代数据!K$2:K$65536,MATCH(L501,[1]流向迭代数据!H$2:H$65536,0))</f>
        <v>#N/A</v>
      </c>
      <c r="W501" s="12" t="str">
        <f t="shared" si="15"/>
        <v/>
      </c>
    </row>
    <row r="502" spans="1:23" x14ac:dyDescent="0.15">
      <c r="A502" s="14" t="str">
        <f t="shared" si="14"/>
        <v>190001</v>
      </c>
      <c r="C502" s="12" t="e">
        <f>INDEX(基础数据!$A$2:$A$1024,MATCH(转配商关联商!X502,基础数据!$D$2:$D$1024,0))</f>
        <v>#N/A</v>
      </c>
      <c r="E502" s="12" t="e">
        <f>INDEX(基础数据!$B$2:$B$1024,MATCH(转配商关联商!X502,基础数据!$D$2:$D$1024,0))</f>
        <v>#N/A</v>
      </c>
      <c r="G502" s="12" t="e">
        <f>INDEX([1]流向迭代数据!E$2:E$65536,MATCH(转配商关联商!W502,[1]流向迭代数据!M$2:M$65536,0))</f>
        <v>#N/A</v>
      </c>
      <c r="N502" s="12" t="e">
        <f>INDEX([1]流向迭代数据!J$2:J$65536,MATCH(L502,[1]流向迭代数据!H$2:H$65536,0))</f>
        <v>#N/A</v>
      </c>
      <c r="P502" s="14"/>
      <c r="T502" s="12" t="e">
        <f>INDEX([1]流向迭代数据!K$2:K$65536,MATCH(L502,[1]流向迭代数据!H$2:H$65536,0))</f>
        <v>#N/A</v>
      </c>
      <c r="W502" s="12" t="str">
        <f t="shared" si="15"/>
        <v/>
      </c>
    </row>
    <row r="503" spans="1:23" x14ac:dyDescent="0.15">
      <c r="A503" s="14" t="str">
        <f t="shared" si="14"/>
        <v>190001</v>
      </c>
      <c r="C503" s="12" t="e">
        <f>INDEX(基础数据!$A$2:$A$1024,MATCH(转配商关联商!X503,基础数据!$D$2:$D$1024,0))</f>
        <v>#N/A</v>
      </c>
      <c r="E503" s="12" t="e">
        <f>INDEX(基础数据!$B$2:$B$1024,MATCH(转配商关联商!X503,基础数据!$D$2:$D$1024,0))</f>
        <v>#N/A</v>
      </c>
      <c r="G503" s="12" t="e">
        <f>INDEX([1]流向迭代数据!E$2:E$65536,MATCH(转配商关联商!W503,[1]流向迭代数据!M$2:M$65536,0))</f>
        <v>#N/A</v>
      </c>
      <c r="N503" s="12" t="e">
        <f>INDEX([1]流向迭代数据!J$2:J$65536,MATCH(L503,[1]流向迭代数据!H$2:H$65536,0))</f>
        <v>#N/A</v>
      </c>
      <c r="P503" s="14"/>
      <c r="T503" s="12" t="e">
        <f>INDEX([1]流向迭代数据!K$2:K$65536,MATCH(L503,[1]流向迭代数据!H$2:H$65536,0))</f>
        <v>#N/A</v>
      </c>
      <c r="W503" s="12" t="str">
        <f t="shared" si="15"/>
        <v/>
      </c>
    </row>
    <row r="504" spans="1:23" x14ac:dyDescent="0.15">
      <c r="A504" s="14" t="str">
        <f t="shared" si="14"/>
        <v>190001</v>
      </c>
      <c r="C504" s="12" t="e">
        <f>INDEX(基础数据!$A$2:$A$1024,MATCH(转配商关联商!X504,基础数据!$D$2:$D$1024,0))</f>
        <v>#N/A</v>
      </c>
      <c r="E504" s="12" t="e">
        <f>INDEX(基础数据!$B$2:$B$1024,MATCH(转配商关联商!X504,基础数据!$D$2:$D$1024,0))</f>
        <v>#N/A</v>
      </c>
      <c r="G504" s="12" t="e">
        <f>INDEX([1]流向迭代数据!E$2:E$65536,MATCH(转配商关联商!W504,[1]流向迭代数据!M$2:M$65536,0))</f>
        <v>#N/A</v>
      </c>
      <c r="N504" s="12" t="e">
        <f>INDEX([1]流向迭代数据!J$2:J$65536,MATCH(L504,[1]流向迭代数据!H$2:H$65536,0))</f>
        <v>#N/A</v>
      </c>
      <c r="P504" s="14"/>
      <c r="T504" s="12" t="e">
        <f>INDEX([1]流向迭代数据!K$2:K$65536,MATCH(L504,[1]流向迭代数据!H$2:H$65536,0))</f>
        <v>#N/A</v>
      </c>
      <c r="W504" s="12" t="str">
        <f t="shared" si="15"/>
        <v/>
      </c>
    </row>
    <row r="505" spans="1:23" x14ac:dyDescent="0.15">
      <c r="A505" s="14" t="str">
        <f t="shared" si="14"/>
        <v>190001</v>
      </c>
      <c r="C505" s="12" t="e">
        <f>INDEX(基础数据!$A$2:$A$1024,MATCH(转配商关联商!X505,基础数据!$D$2:$D$1024,0))</f>
        <v>#N/A</v>
      </c>
      <c r="E505" s="12" t="e">
        <f>INDEX(基础数据!$B$2:$B$1024,MATCH(转配商关联商!X505,基础数据!$D$2:$D$1024,0))</f>
        <v>#N/A</v>
      </c>
      <c r="G505" s="12" t="e">
        <f>INDEX([1]流向迭代数据!E$2:E$65536,MATCH(转配商关联商!W505,[1]流向迭代数据!M$2:M$65536,0))</f>
        <v>#N/A</v>
      </c>
      <c r="N505" s="12" t="e">
        <f>INDEX([1]流向迭代数据!J$2:J$65536,MATCH(L505,[1]流向迭代数据!H$2:H$65536,0))</f>
        <v>#N/A</v>
      </c>
      <c r="P505" s="14"/>
      <c r="T505" s="12" t="e">
        <f>INDEX([1]流向迭代数据!K$2:K$65536,MATCH(L505,[1]流向迭代数据!H$2:H$65536,0))</f>
        <v>#N/A</v>
      </c>
      <c r="W505" s="12" t="str">
        <f t="shared" si="15"/>
        <v/>
      </c>
    </row>
    <row r="506" spans="1:23" x14ac:dyDescent="0.15">
      <c r="A506" s="14" t="str">
        <f t="shared" si="14"/>
        <v>190001</v>
      </c>
      <c r="C506" s="12" t="e">
        <f>INDEX(基础数据!$A$2:$A$1024,MATCH(转配商关联商!X506,基础数据!$D$2:$D$1024,0))</f>
        <v>#N/A</v>
      </c>
      <c r="E506" s="12" t="e">
        <f>INDEX(基础数据!$B$2:$B$1024,MATCH(转配商关联商!X506,基础数据!$D$2:$D$1024,0))</f>
        <v>#N/A</v>
      </c>
      <c r="G506" s="12" t="e">
        <f>INDEX([1]流向迭代数据!E$2:E$65536,MATCH(转配商关联商!W506,[1]流向迭代数据!M$2:M$65536,0))</f>
        <v>#N/A</v>
      </c>
      <c r="N506" s="12" t="e">
        <f>INDEX([1]流向迭代数据!J$2:J$65536,MATCH(L506,[1]流向迭代数据!H$2:H$65536,0))</f>
        <v>#N/A</v>
      </c>
      <c r="P506" s="14"/>
      <c r="T506" s="12" t="e">
        <f>INDEX([1]流向迭代数据!K$2:K$65536,MATCH(L506,[1]流向迭代数据!H$2:H$65536,0))</f>
        <v>#N/A</v>
      </c>
      <c r="W506" s="12" t="str">
        <f t="shared" si="15"/>
        <v/>
      </c>
    </row>
    <row r="507" spans="1:23" x14ac:dyDescent="0.15">
      <c r="A507" s="14" t="str">
        <f t="shared" si="14"/>
        <v>190001</v>
      </c>
      <c r="C507" s="12" t="e">
        <f>INDEX(基础数据!$A$2:$A$1024,MATCH(转配商关联商!X507,基础数据!$D$2:$D$1024,0))</f>
        <v>#N/A</v>
      </c>
      <c r="E507" s="12" t="e">
        <f>INDEX(基础数据!$B$2:$B$1024,MATCH(转配商关联商!X507,基础数据!$D$2:$D$1024,0))</f>
        <v>#N/A</v>
      </c>
      <c r="G507" s="12" t="e">
        <f>INDEX([1]流向迭代数据!E$2:E$65536,MATCH(转配商关联商!W507,[1]流向迭代数据!M$2:M$65536,0))</f>
        <v>#N/A</v>
      </c>
      <c r="N507" s="12" t="e">
        <f>INDEX([1]流向迭代数据!J$2:J$65536,MATCH(L507,[1]流向迭代数据!H$2:H$65536,0))</f>
        <v>#N/A</v>
      </c>
      <c r="P507" s="14"/>
      <c r="T507" s="12" t="e">
        <f>INDEX([1]流向迭代数据!K$2:K$65536,MATCH(L507,[1]流向迭代数据!H$2:H$65536,0))</f>
        <v>#N/A</v>
      </c>
      <c r="W507" s="12" t="str">
        <f t="shared" si="15"/>
        <v/>
      </c>
    </row>
    <row r="508" spans="1:23" x14ac:dyDescent="0.15">
      <c r="A508" s="14" t="str">
        <f t="shared" si="14"/>
        <v>190001</v>
      </c>
      <c r="C508" s="12" t="e">
        <f>INDEX(基础数据!$A$2:$A$1024,MATCH(转配商关联商!X508,基础数据!$D$2:$D$1024,0))</f>
        <v>#N/A</v>
      </c>
      <c r="E508" s="12" t="e">
        <f>INDEX(基础数据!$B$2:$B$1024,MATCH(转配商关联商!X508,基础数据!$D$2:$D$1024,0))</f>
        <v>#N/A</v>
      </c>
      <c r="G508" s="12" t="e">
        <f>INDEX([1]流向迭代数据!E$2:E$65536,MATCH(转配商关联商!W508,[1]流向迭代数据!M$2:M$65536,0))</f>
        <v>#N/A</v>
      </c>
      <c r="N508" s="12" t="e">
        <f>INDEX([1]流向迭代数据!J$2:J$65536,MATCH(L508,[1]流向迭代数据!H$2:H$65536,0))</f>
        <v>#N/A</v>
      </c>
      <c r="P508" s="14"/>
      <c r="T508" s="12" t="e">
        <f>INDEX([1]流向迭代数据!K$2:K$65536,MATCH(L508,[1]流向迭代数据!H$2:H$65536,0))</f>
        <v>#N/A</v>
      </c>
      <c r="W508" s="12" t="str">
        <f t="shared" si="15"/>
        <v/>
      </c>
    </row>
    <row r="509" spans="1:23" x14ac:dyDescent="0.15">
      <c r="A509" s="14" t="str">
        <f t="shared" si="14"/>
        <v>190001</v>
      </c>
      <c r="C509" s="12" t="e">
        <f>INDEX(基础数据!$A$2:$A$1024,MATCH(转配商关联商!X509,基础数据!$D$2:$D$1024,0))</f>
        <v>#N/A</v>
      </c>
      <c r="E509" s="12" t="e">
        <f>INDEX(基础数据!$B$2:$B$1024,MATCH(转配商关联商!X509,基础数据!$D$2:$D$1024,0))</f>
        <v>#N/A</v>
      </c>
      <c r="G509" s="12" t="e">
        <f>INDEX([1]流向迭代数据!E$2:E$65536,MATCH(转配商关联商!W509,[1]流向迭代数据!M$2:M$65536,0))</f>
        <v>#N/A</v>
      </c>
      <c r="N509" s="12" t="e">
        <f>INDEX([1]流向迭代数据!J$2:J$65536,MATCH(L509,[1]流向迭代数据!H$2:H$65536,0))</f>
        <v>#N/A</v>
      </c>
      <c r="P509" s="14"/>
      <c r="T509" s="12" t="e">
        <f>INDEX([1]流向迭代数据!K$2:K$65536,MATCH(L509,[1]流向迭代数据!H$2:H$65536,0))</f>
        <v>#N/A</v>
      </c>
      <c r="W509" s="12" t="str">
        <f t="shared" si="15"/>
        <v/>
      </c>
    </row>
    <row r="510" spans="1:23" x14ac:dyDescent="0.15">
      <c r="A510" s="14" t="str">
        <f t="shared" si="14"/>
        <v>190001</v>
      </c>
      <c r="C510" s="12" t="e">
        <f>INDEX(基础数据!$A$2:$A$1024,MATCH(转配商关联商!X510,基础数据!$D$2:$D$1024,0))</f>
        <v>#N/A</v>
      </c>
      <c r="E510" s="12" t="e">
        <f>INDEX(基础数据!$B$2:$B$1024,MATCH(转配商关联商!X510,基础数据!$D$2:$D$1024,0))</f>
        <v>#N/A</v>
      </c>
      <c r="G510" s="12" t="e">
        <f>INDEX([1]流向迭代数据!E$2:E$65536,MATCH(转配商关联商!W510,[1]流向迭代数据!M$2:M$65536,0))</f>
        <v>#N/A</v>
      </c>
      <c r="N510" s="12" t="e">
        <f>INDEX([1]流向迭代数据!J$2:J$65536,MATCH(L510,[1]流向迭代数据!H$2:H$65536,0))</f>
        <v>#N/A</v>
      </c>
      <c r="P510" s="14"/>
      <c r="T510" s="12" t="e">
        <f>INDEX([1]流向迭代数据!K$2:K$65536,MATCH(L510,[1]流向迭代数据!H$2:H$65536,0))</f>
        <v>#N/A</v>
      </c>
      <c r="W510" s="12" t="str">
        <f t="shared" si="15"/>
        <v/>
      </c>
    </row>
    <row r="511" spans="1:23" x14ac:dyDescent="0.15">
      <c r="A511" s="14" t="str">
        <f t="shared" si="14"/>
        <v>190001</v>
      </c>
      <c r="C511" s="12" t="e">
        <f>INDEX(基础数据!$A$2:$A$1024,MATCH(转配商关联商!X511,基础数据!$D$2:$D$1024,0))</f>
        <v>#N/A</v>
      </c>
      <c r="E511" s="12" t="e">
        <f>INDEX(基础数据!$B$2:$B$1024,MATCH(转配商关联商!X511,基础数据!$D$2:$D$1024,0))</f>
        <v>#N/A</v>
      </c>
      <c r="G511" s="12" t="e">
        <f>INDEX([1]流向迭代数据!E$2:E$65536,MATCH(转配商关联商!W511,[1]流向迭代数据!M$2:M$65536,0))</f>
        <v>#N/A</v>
      </c>
      <c r="N511" s="12" t="e">
        <f>INDEX([1]流向迭代数据!J$2:J$65536,MATCH(L511,[1]流向迭代数据!H$2:H$65536,0))</f>
        <v>#N/A</v>
      </c>
      <c r="P511" s="14"/>
      <c r="T511" s="12" t="e">
        <f>INDEX([1]流向迭代数据!K$2:K$65536,MATCH(L511,[1]流向迭代数据!H$2:H$65536,0))</f>
        <v>#N/A</v>
      </c>
      <c r="W511" s="12" t="str">
        <f t="shared" si="15"/>
        <v/>
      </c>
    </row>
    <row r="512" spans="1:23" x14ac:dyDescent="0.15">
      <c r="A512" s="14" t="str">
        <f t="shared" si="14"/>
        <v>190001</v>
      </c>
      <c r="C512" s="12" t="e">
        <f>INDEX(基础数据!$A$2:$A$1024,MATCH(转配商关联商!X512,基础数据!$D$2:$D$1024,0))</f>
        <v>#N/A</v>
      </c>
      <c r="E512" s="12" t="e">
        <f>INDEX(基础数据!$B$2:$B$1024,MATCH(转配商关联商!X512,基础数据!$D$2:$D$1024,0))</f>
        <v>#N/A</v>
      </c>
      <c r="G512" s="12" t="e">
        <f>INDEX([1]流向迭代数据!E$2:E$65536,MATCH(转配商关联商!W512,[1]流向迭代数据!M$2:M$65536,0))</f>
        <v>#N/A</v>
      </c>
      <c r="N512" s="12" t="e">
        <f>INDEX([1]流向迭代数据!J$2:J$65536,MATCH(L512,[1]流向迭代数据!H$2:H$65536,0))</f>
        <v>#N/A</v>
      </c>
      <c r="P512" s="14"/>
      <c r="T512" s="12" t="e">
        <f>INDEX([1]流向迭代数据!K$2:K$65536,MATCH(L512,[1]流向迭代数据!H$2:H$65536,0))</f>
        <v>#N/A</v>
      </c>
      <c r="W512" s="12" t="str">
        <f t="shared" si="15"/>
        <v/>
      </c>
    </row>
    <row r="513" spans="1:23" x14ac:dyDescent="0.15">
      <c r="A513" s="14" t="str">
        <f t="shared" si="14"/>
        <v>190001</v>
      </c>
      <c r="C513" s="12" t="e">
        <f>INDEX(基础数据!$A$2:$A$1024,MATCH(转配商关联商!X513,基础数据!$D$2:$D$1024,0))</f>
        <v>#N/A</v>
      </c>
      <c r="E513" s="12" t="e">
        <f>INDEX(基础数据!$B$2:$B$1024,MATCH(转配商关联商!X513,基础数据!$D$2:$D$1024,0))</f>
        <v>#N/A</v>
      </c>
      <c r="G513" s="12" t="e">
        <f>INDEX([1]流向迭代数据!E$2:E$65536,MATCH(转配商关联商!W513,[1]流向迭代数据!M$2:M$65536,0))</f>
        <v>#N/A</v>
      </c>
      <c r="N513" s="12" t="e">
        <f>INDEX([1]流向迭代数据!J$2:J$65536,MATCH(L513,[1]流向迭代数据!H$2:H$65536,0))</f>
        <v>#N/A</v>
      </c>
      <c r="P513" s="14"/>
      <c r="T513" s="12" t="e">
        <f>INDEX([1]流向迭代数据!K$2:K$65536,MATCH(L513,[1]流向迭代数据!H$2:H$65536,0))</f>
        <v>#N/A</v>
      </c>
      <c r="W513" s="12" t="str">
        <f t="shared" si="15"/>
        <v/>
      </c>
    </row>
    <row r="514" spans="1:23" x14ac:dyDescent="0.15">
      <c r="A514" s="14" t="str">
        <f t="shared" si="14"/>
        <v>190001</v>
      </c>
      <c r="C514" s="12" t="e">
        <f>INDEX(基础数据!$A$2:$A$1024,MATCH(转配商关联商!X514,基础数据!$D$2:$D$1024,0))</f>
        <v>#N/A</v>
      </c>
      <c r="E514" s="12" t="e">
        <f>INDEX(基础数据!$B$2:$B$1024,MATCH(转配商关联商!X514,基础数据!$D$2:$D$1024,0))</f>
        <v>#N/A</v>
      </c>
      <c r="G514" s="12" t="e">
        <f>INDEX([1]流向迭代数据!E$2:E$65536,MATCH(转配商关联商!W514,[1]流向迭代数据!M$2:M$65536,0))</f>
        <v>#N/A</v>
      </c>
      <c r="N514" s="12" t="e">
        <f>INDEX([1]流向迭代数据!J$2:J$65536,MATCH(L514,[1]流向迭代数据!H$2:H$65536,0))</f>
        <v>#N/A</v>
      </c>
      <c r="P514" s="14"/>
      <c r="T514" s="12" t="e">
        <f>INDEX([1]流向迭代数据!K$2:K$65536,MATCH(L514,[1]流向迭代数据!H$2:H$65536,0))</f>
        <v>#N/A</v>
      </c>
      <c r="W514" s="12" t="str">
        <f t="shared" si="15"/>
        <v/>
      </c>
    </row>
    <row r="515" spans="1:23" x14ac:dyDescent="0.15">
      <c r="A515" s="14" t="str">
        <f t="shared" ref="A515:A578" si="16">IF(MONTH(P515)&lt;10,YEAR(P515)&amp;"0"&amp;MONTH(P515),YEAR(P515)&amp;MONTH(P515))</f>
        <v>190001</v>
      </c>
      <c r="C515" s="12" t="e">
        <f>INDEX(基础数据!$A$2:$A$1024,MATCH(转配商关联商!X515,基础数据!$D$2:$D$1024,0))</f>
        <v>#N/A</v>
      </c>
      <c r="E515" s="12" t="e">
        <f>INDEX(基础数据!$B$2:$B$1024,MATCH(转配商关联商!X515,基础数据!$D$2:$D$1024,0))</f>
        <v>#N/A</v>
      </c>
      <c r="G515" s="12" t="e">
        <f>INDEX([1]流向迭代数据!E$2:E$65536,MATCH(转配商关联商!W515,[1]流向迭代数据!M$2:M$65536,0))</f>
        <v>#N/A</v>
      </c>
      <c r="N515" s="12" t="e">
        <f>INDEX([1]流向迭代数据!J$2:J$65536,MATCH(L515,[1]流向迭代数据!H$2:H$65536,0))</f>
        <v>#N/A</v>
      </c>
      <c r="P515" s="14"/>
      <c r="T515" s="12" t="e">
        <f>INDEX([1]流向迭代数据!K$2:K$65536,MATCH(L515,[1]流向迭代数据!H$2:H$65536,0))</f>
        <v>#N/A</v>
      </c>
      <c r="W515" s="12" t="str">
        <f t="shared" ref="W515:W578" si="17">H515&amp;I515</f>
        <v/>
      </c>
    </row>
    <row r="516" spans="1:23" x14ac:dyDescent="0.15">
      <c r="A516" s="14" t="str">
        <f t="shared" si="16"/>
        <v>190001</v>
      </c>
      <c r="C516" s="12" t="e">
        <f>INDEX(基础数据!$A$2:$A$1024,MATCH(转配商关联商!X516,基础数据!$D$2:$D$1024,0))</f>
        <v>#N/A</v>
      </c>
      <c r="E516" s="12" t="e">
        <f>INDEX(基础数据!$B$2:$B$1024,MATCH(转配商关联商!X516,基础数据!$D$2:$D$1024,0))</f>
        <v>#N/A</v>
      </c>
      <c r="G516" s="12" t="e">
        <f>INDEX([1]流向迭代数据!E$2:E$65536,MATCH(转配商关联商!W516,[1]流向迭代数据!M$2:M$65536,0))</f>
        <v>#N/A</v>
      </c>
      <c r="N516" s="12" t="e">
        <f>INDEX([1]流向迭代数据!J$2:J$65536,MATCH(L516,[1]流向迭代数据!H$2:H$65536,0))</f>
        <v>#N/A</v>
      </c>
      <c r="P516" s="14"/>
      <c r="T516" s="12" t="e">
        <f>INDEX([1]流向迭代数据!K$2:K$65536,MATCH(L516,[1]流向迭代数据!H$2:H$65536,0))</f>
        <v>#N/A</v>
      </c>
      <c r="W516" s="12" t="str">
        <f t="shared" si="17"/>
        <v/>
      </c>
    </row>
    <row r="517" spans="1:23" x14ac:dyDescent="0.15">
      <c r="A517" s="14" t="str">
        <f t="shared" si="16"/>
        <v>190001</v>
      </c>
      <c r="C517" s="12" t="e">
        <f>INDEX(基础数据!$A$2:$A$1024,MATCH(转配商关联商!X517,基础数据!$D$2:$D$1024,0))</f>
        <v>#N/A</v>
      </c>
      <c r="E517" s="12" t="e">
        <f>INDEX(基础数据!$B$2:$B$1024,MATCH(转配商关联商!X517,基础数据!$D$2:$D$1024,0))</f>
        <v>#N/A</v>
      </c>
      <c r="G517" s="12" t="e">
        <f>INDEX([1]流向迭代数据!E$2:E$65536,MATCH(转配商关联商!W517,[1]流向迭代数据!M$2:M$65536,0))</f>
        <v>#N/A</v>
      </c>
      <c r="N517" s="12" t="e">
        <f>INDEX([1]流向迭代数据!J$2:J$65536,MATCH(L517,[1]流向迭代数据!H$2:H$65536,0))</f>
        <v>#N/A</v>
      </c>
      <c r="P517" s="14"/>
      <c r="T517" s="12" t="e">
        <f>INDEX([1]流向迭代数据!K$2:K$65536,MATCH(L517,[1]流向迭代数据!H$2:H$65536,0))</f>
        <v>#N/A</v>
      </c>
      <c r="W517" s="12" t="str">
        <f t="shared" si="17"/>
        <v/>
      </c>
    </row>
    <row r="518" spans="1:23" x14ac:dyDescent="0.15">
      <c r="A518" s="14" t="str">
        <f t="shared" si="16"/>
        <v>190001</v>
      </c>
      <c r="C518" s="12" t="e">
        <f>INDEX(基础数据!$A$2:$A$1024,MATCH(转配商关联商!X518,基础数据!$D$2:$D$1024,0))</f>
        <v>#N/A</v>
      </c>
      <c r="E518" s="12" t="e">
        <f>INDEX(基础数据!$B$2:$B$1024,MATCH(转配商关联商!X518,基础数据!$D$2:$D$1024,0))</f>
        <v>#N/A</v>
      </c>
      <c r="G518" s="12" t="e">
        <f>INDEX([1]流向迭代数据!E$2:E$65536,MATCH(转配商关联商!W518,[1]流向迭代数据!M$2:M$65536,0))</f>
        <v>#N/A</v>
      </c>
      <c r="N518" s="12" t="e">
        <f>INDEX([1]流向迭代数据!J$2:J$65536,MATCH(L518,[1]流向迭代数据!H$2:H$65536,0))</f>
        <v>#N/A</v>
      </c>
      <c r="P518" s="14"/>
      <c r="T518" s="12" t="e">
        <f>INDEX([1]流向迭代数据!K$2:K$65536,MATCH(L518,[1]流向迭代数据!H$2:H$65536,0))</f>
        <v>#N/A</v>
      </c>
      <c r="W518" s="12" t="str">
        <f t="shared" si="17"/>
        <v/>
      </c>
    </row>
    <row r="519" spans="1:23" x14ac:dyDescent="0.15">
      <c r="A519" s="14" t="str">
        <f t="shared" si="16"/>
        <v>190001</v>
      </c>
      <c r="C519" s="12" t="e">
        <f>INDEX(基础数据!$A$2:$A$1024,MATCH(转配商关联商!X519,基础数据!$D$2:$D$1024,0))</f>
        <v>#N/A</v>
      </c>
      <c r="E519" s="12" t="e">
        <f>INDEX(基础数据!$B$2:$B$1024,MATCH(转配商关联商!X519,基础数据!$D$2:$D$1024,0))</f>
        <v>#N/A</v>
      </c>
      <c r="G519" s="12" t="e">
        <f>INDEX([1]流向迭代数据!E$2:E$65536,MATCH(转配商关联商!W519,[1]流向迭代数据!M$2:M$65536,0))</f>
        <v>#N/A</v>
      </c>
      <c r="N519" s="12" t="e">
        <f>INDEX([1]流向迭代数据!J$2:J$65536,MATCH(L519,[1]流向迭代数据!H$2:H$65536,0))</f>
        <v>#N/A</v>
      </c>
      <c r="P519" s="14"/>
      <c r="T519" s="12" t="e">
        <f>INDEX([1]流向迭代数据!K$2:K$65536,MATCH(L519,[1]流向迭代数据!H$2:H$65536,0))</f>
        <v>#N/A</v>
      </c>
      <c r="W519" s="12" t="str">
        <f t="shared" si="17"/>
        <v/>
      </c>
    </row>
    <row r="520" spans="1:23" x14ac:dyDescent="0.15">
      <c r="A520" s="14" t="str">
        <f t="shared" si="16"/>
        <v>190001</v>
      </c>
      <c r="C520" s="12" t="e">
        <f>INDEX(基础数据!$A$2:$A$1024,MATCH(转配商关联商!X520,基础数据!$D$2:$D$1024,0))</f>
        <v>#N/A</v>
      </c>
      <c r="E520" s="12" t="e">
        <f>INDEX(基础数据!$B$2:$B$1024,MATCH(转配商关联商!X520,基础数据!$D$2:$D$1024,0))</f>
        <v>#N/A</v>
      </c>
      <c r="G520" s="12" t="e">
        <f>INDEX([1]流向迭代数据!E$2:E$65536,MATCH(转配商关联商!W520,[1]流向迭代数据!M$2:M$65536,0))</f>
        <v>#N/A</v>
      </c>
      <c r="N520" s="12" t="e">
        <f>INDEX([1]流向迭代数据!J$2:J$65536,MATCH(L520,[1]流向迭代数据!H$2:H$65536,0))</f>
        <v>#N/A</v>
      </c>
      <c r="P520" s="14"/>
      <c r="T520" s="12" t="e">
        <f>INDEX([1]流向迭代数据!K$2:K$65536,MATCH(L520,[1]流向迭代数据!H$2:H$65536,0))</f>
        <v>#N/A</v>
      </c>
      <c r="W520" s="12" t="str">
        <f t="shared" si="17"/>
        <v/>
      </c>
    </row>
    <row r="521" spans="1:23" x14ac:dyDescent="0.15">
      <c r="A521" s="14" t="str">
        <f t="shared" si="16"/>
        <v>190001</v>
      </c>
      <c r="C521" s="12" t="e">
        <f>INDEX(基础数据!$A$2:$A$1024,MATCH(转配商关联商!X521,基础数据!$D$2:$D$1024,0))</f>
        <v>#N/A</v>
      </c>
      <c r="E521" s="12" t="e">
        <f>INDEX(基础数据!$B$2:$B$1024,MATCH(转配商关联商!X521,基础数据!$D$2:$D$1024,0))</f>
        <v>#N/A</v>
      </c>
      <c r="G521" s="12" t="e">
        <f>INDEX([1]流向迭代数据!E$2:E$65536,MATCH(转配商关联商!W521,[1]流向迭代数据!M$2:M$65536,0))</f>
        <v>#N/A</v>
      </c>
      <c r="N521" s="12" t="e">
        <f>INDEX([1]流向迭代数据!J$2:J$65536,MATCH(L521,[1]流向迭代数据!H$2:H$65536,0))</f>
        <v>#N/A</v>
      </c>
      <c r="P521" s="14"/>
      <c r="T521" s="12" t="e">
        <f>INDEX([1]流向迭代数据!K$2:K$65536,MATCH(L521,[1]流向迭代数据!H$2:H$65536,0))</f>
        <v>#N/A</v>
      </c>
      <c r="W521" s="12" t="str">
        <f t="shared" si="17"/>
        <v/>
      </c>
    </row>
    <row r="522" spans="1:23" x14ac:dyDescent="0.15">
      <c r="A522" s="14" t="str">
        <f t="shared" si="16"/>
        <v>190001</v>
      </c>
      <c r="C522" s="12" t="e">
        <f>INDEX(基础数据!$A$2:$A$1024,MATCH(转配商关联商!X522,基础数据!$D$2:$D$1024,0))</f>
        <v>#N/A</v>
      </c>
      <c r="E522" s="12" t="e">
        <f>INDEX(基础数据!$B$2:$B$1024,MATCH(转配商关联商!X522,基础数据!$D$2:$D$1024,0))</f>
        <v>#N/A</v>
      </c>
      <c r="G522" s="12" t="e">
        <f>INDEX([1]流向迭代数据!E$2:E$65536,MATCH(转配商关联商!W522,[1]流向迭代数据!M$2:M$65536,0))</f>
        <v>#N/A</v>
      </c>
      <c r="N522" s="12" t="e">
        <f>INDEX([1]流向迭代数据!J$2:J$65536,MATCH(L522,[1]流向迭代数据!H$2:H$65536,0))</f>
        <v>#N/A</v>
      </c>
      <c r="P522" s="14"/>
      <c r="T522" s="12" t="e">
        <f>INDEX([1]流向迭代数据!K$2:K$65536,MATCH(L522,[1]流向迭代数据!H$2:H$65536,0))</f>
        <v>#N/A</v>
      </c>
      <c r="W522" s="12" t="str">
        <f t="shared" si="17"/>
        <v/>
      </c>
    </row>
    <row r="523" spans="1:23" x14ac:dyDescent="0.15">
      <c r="A523" s="14" t="str">
        <f t="shared" si="16"/>
        <v>190001</v>
      </c>
      <c r="C523" s="12" t="e">
        <f>INDEX(基础数据!$A$2:$A$1024,MATCH(转配商关联商!X523,基础数据!$D$2:$D$1024,0))</f>
        <v>#N/A</v>
      </c>
      <c r="E523" s="12" t="e">
        <f>INDEX(基础数据!$B$2:$B$1024,MATCH(转配商关联商!X523,基础数据!$D$2:$D$1024,0))</f>
        <v>#N/A</v>
      </c>
      <c r="G523" s="12" t="e">
        <f>INDEX([1]流向迭代数据!E$2:E$65536,MATCH(转配商关联商!W523,[1]流向迭代数据!M$2:M$65536,0))</f>
        <v>#N/A</v>
      </c>
      <c r="N523" s="12" t="e">
        <f>INDEX([1]流向迭代数据!J$2:J$65536,MATCH(L523,[1]流向迭代数据!H$2:H$65536,0))</f>
        <v>#N/A</v>
      </c>
      <c r="P523" s="14"/>
      <c r="T523" s="12" t="e">
        <f>INDEX([1]流向迭代数据!K$2:K$65536,MATCH(L523,[1]流向迭代数据!H$2:H$65536,0))</f>
        <v>#N/A</v>
      </c>
      <c r="W523" s="12" t="str">
        <f t="shared" si="17"/>
        <v/>
      </c>
    </row>
    <row r="524" spans="1:23" x14ac:dyDescent="0.15">
      <c r="A524" s="14" t="str">
        <f t="shared" si="16"/>
        <v>190001</v>
      </c>
      <c r="C524" s="12" t="e">
        <f>INDEX(基础数据!$A$2:$A$1024,MATCH(转配商关联商!X524,基础数据!$D$2:$D$1024,0))</f>
        <v>#N/A</v>
      </c>
      <c r="E524" s="12" t="e">
        <f>INDEX(基础数据!$B$2:$B$1024,MATCH(转配商关联商!X524,基础数据!$D$2:$D$1024,0))</f>
        <v>#N/A</v>
      </c>
      <c r="G524" s="12" t="e">
        <f>INDEX([1]流向迭代数据!E$2:E$65536,MATCH(转配商关联商!W524,[1]流向迭代数据!M$2:M$65536,0))</f>
        <v>#N/A</v>
      </c>
      <c r="N524" s="12" t="e">
        <f>INDEX([1]流向迭代数据!J$2:J$65536,MATCH(L524,[1]流向迭代数据!H$2:H$65536,0))</f>
        <v>#N/A</v>
      </c>
      <c r="P524" s="14"/>
      <c r="T524" s="12" t="e">
        <f>INDEX([1]流向迭代数据!K$2:K$65536,MATCH(L524,[1]流向迭代数据!H$2:H$65536,0))</f>
        <v>#N/A</v>
      </c>
      <c r="W524" s="12" t="str">
        <f t="shared" si="17"/>
        <v/>
      </c>
    </row>
    <row r="525" spans="1:23" x14ac:dyDescent="0.15">
      <c r="A525" s="14" t="str">
        <f t="shared" si="16"/>
        <v>190001</v>
      </c>
      <c r="C525" s="12" t="e">
        <f>INDEX(基础数据!$A$2:$A$1024,MATCH(转配商关联商!X525,基础数据!$D$2:$D$1024,0))</f>
        <v>#N/A</v>
      </c>
      <c r="E525" s="12" t="e">
        <f>INDEX(基础数据!$B$2:$B$1024,MATCH(转配商关联商!X525,基础数据!$D$2:$D$1024,0))</f>
        <v>#N/A</v>
      </c>
      <c r="G525" s="12" t="e">
        <f>INDEX([1]流向迭代数据!E$2:E$65536,MATCH(转配商关联商!W525,[1]流向迭代数据!M$2:M$65536,0))</f>
        <v>#N/A</v>
      </c>
      <c r="N525" s="12" t="e">
        <f>INDEX([1]流向迭代数据!J$2:J$65536,MATCH(L525,[1]流向迭代数据!H$2:H$65536,0))</f>
        <v>#N/A</v>
      </c>
      <c r="P525" s="14"/>
      <c r="T525" s="12" t="e">
        <f>INDEX([1]流向迭代数据!K$2:K$65536,MATCH(L525,[1]流向迭代数据!H$2:H$65536,0))</f>
        <v>#N/A</v>
      </c>
      <c r="W525" s="12" t="str">
        <f t="shared" si="17"/>
        <v/>
      </c>
    </row>
    <row r="526" spans="1:23" x14ac:dyDescent="0.15">
      <c r="A526" s="14" t="str">
        <f t="shared" si="16"/>
        <v>190001</v>
      </c>
      <c r="C526" s="12" t="e">
        <f>INDEX(基础数据!$A$2:$A$1024,MATCH(转配商关联商!X526,基础数据!$D$2:$D$1024,0))</f>
        <v>#N/A</v>
      </c>
      <c r="E526" s="12" t="e">
        <f>INDEX(基础数据!$B$2:$B$1024,MATCH(转配商关联商!X526,基础数据!$D$2:$D$1024,0))</f>
        <v>#N/A</v>
      </c>
      <c r="G526" s="12" t="e">
        <f>INDEX([1]流向迭代数据!E$2:E$65536,MATCH(转配商关联商!W526,[1]流向迭代数据!M$2:M$65536,0))</f>
        <v>#N/A</v>
      </c>
      <c r="N526" s="12" t="e">
        <f>INDEX([1]流向迭代数据!J$2:J$65536,MATCH(L526,[1]流向迭代数据!H$2:H$65536,0))</f>
        <v>#N/A</v>
      </c>
      <c r="P526" s="14"/>
      <c r="T526" s="12" t="e">
        <f>INDEX([1]流向迭代数据!K$2:K$65536,MATCH(L526,[1]流向迭代数据!H$2:H$65536,0))</f>
        <v>#N/A</v>
      </c>
      <c r="W526" s="12" t="str">
        <f t="shared" si="17"/>
        <v/>
      </c>
    </row>
    <row r="527" spans="1:23" x14ac:dyDescent="0.15">
      <c r="A527" s="14" t="str">
        <f t="shared" si="16"/>
        <v>190001</v>
      </c>
      <c r="C527" s="12" t="e">
        <f>INDEX(基础数据!$A$2:$A$1024,MATCH(转配商关联商!X527,基础数据!$D$2:$D$1024,0))</f>
        <v>#N/A</v>
      </c>
      <c r="E527" s="12" t="e">
        <f>INDEX(基础数据!$B$2:$B$1024,MATCH(转配商关联商!X527,基础数据!$D$2:$D$1024,0))</f>
        <v>#N/A</v>
      </c>
      <c r="G527" s="12" t="e">
        <f>INDEX([1]流向迭代数据!E$2:E$65536,MATCH(转配商关联商!W527,[1]流向迭代数据!M$2:M$65536,0))</f>
        <v>#N/A</v>
      </c>
      <c r="N527" s="12" t="e">
        <f>INDEX([1]流向迭代数据!J$2:J$65536,MATCH(L527,[1]流向迭代数据!H$2:H$65536,0))</f>
        <v>#N/A</v>
      </c>
      <c r="P527" s="14"/>
      <c r="T527" s="12" t="e">
        <f>INDEX([1]流向迭代数据!K$2:K$65536,MATCH(L527,[1]流向迭代数据!H$2:H$65536,0))</f>
        <v>#N/A</v>
      </c>
      <c r="W527" s="12" t="str">
        <f t="shared" si="17"/>
        <v/>
      </c>
    </row>
    <row r="528" spans="1:23" x14ac:dyDescent="0.15">
      <c r="A528" s="14" t="str">
        <f t="shared" si="16"/>
        <v>190001</v>
      </c>
      <c r="C528" s="12" t="e">
        <f>INDEX(基础数据!$A$2:$A$1024,MATCH(转配商关联商!X528,基础数据!$D$2:$D$1024,0))</f>
        <v>#N/A</v>
      </c>
      <c r="E528" s="12" t="e">
        <f>INDEX(基础数据!$B$2:$B$1024,MATCH(转配商关联商!X528,基础数据!$D$2:$D$1024,0))</f>
        <v>#N/A</v>
      </c>
      <c r="G528" s="12" t="e">
        <f>INDEX([1]流向迭代数据!E$2:E$65536,MATCH(转配商关联商!W528,[1]流向迭代数据!M$2:M$65536,0))</f>
        <v>#N/A</v>
      </c>
      <c r="N528" s="12" t="e">
        <f>INDEX([1]流向迭代数据!J$2:J$65536,MATCH(L528,[1]流向迭代数据!H$2:H$65536,0))</f>
        <v>#N/A</v>
      </c>
      <c r="P528" s="14"/>
      <c r="T528" s="12" t="e">
        <f>INDEX([1]流向迭代数据!K$2:K$65536,MATCH(L528,[1]流向迭代数据!H$2:H$65536,0))</f>
        <v>#N/A</v>
      </c>
      <c r="W528" s="12" t="str">
        <f t="shared" si="17"/>
        <v/>
      </c>
    </row>
    <row r="529" spans="1:23" x14ac:dyDescent="0.15">
      <c r="A529" s="14" t="str">
        <f t="shared" si="16"/>
        <v>190001</v>
      </c>
      <c r="C529" s="12" t="e">
        <f>INDEX(基础数据!$A$2:$A$1024,MATCH(转配商关联商!X529,基础数据!$D$2:$D$1024,0))</f>
        <v>#N/A</v>
      </c>
      <c r="E529" s="12" t="e">
        <f>INDEX(基础数据!$B$2:$B$1024,MATCH(转配商关联商!X529,基础数据!$D$2:$D$1024,0))</f>
        <v>#N/A</v>
      </c>
      <c r="G529" s="12" t="e">
        <f>INDEX([1]流向迭代数据!E$2:E$65536,MATCH(转配商关联商!W529,[1]流向迭代数据!M$2:M$65536,0))</f>
        <v>#N/A</v>
      </c>
      <c r="N529" s="12" t="e">
        <f>INDEX([1]流向迭代数据!J$2:J$65536,MATCH(L529,[1]流向迭代数据!H$2:H$65536,0))</f>
        <v>#N/A</v>
      </c>
      <c r="P529" s="14"/>
      <c r="T529" s="12" t="e">
        <f>INDEX([1]流向迭代数据!K$2:K$65536,MATCH(L529,[1]流向迭代数据!H$2:H$65536,0))</f>
        <v>#N/A</v>
      </c>
      <c r="W529" s="12" t="str">
        <f t="shared" si="17"/>
        <v/>
      </c>
    </row>
    <row r="530" spans="1:23" x14ac:dyDescent="0.15">
      <c r="A530" s="14" t="str">
        <f t="shared" si="16"/>
        <v>190001</v>
      </c>
      <c r="C530" s="12" t="e">
        <f>INDEX(基础数据!$A$2:$A$1024,MATCH(转配商关联商!X530,基础数据!$D$2:$D$1024,0))</f>
        <v>#N/A</v>
      </c>
      <c r="E530" s="12" t="e">
        <f>INDEX(基础数据!$B$2:$B$1024,MATCH(转配商关联商!X530,基础数据!$D$2:$D$1024,0))</f>
        <v>#N/A</v>
      </c>
      <c r="G530" s="12" t="e">
        <f>INDEX([1]流向迭代数据!E$2:E$65536,MATCH(转配商关联商!W530,[1]流向迭代数据!M$2:M$65536,0))</f>
        <v>#N/A</v>
      </c>
      <c r="N530" s="12" t="e">
        <f>INDEX([1]流向迭代数据!J$2:J$65536,MATCH(L530,[1]流向迭代数据!H$2:H$65536,0))</f>
        <v>#N/A</v>
      </c>
      <c r="P530" s="14"/>
      <c r="T530" s="12" t="e">
        <f>INDEX([1]流向迭代数据!K$2:K$65536,MATCH(L530,[1]流向迭代数据!H$2:H$65536,0))</f>
        <v>#N/A</v>
      </c>
      <c r="W530" s="12" t="str">
        <f t="shared" si="17"/>
        <v/>
      </c>
    </row>
    <row r="531" spans="1:23" x14ac:dyDescent="0.15">
      <c r="A531" s="14" t="str">
        <f t="shared" si="16"/>
        <v>190001</v>
      </c>
      <c r="C531" s="12" t="e">
        <f>INDEX(基础数据!$A$2:$A$1024,MATCH(转配商关联商!X531,基础数据!$D$2:$D$1024,0))</f>
        <v>#N/A</v>
      </c>
      <c r="E531" s="12" t="e">
        <f>INDEX(基础数据!$B$2:$B$1024,MATCH(转配商关联商!X531,基础数据!$D$2:$D$1024,0))</f>
        <v>#N/A</v>
      </c>
      <c r="G531" s="12" t="e">
        <f>INDEX([1]流向迭代数据!E$2:E$65536,MATCH(转配商关联商!W531,[1]流向迭代数据!M$2:M$65536,0))</f>
        <v>#N/A</v>
      </c>
      <c r="N531" s="12" t="e">
        <f>INDEX([1]流向迭代数据!J$2:J$65536,MATCH(L531,[1]流向迭代数据!H$2:H$65536,0))</f>
        <v>#N/A</v>
      </c>
      <c r="P531" s="14"/>
      <c r="T531" s="12" t="e">
        <f>INDEX([1]流向迭代数据!K$2:K$65536,MATCH(L531,[1]流向迭代数据!H$2:H$65536,0))</f>
        <v>#N/A</v>
      </c>
      <c r="W531" s="12" t="str">
        <f t="shared" si="17"/>
        <v/>
      </c>
    </row>
    <row r="532" spans="1:23" x14ac:dyDescent="0.15">
      <c r="A532" s="14" t="str">
        <f t="shared" si="16"/>
        <v>190001</v>
      </c>
      <c r="C532" s="12" t="e">
        <f>INDEX(基础数据!$A$2:$A$1024,MATCH(转配商关联商!X532,基础数据!$D$2:$D$1024,0))</f>
        <v>#N/A</v>
      </c>
      <c r="E532" s="12" t="e">
        <f>INDEX(基础数据!$B$2:$B$1024,MATCH(转配商关联商!X532,基础数据!$D$2:$D$1024,0))</f>
        <v>#N/A</v>
      </c>
      <c r="G532" s="12" t="e">
        <f>INDEX([1]流向迭代数据!E$2:E$65536,MATCH(转配商关联商!W532,[1]流向迭代数据!M$2:M$65536,0))</f>
        <v>#N/A</v>
      </c>
      <c r="N532" s="12" t="e">
        <f>INDEX([1]流向迭代数据!J$2:J$65536,MATCH(L532,[1]流向迭代数据!H$2:H$65536,0))</f>
        <v>#N/A</v>
      </c>
      <c r="P532" s="14"/>
      <c r="T532" s="12" t="e">
        <f>INDEX([1]流向迭代数据!K$2:K$65536,MATCH(L532,[1]流向迭代数据!H$2:H$65536,0))</f>
        <v>#N/A</v>
      </c>
      <c r="W532" s="12" t="str">
        <f t="shared" si="17"/>
        <v/>
      </c>
    </row>
    <row r="533" spans="1:23" x14ac:dyDescent="0.15">
      <c r="A533" s="14" t="str">
        <f t="shared" si="16"/>
        <v>190001</v>
      </c>
      <c r="C533" s="12" t="e">
        <f>INDEX(基础数据!$A$2:$A$1024,MATCH(转配商关联商!X533,基础数据!$D$2:$D$1024,0))</f>
        <v>#N/A</v>
      </c>
      <c r="E533" s="12" t="e">
        <f>INDEX(基础数据!$B$2:$B$1024,MATCH(转配商关联商!X533,基础数据!$D$2:$D$1024,0))</f>
        <v>#N/A</v>
      </c>
      <c r="G533" s="12" t="e">
        <f>INDEX([1]流向迭代数据!E$2:E$65536,MATCH(转配商关联商!W533,[1]流向迭代数据!M$2:M$65536,0))</f>
        <v>#N/A</v>
      </c>
      <c r="N533" s="12" t="e">
        <f>INDEX([1]流向迭代数据!J$2:J$65536,MATCH(L533,[1]流向迭代数据!H$2:H$65536,0))</f>
        <v>#N/A</v>
      </c>
      <c r="P533" s="14"/>
      <c r="T533" s="12" t="e">
        <f>INDEX([1]流向迭代数据!K$2:K$65536,MATCH(L533,[1]流向迭代数据!H$2:H$65536,0))</f>
        <v>#N/A</v>
      </c>
      <c r="W533" s="12" t="str">
        <f t="shared" si="17"/>
        <v/>
      </c>
    </row>
    <row r="534" spans="1:23" x14ac:dyDescent="0.15">
      <c r="A534" s="14" t="str">
        <f t="shared" si="16"/>
        <v>190001</v>
      </c>
      <c r="C534" s="12" t="e">
        <f>INDEX(基础数据!$A$2:$A$1024,MATCH(转配商关联商!X534,基础数据!$D$2:$D$1024,0))</f>
        <v>#N/A</v>
      </c>
      <c r="E534" s="12" t="e">
        <f>INDEX(基础数据!$B$2:$B$1024,MATCH(转配商关联商!X534,基础数据!$D$2:$D$1024,0))</f>
        <v>#N/A</v>
      </c>
      <c r="G534" s="12" t="e">
        <f>INDEX([1]流向迭代数据!E$2:E$65536,MATCH(转配商关联商!W534,[1]流向迭代数据!M$2:M$65536,0))</f>
        <v>#N/A</v>
      </c>
      <c r="N534" s="12" t="e">
        <f>INDEX([1]流向迭代数据!J$2:J$65536,MATCH(L534,[1]流向迭代数据!H$2:H$65536,0))</f>
        <v>#N/A</v>
      </c>
      <c r="P534" s="14"/>
      <c r="T534" s="12" t="e">
        <f>INDEX([1]流向迭代数据!K$2:K$65536,MATCH(L534,[1]流向迭代数据!H$2:H$65536,0))</f>
        <v>#N/A</v>
      </c>
      <c r="W534" s="12" t="str">
        <f t="shared" si="17"/>
        <v/>
      </c>
    </row>
    <row r="535" spans="1:23" x14ac:dyDescent="0.15">
      <c r="A535" s="14" t="str">
        <f t="shared" si="16"/>
        <v>190001</v>
      </c>
      <c r="C535" s="12" t="e">
        <f>INDEX(基础数据!$A$2:$A$1024,MATCH(转配商关联商!X535,基础数据!$D$2:$D$1024,0))</f>
        <v>#N/A</v>
      </c>
      <c r="E535" s="12" t="e">
        <f>INDEX(基础数据!$B$2:$B$1024,MATCH(转配商关联商!X535,基础数据!$D$2:$D$1024,0))</f>
        <v>#N/A</v>
      </c>
      <c r="G535" s="12" t="e">
        <f>INDEX([1]流向迭代数据!E$2:E$65536,MATCH(转配商关联商!W535,[1]流向迭代数据!M$2:M$65536,0))</f>
        <v>#N/A</v>
      </c>
      <c r="N535" s="12" t="e">
        <f>INDEX([1]流向迭代数据!J$2:J$65536,MATCH(L535,[1]流向迭代数据!H$2:H$65536,0))</f>
        <v>#N/A</v>
      </c>
      <c r="P535" s="14"/>
      <c r="T535" s="12" t="e">
        <f>INDEX([1]流向迭代数据!K$2:K$65536,MATCH(L535,[1]流向迭代数据!H$2:H$65536,0))</f>
        <v>#N/A</v>
      </c>
      <c r="W535" s="12" t="str">
        <f t="shared" si="17"/>
        <v/>
      </c>
    </row>
    <row r="536" spans="1:23" x14ac:dyDescent="0.15">
      <c r="A536" s="14" t="str">
        <f t="shared" si="16"/>
        <v>190001</v>
      </c>
      <c r="C536" s="12" t="e">
        <f>INDEX(基础数据!$A$2:$A$1024,MATCH(转配商关联商!X536,基础数据!$D$2:$D$1024,0))</f>
        <v>#N/A</v>
      </c>
      <c r="E536" s="12" t="e">
        <f>INDEX(基础数据!$B$2:$B$1024,MATCH(转配商关联商!X536,基础数据!$D$2:$D$1024,0))</f>
        <v>#N/A</v>
      </c>
      <c r="G536" s="12" t="e">
        <f>INDEX([1]流向迭代数据!E$2:E$65536,MATCH(转配商关联商!W536,[1]流向迭代数据!M$2:M$65536,0))</f>
        <v>#N/A</v>
      </c>
      <c r="N536" s="12" t="e">
        <f>INDEX([1]流向迭代数据!J$2:J$65536,MATCH(L536,[1]流向迭代数据!H$2:H$65536,0))</f>
        <v>#N/A</v>
      </c>
      <c r="P536" s="14"/>
      <c r="T536" s="12" t="e">
        <f>INDEX([1]流向迭代数据!K$2:K$65536,MATCH(L536,[1]流向迭代数据!H$2:H$65536,0))</f>
        <v>#N/A</v>
      </c>
      <c r="W536" s="12" t="str">
        <f t="shared" si="17"/>
        <v/>
      </c>
    </row>
    <row r="537" spans="1:23" x14ac:dyDescent="0.15">
      <c r="A537" s="14" t="str">
        <f t="shared" si="16"/>
        <v>190001</v>
      </c>
      <c r="C537" s="12" t="e">
        <f>INDEX(基础数据!$A$2:$A$1024,MATCH(转配商关联商!X537,基础数据!$D$2:$D$1024,0))</f>
        <v>#N/A</v>
      </c>
      <c r="E537" s="12" t="e">
        <f>INDEX(基础数据!$B$2:$B$1024,MATCH(转配商关联商!X537,基础数据!$D$2:$D$1024,0))</f>
        <v>#N/A</v>
      </c>
      <c r="G537" s="12" t="e">
        <f>INDEX([1]流向迭代数据!E$2:E$65536,MATCH(转配商关联商!W537,[1]流向迭代数据!M$2:M$65536,0))</f>
        <v>#N/A</v>
      </c>
      <c r="N537" s="12" t="e">
        <f>INDEX([1]流向迭代数据!J$2:J$65536,MATCH(L537,[1]流向迭代数据!H$2:H$65536,0))</f>
        <v>#N/A</v>
      </c>
      <c r="P537" s="14"/>
      <c r="T537" s="12" t="e">
        <f>INDEX([1]流向迭代数据!K$2:K$65536,MATCH(L537,[1]流向迭代数据!H$2:H$65536,0))</f>
        <v>#N/A</v>
      </c>
      <c r="W537" s="12" t="str">
        <f t="shared" si="17"/>
        <v/>
      </c>
    </row>
    <row r="538" spans="1:23" x14ac:dyDescent="0.15">
      <c r="A538" s="14" t="str">
        <f t="shared" si="16"/>
        <v>190001</v>
      </c>
      <c r="C538" s="12" t="e">
        <f>INDEX(基础数据!$A$2:$A$1024,MATCH(转配商关联商!X538,基础数据!$D$2:$D$1024,0))</f>
        <v>#N/A</v>
      </c>
      <c r="E538" s="12" t="e">
        <f>INDEX(基础数据!$B$2:$B$1024,MATCH(转配商关联商!X538,基础数据!$D$2:$D$1024,0))</f>
        <v>#N/A</v>
      </c>
      <c r="G538" s="12" t="e">
        <f>INDEX([1]流向迭代数据!E$2:E$65536,MATCH(转配商关联商!W538,[1]流向迭代数据!M$2:M$65536,0))</f>
        <v>#N/A</v>
      </c>
      <c r="N538" s="12" t="e">
        <f>INDEX([1]流向迭代数据!J$2:J$65536,MATCH(L538,[1]流向迭代数据!H$2:H$65536,0))</f>
        <v>#N/A</v>
      </c>
      <c r="P538" s="14"/>
      <c r="T538" s="12" t="e">
        <f>INDEX([1]流向迭代数据!K$2:K$65536,MATCH(L538,[1]流向迭代数据!H$2:H$65536,0))</f>
        <v>#N/A</v>
      </c>
      <c r="W538" s="12" t="str">
        <f t="shared" si="17"/>
        <v/>
      </c>
    </row>
    <row r="539" spans="1:23" x14ac:dyDescent="0.15">
      <c r="A539" s="14" t="str">
        <f t="shared" si="16"/>
        <v>190001</v>
      </c>
      <c r="C539" s="12" t="e">
        <f>INDEX(基础数据!$A$2:$A$1024,MATCH(转配商关联商!X539,基础数据!$D$2:$D$1024,0))</f>
        <v>#N/A</v>
      </c>
      <c r="E539" s="12" t="e">
        <f>INDEX(基础数据!$B$2:$B$1024,MATCH(转配商关联商!X539,基础数据!$D$2:$D$1024,0))</f>
        <v>#N/A</v>
      </c>
      <c r="G539" s="12" t="e">
        <f>INDEX([1]流向迭代数据!E$2:E$65536,MATCH(转配商关联商!W539,[1]流向迭代数据!M$2:M$65536,0))</f>
        <v>#N/A</v>
      </c>
      <c r="N539" s="12" t="e">
        <f>INDEX([1]流向迭代数据!J$2:J$65536,MATCH(L539,[1]流向迭代数据!H$2:H$65536,0))</f>
        <v>#N/A</v>
      </c>
      <c r="P539" s="14"/>
      <c r="T539" s="12" t="e">
        <f>INDEX([1]流向迭代数据!K$2:K$65536,MATCH(L539,[1]流向迭代数据!H$2:H$65536,0))</f>
        <v>#N/A</v>
      </c>
      <c r="W539" s="12" t="str">
        <f t="shared" si="17"/>
        <v/>
      </c>
    </row>
    <row r="540" spans="1:23" x14ac:dyDescent="0.15">
      <c r="A540" s="14" t="str">
        <f t="shared" si="16"/>
        <v>190001</v>
      </c>
      <c r="C540" s="12" t="e">
        <f>INDEX(基础数据!$A$2:$A$1024,MATCH(转配商关联商!X540,基础数据!$D$2:$D$1024,0))</f>
        <v>#N/A</v>
      </c>
      <c r="E540" s="12" t="e">
        <f>INDEX(基础数据!$B$2:$B$1024,MATCH(转配商关联商!X540,基础数据!$D$2:$D$1024,0))</f>
        <v>#N/A</v>
      </c>
      <c r="G540" s="12" t="e">
        <f>INDEX([1]流向迭代数据!E$2:E$65536,MATCH(转配商关联商!W540,[1]流向迭代数据!M$2:M$65536,0))</f>
        <v>#N/A</v>
      </c>
      <c r="N540" s="12" t="e">
        <f>INDEX([1]流向迭代数据!J$2:J$65536,MATCH(L540,[1]流向迭代数据!H$2:H$65536,0))</f>
        <v>#N/A</v>
      </c>
      <c r="P540" s="14"/>
      <c r="T540" s="12" t="e">
        <f>INDEX([1]流向迭代数据!K$2:K$65536,MATCH(L540,[1]流向迭代数据!H$2:H$65536,0))</f>
        <v>#N/A</v>
      </c>
      <c r="W540" s="12" t="str">
        <f t="shared" si="17"/>
        <v/>
      </c>
    </row>
    <row r="541" spans="1:23" x14ac:dyDescent="0.15">
      <c r="A541" s="14" t="str">
        <f t="shared" si="16"/>
        <v>190001</v>
      </c>
      <c r="C541" s="12" t="e">
        <f>INDEX(基础数据!$A$2:$A$1024,MATCH(转配商关联商!X541,基础数据!$D$2:$D$1024,0))</f>
        <v>#N/A</v>
      </c>
      <c r="E541" s="12" t="e">
        <f>INDEX(基础数据!$B$2:$B$1024,MATCH(转配商关联商!X541,基础数据!$D$2:$D$1024,0))</f>
        <v>#N/A</v>
      </c>
      <c r="G541" s="12" t="e">
        <f>INDEX([1]流向迭代数据!E$2:E$65536,MATCH(转配商关联商!W541,[1]流向迭代数据!M$2:M$65536,0))</f>
        <v>#N/A</v>
      </c>
      <c r="N541" s="12" t="e">
        <f>INDEX([1]流向迭代数据!J$2:J$65536,MATCH(L541,[1]流向迭代数据!H$2:H$65536,0))</f>
        <v>#N/A</v>
      </c>
      <c r="P541" s="14"/>
      <c r="T541" s="12" t="e">
        <f>INDEX([1]流向迭代数据!K$2:K$65536,MATCH(L541,[1]流向迭代数据!H$2:H$65536,0))</f>
        <v>#N/A</v>
      </c>
      <c r="W541" s="12" t="str">
        <f t="shared" si="17"/>
        <v/>
      </c>
    </row>
    <row r="542" spans="1:23" x14ac:dyDescent="0.15">
      <c r="A542" s="14" t="str">
        <f t="shared" si="16"/>
        <v>190001</v>
      </c>
      <c r="C542" s="12" t="e">
        <f>INDEX(基础数据!$A$2:$A$1024,MATCH(转配商关联商!X542,基础数据!$D$2:$D$1024,0))</f>
        <v>#N/A</v>
      </c>
      <c r="E542" s="12" t="e">
        <f>INDEX(基础数据!$B$2:$B$1024,MATCH(转配商关联商!X542,基础数据!$D$2:$D$1024,0))</f>
        <v>#N/A</v>
      </c>
      <c r="G542" s="12" t="e">
        <f>INDEX([1]流向迭代数据!E$2:E$65536,MATCH(转配商关联商!W542,[1]流向迭代数据!M$2:M$65536,0))</f>
        <v>#N/A</v>
      </c>
      <c r="N542" s="12" t="e">
        <f>INDEX([1]流向迭代数据!J$2:J$65536,MATCH(L542,[1]流向迭代数据!H$2:H$65536,0))</f>
        <v>#N/A</v>
      </c>
      <c r="P542" s="14"/>
      <c r="T542" s="12" t="e">
        <f>INDEX([1]流向迭代数据!K$2:K$65536,MATCH(L542,[1]流向迭代数据!H$2:H$65536,0))</f>
        <v>#N/A</v>
      </c>
      <c r="W542" s="12" t="str">
        <f t="shared" si="17"/>
        <v/>
      </c>
    </row>
    <row r="543" spans="1:23" x14ac:dyDescent="0.15">
      <c r="A543" s="14" t="str">
        <f t="shared" si="16"/>
        <v>190001</v>
      </c>
      <c r="C543" s="12" t="e">
        <f>INDEX(基础数据!$A$2:$A$1024,MATCH(转配商关联商!X543,基础数据!$D$2:$D$1024,0))</f>
        <v>#N/A</v>
      </c>
      <c r="E543" s="12" t="e">
        <f>INDEX(基础数据!$B$2:$B$1024,MATCH(转配商关联商!X543,基础数据!$D$2:$D$1024,0))</f>
        <v>#N/A</v>
      </c>
      <c r="G543" s="12" t="e">
        <f>INDEX([1]流向迭代数据!E$2:E$65536,MATCH(转配商关联商!W543,[1]流向迭代数据!M$2:M$65536,0))</f>
        <v>#N/A</v>
      </c>
      <c r="N543" s="12" t="e">
        <f>INDEX([1]流向迭代数据!J$2:J$65536,MATCH(L543,[1]流向迭代数据!H$2:H$65536,0))</f>
        <v>#N/A</v>
      </c>
      <c r="P543" s="14"/>
      <c r="T543" s="12" t="e">
        <f>INDEX([1]流向迭代数据!K$2:K$65536,MATCH(L543,[1]流向迭代数据!H$2:H$65536,0))</f>
        <v>#N/A</v>
      </c>
      <c r="W543" s="12" t="str">
        <f t="shared" si="17"/>
        <v/>
      </c>
    </row>
    <row r="544" spans="1:23" x14ac:dyDescent="0.15">
      <c r="A544" s="14" t="str">
        <f t="shared" si="16"/>
        <v>190001</v>
      </c>
      <c r="C544" s="12" t="e">
        <f>INDEX(基础数据!$A$2:$A$1024,MATCH(转配商关联商!X544,基础数据!$D$2:$D$1024,0))</f>
        <v>#N/A</v>
      </c>
      <c r="E544" s="12" t="e">
        <f>INDEX(基础数据!$B$2:$B$1024,MATCH(转配商关联商!X544,基础数据!$D$2:$D$1024,0))</f>
        <v>#N/A</v>
      </c>
      <c r="G544" s="12" t="e">
        <f>INDEX([1]流向迭代数据!E$2:E$65536,MATCH(转配商关联商!W544,[1]流向迭代数据!M$2:M$65536,0))</f>
        <v>#N/A</v>
      </c>
      <c r="N544" s="12" t="e">
        <f>INDEX([1]流向迭代数据!J$2:J$65536,MATCH(L544,[1]流向迭代数据!H$2:H$65536,0))</f>
        <v>#N/A</v>
      </c>
      <c r="P544" s="14"/>
      <c r="T544" s="12" t="e">
        <f>INDEX([1]流向迭代数据!K$2:K$65536,MATCH(L544,[1]流向迭代数据!H$2:H$65536,0))</f>
        <v>#N/A</v>
      </c>
      <c r="W544" s="12" t="str">
        <f t="shared" si="17"/>
        <v/>
      </c>
    </row>
    <row r="545" spans="1:23" x14ac:dyDescent="0.15">
      <c r="A545" s="14" t="str">
        <f t="shared" si="16"/>
        <v>190001</v>
      </c>
      <c r="C545" s="12" t="e">
        <f>INDEX(基础数据!$A$2:$A$1024,MATCH(转配商关联商!X545,基础数据!$D$2:$D$1024,0))</f>
        <v>#N/A</v>
      </c>
      <c r="E545" s="12" t="e">
        <f>INDEX(基础数据!$B$2:$B$1024,MATCH(转配商关联商!X545,基础数据!$D$2:$D$1024,0))</f>
        <v>#N/A</v>
      </c>
      <c r="G545" s="12" t="e">
        <f>INDEX([1]流向迭代数据!E$2:E$65536,MATCH(转配商关联商!W545,[1]流向迭代数据!M$2:M$65536,0))</f>
        <v>#N/A</v>
      </c>
      <c r="N545" s="12" t="e">
        <f>INDEX([1]流向迭代数据!J$2:J$65536,MATCH(L545,[1]流向迭代数据!H$2:H$65536,0))</f>
        <v>#N/A</v>
      </c>
      <c r="P545" s="14"/>
      <c r="T545" s="12" t="e">
        <f>INDEX([1]流向迭代数据!K$2:K$65536,MATCH(L545,[1]流向迭代数据!H$2:H$65536,0))</f>
        <v>#N/A</v>
      </c>
      <c r="W545" s="12" t="str">
        <f t="shared" si="17"/>
        <v/>
      </c>
    </row>
    <row r="546" spans="1:23" x14ac:dyDescent="0.15">
      <c r="A546" s="14" t="str">
        <f t="shared" si="16"/>
        <v>190001</v>
      </c>
      <c r="C546" s="12" t="e">
        <f>INDEX(基础数据!$A$2:$A$1024,MATCH(转配商关联商!X546,基础数据!$D$2:$D$1024,0))</f>
        <v>#N/A</v>
      </c>
      <c r="E546" s="12" t="e">
        <f>INDEX(基础数据!$B$2:$B$1024,MATCH(转配商关联商!X546,基础数据!$D$2:$D$1024,0))</f>
        <v>#N/A</v>
      </c>
      <c r="G546" s="12" t="e">
        <f>INDEX([1]流向迭代数据!E$2:E$65536,MATCH(转配商关联商!W546,[1]流向迭代数据!M$2:M$65536,0))</f>
        <v>#N/A</v>
      </c>
      <c r="N546" s="12" t="e">
        <f>INDEX([1]流向迭代数据!J$2:J$65536,MATCH(L546,[1]流向迭代数据!H$2:H$65536,0))</f>
        <v>#N/A</v>
      </c>
      <c r="P546" s="14"/>
      <c r="T546" s="12" t="e">
        <f>INDEX([1]流向迭代数据!K$2:K$65536,MATCH(L546,[1]流向迭代数据!H$2:H$65536,0))</f>
        <v>#N/A</v>
      </c>
      <c r="W546" s="12" t="str">
        <f t="shared" si="17"/>
        <v/>
      </c>
    </row>
    <row r="547" spans="1:23" x14ac:dyDescent="0.15">
      <c r="A547" s="14" t="str">
        <f t="shared" si="16"/>
        <v>190001</v>
      </c>
      <c r="C547" s="12" t="e">
        <f>INDEX(基础数据!$A$2:$A$1024,MATCH(转配商关联商!X547,基础数据!$D$2:$D$1024,0))</f>
        <v>#N/A</v>
      </c>
      <c r="E547" s="12" t="e">
        <f>INDEX(基础数据!$B$2:$B$1024,MATCH(转配商关联商!X547,基础数据!$D$2:$D$1024,0))</f>
        <v>#N/A</v>
      </c>
      <c r="G547" s="12" t="e">
        <f>INDEX([1]流向迭代数据!E$2:E$65536,MATCH(转配商关联商!W547,[1]流向迭代数据!M$2:M$65536,0))</f>
        <v>#N/A</v>
      </c>
      <c r="N547" s="12" t="e">
        <f>INDEX([1]流向迭代数据!J$2:J$65536,MATCH(L547,[1]流向迭代数据!H$2:H$65536,0))</f>
        <v>#N/A</v>
      </c>
      <c r="P547" s="14"/>
      <c r="T547" s="12" t="e">
        <f>INDEX([1]流向迭代数据!K$2:K$65536,MATCH(L547,[1]流向迭代数据!H$2:H$65536,0))</f>
        <v>#N/A</v>
      </c>
      <c r="W547" s="12" t="str">
        <f t="shared" si="17"/>
        <v/>
      </c>
    </row>
    <row r="548" spans="1:23" x14ac:dyDescent="0.15">
      <c r="A548" s="14" t="str">
        <f t="shared" si="16"/>
        <v>190001</v>
      </c>
      <c r="C548" s="12" t="e">
        <f>INDEX(基础数据!$A$2:$A$1024,MATCH(转配商关联商!X548,基础数据!$D$2:$D$1024,0))</f>
        <v>#N/A</v>
      </c>
      <c r="E548" s="12" t="e">
        <f>INDEX(基础数据!$B$2:$B$1024,MATCH(转配商关联商!X548,基础数据!$D$2:$D$1024,0))</f>
        <v>#N/A</v>
      </c>
      <c r="G548" s="12" t="e">
        <f>INDEX([1]流向迭代数据!E$2:E$65536,MATCH(转配商关联商!W548,[1]流向迭代数据!M$2:M$65536,0))</f>
        <v>#N/A</v>
      </c>
      <c r="N548" s="12" t="e">
        <f>INDEX([1]流向迭代数据!J$2:J$65536,MATCH(L548,[1]流向迭代数据!H$2:H$65536,0))</f>
        <v>#N/A</v>
      </c>
      <c r="P548" s="14"/>
      <c r="T548" s="12" t="e">
        <f>INDEX([1]流向迭代数据!K$2:K$65536,MATCH(L548,[1]流向迭代数据!H$2:H$65536,0))</f>
        <v>#N/A</v>
      </c>
      <c r="W548" s="12" t="str">
        <f t="shared" si="17"/>
        <v/>
      </c>
    </row>
    <row r="549" spans="1:23" x14ac:dyDescent="0.15">
      <c r="A549" s="14" t="str">
        <f t="shared" si="16"/>
        <v>190001</v>
      </c>
      <c r="C549" s="12" t="e">
        <f>INDEX(基础数据!$A$2:$A$1024,MATCH(转配商关联商!X549,基础数据!$D$2:$D$1024,0))</f>
        <v>#N/A</v>
      </c>
      <c r="E549" s="12" t="e">
        <f>INDEX(基础数据!$B$2:$B$1024,MATCH(转配商关联商!X549,基础数据!$D$2:$D$1024,0))</f>
        <v>#N/A</v>
      </c>
      <c r="G549" s="12" t="e">
        <f>INDEX([1]流向迭代数据!E$2:E$65536,MATCH(转配商关联商!W549,[1]流向迭代数据!M$2:M$65536,0))</f>
        <v>#N/A</v>
      </c>
      <c r="N549" s="12" t="e">
        <f>INDEX([1]流向迭代数据!J$2:J$65536,MATCH(L549,[1]流向迭代数据!H$2:H$65536,0))</f>
        <v>#N/A</v>
      </c>
      <c r="P549" s="14"/>
      <c r="T549" s="12" t="e">
        <f>INDEX([1]流向迭代数据!K$2:K$65536,MATCH(L549,[1]流向迭代数据!H$2:H$65536,0))</f>
        <v>#N/A</v>
      </c>
      <c r="W549" s="12" t="str">
        <f t="shared" si="17"/>
        <v/>
      </c>
    </row>
    <row r="550" spans="1:23" x14ac:dyDescent="0.15">
      <c r="A550" s="14" t="str">
        <f t="shared" si="16"/>
        <v>190001</v>
      </c>
      <c r="C550" s="12" t="e">
        <f>INDEX(基础数据!$A$2:$A$1024,MATCH(转配商关联商!X550,基础数据!$D$2:$D$1024,0))</f>
        <v>#N/A</v>
      </c>
      <c r="E550" s="12" t="e">
        <f>INDEX(基础数据!$B$2:$B$1024,MATCH(转配商关联商!X550,基础数据!$D$2:$D$1024,0))</f>
        <v>#N/A</v>
      </c>
      <c r="G550" s="12" t="e">
        <f>INDEX([1]流向迭代数据!E$2:E$65536,MATCH(转配商关联商!W550,[1]流向迭代数据!M$2:M$65536,0))</f>
        <v>#N/A</v>
      </c>
      <c r="N550" s="12" t="e">
        <f>INDEX([1]流向迭代数据!J$2:J$65536,MATCH(L550,[1]流向迭代数据!H$2:H$65536,0))</f>
        <v>#N/A</v>
      </c>
      <c r="P550" s="14"/>
      <c r="T550" s="12" t="e">
        <f>INDEX([1]流向迭代数据!K$2:K$65536,MATCH(L550,[1]流向迭代数据!H$2:H$65536,0))</f>
        <v>#N/A</v>
      </c>
      <c r="W550" s="12" t="str">
        <f t="shared" si="17"/>
        <v/>
      </c>
    </row>
    <row r="551" spans="1:23" x14ac:dyDescent="0.15">
      <c r="A551" s="14" t="str">
        <f t="shared" si="16"/>
        <v>190001</v>
      </c>
      <c r="C551" s="12" t="e">
        <f>INDEX(基础数据!$A$2:$A$1024,MATCH(转配商关联商!X551,基础数据!$D$2:$D$1024,0))</f>
        <v>#N/A</v>
      </c>
      <c r="E551" s="12" t="e">
        <f>INDEX(基础数据!$B$2:$B$1024,MATCH(转配商关联商!X551,基础数据!$D$2:$D$1024,0))</f>
        <v>#N/A</v>
      </c>
      <c r="G551" s="12" t="e">
        <f>INDEX([1]流向迭代数据!E$2:E$65536,MATCH(转配商关联商!W551,[1]流向迭代数据!M$2:M$65536,0))</f>
        <v>#N/A</v>
      </c>
      <c r="N551" s="12" t="e">
        <f>INDEX([1]流向迭代数据!J$2:J$65536,MATCH(L551,[1]流向迭代数据!H$2:H$65536,0))</f>
        <v>#N/A</v>
      </c>
      <c r="P551" s="14"/>
      <c r="T551" s="12" t="e">
        <f>INDEX([1]流向迭代数据!K$2:K$65536,MATCH(L551,[1]流向迭代数据!H$2:H$65536,0))</f>
        <v>#N/A</v>
      </c>
      <c r="W551" s="12" t="str">
        <f t="shared" si="17"/>
        <v/>
      </c>
    </row>
    <row r="552" spans="1:23" x14ac:dyDescent="0.15">
      <c r="A552" s="14" t="str">
        <f t="shared" si="16"/>
        <v>190001</v>
      </c>
      <c r="C552" s="12" t="e">
        <f>INDEX(基础数据!$A$2:$A$1024,MATCH(转配商关联商!X552,基础数据!$D$2:$D$1024,0))</f>
        <v>#N/A</v>
      </c>
      <c r="E552" s="12" t="e">
        <f>INDEX(基础数据!$B$2:$B$1024,MATCH(转配商关联商!X552,基础数据!$D$2:$D$1024,0))</f>
        <v>#N/A</v>
      </c>
      <c r="G552" s="12" t="e">
        <f>INDEX([1]流向迭代数据!E$2:E$65536,MATCH(转配商关联商!W552,[1]流向迭代数据!M$2:M$65536,0))</f>
        <v>#N/A</v>
      </c>
      <c r="N552" s="12" t="e">
        <f>INDEX([1]流向迭代数据!J$2:J$65536,MATCH(L552,[1]流向迭代数据!H$2:H$65536,0))</f>
        <v>#N/A</v>
      </c>
      <c r="P552" s="14"/>
      <c r="T552" s="12" t="e">
        <f>INDEX([1]流向迭代数据!K$2:K$65536,MATCH(L552,[1]流向迭代数据!H$2:H$65536,0))</f>
        <v>#N/A</v>
      </c>
      <c r="W552" s="12" t="str">
        <f t="shared" si="17"/>
        <v/>
      </c>
    </row>
    <row r="553" spans="1:23" x14ac:dyDescent="0.15">
      <c r="A553" s="14" t="str">
        <f t="shared" si="16"/>
        <v>190001</v>
      </c>
      <c r="C553" s="12" t="e">
        <f>INDEX(基础数据!$A$2:$A$1024,MATCH(转配商关联商!X553,基础数据!$D$2:$D$1024,0))</f>
        <v>#N/A</v>
      </c>
      <c r="E553" s="12" t="e">
        <f>INDEX(基础数据!$B$2:$B$1024,MATCH(转配商关联商!X553,基础数据!$D$2:$D$1024,0))</f>
        <v>#N/A</v>
      </c>
      <c r="G553" s="12" t="e">
        <f>INDEX([1]流向迭代数据!E$2:E$65536,MATCH(转配商关联商!W553,[1]流向迭代数据!M$2:M$65536,0))</f>
        <v>#N/A</v>
      </c>
      <c r="N553" s="12" t="e">
        <f>INDEX([1]流向迭代数据!J$2:J$65536,MATCH(L553,[1]流向迭代数据!H$2:H$65536,0))</f>
        <v>#N/A</v>
      </c>
      <c r="P553" s="14"/>
      <c r="T553" s="12" t="e">
        <f>INDEX([1]流向迭代数据!K$2:K$65536,MATCH(L553,[1]流向迭代数据!H$2:H$65536,0))</f>
        <v>#N/A</v>
      </c>
      <c r="W553" s="12" t="str">
        <f t="shared" si="17"/>
        <v/>
      </c>
    </row>
    <row r="554" spans="1:23" x14ac:dyDescent="0.15">
      <c r="A554" s="14" t="str">
        <f t="shared" si="16"/>
        <v>190001</v>
      </c>
      <c r="C554" s="12" t="e">
        <f>INDEX(基础数据!$A$2:$A$1024,MATCH(转配商关联商!X554,基础数据!$D$2:$D$1024,0))</f>
        <v>#N/A</v>
      </c>
      <c r="E554" s="12" t="e">
        <f>INDEX(基础数据!$B$2:$B$1024,MATCH(转配商关联商!X554,基础数据!$D$2:$D$1024,0))</f>
        <v>#N/A</v>
      </c>
      <c r="G554" s="12" t="e">
        <f>INDEX([1]流向迭代数据!E$2:E$65536,MATCH(转配商关联商!W554,[1]流向迭代数据!M$2:M$65536,0))</f>
        <v>#N/A</v>
      </c>
      <c r="N554" s="12" t="e">
        <f>INDEX([1]流向迭代数据!J$2:J$65536,MATCH(L554,[1]流向迭代数据!H$2:H$65536,0))</f>
        <v>#N/A</v>
      </c>
      <c r="P554" s="14"/>
      <c r="T554" s="12" t="e">
        <f>INDEX([1]流向迭代数据!K$2:K$65536,MATCH(L554,[1]流向迭代数据!H$2:H$65536,0))</f>
        <v>#N/A</v>
      </c>
      <c r="W554" s="12" t="str">
        <f t="shared" si="17"/>
        <v/>
      </c>
    </row>
    <row r="555" spans="1:23" x14ac:dyDescent="0.15">
      <c r="A555" s="14" t="str">
        <f t="shared" si="16"/>
        <v>190001</v>
      </c>
      <c r="C555" s="12" t="e">
        <f>INDEX(基础数据!$A$2:$A$1024,MATCH(转配商关联商!X555,基础数据!$D$2:$D$1024,0))</f>
        <v>#N/A</v>
      </c>
      <c r="E555" s="12" t="e">
        <f>INDEX(基础数据!$B$2:$B$1024,MATCH(转配商关联商!X555,基础数据!$D$2:$D$1024,0))</f>
        <v>#N/A</v>
      </c>
      <c r="G555" s="12" t="e">
        <f>INDEX([1]流向迭代数据!E$2:E$65536,MATCH(转配商关联商!W555,[1]流向迭代数据!M$2:M$65536,0))</f>
        <v>#N/A</v>
      </c>
      <c r="N555" s="12" t="e">
        <f>INDEX([1]流向迭代数据!J$2:J$65536,MATCH(L555,[1]流向迭代数据!H$2:H$65536,0))</f>
        <v>#N/A</v>
      </c>
      <c r="P555" s="14"/>
      <c r="T555" s="12" t="e">
        <f>INDEX([1]流向迭代数据!K$2:K$65536,MATCH(L555,[1]流向迭代数据!H$2:H$65536,0))</f>
        <v>#N/A</v>
      </c>
      <c r="W555" s="12" t="str">
        <f t="shared" si="17"/>
        <v/>
      </c>
    </row>
    <row r="556" spans="1:23" x14ac:dyDescent="0.15">
      <c r="A556" s="14" t="str">
        <f t="shared" si="16"/>
        <v>190001</v>
      </c>
      <c r="C556" s="12" t="e">
        <f>INDEX(基础数据!$A$2:$A$1024,MATCH(转配商关联商!X556,基础数据!$D$2:$D$1024,0))</f>
        <v>#N/A</v>
      </c>
      <c r="E556" s="12" t="e">
        <f>INDEX(基础数据!$B$2:$B$1024,MATCH(转配商关联商!X556,基础数据!$D$2:$D$1024,0))</f>
        <v>#N/A</v>
      </c>
      <c r="G556" s="12" t="e">
        <f>INDEX([1]流向迭代数据!E$2:E$65536,MATCH(转配商关联商!W556,[1]流向迭代数据!M$2:M$65536,0))</f>
        <v>#N/A</v>
      </c>
      <c r="N556" s="12" t="e">
        <f>INDEX([1]流向迭代数据!J$2:J$65536,MATCH(L556,[1]流向迭代数据!H$2:H$65536,0))</f>
        <v>#N/A</v>
      </c>
      <c r="P556" s="14"/>
      <c r="T556" s="12" t="e">
        <f>INDEX([1]流向迭代数据!K$2:K$65536,MATCH(L556,[1]流向迭代数据!H$2:H$65536,0))</f>
        <v>#N/A</v>
      </c>
      <c r="W556" s="12" t="str">
        <f t="shared" si="17"/>
        <v/>
      </c>
    </row>
    <row r="557" spans="1:23" x14ac:dyDescent="0.15">
      <c r="A557" s="14" t="str">
        <f t="shared" si="16"/>
        <v>190001</v>
      </c>
      <c r="C557" s="12" t="e">
        <f>INDEX(基础数据!$A$2:$A$1024,MATCH(转配商关联商!X557,基础数据!$D$2:$D$1024,0))</f>
        <v>#N/A</v>
      </c>
      <c r="E557" s="12" t="e">
        <f>INDEX(基础数据!$B$2:$B$1024,MATCH(转配商关联商!X557,基础数据!$D$2:$D$1024,0))</f>
        <v>#N/A</v>
      </c>
      <c r="G557" s="12" t="e">
        <f>INDEX([1]流向迭代数据!E$2:E$65536,MATCH(转配商关联商!W557,[1]流向迭代数据!M$2:M$65536,0))</f>
        <v>#N/A</v>
      </c>
      <c r="N557" s="12" t="e">
        <f>INDEX([1]流向迭代数据!J$2:J$65536,MATCH(L557,[1]流向迭代数据!H$2:H$65536,0))</f>
        <v>#N/A</v>
      </c>
      <c r="P557" s="14"/>
      <c r="T557" s="12" t="e">
        <f>INDEX([1]流向迭代数据!K$2:K$65536,MATCH(L557,[1]流向迭代数据!H$2:H$65536,0))</f>
        <v>#N/A</v>
      </c>
      <c r="W557" s="12" t="str">
        <f t="shared" si="17"/>
        <v/>
      </c>
    </row>
    <row r="558" spans="1:23" x14ac:dyDescent="0.15">
      <c r="A558" s="14" t="str">
        <f t="shared" si="16"/>
        <v>190001</v>
      </c>
      <c r="C558" s="12" t="e">
        <f>INDEX(基础数据!$A$2:$A$1024,MATCH(转配商关联商!X558,基础数据!$D$2:$D$1024,0))</f>
        <v>#N/A</v>
      </c>
      <c r="E558" s="12" t="e">
        <f>INDEX(基础数据!$B$2:$B$1024,MATCH(转配商关联商!X558,基础数据!$D$2:$D$1024,0))</f>
        <v>#N/A</v>
      </c>
      <c r="G558" s="12" t="e">
        <f>INDEX([1]流向迭代数据!E$2:E$65536,MATCH(转配商关联商!W558,[1]流向迭代数据!M$2:M$65536,0))</f>
        <v>#N/A</v>
      </c>
      <c r="N558" s="12" t="e">
        <f>INDEX([1]流向迭代数据!J$2:J$65536,MATCH(L558,[1]流向迭代数据!H$2:H$65536,0))</f>
        <v>#N/A</v>
      </c>
      <c r="P558" s="14"/>
      <c r="T558" s="12" t="e">
        <f>INDEX([1]流向迭代数据!K$2:K$65536,MATCH(L558,[1]流向迭代数据!H$2:H$65536,0))</f>
        <v>#N/A</v>
      </c>
      <c r="W558" s="12" t="str">
        <f t="shared" si="17"/>
        <v/>
      </c>
    </row>
    <row r="559" spans="1:23" x14ac:dyDescent="0.15">
      <c r="A559" s="14" t="str">
        <f t="shared" si="16"/>
        <v>190001</v>
      </c>
      <c r="C559" s="12" t="e">
        <f>INDEX(基础数据!$A$2:$A$1024,MATCH(转配商关联商!X559,基础数据!$D$2:$D$1024,0))</f>
        <v>#N/A</v>
      </c>
      <c r="E559" s="12" t="e">
        <f>INDEX(基础数据!$B$2:$B$1024,MATCH(转配商关联商!X559,基础数据!$D$2:$D$1024,0))</f>
        <v>#N/A</v>
      </c>
      <c r="G559" s="12" t="e">
        <f>INDEX([1]流向迭代数据!E$2:E$65536,MATCH(转配商关联商!W559,[1]流向迭代数据!M$2:M$65536,0))</f>
        <v>#N/A</v>
      </c>
      <c r="N559" s="12" t="e">
        <f>INDEX([1]流向迭代数据!J$2:J$65536,MATCH(L559,[1]流向迭代数据!H$2:H$65536,0))</f>
        <v>#N/A</v>
      </c>
      <c r="P559" s="14"/>
      <c r="T559" s="12" t="e">
        <f>INDEX([1]流向迭代数据!K$2:K$65536,MATCH(L559,[1]流向迭代数据!H$2:H$65536,0))</f>
        <v>#N/A</v>
      </c>
      <c r="W559" s="12" t="str">
        <f t="shared" si="17"/>
        <v/>
      </c>
    </row>
    <row r="560" spans="1:23" x14ac:dyDescent="0.15">
      <c r="A560" s="14" t="str">
        <f t="shared" si="16"/>
        <v>190001</v>
      </c>
      <c r="C560" s="12" t="e">
        <f>INDEX(基础数据!$A$2:$A$1024,MATCH(转配商关联商!X560,基础数据!$D$2:$D$1024,0))</f>
        <v>#N/A</v>
      </c>
      <c r="E560" s="12" t="e">
        <f>INDEX(基础数据!$B$2:$B$1024,MATCH(转配商关联商!X560,基础数据!$D$2:$D$1024,0))</f>
        <v>#N/A</v>
      </c>
      <c r="G560" s="12" t="e">
        <f>INDEX([1]流向迭代数据!E$2:E$65536,MATCH(转配商关联商!W560,[1]流向迭代数据!M$2:M$65536,0))</f>
        <v>#N/A</v>
      </c>
      <c r="N560" s="12" t="e">
        <f>INDEX([1]流向迭代数据!J$2:J$65536,MATCH(L560,[1]流向迭代数据!H$2:H$65536,0))</f>
        <v>#N/A</v>
      </c>
      <c r="P560" s="14"/>
      <c r="T560" s="12" t="e">
        <f>INDEX([1]流向迭代数据!K$2:K$65536,MATCH(L560,[1]流向迭代数据!H$2:H$65536,0))</f>
        <v>#N/A</v>
      </c>
      <c r="W560" s="12" t="str">
        <f t="shared" si="17"/>
        <v/>
      </c>
    </row>
    <row r="561" spans="1:23" x14ac:dyDescent="0.15">
      <c r="A561" s="14" t="str">
        <f t="shared" si="16"/>
        <v>190001</v>
      </c>
      <c r="C561" s="12" t="e">
        <f>INDEX(基础数据!$A$2:$A$1024,MATCH(转配商关联商!X561,基础数据!$D$2:$D$1024,0))</f>
        <v>#N/A</v>
      </c>
      <c r="E561" s="12" t="e">
        <f>INDEX(基础数据!$B$2:$B$1024,MATCH(转配商关联商!X561,基础数据!$D$2:$D$1024,0))</f>
        <v>#N/A</v>
      </c>
      <c r="G561" s="12" t="e">
        <f>INDEX([1]流向迭代数据!E$2:E$65536,MATCH(转配商关联商!W561,[1]流向迭代数据!M$2:M$65536,0))</f>
        <v>#N/A</v>
      </c>
      <c r="N561" s="12" t="e">
        <f>INDEX([1]流向迭代数据!J$2:J$65536,MATCH(L561,[1]流向迭代数据!H$2:H$65536,0))</f>
        <v>#N/A</v>
      </c>
      <c r="P561" s="14"/>
      <c r="T561" s="12" t="e">
        <f>INDEX([1]流向迭代数据!K$2:K$65536,MATCH(L561,[1]流向迭代数据!H$2:H$65536,0))</f>
        <v>#N/A</v>
      </c>
      <c r="W561" s="12" t="str">
        <f t="shared" si="17"/>
        <v/>
      </c>
    </row>
    <row r="562" spans="1:23" x14ac:dyDescent="0.15">
      <c r="A562" s="14" t="str">
        <f t="shared" si="16"/>
        <v>190001</v>
      </c>
      <c r="C562" s="12" t="e">
        <f>INDEX(基础数据!$A$2:$A$1024,MATCH(转配商关联商!X562,基础数据!$D$2:$D$1024,0))</f>
        <v>#N/A</v>
      </c>
      <c r="E562" s="12" t="e">
        <f>INDEX(基础数据!$B$2:$B$1024,MATCH(转配商关联商!X562,基础数据!$D$2:$D$1024,0))</f>
        <v>#N/A</v>
      </c>
      <c r="G562" s="12" t="e">
        <f>INDEX([1]流向迭代数据!E$2:E$65536,MATCH(转配商关联商!W562,[1]流向迭代数据!M$2:M$65536,0))</f>
        <v>#N/A</v>
      </c>
      <c r="N562" s="12" t="e">
        <f>INDEX([1]流向迭代数据!J$2:J$65536,MATCH(L562,[1]流向迭代数据!H$2:H$65536,0))</f>
        <v>#N/A</v>
      </c>
      <c r="P562" s="14"/>
      <c r="T562" s="12" t="e">
        <f>INDEX([1]流向迭代数据!K$2:K$65536,MATCH(L562,[1]流向迭代数据!H$2:H$65536,0))</f>
        <v>#N/A</v>
      </c>
      <c r="W562" s="12" t="str">
        <f t="shared" si="17"/>
        <v/>
      </c>
    </row>
    <row r="563" spans="1:23" x14ac:dyDescent="0.15">
      <c r="A563" s="14" t="str">
        <f t="shared" si="16"/>
        <v>190001</v>
      </c>
      <c r="C563" s="12" t="e">
        <f>INDEX(基础数据!$A$2:$A$1024,MATCH(转配商关联商!X563,基础数据!$D$2:$D$1024,0))</f>
        <v>#N/A</v>
      </c>
      <c r="E563" s="12" t="e">
        <f>INDEX(基础数据!$B$2:$B$1024,MATCH(转配商关联商!X563,基础数据!$D$2:$D$1024,0))</f>
        <v>#N/A</v>
      </c>
      <c r="G563" s="12" t="e">
        <f>INDEX([1]流向迭代数据!E$2:E$65536,MATCH(转配商关联商!W563,[1]流向迭代数据!M$2:M$65536,0))</f>
        <v>#N/A</v>
      </c>
      <c r="N563" s="12" t="e">
        <f>INDEX([1]流向迭代数据!J$2:J$65536,MATCH(L563,[1]流向迭代数据!H$2:H$65536,0))</f>
        <v>#N/A</v>
      </c>
      <c r="P563" s="14"/>
      <c r="T563" s="12" t="e">
        <f>INDEX([1]流向迭代数据!K$2:K$65536,MATCH(L563,[1]流向迭代数据!H$2:H$65536,0))</f>
        <v>#N/A</v>
      </c>
      <c r="W563" s="12" t="str">
        <f t="shared" si="17"/>
        <v/>
      </c>
    </row>
    <row r="564" spans="1:23" x14ac:dyDescent="0.15">
      <c r="A564" s="14" t="str">
        <f t="shared" si="16"/>
        <v>190001</v>
      </c>
      <c r="C564" s="12" t="e">
        <f>INDEX(基础数据!$A$2:$A$1024,MATCH(转配商关联商!X564,基础数据!$D$2:$D$1024,0))</f>
        <v>#N/A</v>
      </c>
      <c r="E564" s="12" t="e">
        <f>INDEX(基础数据!$B$2:$B$1024,MATCH(转配商关联商!X564,基础数据!$D$2:$D$1024,0))</f>
        <v>#N/A</v>
      </c>
      <c r="G564" s="12" t="e">
        <f>INDEX([1]流向迭代数据!E$2:E$65536,MATCH(转配商关联商!W564,[1]流向迭代数据!M$2:M$65536,0))</f>
        <v>#N/A</v>
      </c>
      <c r="N564" s="12" t="e">
        <f>INDEX([1]流向迭代数据!J$2:J$65536,MATCH(L564,[1]流向迭代数据!H$2:H$65536,0))</f>
        <v>#N/A</v>
      </c>
      <c r="P564" s="14"/>
      <c r="T564" s="12" t="e">
        <f>INDEX([1]流向迭代数据!K$2:K$65536,MATCH(L564,[1]流向迭代数据!H$2:H$65536,0))</f>
        <v>#N/A</v>
      </c>
      <c r="W564" s="12" t="str">
        <f t="shared" si="17"/>
        <v/>
      </c>
    </row>
    <row r="565" spans="1:23" x14ac:dyDescent="0.15">
      <c r="A565" s="14" t="str">
        <f t="shared" si="16"/>
        <v>190001</v>
      </c>
      <c r="C565" s="12" t="e">
        <f>INDEX(基础数据!$A$2:$A$1024,MATCH(转配商关联商!X565,基础数据!$D$2:$D$1024,0))</f>
        <v>#N/A</v>
      </c>
      <c r="E565" s="12" t="e">
        <f>INDEX(基础数据!$B$2:$B$1024,MATCH(转配商关联商!X565,基础数据!$D$2:$D$1024,0))</f>
        <v>#N/A</v>
      </c>
      <c r="G565" s="12" t="e">
        <f>INDEX([1]流向迭代数据!E$2:E$65536,MATCH(转配商关联商!W565,[1]流向迭代数据!M$2:M$65536,0))</f>
        <v>#N/A</v>
      </c>
      <c r="N565" s="12" t="e">
        <f>INDEX([1]流向迭代数据!J$2:J$65536,MATCH(L565,[1]流向迭代数据!H$2:H$65536,0))</f>
        <v>#N/A</v>
      </c>
      <c r="P565" s="14"/>
      <c r="T565" s="12" t="e">
        <f>INDEX([1]流向迭代数据!K$2:K$65536,MATCH(L565,[1]流向迭代数据!H$2:H$65536,0))</f>
        <v>#N/A</v>
      </c>
      <c r="W565" s="12" t="str">
        <f t="shared" si="17"/>
        <v/>
      </c>
    </row>
    <row r="566" spans="1:23" x14ac:dyDescent="0.15">
      <c r="A566" s="14" t="str">
        <f t="shared" si="16"/>
        <v>190001</v>
      </c>
      <c r="C566" s="12" t="e">
        <f>INDEX(基础数据!$A$2:$A$1024,MATCH(转配商关联商!X566,基础数据!$D$2:$D$1024,0))</f>
        <v>#N/A</v>
      </c>
      <c r="E566" s="12" t="e">
        <f>INDEX(基础数据!$B$2:$B$1024,MATCH(转配商关联商!X566,基础数据!$D$2:$D$1024,0))</f>
        <v>#N/A</v>
      </c>
      <c r="G566" s="12" t="e">
        <f>INDEX([1]流向迭代数据!E$2:E$65536,MATCH(转配商关联商!W566,[1]流向迭代数据!M$2:M$65536,0))</f>
        <v>#N/A</v>
      </c>
      <c r="N566" s="12" t="e">
        <f>INDEX([1]流向迭代数据!J$2:J$65536,MATCH(L566,[1]流向迭代数据!H$2:H$65536,0))</f>
        <v>#N/A</v>
      </c>
      <c r="P566" s="14"/>
      <c r="T566" s="12" t="e">
        <f>INDEX([1]流向迭代数据!K$2:K$65536,MATCH(L566,[1]流向迭代数据!H$2:H$65536,0))</f>
        <v>#N/A</v>
      </c>
      <c r="W566" s="12" t="str">
        <f t="shared" si="17"/>
        <v/>
      </c>
    </row>
    <row r="567" spans="1:23" x14ac:dyDescent="0.15">
      <c r="A567" s="14" t="str">
        <f t="shared" si="16"/>
        <v>190001</v>
      </c>
      <c r="C567" s="12" t="e">
        <f>INDEX(基础数据!$A$2:$A$1024,MATCH(转配商关联商!X567,基础数据!$D$2:$D$1024,0))</f>
        <v>#N/A</v>
      </c>
      <c r="E567" s="12" t="e">
        <f>INDEX(基础数据!$B$2:$B$1024,MATCH(转配商关联商!X567,基础数据!$D$2:$D$1024,0))</f>
        <v>#N/A</v>
      </c>
      <c r="G567" s="12" t="e">
        <f>INDEX([1]流向迭代数据!E$2:E$65536,MATCH(转配商关联商!W567,[1]流向迭代数据!M$2:M$65536,0))</f>
        <v>#N/A</v>
      </c>
      <c r="N567" s="12" t="e">
        <f>INDEX([1]流向迭代数据!J$2:J$65536,MATCH(L567,[1]流向迭代数据!H$2:H$65536,0))</f>
        <v>#N/A</v>
      </c>
      <c r="P567" s="14"/>
      <c r="T567" s="12" t="e">
        <f>INDEX([1]流向迭代数据!K$2:K$65536,MATCH(L567,[1]流向迭代数据!H$2:H$65536,0))</f>
        <v>#N/A</v>
      </c>
      <c r="W567" s="12" t="str">
        <f t="shared" si="17"/>
        <v/>
      </c>
    </row>
    <row r="568" spans="1:23" x14ac:dyDescent="0.15">
      <c r="A568" s="14" t="str">
        <f t="shared" si="16"/>
        <v>190001</v>
      </c>
      <c r="C568" s="12" t="e">
        <f>INDEX(基础数据!$A$2:$A$1024,MATCH(转配商关联商!X568,基础数据!$D$2:$D$1024,0))</f>
        <v>#N/A</v>
      </c>
      <c r="E568" s="12" t="e">
        <f>INDEX(基础数据!$B$2:$B$1024,MATCH(转配商关联商!X568,基础数据!$D$2:$D$1024,0))</f>
        <v>#N/A</v>
      </c>
      <c r="G568" s="12" t="e">
        <f>INDEX([1]流向迭代数据!E$2:E$65536,MATCH(转配商关联商!W568,[1]流向迭代数据!M$2:M$65536,0))</f>
        <v>#N/A</v>
      </c>
      <c r="N568" s="12" t="e">
        <f>INDEX([1]流向迭代数据!J$2:J$65536,MATCH(L568,[1]流向迭代数据!H$2:H$65536,0))</f>
        <v>#N/A</v>
      </c>
      <c r="P568" s="14"/>
      <c r="T568" s="12" t="e">
        <f>INDEX([1]流向迭代数据!K$2:K$65536,MATCH(L568,[1]流向迭代数据!H$2:H$65536,0))</f>
        <v>#N/A</v>
      </c>
      <c r="W568" s="12" t="str">
        <f t="shared" si="17"/>
        <v/>
      </c>
    </row>
    <row r="569" spans="1:23" x14ac:dyDescent="0.15">
      <c r="A569" s="14" t="str">
        <f t="shared" si="16"/>
        <v>190001</v>
      </c>
      <c r="C569" s="12" t="e">
        <f>INDEX(基础数据!$A$2:$A$1024,MATCH(转配商关联商!X569,基础数据!$D$2:$D$1024,0))</f>
        <v>#N/A</v>
      </c>
      <c r="E569" s="12" t="e">
        <f>INDEX(基础数据!$B$2:$B$1024,MATCH(转配商关联商!X569,基础数据!$D$2:$D$1024,0))</f>
        <v>#N/A</v>
      </c>
      <c r="G569" s="12" t="e">
        <f>INDEX([1]流向迭代数据!E$2:E$65536,MATCH(转配商关联商!W569,[1]流向迭代数据!M$2:M$65536,0))</f>
        <v>#N/A</v>
      </c>
      <c r="N569" s="12" t="e">
        <f>INDEX([1]流向迭代数据!J$2:J$65536,MATCH(L569,[1]流向迭代数据!H$2:H$65536,0))</f>
        <v>#N/A</v>
      </c>
      <c r="P569" s="14"/>
      <c r="T569" s="12" t="e">
        <f>INDEX([1]流向迭代数据!K$2:K$65536,MATCH(L569,[1]流向迭代数据!H$2:H$65536,0))</f>
        <v>#N/A</v>
      </c>
      <c r="W569" s="12" t="str">
        <f t="shared" si="17"/>
        <v/>
      </c>
    </row>
    <row r="570" spans="1:23" x14ac:dyDescent="0.15">
      <c r="A570" s="14" t="str">
        <f t="shared" si="16"/>
        <v>190001</v>
      </c>
      <c r="C570" s="12" t="e">
        <f>INDEX(基础数据!$A$2:$A$1024,MATCH(转配商关联商!X570,基础数据!$D$2:$D$1024,0))</f>
        <v>#N/A</v>
      </c>
      <c r="E570" s="12" t="e">
        <f>INDEX(基础数据!$B$2:$B$1024,MATCH(转配商关联商!X570,基础数据!$D$2:$D$1024,0))</f>
        <v>#N/A</v>
      </c>
      <c r="G570" s="12" t="e">
        <f>INDEX([1]流向迭代数据!E$2:E$65536,MATCH(转配商关联商!W570,[1]流向迭代数据!M$2:M$65536,0))</f>
        <v>#N/A</v>
      </c>
      <c r="N570" s="12" t="e">
        <f>INDEX([1]流向迭代数据!J$2:J$65536,MATCH(L570,[1]流向迭代数据!H$2:H$65536,0))</f>
        <v>#N/A</v>
      </c>
      <c r="P570" s="14"/>
      <c r="T570" s="12" t="e">
        <f>INDEX([1]流向迭代数据!K$2:K$65536,MATCH(L570,[1]流向迭代数据!H$2:H$65536,0))</f>
        <v>#N/A</v>
      </c>
      <c r="W570" s="12" t="str">
        <f t="shared" si="17"/>
        <v/>
      </c>
    </row>
    <row r="571" spans="1:23" x14ac:dyDescent="0.15">
      <c r="A571" s="14" t="str">
        <f t="shared" si="16"/>
        <v>190001</v>
      </c>
      <c r="C571" s="12" t="e">
        <f>INDEX(基础数据!$A$2:$A$1024,MATCH(转配商关联商!X571,基础数据!$D$2:$D$1024,0))</f>
        <v>#N/A</v>
      </c>
      <c r="E571" s="12" t="e">
        <f>INDEX(基础数据!$B$2:$B$1024,MATCH(转配商关联商!X571,基础数据!$D$2:$D$1024,0))</f>
        <v>#N/A</v>
      </c>
      <c r="G571" s="12" t="e">
        <f>INDEX([1]流向迭代数据!E$2:E$65536,MATCH(转配商关联商!W571,[1]流向迭代数据!M$2:M$65536,0))</f>
        <v>#N/A</v>
      </c>
      <c r="N571" s="12" t="e">
        <f>INDEX([1]流向迭代数据!J$2:J$65536,MATCH(L571,[1]流向迭代数据!H$2:H$65536,0))</f>
        <v>#N/A</v>
      </c>
      <c r="P571" s="14"/>
      <c r="T571" s="12" t="e">
        <f>INDEX([1]流向迭代数据!K$2:K$65536,MATCH(L571,[1]流向迭代数据!H$2:H$65536,0))</f>
        <v>#N/A</v>
      </c>
      <c r="W571" s="12" t="str">
        <f t="shared" si="17"/>
        <v/>
      </c>
    </row>
    <row r="572" spans="1:23" x14ac:dyDescent="0.15">
      <c r="A572" s="14" t="str">
        <f t="shared" si="16"/>
        <v>190001</v>
      </c>
      <c r="C572" s="12" t="e">
        <f>INDEX(基础数据!$A$2:$A$1024,MATCH(转配商关联商!X572,基础数据!$D$2:$D$1024,0))</f>
        <v>#N/A</v>
      </c>
      <c r="E572" s="12" t="e">
        <f>INDEX(基础数据!$B$2:$B$1024,MATCH(转配商关联商!X572,基础数据!$D$2:$D$1024,0))</f>
        <v>#N/A</v>
      </c>
      <c r="G572" s="12" t="e">
        <f>INDEX([1]流向迭代数据!E$2:E$65536,MATCH(转配商关联商!W572,[1]流向迭代数据!M$2:M$65536,0))</f>
        <v>#N/A</v>
      </c>
      <c r="N572" s="12" t="e">
        <f>INDEX([1]流向迭代数据!J$2:J$65536,MATCH(L572,[1]流向迭代数据!H$2:H$65536,0))</f>
        <v>#N/A</v>
      </c>
      <c r="P572" s="14"/>
      <c r="T572" s="12" t="e">
        <f>INDEX([1]流向迭代数据!K$2:K$65536,MATCH(L572,[1]流向迭代数据!H$2:H$65536,0))</f>
        <v>#N/A</v>
      </c>
      <c r="W572" s="12" t="str">
        <f t="shared" si="17"/>
        <v/>
      </c>
    </row>
    <row r="573" spans="1:23" x14ac:dyDescent="0.15">
      <c r="A573" s="14" t="str">
        <f t="shared" si="16"/>
        <v>190001</v>
      </c>
      <c r="C573" s="12" t="e">
        <f>INDEX(基础数据!$A$2:$A$1024,MATCH(转配商关联商!X573,基础数据!$D$2:$D$1024,0))</f>
        <v>#N/A</v>
      </c>
      <c r="E573" s="12" t="e">
        <f>INDEX(基础数据!$B$2:$B$1024,MATCH(转配商关联商!X573,基础数据!$D$2:$D$1024,0))</f>
        <v>#N/A</v>
      </c>
      <c r="G573" s="12" t="e">
        <f>INDEX([1]流向迭代数据!E$2:E$65536,MATCH(转配商关联商!W573,[1]流向迭代数据!M$2:M$65536,0))</f>
        <v>#N/A</v>
      </c>
      <c r="N573" s="12" t="e">
        <f>INDEX([1]流向迭代数据!J$2:J$65536,MATCH(L573,[1]流向迭代数据!H$2:H$65536,0))</f>
        <v>#N/A</v>
      </c>
      <c r="P573" s="14"/>
      <c r="T573" s="12" t="e">
        <f>INDEX([1]流向迭代数据!K$2:K$65536,MATCH(L573,[1]流向迭代数据!H$2:H$65536,0))</f>
        <v>#N/A</v>
      </c>
      <c r="W573" s="12" t="str">
        <f t="shared" si="17"/>
        <v/>
      </c>
    </row>
    <row r="574" spans="1:23" x14ac:dyDescent="0.15">
      <c r="A574" s="14" t="str">
        <f t="shared" si="16"/>
        <v>190001</v>
      </c>
      <c r="C574" s="12" t="e">
        <f>INDEX(基础数据!$A$2:$A$1024,MATCH(转配商关联商!X574,基础数据!$D$2:$D$1024,0))</f>
        <v>#N/A</v>
      </c>
      <c r="E574" s="12" t="e">
        <f>INDEX(基础数据!$B$2:$B$1024,MATCH(转配商关联商!X574,基础数据!$D$2:$D$1024,0))</f>
        <v>#N/A</v>
      </c>
      <c r="G574" s="12" t="e">
        <f>INDEX([1]流向迭代数据!E$2:E$65536,MATCH(转配商关联商!W574,[1]流向迭代数据!M$2:M$65536,0))</f>
        <v>#N/A</v>
      </c>
      <c r="N574" s="12" t="e">
        <f>INDEX([1]流向迭代数据!J$2:J$65536,MATCH(L574,[1]流向迭代数据!H$2:H$65536,0))</f>
        <v>#N/A</v>
      </c>
      <c r="P574" s="14"/>
      <c r="T574" s="12" t="e">
        <f>INDEX([1]流向迭代数据!K$2:K$65536,MATCH(L574,[1]流向迭代数据!H$2:H$65536,0))</f>
        <v>#N/A</v>
      </c>
      <c r="W574" s="12" t="str">
        <f t="shared" si="17"/>
        <v/>
      </c>
    </row>
    <row r="575" spans="1:23" x14ac:dyDescent="0.15">
      <c r="A575" s="14" t="str">
        <f t="shared" si="16"/>
        <v>190001</v>
      </c>
      <c r="C575" s="12" t="e">
        <f>INDEX(基础数据!$A$2:$A$1024,MATCH(转配商关联商!X575,基础数据!$D$2:$D$1024,0))</f>
        <v>#N/A</v>
      </c>
      <c r="E575" s="12" t="e">
        <f>INDEX(基础数据!$B$2:$B$1024,MATCH(转配商关联商!X575,基础数据!$D$2:$D$1024,0))</f>
        <v>#N/A</v>
      </c>
      <c r="G575" s="12" t="e">
        <f>INDEX([1]流向迭代数据!E$2:E$65536,MATCH(转配商关联商!W575,[1]流向迭代数据!M$2:M$65536,0))</f>
        <v>#N/A</v>
      </c>
      <c r="N575" s="12" t="e">
        <f>INDEX([1]流向迭代数据!J$2:J$65536,MATCH(L575,[1]流向迭代数据!H$2:H$65536,0))</f>
        <v>#N/A</v>
      </c>
      <c r="P575" s="14"/>
      <c r="T575" s="12" t="e">
        <f>INDEX([1]流向迭代数据!K$2:K$65536,MATCH(L575,[1]流向迭代数据!H$2:H$65536,0))</f>
        <v>#N/A</v>
      </c>
      <c r="W575" s="12" t="str">
        <f t="shared" si="17"/>
        <v/>
      </c>
    </row>
    <row r="576" spans="1:23" x14ac:dyDescent="0.15">
      <c r="A576" s="14" t="str">
        <f t="shared" si="16"/>
        <v>190001</v>
      </c>
      <c r="C576" s="12" t="e">
        <f>INDEX(基础数据!$A$2:$A$1024,MATCH(转配商关联商!X576,基础数据!$D$2:$D$1024,0))</f>
        <v>#N/A</v>
      </c>
      <c r="E576" s="12" t="e">
        <f>INDEX(基础数据!$B$2:$B$1024,MATCH(转配商关联商!X576,基础数据!$D$2:$D$1024,0))</f>
        <v>#N/A</v>
      </c>
      <c r="G576" s="12" t="e">
        <f>INDEX([1]流向迭代数据!E$2:E$65536,MATCH(转配商关联商!W576,[1]流向迭代数据!M$2:M$65536,0))</f>
        <v>#N/A</v>
      </c>
      <c r="N576" s="12" t="e">
        <f>INDEX([1]流向迭代数据!J$2:J$65536,MATCH(L576,[1]流向迭代数据!H$2:H$65536,0))</f>
        <v>#N/A</v>
      </c>
      <c r="P576" s="14"/>
      <c r="T576" s="12" t="e">
        <f>INDEX([1]流向迭代数据!K$2:K$65536,MATCH(L576,[1]流向迭代数据!H$2:H$65536,0))</f>
        <v>#N/A</v>
      </c>
      <c r="W576" s="12" t="str">
        <f t="shared" si="17"/>
        <v/>
      </c>
    </row>
    <row r="577" spans="1:23" x14ac:dyDescent="0.15">
      <c r="A577" s="14" t="str">
        <f t="shared" si="16"/>
        <v>190001</v>
      </c>
      <c r="C577" s="12" t="e">
        <f>INDEX(基础数据!$A$2:$A$1024,MATCH(转配商关联商!X577,基础数据!$D$2:$D$1024,0))</f>
        <v>#N/A</v>
      </c>
      <c r="E577" s="12" t="e">
        <f>INDEX(基础数据!$B$2:$B$1024,MATCH(转配商关联商!X577,基础数据!$D$2:$D$1024,0))</f>
        <v>#N/A</v>
      </c>
      <c r="G577" s="12" t="e">
        <f>INDEX([1]流向迭代数据!E$2:E$65536,MATCH(转配商关联商!W577,[1]流向迭代数据!M$2:M$65536,0))</f>
        <v>#N/A</v>
      </c>
      <c r="N577" s="12" t="e">
        <f>INDEX([1]流向迭代数据!J$2:J$65536,MATCH(L577,[1]流向迭代数据!H$2:H$65536,0))</f>
        <v>#N/A</v>
      </c>
      <c r="P577" s="14"/>
      <c r="T577" s="12" t="e">
        <f>INDEX([1]流向迭代数据!K$2:K$65536,MATCH(L577,[1]流向迭代数据!H$2:H$65536,0))</f>
        <v>#N/A</v>
      </c>
      <c r="W577" s="12" t="str">
        <f t="shared" si="17"/>
        <v/>
      </c>
    </row>
    <row r="578" spans="1:23" x14ac:dyDescent="0.15">
      <c r="A578" s="14" t="str">
        <f t="shared" si="16"/>
        <v>190001</v>
      </c>
      <c r="C578" s="12" t="e">
        <f>INDEX(基础数据!$A$2:$A$1024,MATCH(转配商关联商!X578,基础数据!$D$2:$D$1024,0))</f>
        <v>#N/A</v>
      </c>
      <c r="E578" s="12" t="e">
        <f>INDEX(基础数据!$B$2:$B$1024,MATCH(转配商关联商!X578,基础数据!$D$2:$D$1024,0))</f>
        <v>#N/A</v>
      </c>
      <c r="G578" s="12" t="e">
        <f>INDEX([1]流向迭代数据!E$2:E$65536,MATCH(转配商关联商!W578,[1]流向迭代数据!M$2:M$65536,0))</f>
        <v>#N/A</v>
      </c>
      <c r="N578" s="12" t="e">
        <f>INDEX([1]流向迭代数据!J$2:J$65536,MATCH(L578,[1]流向迭代数据!H$2:H$65536,0))</f>
        <v>#N/A</v>
      </c>
      <c r="P578" s="14"/>
      <c r="T578" s="12" t="e">
        <f>INDEX([1]流向迭代数据!K$2:K$65536,MATCH(L578,[1]流向迭代数据!H$2:H$65536,0))</f>
        <v>#N/A</v>
      </c>
      <c r="W578" s="12" t="str">
        <f t="shared" si="17"/>
        <v/>
      </c>
    </row>
    <row r="579" spans="1:23" x14ac:dyDescent="0.15">
      <c r="A579" s="14" t="str">
        <f t="shared" ref="A579:A642" si="18">IF(MONTH(P579)&lt;10,YEAR(P579)&amp;"0"&amp;MONTH(P579),YEAR(P579)&amp;MONTH(P579))</f>
        <v>190001</v>
      </c>
      <c r="C579" s="12" t="e">
        <f>INDEX(基础数据!$A$2:$A$1024,MATCH(转配商关联商!X579,基础数据!$D$2:$D$1024,0))</f>
        <v>#N/A</v>
      </c>
      <c r="E579" s="12" t="e">
        <f>INDEX(基础数据!$B$2:$B$1024,MATCH(转配商关联商!X579,基础数据!$D$2:$D$1024,0))</f>
        <v>#N/A</v>
      </c>
      <c r="G579" s="12" t="e">
        <f>INDEX([1]流向迭代数据!E$2:E$65536,MATCH(转配商关联商!W579,[1]流向迭代数据!M$2:M$65536,0))</f>
        <v>#N/A</v>
      </c>
      <c r="N579" s="12" t="e">
        <f>INDEX([1]流向迭代数据!J$2:J$65536,MATCH(L579,[1]流向迭代数据!H$2:H$65536,0))</f>
        <v>#N/A</v>
      </c>
      <c r="P579" s="14"/>
      <c r="T579" s="12" t="e">
        <f>INDEX([1]流向迭代数据!K$2:K$65536,MATCH(L579,[1]流向迭代数据!H$2:H$65536,0))</f>
        <v>#N/A</v>
      </c>
      <c r="W579" s="12" t="str">
        <f t="shared" ref="W579:W642" si="19">H579&amp;I579</f>
        <v/>
      </c>
    </row>
    <row r="580" spans="1:23" x14ac:dyDescent="0.15">
      <c r="A580" s="14" t="str">
        <f t="shared" si="18"/>
        <v>190001</v>
      </c>
      <c r="C580" s="12" t="e">
        <f>INDEX(基础数据!$A$2:$A$1024,MATCH(转配商关联商!X580,基础数据!$D$2:$D$1024,0))</f>
        <v>#N/A</v>
      </c>
      <c r="E580" s="12" t="e">
        <f>INDEX(基础数据!$B$2:$B$1024,MATCH(转配商关联商!X580,基础数据!$D$2:$D$1024,0))</f>
        <v>#N/A</v>
      </c>
      <c r="G580" s="12" t="e">
        <f>INDEX([1]流向迭代数据!E$2:E$65536,MATCH(转配商关联商!W580,[1]流向迭代数据!M$2:M$65536,0))</f>
        <v>#N/A</v>
      </c>
      <c r="N580" s="12" t="e">
        <f>INDEX([1]流向迭代数据!J$2:J$65536,MATCH(L580,[1]流向迭代数据!H$2:H$65536,0))</f>
        <v>#N/A</v>
      </c>
      <c r="P580" s="14"/>
      <c r="T580" s="12" t="e">
        <f>INDEX([1]流向迭代数据!K$2:K$65536,MATCH(L580,[1]流向迭代数据!H$2:H$65536,0))</f>
        <v>#N/A</v>
      </c>
      <c r="W580" s="12" t="str">
        <f t="shared" si="19"/>
        <v/>
      </c>
    </row>
    <row r="581" spans="1:23" x14ac:dyDescent="0.15">
      <c r="A581" s="14" t="str">
        <f t="shared" si="18"/>
        <v>190001</v>
      </c>
      <c r="C581" s="12" t="e">
        <f>INDEX(基础数据!$A$2:$A$1024,MATCH(转配商关联商!X581,基础数据!$D$2:$D$1024,0))</f>
        <v>#N/A</v>
      </c>
      <c r="E581" s="12" t="e">
        <f>INDEX(基础数据!$B$2:$B$1024,MATCH(转配商关联商!X581,基础数据!$D$2:$D$1024,0))</f>
        <v>#N/A</v>
      </c>
      <c r="G581" s="12" t="e">
        <f>INDEX([1]流向迭代数据!E$2:E$65536,MATCH(转配商关联商!W581,[1]流向迭代数据!M$2:M$65536,0))</f>
        <v>#N/A</v>
      </c>
      <c r="N581" s="12" t="e">
        <f>INDEX([1]流向迭代数据!J$2:J$65536,MATCH(L581,[1]流向迭代数据!H$2:H$65536,0))</f>
        <v>#N/A</v>
      </c>
      <c r="P581" s="14"/>
      <c r="T581" s="12" t="e">
        <f>INDEX([1]流向迭代数据!K$2:K$65536,MATCH(L581,[1]流向迭代数据!H$2:H$65536,0))</f>
        <v>#N/A</v>
      </c>
      <c r="W581" s="12" t="str">
        <f t="shared" si="19"/>
        <v/>
      </c>
    </row>
    <row r="582" spans="1:23" x14ac:dyDescent="0.15">
      <c r="A582" s="14" t="str">
        <f t="shared" si="18"/>
        <v>190001</v>
      </c>
      <c r="C582" s="12" t="e">
        <f>INDEX(基础数据!$A$2:$A$1024,MATCH(转配商关联商!X582,基础数据!$D$2:$D$1024,0))</f>
        <v>#N/A</v>
      </c>
      <c r="E582" s="12" t="e">
        <f>INDEX(基础数据!$B$2:$B$1024,MATCH(转配商关联商!X582,基础数据!$D$2:$D$1024,0))</f>
        <v>#N/A</v>
      </c>
      <c r="G582" s="12" t="e">
        <f>INDEX([1]流向迭代数据!E$2:E$65536,MATCH(转配商关联商!W582,[1]流向迭代数据!M$2:M$65536,0))</f>
        <v>#N/A</v>
      </c>
      <c r="N582" s="12" t="e">
        <f>INDEX([1]流向迭代数据!J$2:J$65536,MATCH(L582,[1]流向迭代数据!H$2:H$65536,0))</f>
        <v>#N/A</v>
      </c>
      <c r="P582" s="14"/>
      <c r="T582" s="12" t="e">
        <f>INDEX([1]流向迭代数据!K$2:K$65536,MATCH(L582,[1]流向迭代数据!H$2:H$65536,0))</f>
        <v>#N/A</v>
      </c>
      <c r="W582" s="12" t="str">
        <f t="shared" si="19"/>
        <v/>
      </c>
    </row>
    <row r="583" spans="1:23" x14ac:dyDescent="0.15">
      <c r="A583" s="14" t="str">
        <f t="shared" si="18"/>
        <v>190001</v>
      </c>
      <c r="C583" s="12" t="e">
        <f>INDEX(基础数据!$A$2:$A$1024,MATCH(转配商关联商!X583,基础数据!$D$2:$D$1024,0))</f>
        <v>#N/A</v>
      </c>
      <c r="E583" s="12" t="e">
        <f>INDEX(基础数据!$B$2:$B$1024,MATCH(转配商关联商!X583,基础数据!$D$2:$D$1024,0))</f>
        <v>#N/A</v>
      </c>
      <c r="G583" s="12" t="e">
        <f>INDEX([1]流向迭代数据!E$2:E$65536,MATCH(转配商关联商!W583,[1]流向迭代数据!M$2:M$65536,0))</f>
        <v>#N/A</v>
      </c>
      <c r="N583" s="12" t="e">
        <f>INDEX([1]流向迭代数据!J$2:J$65536,MATCH(L583,[1]流向迭代数据!H$2:H$65536,0))</f>
        <v>#N/A</v>
      </c>
      <c r="P583" s="14"/>
      <c r="T583" s="12" t="e">
        <f>INDEX([1]流向迭代数据!K$2:K$65536,MATCH(L583,[1]流向迭代数据!H$2:H$65536,0))</f>
        <v>#N/A</v>
      </c>
      <c r="W583" s="12" t="str">
        <f t="shared" si="19"/>
        <v/>
      </c>
    </row>
    <row r="584" spans="1:23" x14ac:dyDescent="0.15">
      <c r="A584" s="14" t="str">
        <f t="shared" si="18"/>
        <v>190001</v>
      </c>
      <c r="C584" s="12" t="e">
        <f>INDEX(基础数据!$A$2:$A$1024,MATCH(转配商关联商!X584,基础数据!$D$2:$D$1024,0))</f>
        <v>#N/A</v>
      </c>
      <c r="E584" s="12" t="e">
        <f>INDEX(基础数据!$B$2:$B$1024,MATCH(转配商关联商!X584,基础数据!$D$2:$D$1024,0))</f>
        <v>#N/A</v>
      </c>
      <c r="G584" s="12" t="e">
        <f>INDEX([1]流向迭代数据!E$2:E$65536,MATCH(转配商关联商!W584,[1]流向迭代数据!M$2:M$65536,0))</f>
        <v>#N/A</v>
      </c>
      <c r="N584" s="12" t="e">
        <f>INDEX([1]流向迭代数据!J$2:J$65536,MATCH(L584,[1]流向迭代数据!H$2:H$65536,0))</f>
        <v>#N/A</v>
      </c>
      <c r="P584" s="14"/>
      <c r="T584" s="12" t="e">
        <f>INDEX([1]流向迭代数据!K$2:K$65536,MATCH(L584,[1]流向迭代数据!H$2:H$65536,0))</f>
        <v>#N/A</v>
      </c>
      <c r="W584" s="12" t="str">
        <f t="shared" si="19"/>
        <v/>
      </c>
    </row>
    <row r="585" spans="1:23" x14ac:dyDescent="0.15">
      <c r="A585" s="14" t="str">
        <f t="shared" si="18"/>
        <v>190001</v>
      </c>
      <c r="C585" s="12" t="e">
        <f>INDEX(基础数据!$A$2:$A$1024,MATCH(转配商关联商!X585,基础数据!$D$2:$D$1024,0))</f>
        <v>#N/A</v>
      </c>
      <c r="E585" s="12" t="e">
        <f>INDEX(基础数据!$B$2:$B$1024,MATCH(转配商关联商!X585,基础数据!$D$2:$D$1024,0))</f>
        <v>#N/A</v>
      </c>
      <c r="G585" s="12" t="e">
        <f>INDEX([1]流向迭代数据!E$2:E$65536,MATCH(转配商关联商!W585,[1]流向迭代数据!M$2:M$65536,0))</f>
        <v>#N/A</v>
      </c>
      <c r="N585" s="12" t="e">
        <f>INDEX([1]流向迭代数据!J$2:J$65536,MATCH(L585,[1]流向迭代数据!H$2:H$65536,0))</f>
        <v>#N/A</v>
      </c>
      <c r="P585" s="14"/>
      <c r="T585" s="12" t="e">
        <f>INDEX([1]流向迭代数据!K$2:K$65536,MATCH(L585,[1]流向迭代数据!H$2:H$65536,0))</f>
        <v>#N/A</v>
      </c>
      <c r="W585" s="12" t="str">
        <f t="shared" si="19"/>
        <v/>
      </c>
    </row>
    <row r="586" spans="1:23" x14ac:dyDescent="0.15">
      <c r="A586" s="14" t="str">
        <f t="shared" si="18"/>
        <v>190001</v>
      </c>
      <c r="C586" s="12" t="e">
        <f>INDEX(基础数据!$A$2:$A$1024,MATCH(转配商关联商!X586,基础数据!$D$2:$D$1024,0))</f>
        <v>#N/A</v>
      </c>
      <c r="E586" s="12" t="e">
        <f>INDEX(基础数据!$B$2:$B$1024,MATCH(转配商关联商!X586,基础数据!$D$2:$D$1024,0))</f>
        <v>#N/A</v>
      </c>
      <c r="G586" s="12" t="e">
        <f>INDEX([1]流向迭代数据!E$2:E$65536,MATCH(转配商关联商!W586,[1]流向迭代数据!M$2:M$65536,0))</f>
        <v>#N/A</v>
      </c>
      <c r="N586" s="12" t="e">
        <f>INDEX([1]流向迭代数据!J$2:J$65536,MATCH(L586,[1]流向迭代数据!H$2:H$65536,0))</f>
        <v>#N/A</v>
      </c>
      <c r="P586" s="14"/>
      <c r="T586" s="12" t="e">
        <f>INDEX([1]流向迭代数据!K$2:K$65536,MATCH(L586,[1]流向迭代数据!H$2:H$65536,0))</f>
        <v>#N/A</v>
      </c>
      <c r="W586" s="12" t="str">
        <f t="shared" si="19"/>
        <v/>
      </c>
    </row>
    <row r="587" spans="1:23" x14ac:dyDescent="0.15">
      <c r="A587" s="14" t="str">
        <f t="shared" si="18"/>
        <v>190001</v>
      </c>
      <c r="C587" s="12" t="e">
        <f>INDEX(基础数据!$A$2:$A$1024,MATCH(转配商关联商!X587,基础数据!$D$2:$D$1024,0))</f>
        <v>#N/A</v>
      </c>
      <c r="E587" s="12" t="e">
        <f>INDEX(基础数据!$B$2:$B$1024,MATCH(转配商关联商!X587,基础数据!$D$2:$D$1024,0))</f>
        <v>#N/A</v>
      </c>
      <c r="G587" s="12" t="e">
        <f>INDEX([1]流向迭代数据!E$2:E$65536,MATCH(转配商关联商!W587,[1]流向迭代数据!M$2:M$65536,0))</f>
        <v>#N/A</v>
      </c>
      <c r="N587" s="12" t="e">
        <f>INDEX([1]流向迭代数据!J$2:J$65536,MATCH(L587,[1]流向迭代数据!H$2:H$65536,0))</f>
        <v>#N/A</v>
      </c>
      <c r="P587" s="14"/>
      <c r="T587" s="12" t="e">
        <f>INDEX([1]流向迭代数据!K$2:K$65536,MATCH(L587,[1]流向迭代数据!H$2:H$65536,0))</f>
        <v>#N/A</v>
      </c>
      <c r="W587" s="12" t="str">
        <f t="shared" si="19"/>
        <v/>
      </c>
    </row>
    <row r="588" spans="1:23" x14ac:dyDescent="0.15">
      <c r="A588" s="14" t="str">
        <f t="shared" si="18"/>
        <v>190001</v>
      </c>
      <c r="C588" s="12" t="e">
        <f>INDEX(基础数据!$A$2:$A$1024,MATCH(转配商关联商!X588,基础数据!$D$2:$D$1024,0))</f>
        <v>#N/A</v>
      </c>
      <c r="E588" s="12" t="e">
        <f>INDEX(基础数据!$B$2:$B$1024,MATCH(转配商关联商!X588,基础数据!$D$2:$D$1024,0))</f>
        <v>#N/A</v>
      </c>
      <c r="G588" s="12" t="e">
        <f>INDEX([1]流向迭代数据!E$2:E$65536,MATCH(转配商关联商!W588,[1]流向迭代数据!M$2:M$65536,0))</f>
        <v>#N/A</v>
      </c>
      <c r="N588" s="12" t="e">
        <f>INDEX([1]流向迭代数据!J$2:J$65536,MATCH(L588,[1]流向迭代数据!H$2:H$65536,0))</f>
        <v>#N/A</v>
      </c>
      <c r="P588" s="14"/>
      <c r="T588" s="12" t="e">
        <f>INDEX([1]流向迭代数据!K$2:K$65536,MATCH(L588,[1]流向迭代数据!H$2:H$65536,0))</f>
        <v>#N/A</v>
      </c>
      <c r="W588" s="12" t="str">
        <f t="shared" si="19"/>
        <v/>
      </c>
    </row>
    <row r="589" spans="1:23" x14ac:dyDescent="0.15">
      <c r="A589" s="14" t="str">
        <f t="shared" si="18"/>
        <v>190001</v>
      </c>
      <c r="C589" s="12" t="e">
        <f>INDEX(基础数据!$A$2:$A$1024,MATCH(转配商关联商!X589,基础数据!$D$2:$D$1024,0))</f>
        <v>#N/A</v>
      </c>
      <c r="E589" s="12" t="e">
        <f>INDEX(基础数据!$B$2:$B$1024,MATCH(转配商关联商!X589,基础数据!$D$2:$D$1024,0))</f>
        <v>#N/A</v>
      </c>
      <c r="G589" s="12" t="e">
        <f>INDEX([1]流向迭代数据!E$2:E$65536,MATCH(转配商关联商!W589,[1]流向迭代数据!M$2:M$65536,0))</f>
        <v>#N/A</v>
      </c>
      <c r="N589" s="12" t="e">
        <f>INDEX([1]流向迭代数据!J$2:J$65536,MATCH(L589,[1]流向迭代数据!H$2:H$65536,0))</f>
        <v>#N/A</v>
      </c>
      <c r="P589" s="14"/>
      <c r="T589" s="12" t="e">
        <f>INDEX([1]流向迭代数据!K$2:K$65536,MATCH(L589,[1]流向迭代数据!H$2:H$65536,0))</f>
        <v>#N/A</v>
      </c>
      <c r="W589" s="12" t="str">
        <f t="shared" si="19"/>
        <v/>
      </c>
    </row>
    <row r="590" spans="1:23" x14ac:dyDescent="0.15">
      <c r="A590" s="14" t="str">
        <f t="shared" si="18"/>
        <v>190001</v>
      </c>
      <c r="C590" s="12" t="e">
        <f>INDEX(基础数据!$A$2:$A$1024,MATCH(转配商关联商!X590,基础数据!$D$2:$D$1024,0))</f>
        <v>#N/A</v>
      </c>
      <c r="E590" s="12" t="e">
        <f>INDEX(基础数据!$B$2:$B$1024,MATCH(转配商关联商!X590,基础数据!$D$2:$D$1024,0))</f>
        <v>#N/A</v>
      </c>
      <c r="G590" s="12" t="e">
        <f>INDEX([1]流向迭代数据!E$2:E$65536,MATCH(转配商关联商!W590,[1]流向迭代数据!M$2:M$65536,0))</f>
        <v>#N/A</v>
      </c>
      <c r="N590" s="12" t="e">
        <f>INDEX([1]流向迭代数据!J$2:J$65536,MATCH(L590,[1]流向迭代数据!H$2:H$65536,0))</f>
        <v>#N/A</v>
      </c>
      <c r="P590" s="14"/>
      <c r="T590" s="12" t="e">
        <f>INDEX([1]流向迭代数据!K$2:K$65536,MATCH(L590,[1]流向迭代数据!H$2:H$65536,0))</f>
        <v>#N/A</v>
      </c>
      <c r="W590" s="12" t="str">
        <f t="shared" si="19"/>
        <v/>
      </c>
    </row>
    <row r="591" spans="1:23" x14ac:dyDescent="0.15">
      <c r="A591" s="14" t="str">
        <f t="shared" si="18"/>
        <v>190001</v>
      </c>
      <c r="C591" s="12" t="e">
        <f>INDEX(基础数据!$A$2:$A$1024,MATCH(转配商关联商!X591,基础数据!$D$2:$D$1024,0))</f>
        <v>#N/A</v>
      </c>
      <c r="E591" s="12" t="e">
        <f>INDEX(基础数据!$B$2:$B$1024,MATCH(转配商关联商!X591,基础数据!$D$2:$D$1024,0))</f>
        <v>#N/A</v>
      </c>
      <c r="G591" s="12" t="e">
        <f>INDEX([1]流向迭代数据!E$2:E$65536,MATCH(转配商关联商!W591,[1]流向迭代数据!M$2:M$65536,0))</f>
        <v>#N/A</v>
      </c>
      <c r="N591" s="12" t="e">
        <f>INDEX([1]流向迭代数据!J$2:J$65536,MATCH(L591,[1]流向迭代数据!H$2:H$65536,0))</f>
        <v>#N/A</v>
      </c>
      <c r="P591" s="14"/>
      <c r="T591" s="12" t="e">
        <f>INDEX([1]流向迭代数据!K$2:K$65536,MATCH(L591,[1]流向迭代数据!H$2:H$65536,0))</f>
        <v>#N/A</v>
      </c>
      <c r="W591" s="12" t="str">
        <f t="shared" si="19"/>
        <v/>
      </c>
    </row>
    <row r="592" spans="1:23" x14ac:dyDescent="0.15">
      <c r="A592" s="14" t="str">
        <f t="shared" si="18"/>
        <v>190001</v>
      </c>
      <c r="C592" s="12" t="e">
        <f>INDEX(基础数据!$A$2:$A$1024,MATCH(转配商关联商!X592,基础数据!$D$2:$D$1024,0))</f>
        <v>#N/A</v>
      </c>
      <c r="E592" s="12" t="e">
        <f>INDEX(基础数据!$B$2:$B$1024,MATCH(转配商关联商!X592,基础数据!$D$2:$D$1024,0))</f>
        <v>#N/A</v>
      </c>
      <c r="G592" s="12" t="e">
        <f>INDEX([1]流向迭代数据!E$2:E$65536,MATCH(转配商关联商!W592,[1]流向迭代数据!M$2:M$65536,0))</f>
        <v>#N/A</v>
      </c>
      <c r="N592" s="12" t="e">
        <f>INDEX([1]流向迭代数据!J$2:J$65536,MATCH(L592,[1]流向迭代数据!H$2:H$65536,0))</f>
        <v>#N/A</v>
      </c>
      <c r="P592" s="14"/>
      <c r="T592" s="12" t="e">
        <f>INDEX([1]流向迭代数据!K$2:K$65536,MATCH(L592,[1]流向迭代数据!H$2:H$65536,0))</f>
        <v>#N/A</v>
      </c>
      <c r="W592" s="12" t="str">
        <f t="shared" si="19"/>
        <v/>
      </c>
    </row>
    <row r="593" spans="1:23" x14ac:dyDescent="0.15">
      <c r="A593" s="14" t="str">
        <f t="shared" si="18"/>
        <v>190001</v>
      </c>
      <c r="C593" s="12" t="e">
        <f>INDEX(基础数据!$A$2:$A$1024,MATCH(转配商关联商!X593,基础数据!$D$2:$D$1024,0))</f>
        <v>#N/A</v>
      </c>
      <c r="E593" s="12" t="e">
        <f>INDEX(基础数据!$B$2:$B$1024,MATCH(转配商关联商!X593,基础数据!$D$2:$D$1024,0))</f>
        <v>#N/A</v>
      </c>
      <c r="G593" s="12" t="e">
        <f>INDEX([1]流向迭代数据!E$2:E$65536,MATCH(转配商关联商!W593,[1]流向迭代数据!M$2:M$65536,0))</f>
        <v>#N/A</v>
      </c>
      <c r="N593" s="12" t="e">
        <f>INDEX([1]流向迭代数据!J$2:J$65536,MATCH(L593,[1]流向迭代数据!H$2:H$65536,0))</f>
        <v>#N/A</v>
      </c>
      <c r="P593" s="14"/>
      <c r="T593" s="12" t="e">
        <f>INDEX([1]流向迭代数据!K$2:K$65536,MATCH(L593,[1]流向迭代数据!H$2:H$65536,0))</f>
        <v>#N/A</v>
      </c>
      <c r="W593" s="12" t="str">
        <f t="shared" si="19"/>
        <v/>
      </c>
    </row>
    <row r="594" spans="1:23" x14ac:dyDescent="0.15">
      <c r="A594" s="14" t="str">
        <f t="shared" si="18"/>
        <v>190001</v>
      </c>
      <c r="C594" s="12" t="e">
        <f>INDEX(基础数据!$A$2:$A$1024,MATCH(转配商关联商!X594,基础数据!$D$2:$D$1024,0))</f>
        <v>#N/A</v>
      </c>
      <c r="E594" s="12" t="e">
        <f>INDEX(基础数据!$B$2:$B$1024,MATCH(转配商关联商!X594,基础数据!$D$2:$D$1024,0))</f>
        <v>#N/A</v>
      </c>
      <c r="G594" s="12" t="e">
        <f>INDEX([1]流向迭代数据!E$2:E$65536,MATCH(转配商关联商!W594,[1]流向迭代数据!M$2:M$65536,0))</f>
        <v>#N/A</v>
      </c>
      <c r="N594" s="12" t="e">
        <f>INDEX([1]流向迭代数据!J$2:J$65536,MATCH(L594,[1]流向迭代数据!H$2:H$65536,0))</f>
        <v>#N/A</v>
      </c>
      <c r="P594" s="14"/>
      <c r="T594" s="12" t="e">
        <f>INDEX([1]流向迭代数据!K$2:K$65536,MATCH(L594,[1]流向迭代数据!H$2:H$65536,0))</f>
        <v>#N/A</v>
      </c>
      <c r="W594" s="12" t="str">
        <f t="shared" si="19"/>
        <v/>
      </c>
    </row>
    <row r="595" spans="1:23" x14ac:dyDescent="0.15">
      <c r="A595" s="14" t="str">
        <f t="shared" si="18"/>
        <v>190001</v>
      </c>
      <c r="C595" s="12" t="e">
        <f>INDEX(基础数据!$A$2:$A$1024,MATCH(转配商关联商!X595,基础数据!$D$2:$D$1024,0))</f>
        <v>#N/A</v>
      </c>
      <c r="E595" s="12" t="e">
        <f>INDEX(基础数据!$B$2:$B$1024,MATCH(转配商关联商!X595,基础数据!$D$2:$D$1024,0))</f>
        <v>#N/A</v>
      </c>
      <c r="G595" s="12" t="e">
        <f>INDEX([1]流向迭代数据!E$2:E$65536,MATCH(转配商关联商!W595,[1]流向迭代数据!M$2:M$65536,0))</f>
        <v>#N/A</v>
      </c>
      <c r="N595" s="12" t="e">
        <f>INDEX([1]流向迭代数据!J$2:J$65536,MATCH(L595,[1]流向迭代数据!H$2:H$65536,0))</f>
        <v>#N/A</v>
      </c>
      <c r="P595" s="14"/>
      <c r="T595" s="12" t="e">
        <f>INDEX([1]流向迭代数据!K$2:K$65536,MATCH(L595,[1]流向迭代数据!H$2:H$65536,0))</f>
        <v>#N/A</v>
      </c>
      <c r="W595" s="12" t="str">
        <f t="shared" si="19"/>
        <v/>
      </c>
    </row>
    <row r="596" spans="1:23" x14ac:dyDescent="0.15">
      <c r="A596" s="14" t="str">
        <f t="shared" si="18"/>
        <v>190001</v>
      </c>
      <c r="C596" s="12" t="e">
        <f>INDEX(基础数据!$A$2:$A$1024,MATCH(转配商关联商!X596,基础数据!$D$2:$D$1024,0))</f>
        <v>#N/A</v>
      </c>
      <c r="E596" s="12" t="e">
        <f>INDEX(基础数据!$B$2:$B$1024,MATCH(转配商关联商!X596,基础数据!$D$2:$D$1024,0))</f>
        <v>#N/A</v>
      </c>
      <c r="G596" s="12" t="e">
        <f>INDEX([1]流向迭代数据!E$2:E$65536,MATCH(转配商关联商!W596,[1]流向迭代数据!M$2:M$65536,0))</f>
        <v>#N/A</v>
      </c>
      <c r="N596" s="12" t="e">
        <f>INDEX([1]流向迭代数据!J$2:J$65536,MATCH(L596,[1]流向迭代数据!H$2:H$65536,0))</f>
        <v>#N/A</v>
      </c>
      <c r="P596" s="14"/>
      <c r="T596" s="12" t="e">
        <f>INDEX([1]流向迭代数据!K$2:K$65536,MATCH(L596,[1]流向迭代数据!H$2:H$65536,0))</f>
        <v>#N/A</v>
      </c>
      <c r="W596" s="12" t="str">
        <f t="shared" si="19"/>
        <v/>
      </c>
    </row>
    <row r="597" spans="1:23" x14ac:dyDescent="0.15">
      <c r="A597" s="14" t="str">
        <f t="shared" si="18"/>
        <v>190001</v>
      </c>
      <c r="C597" s="12" t="e">
        <f>INDEX(基础数据!$A$2:$A$1024,MATCH(转配商关联商!X597,基础数据!$D$2:$D$1024,0))</f>
        <v>#N/A</v>
      </c>
      <c r="E597" s="12" t="e">
        <f>INDEX(基础数据!$B$2:$B$1024,MATCH(转配商关联商!X597,基础数据!$D$2:$D$1024,0))</f>
        <v>#N/A</v>
      </c>
      <c r="G597" s="12" t="e">
        <f>INDEX([1]流向迭代数据!E$2:E$65536,MATCH(转配商关联商!W597,[1]流向迭代数据!M$2:M$65536,0))</f>
        <v>#N/A</v>
      </c>
      <c r="N597" s="12" t="e">
        <f>INDEX([1]流向迭代数据!J$2:J$65536,MATCH(L597,[1]流向迭代数据!H$2:H$65536,0))</f>
        <v>#N/A</v>
      </c>
      <c r="P597" s="14"/>
      <c r="T597" s="12" t="e">
        <f>INDEX([1]流向迭代数据!K$2:K$65536,MATCH(L597,[1]流向迭代数据!H$2:H$65536,0))</f>
        <v>#N/A</v>
      </c>
      <c r="W597" s="12" t="str">
        <f t="shared" si="19"/>
        <v/>
      </c>
    </row>
    <row r="598" spans="1:23" x14ac:dyDescent="0.15">
      <c r="A598" s="14" t="str">
        <f t="shared" si="18"/>
        <v>190001</v>
      </c>
      <c r="C598" s="12" t="e">
        <f>INDEX(基础数据!$A$2:$A$1024,MATCH(转配商关联商!X598,基础数据!$D$2:$D$1024,0))</f>
        <v>#N/A</v>
      </c>
      <c r="E598" s="12" t="e">
        <f>INDEX(基础数据!$B$2:$B$1024,MATCH(转配商关联商!X598,基础数据!$D$2:$D$1024,0))</f>
        <v>#N/A</v>
      </c>
      <c r="G598" s="12" t="e">
        <f>INDEX([1]流向迭代数据!E$2:E$65536,MATCH(转配商关联商!W598,[1]流向迭代数据!M$2:M$65536,0))</f>
        <v>#N/A</v>
      </c>
      <c r="N598" s="12" t="e">
        <f>INDEX([1]流向迭代数据!J$2:J$65536,MATCH(L598,[1]流向迭代数据!H$2:H$65536,0))</f>
        <v>#N/A</v>
      </c>
      <c r="P598" s="14"/>
      <c r="T598" s="12" t="e">
        <f>INDEX([1]流向迭代数据!K$2:K$65536,MATCH(L598,[1]流向迭代数据!H$2:H$65536,0))</f>
        <v>#N/A</v>
      </c>
      <c r="W598" s="12" t="str">
        <f t="shared" si="19"/>
        <v/>
      </c>
    </row>
    <row r="599" spans="1:23" x14ac:dyDescent="0.15">
      <c r="A599" s="14" t="str">
        <f t="shared" si="18"/>
        <v>190001</v>
      </c>
      <c r="C599" s="12" t="e">
        <f>INDEX(基础数据!$A$2:$A$1024,MATCH(转配商关联商!X599,基础数据!$D$2:$D$1024,0))</f>
        <v>#N/A</v>
      </c>
      <c r="E599" s="12" t="e">
        <f>INDEX(基础数据!$B$2:$B$1024,MATCH(转配商关联商!X599,基础数据!$D$2:$D$1024,0))</f>
        <v>#N/A</v>
      </c>
      <c r="G599" s="12" t="e">
        <f>INDEX([1]流向迭代数据!E$2:E$65536,MATCH(转配商关联商!W599,[1]流向迭代数据!M$2:M$65536,0))</f>
        <v>#N/A</v>
      </c>
      <c r="N599" s="12" t="e">
        <f>INDEX([1]流向迭代数据!J$2:J$65536,MATCH(L599,[1]流向迭代数据!H$2:H$65536,0))</f>
        <v>#N/A</v>
      </c>
      <c r="P599" s="14"/>
      <c r="T599" s="12" t="e">
        <f>INDEX([1]流向迭代数据!K$2:K$65536,MATCH(L599,[1]流向迭代数据!H$2:H$65536,0))</f>
        <v>#N/A</v>
      </c>
      <c r="W599" s="12" t="str">
        <f t="shared" si="19"/>
        <v/>
      </c>
    </row>
    <row r="600" spans="1:23" x14ac:dyDescent="0.15">
      <c r="A600" s="14" t="str">
        <f t="shared" si="18"/>
        <v>190001</v>
      </c>
      <c r="C600" s="12" t="e">
        <f>INDEX(基础数据!$A$2:$A$1024,MATCH(转配商关联商!X600,基础数据!$D$2:$D$1024,0))</f>
        <v>#N/A</v>
      </c>
      <c r="E600" s="12" t="e">
        <f>INDEX(基础数据!$B$2:$B$1024,MATCH(转配商关联商!X600,基础数据!$D$2:$D$1024,0))</f>
        <v>#N/A</v>
      </c>
      <c r="G600" s="12" t="e">
        <f>INDEX([1]流向迭代数据!E$2:E$65536,MATCH(转配商关联商!W600,[1]流向迭代数据!M$2:M$65536,0))</f>
        <v>#N/A</v>
      </c>
      <c r="N600" s="12" t="e">
        <f>INDEX([1]流向迭代数据!J$2:J$65536,MATCH(L600,[1]流向迭代数据!H$2:H$65536,0))</f>
        <v>#N/A</v>
      </c>
      <c r="P600" s="14"/>
      <c r="T600" s="12" t="e">
        <f>INDEX([1]流向迭代数据!K$2:K$65536,MATCH(L600,[1]流向迭代数据!H$2:H$65536,0))</f>
        <v>#N/A</v>
      </c>
      <c r="W600" s="12" t="str">
        <f t="shared" si="19"/>
        <v/>
      </c>
    </row>
    <row r="601" spans="1:23" x14ac:dyDescent="0.15">
      <c r="A601" s="14" t="str">
        <f t="shared" si="18"/>
        <v>190001</v>
      </c>
      <c r="C601" s="12" t="e">
        <f>INDEX(基础数据!$A$2:$A$1024,MATCH(转配商关联商!X601,基础数据!$D$2:$D$1024,0))</f>
        <v>#N/A</v>
      </c>
      <c r="E601" s="12" t="e">
        <f>INDEX(基础数据!$B$2:$B$1024,MATCH(转配商关联商!X601,基础数据!$D$2:$D$1024,0))</f>
        <v>#N/A</v>
      </c>
      <c r="G601" s="12" t="e">
        <f>INDEX([1]流向迭代数据!E$2:E$65536,MATCH(转配商关联商!W601,[1]流向迭代数据!M$2:M$65536,0))</f>
        <v>#N/A</v>
      </c>
      <c r="N601" s="12" t="e">
        <f>INDEX([1]流向迭代数据!J$2:J$65536,MATCH(L601,[1]流向迭代数据!H$2:H$65536,0))</f>
        <v>#N/A</v>
      </c>
      <c r="P601" s="14"/>
      <c r="T601" s="12" t="e">
        <f>INDEX([1]流向迭代数据!K$2:K$65536,MATCH(L601,[1]流向迭代数据!H$2:H$65536,0))</f>
        <v>#N/A</v>
      </c>
      <c r="W601" s="12" t="str">
        <f t="shared" si="19"/>
        <v/>
      </c>
    </row>
    <row r="602" spans="1:23" x14ac:dyDescent="0.15">
      <c r="A602" s="14" t="str">
        <f t="shared" si="18"/>
        <v>190001</v>
      </c>
      <c r="C602" s="12" t="e">
        <f>INDEX(基础数据!$A$2:$A$1024,MATCH(转配商关联商!X602,基础数据!$D$2:$D$1024,0))</f>
        <v>#N/A</v>
      </c>
      <c r="E602" s="12" t="e">
        <f>INDEX(基础数据!$B$2:$B$1024,MATCH(转配商关联商!X602,基础数据!$D$2:$D$1024,0))</f>
        <v>#N/A</v>
      </c>
      <c r="G602" s="12" t="e">
        <f>INDEX([1]流向迭代数据!E$2:E$65536,MATCH(转配商关联商!W602,[1]流向迭代数据!M$2:M$65536,0))</f>
        <v>#N/A</v>
      </c>
      <c r="N602" s="12" t="e">
        <f>INDEX([1]流向迭代数据!J$2:J$65536,MATCH(L602,[1]流向迭代数据!H$2:H$65536,0))</f>
        <v>#N/A</v>
      </c>
      <c r="P602" s="14"/>
      <c r="T602" s="12" t="e">
        <f>INDEX([1]流向迭代数据!K$2:K$65536,MATCH(L602,[1]流向迭代数据!H$2:H$65536,0))</f>
        <v>#N/A</v>
      </c>
      <c r="W602" s="12" t="str">
        <f t="shared" si="19"/>
        <v/>
      </c>
    </row>
    <row r="603" spans="1:23" x14ac:dyDescent="0.15">
      <c r="A603" s="14" t="str">
        <f t="shared" si="18"/>
        <v>190001</v>
      </c>
      <c r="C603" s="12" t="e">
        <f>INDEX(基础数据!$A$2:$A$1024,MATCH(转配商关联商!X603,基础数据!$D$2:$D$1024,0))</f>
        <v>#N/A</v>
      </c>
      <c r="E603" s="12" t="e">
        <f>INDEX(基础数据!$B$2:$B$1024,MATCH(转配商关联商!X603,基础数据!$D$2:$D$1024,0))</f>
        <v>#N/A</v>
      </c>
      <c r="G603" s="12" t="e">
        <f>INDEX([1]流向迭代数据!E$2:E$65536,MATCH(转配商关联商!W603,[1]流向迭代数据!M$2:M$65536,0))</f>
        <v>#N/A</v>
      </c>
      <c r="N603" s="12" t="e">
        <f>INDEX([1]流向迭代数据!J$2:J$65536,MATCH(L603,[1]流向迭代数据!H$2:H$65536,0))</f>
        <v>#N/A</v>
      </c>
      <c r="P603" s="14"/>
      <c r="T603" s="12" t="e">
        <f>INDEX([1]流向迭代数据!K$2:K$65536,MATCH(L603,[1]流向迭代数据!H$2:H$65536,0))</f>
        <v>#N/A</v>
      </c>
      <c r="W603" s="12" t="str">
        <f t="shared" si="19"/>
        <v/>
      </c>
    </row>
    <row r="604" spans="1:23" x14ac:dyDescent="0.15">
      <c r="A604" s="14" t="str">
        <f t="shared" si="18"/>
        <v>190001</v>
      </c>
      <c r="C604" s="12" t="e">
        <f>INDEX(基础数据!$A$2:$A$1024,MATCH(转配商关联商!X604,基础数据!$D$2:$D$1024,0))</f>
        <v>#N/A</v>
      </c>
      <c r="E604" s="12" t="e">
        <f>INDEX(基础数据!$B$2:$B$1024,MATCH(转配商关联商!X604,基础数据!$D$2:$D$1024,0))</f>
        <v>#N/A</v>
      </c>
      <c r="G604" s="12" t="e">
        <f>INDEX([1]流向迭代数据!E$2:E$65536,MATCH(转配商关联商!W604,[1]流向迭代数据!M$2:M$65536,0))</f>
        <v>#N/A</v>
      </c>
      <c r="N604" s="12" t="e">
        <f>INDEX([1]流向迭代数据!J$2:J$65536,MATCH(L604,[1]流向迭代数据!H$2:H$65536,0))</f>
        <v>#N/A</v>
      </c>
      <c r="P604" s="14"/>
      <c r="T604" s="12" t="e">
        <f>INDEX([1]流向迭代数据!K$2:K$65536,MATCH(L604,[1]流向迭代数据!H$2:H$65536,0))</f>
        <v>#N/A</v>
      </c>
      <c r="W604" s="12" t="str">
        <f t="shared" si="19"/>
        <v/>
      </c>
    </row>
    <row r="605" spans="1:23" x14ac:dyDescent="0.15">
      <c r="A605" s="14" t="str">
        <f t="shared" si="18"/>
        <v>190001</v>
      </c>
      <c r="C605" s="12" t="e">
        <f>INDEX(基础数据!$A$2:$A$1024,MATCH(转配商关联商!X605,基础数据!$D$2:$D$1024,0))</f>
        <v>#N/A</v>
      </c>
      <c r="E605" s="12" t="e">
        <f>INDEX(基础数据!$B$2:$B$1024,MATCH(转配商关联商!X605,基础数据!$D$2:$D$1024,0))</f>
        <v>#N/A</v>
      </c>
      <c r="G605" s="12" t="e">
        <f>INDEX([1]流向迭代数据!E$2:E$65536,MATCH(转配商关联商!W605,[1]流向迭代数据!M$2:M$65536,0))</f>
        <v>#N/A</v>
      </c>
      <c r="N605" s="12" t="e">
        <f>INDEX([1]流向迭代数据!J$2:J$65536,MATCH(L605,[1]流向迭代数据!H$2:H$65536,0))</f>
        <v>#N/A</v>
      </c>
      <c r="P605" s="14"/>
      <c r="T605" s="12" t="e">
        <f>INDEX([1]流向迭代数据!K$2:K$65536,MATCH(L605,[1]流向迭代数据!H$2:H$65536,0))</f>
        <v>#N/A</v>
      </c>
      <c r="W605" s="12" t="str">
        <f t="shared" si="19"/>
        <v/>
      </c>
    </row>
    <row r="606" spans="1:23" x14ac:dyDescent="0.15">
      <c r="A606" s="14" t="str">
        <f t="shared" si="18"/>
        <v>190001</v>
      </c>
      <c r="C606" s="12" t="e">
        <f>INDEX(基础数据!$A$2:$A$1024,MATCH(转配商关联商!X606,基础数据!$D$2:$D$1024,0))</f>
        <v>#N/A</v>
      </c>
      <c r="E606" s="12" t="e">
        <f>INDEX(基础数据!$B$2:$B$1024,MATCH(转配商关联商!X606,基础数据!$D$2:$D$1024,0))</f>
        <v>#N/A</v>
      </c>
      <c r="G606" s="12" t="e">
        <f>INDEX([1]流向迭代数据!E$2:E$65536,MATCH(转配商关联商!W606,[1]流向迭代数据!M$2:M$65536,0))</f>
        <v>#N/A</v>
      </c>
      <c r="N606" s="12" t="e">
        <f>INDEX([1]流向迭代数据!J$2:J$65536,MATCH(L606,[1]流向迭代数据!H$2:H$65536,0))</f>
        <v>#N/A</v>
      </c>
      <c r="P606" s="14"/>
      <c r="T606" s="12" t="e">
        <f>INDEX([1]流向迭代数据!K$2:K$65536,MATCH(L606,[1]流向迭代数据!H$2:H$65536,0))</f>
        <v>#N/A</v>
      </c>
      <c r="W606" s="12" t="str">
        <f t="shared" si="19"/>
        <v/>
      </c>
    </row>
    <row r="607" spans="1:23" x14ac:dyDescent="0.15">
      <c r="A607" s="14" t="str">
        <f t="shared" si="18"/>
        <v>190001</v>
      </c>
      <c r="C607" s="12" t="e">
        <f>INDEX(基础数据!$A$2:$A$1024,MATCH(转配商关联商!X607,基础数据!$D$2:$D$1024,0))</f>
        <v>#N/A</v>
      </c>
      <c r="E607" s="12" t="e">
        <f>INDEX(基础数据!$B$2:$B$1024,MATCH(转配商关联商!X607,基础数据!$D$2:$D$1024,0))</f>
        <v>#N/A</v>
      </c>
      <c r="G607" s="12" t="e">
        <f>INDEX([1]流向迭代数据!E$2:E$65536,MATCH(转配商关联商!W607,[1]流向迭代数据!M$2:M$65536,0))</f>
        <v>#N/A</v>
      </c>
      <c r="N607" s="12" t="e">
        <f>INDEX([1]流向迭代数据!J$2:J$65536,MATCH(L607,[1]流向迭代数据!H$2:H$65536,0))</f>
        <v>#N/A</v>
      </c>
      <c r="P607" s="14"/>
      <c r="T607" s="12" t="e">
        <f>INDEX([1]流向迭代数据!K$2:K$65536,MATCH(L607,[1]流向迭代数据!H$2:H$65536,0))</f>
        <v>#N/A</v>
      </c>
      <c r="W607" s="12" t="str">
        <f t="shared" si="19"/>
        <v/>
      </c>
    </row>
    <row r="608" spans="1:23" x14ac:dyDescent="0.15">
      <c r="A608" s="14" t="str">
        <f t="shared" si="18"/>
        <v>190001</v>
      </c>
      <c r="C608" s="12" t="e">
        <f>INDEX(基础数据!$A$2:$A$1024,MATCH(转配商关联商!X608,基础数据!$D$2:$D$1024,0))</f>
        <v>#N/A</v>
      </c>
      <c r="E608" s="12" t="e">
        <f>INDEX(基础数据!$B$2:$B$1024,MATCH(转配商关联商!X608,基础数据!$D$2:$D$1024,0))</f>
        <v>#N/A</v>
      </c>
      <c r="G608" s="12" t="e">
        <f>INDEX([1]流向迭代数据!E$2:E$65536,MATCH(转配商关联商!W608,[1]流向迭代数据!M$2:M$65536,0))</f>
        <v>#N/A</v>
      </c>
      <c r="N608" s="12" t="e">
        <f>INDEX([1]流向迭代数据!J$2:J$65536,MATCH(L608,[1]流向迭代数据!H$2:H$65536,0))</f>
        <v>#N/A</v>
      </c>
      <c r="P608" s="14"/>
      <c r="T608" s="12" t="e">
        <f>INDEX([1]流向迭代数据!K$2:K$65536,MATCH(L608,[1]流向迭代数据!H$2:H$65536,0))</f>
        <v>#N/A</v>
      </c>
      <c r="W608" s="12" t="str">
        <f t="shared" si="19"/>
        <v/>
      </c>
    </row>
    <row r="609" spans="1:23" x14ac:dyDescent="0.15">
      <c r="A609" s="14" t="str">
        <f t="shared" si="18"/>
        <v>190001</v>
      </c>
      <c r="C609" s="12" t="e">
        <f>INDEX(基础数据!$A$2:$A$1024,MATCH(转配商关联商!X609,基础数据!$D$2:$D$1024,0))</f>
        <v>#N/A</v>
      </c>
      <c r="E609" s="12" t="e">
        <f>INDEX(基础数据!$B$2:$B$1024,MATCH(转配商关联商!X609,基础数据!$D$2:$D$1024,0))</f>
        <v>#N/A</v>
      </c>
      <c r="G609" s="12" t="e">
        <f>INDEX([1]流向迭代数据!E$2:E$65536,MATCH(转配商关联商!W609,[1]流向迭代数据!M$2:M$65536,0))</f>
        <v>#N/A</v>
      </c>
      <c r="N609" s="12" t="e">
        <f>INDEX([1]流向迭代数据!J$2:J$65536,MATCH(L609,[1]流向迭代数据!H$2:H$65536,0))</f>
        <v>#N/A</v>
      </c>
      <c r="P609" s="14"/>
      <c r="T609" s="12" t="e">
        <f>INDEX([1]流向迭代数据!K$2:K$65536,MATCH(L609,[1]流向迭代数据!H$2:H$65536,0))</f>
        <v>#N/A</v>
      </c>
      <c r="W609" s="12" t="str">
        <f t="shared" si="19"/>
        <v/>
      </c>
    </row>
    <row r="610" spans="1:23" x14ac:dyDescent="0.15">
      <c r="A610" s="14" t="str">
        <f t="shared" si="18"/>
        <v>190001</v>
      </c>
      <c r="C610" s="12" t="e">
        <f>INDEX(基础数据!$A$2:$A$1024,MATCH(转配商关联商!X610,基础数据!$D$2:$D$1024,0))</f>
        <v>#N/A</v>
      </c>
      <c r="E610" s="12" t="e">
        <f>INDEX(基础数据!$B$2:$B$1024,MATCH(转配商关联商!X610,基础数据!$D$2:$D$1024,0))</f>
        <v>#N/A</v>
      </c>
      <c r="G610" s="12" t="e">
        <f>INDEX([1]流向迭代数据!E$2:E$65536,MATCH(转配商关联商!W610,[1]流向迭代数据!M$2:M$65536,0))</f>
        <v>#N/A</v>
      </c>
      <c r="N610" s="12" t="e">
        <f>INDEX([1]流向迭代数据!J$2:J$65536,MATCH(L610,[1]流向迭代数据!H$2:H$65536,0))</f>
        <v>#N/A</v>
      </c>
      <c r="P610" s="14"/>
      <c r="T610" s="12" t="e">
        <f>INDEX([1]流向迭代数据!K$2:K$65536,MATCH(L610,[1]流向迭代数据!H$2:H$65536,0))</f>
        <v>#N/A</v>
      </c>
      <c r="W610" s="12" t="str">
        <f t="shared" si="19"/>
        <v/>
      </c>
    </row>
    <row r="611" spans="1:23" x14ac:dyDescent="0.15">
      <c r="A611" s="14" t="str">
        <f t="shared" si="18"/>
        <v>190001</v>
      </c>
      <c r="C611" s="12" t="e">
        <f>INDEX(基础数据!$A$2:$A$1024,MATCH(转配商关联商!X611,基础数据!$D$2:$D$1024,0))</f>
        <v>#N/A</v>
      </c>
      <c r="E611" s="12" t="e">
        <f>INDEX(基础数据!$B$2:$B$1024,MATCH(转配商关联商!X611,基础数据!$D$2:$D$1024,0))</f>
        <v>#N/A</v>
      </c>
      <c r="G611" s="12" t="e">
        <f>INDEX([1]流向迭代数据!E$2:E$65536,MATCH(转配商关联商!W611,[1]流向迭代数据!M$2:M$65536,0))</f>
        <v>#N/A</v>
      </c>
      <c r="N611" s="12" t="e">
        <f>INDEX([1]流向迭代数据!J$2:J$65536,MATCH(L611,[1]流向迭代数据!H$2:H$65536,0))</f>
        <v>#N/A</v>
      </c>
      <c r="P611" s="14"/>
      <c r="T611" s="12" t="e">
        <f>INDEX([1]流向迭代数据!K$2:K$65536,MATCH(L611,[1]流向迭代数据!H$2:H$65536,0))</f>
        <v>#N/A</v>
      </c>
      <c r="W611" s="12" t="str">
        <f t="shared" si="19"/>
        <v/>
      </c>
    </row>
    <row r="612" spans="1:23" x14ac:dyDescent="0.15">
      <c r="A612" s="14" t="str">
        <f t="shared" si="18"/>
        <v>190001</v>
      </c>
      <c r="C612" s="12" t="e">
        <f>INDEX(基础数据!$A$2:$A$1024,MATCH(转配商关联商!X612,基础数据!$D$2:$D$1024,0))</f>
        <v>#N/A</v>
      </c>
      <c r="E612" s="12" t="e">
        <f>INDEX(基础数据!$B$2:$B$1024,MATCH(转配商关联商!X612,基础数据!$D$2:$D$1024,0))</f>
        <v>#N/A</v>
      </c>
      <c r="G612" s="12" t="e">
        <f>INDEX([1]流向迭代数据!E$2:E$65536,MATCH(转配商关联商!W612,[1]流向迭代数据!M$2:M$65536,0))</f>
        <v>#N/A</v>
      </c>
      <c r="N612" s="12" t="e">
        <f>INDEX([1]流向迭代数据!J$2:J$65536,MATCH(L612,[1]流向迭代数据!H$2:H$65536,0))</f>
        <v>#N/A</v>
      </c>
      <c r="P612" s="14"/>
      <c r="T612" s="12" t="e">
        <f>INDEX([1]流向迭代数据!K$2:K$65536,MATCH(L612,[1]流向迭代数据!H$2:H$65536,0))</f>
        <v>#N/A</v>
      </c>
      <c r="W612" s="12" t="str">
        <f t="shared" si="19"/>
        <v/>
      </c>
    </row>
    <row r="613" spans="1:23" x14ac:dyDescent="0.15">
      <c r="A613" s="14" t="str">
        <f t="shared" si="18"/>
        <v>190001</v>
      </c>
      <c r="C613" s="12" t="e">
        <f>INDEX(基础数据!$A$2:$A$1024,MATCH(转配商关联商!X613,基础数据!$D$2:$D$1024,0))</f>
        <v>#N/A</v>
      </c>
      <c r="E613" s="12" t="e">
        <f>INDEX(基础数据!$B$2:$B$1024,MATCH(转配商关联商!X613,基础数据!$D$2:$D$1024,0))</f>
        <v>#N/A</v>
      </c>
      <c r="G613" s="12" t="e">
        <f>INDEX([1]流向迭代数据!E$2:E$65536,MATCH(转配商关联商!W613,[1]流向迭代数据!M$2:M$65536,0))</f>
        <v>#N/A</v>
      </c>
      <c r="N613" s="12" t="e">
        <f>INDEX([1]流向迭代数据!J$2:J$65536,MATCH(L613,[1]流向迭代数据!H$2:H$65536,0))</f>
        <v>#N/A</v>
      </c>
      <c r="P613" s="14"/>
      <c r="T613" s="12" t="e">
        <f>INDEX([1]流向迭代数据!K$2:K$65536,MATCH(L613,[1]流向迭代数据!H$2:H$65536,0))</f>
        <v>#N/A</v>
      </c>
      <c r="W613" s="12" t="str">
        <f t="shared" si="19"/>
        <v/>
      </c>
    </row>
    <row r="614" spans="1:23" x14ac:dyDescent="0.15">
      <c r="A614" s="14" t="str">
        <f t="shared" si="18"/>
        <v>190001</v>
      </c>
      <c r="C614" s="12" t="e">
        <f>INDEX(基础数据!$A$2:$A$1024,MATCH(转配商关联商!X614,基础数据!$D$2:$D$1024,0))</f>
        <v>#N/A</v>
      </c>
      <c r="E614" s="12" t="e">
        <f>INDEX(基础数据!$B$2:$B$1024,MATCH(转配商关联商!X614,基础数据!$D$2:$D$1024,0))</f>
        <v>#N/A</v>
      </c>
      <c r="G614" s="12" t="e">
        <f>INDEX([1]流向迭代数据!E$2:E$65536,MATCH(转配商关联商!W614,[1]流向迭代数据!M$2:M$65536,0))</f>
        <v>#N/A</v>
      </c>
      <c r="N614" s="12" t="e">
        <f>INDEX([1]流向迭代数据!J$2:J$65536,MATCH(L614,[1]流向迭代数据!H$2:H$65536,0))</f>
        <v>#N/A</v>
      </c>
      <c r="P614" s="14"/>
      <c r="T614" s="12" t="e">
        <f>INDEX([1]流向迭代数据!K$2:K$65536,MATCH(L614,[1]流向迭代数据!H$2:H$65536,0))</f>
        <v>#N/A</v>
      </c>
      <c r="W614" s="12" t="str">
        <f t="shared" si="19"/>
        <v/>
      </c>
    </row>
    <row r="615" spans="1:23" x14ac:dyDescent="0.15">
      <c r="A615" s="14" t="str">
        <f t="shared" si="18"/>
        <v>190001</v>
      </c>
      <c r="C615" s="12" t="e">
        <f>INDEX(基础数据!$A$2:$A$1024,MATCH(转配商关联商!X615,基础数据!$D$2:$D$1024,0))</f>
        <v>#N/A</v>
      </c>
      <c r="E615" s="12" t="e">
        <f>INDEX(基础数据!$B$2:$B$1024,MATCH(转配商关联商!X615,基础数据!$D$2:$D$1024,0))</f>
        <v>#N/A</v>
      </c>
      <c r="G615" s="12" t="e">
        <f>INDEX([1]流向迭代数据!E$2:E$65536,MATCH(转配商关联商!W615,[1]流向迭代数据!M$2:M$65536,0))</f>
        <v>#N/A</v>
      </c>
      <c r="N615" s="12" t="e">
        <f>INDEX([1]流向迭代数据!J$2:J$65536,MATCH(L615,[1]流向迭代数据!H$2:H$65536,0))</f>
        <v>#N/A</v>
      </c>
      <c r="P615" s="14"/>
      <c r="T615" s="12" t="e">
        <f>INDEX([1]流向迭代数据!K$2:K$65536,MATCH(L615,[1]流向迭代数据!H$2:H$65536,0))</f>
        <v>#N/A</v>
      </c>
      <c r="W615" s="12" t="str">
        <f t="shared" si="19"/>
        <v/>
      </c>
    </row>
    <row r="616" spans="1:23" x14ac:dyDescent="0.15">
      <c r="A616" s="14" t="str">
        <f t="shared" si="18"/>
        <v>190001</v>
      </c>
      <c r="C616" s="12" t="e">
        <f>INDEX(基础数据!$A$2:$A$1024,MATCH(转配商关联商!X616,基础数据!$D$2:$D$1024,0))</f>
        <v>#N/A</v>
      </c>
      <c r="E616" s="12" t="e">
        <f>INDEX(基础数据!$B$2:$B$1024,MATCH(转配商关联商!X616,基础数据!$D$2:$D$1024,0))</f>
        <v>#N/A</v>
      </c>
      <c r="G616" s="12" t="e">
        <f>INDEX([1]流向迭代数据!E$2:E$65536,MATCH(转配商关联商!W616,[1]流向迭代数据!M$2:M$65536,0))</f>
        <v>#N/A</v>
      </c>
      <c r="N616" s="12" t="e">
        <f>INDEX([1]流向迭代数据!J$2:J$65536,MATCH(L616,[1]流向迭代数据!H$2:H$65536,0))</f>
        <v>#N/A</v>
      </c>
      <c r="P616" s="14"/>
      <c r="T616" s="12" t="e">
        <f>INDEX([1]流向迭代数据!K$2:K$65536,MATCH(L616,[1]流向迭代数据!H$2:H$65536,0))</f>
        <v>#N/A</v>
      </c>
      <c r="W616" s="12" t="str">
        <f t="shared" si="19"/>
        <v/>
      </c>
    </row>
    <row r="617" spans="1:23" x14ac:dyDescent="0.15">
      <c r="A617" s="14" t="str">
        <f t="shared" si="18"/>
        <v>190001</v>
      </c>
      <c r="C617" s="12" t="e">
        <f>INDEX(基础数据!$A$2:$A$1024,MATCH(转配商关联商!X617,基础数据!$D$2:$D$1024,0))</f>
        <v>#N/A</v>
      </c>
      <c r="E617" s="12" t="e">
        <f>INDEX(基础数据!$B$2:$B$1024,MATCH(转配商关联商!X617,基础数据!$D$2:$D$1024,0))</f>
        <v>#N/A</v>
      </c>
      <c r="G617" s="12" t="e">
        <f>INDEX([1]流向迭代数据!E$2:E$65536,MATCH(转配商关联商!W617,[1]流向迭代数据!M$2:M$65536,0))</f>
        <v>#N/A</v>
      </c>
      <c r="N617" s="12" t="e">
        <f>INDEX([1]流向迭代数据!J$2:J$65536,MATCH(L617,[1]流向迭代数据!H$2:H$65536,0))</f>
        <v>#N/A</v>
      </c>
      <c r="P617" s="14"/>
      <c r="T617" s="12" t="e">
        <f>INDEX([1]流向迭代数据!K$2:K$65536,MATCH(L617,[1]流向迭代数据!H$2:H$65536,0))</f>
        <v>#N/A</v>
      </c>
      <c r="W617" s="12" t="str">
        <f t="shared" si="19"/>
        <v/>
      </c>
    </row>
    <row r="618" spans="1:23" x14ac:dyDescent="0.15">
      <c r="A618" s="14" t="str">
        <f t="shared" si="18"/>
        <v>190001</v>
      </c>
      <c r="C618" s="12" t="e">
        <f>INDEX(基础数据!$A$2:$A$1024,MATCH(转配商关联商!X618,基础数据!$D$2:$D$1024,0))</f>
        <v>#N/A</v>
      </c>
      <c r="E618" s="12" t="e">
        <f>INDEX(基础数据!$B$2:$B$1024,MATCH(转配商关联商!X618,基础数据!$D$2:$D$1024,0))</f>
        <v>#N/A</v>
      </c>
      <c r="G618" s="12" t="e">
        <f>INDEX([1]流向迭代数据!E$2:E$65536,MATCH(转配商关联商!W618,[1]流向迭代数据!M$2:M$65536,0))</f>
        <v>#N/A</v>
      </c>
      <c r="N618" s="12" t="e">
        <f>INDEX([1]流向迭代数据!J$2:J$65536,MATCH(L618,[1]流向迭代数据!H$2:H$65536,0))</f>
        <v>#N/A</v>
      </c>
      <c r="P618" s="14"/>
      <c r="T618" s="12" t="e">
        <f>INDEX([1]流向迭代数据!K$2:K$65536,MATCH(L618,[1]流向迭代数据!H$2:H$65536,0))</f>
        <v>#N/A</v>
      </c>
      <c r="W618" s="12" t="str">
        <f t="shared" si="19"/>
        <v/>
      </c>
    </row>
    <row r="619" spans="1:23" x14ac:dyDescent="0.15">
      <c r="A619" s="14" t="str">
        <f t="shared" si="18"/>
        <v>190001</v>
      </c>
      <c r="C619" s="12" t="e">
        <f>INDEX(基础数据!$A$2:$A$1024,MATCH(转配商关联商!X619,基础数据!$D$2:$D$1024,0))</f>
        <v>#N/A</v>
      </c>
      <c r="E619" s="12" t="e">
        <f>INDEX(基础数据!$B$2:$B$1024,MATCH(转配商关联商!X619,基础数据!$D$2:$D$1024,0))</f>
        <v>#N/A</v>
      </c>
      <c r="G619" s="12" t="e">
        <f>INDEX([1]流向迭代数据!E$2:E$65536,MATCH(转配商关联商!W619,[1]流向迭代数据!M$2:M$65536,0))</f>
        <v>#N/A</v>
      </c>
      <c r="N619" s="12" t="e">
        <f>INDEX([1]流向迭代数据!J$2:J$65536,MATCH(L619,[1]流向迭代数据!H$2:H$65536,0))</f>
        <v>#N/A</v>
      </c>
      <c r="P619" s="14"/>
      <c r="T619" s="12" t="e">
        <f>INDEX([1]流向迭代数据!K$2:K$65536,MATCH(L619,[1]流向迭代数据!H$2:H$65536,0))</f>
        <v>#N/A</v>
      </c>
      <c r="W619" s="12" t="str">
        <f t="shared" si="19"/>
        <v/>
      </c>
    </row>
    <row r="620" spans="1:23" x14ac:dyDescent="0.15">
      <c r="A620" s="14" t="str">
        <f t="shared" si="18"/>
        <v>190001</v>
      </c>
      <c r="C620" s="12" t="e">
        <f>INDEX(基础数据!$A$2:$A$1024,MATCH(转配商关联商!X620,基础数据!$D$2:$D$1024,0))</f>
        <v>#N/A</v>
      </c>
      <c r="E620" s="12" t="e">
        <f>INDEX(基础数据!$B$2:$B$1024,MATCH(转配商关联商!X620,基础数据!$D$2:$D$1024,0))</f>
        <v>#N/A</v>
      </c>
      <c r="G620" s="12" t="e">
        <f>INDEX([1]流向迭代数据!E$2:E$65536,MATCH(转配商关联商!W620,[1]流向迭代数据!M$2:M$65536,0))</f>
        <v>#N/A</v>
      </c>
      <c r="N620" s="12" t="e">
        <f>INDEX([1]流向迭代数据!J$2:J$65536,MATCH(L620,[1]流向迭代数据!H$2:H$65536,0))</f>
        <v>#N/A</v>
      </c>
      <c r="P620" s="14"/>
      <c r="T620" s="12" t="e">
        <f>INDEX([1]流向迭代数据!K$2:K$65536,MATCH(L620,[1]流向迭代数据!H$2:H$65536,0))</f>
        <v>#N/A</v>
      </c>
      <c r="W620" s="12" t="str">
        <f t="shared" si="19"/>
        <v/>
      </c>
    </row>
    <row r="621" spans="1:23" x14ac:dyDescent="0.15">
      <c r="A621" s="14" t="str">
        <f t="shared" si="18"/>
        <v>190001</v>
      </c>
      <c r="C621" s="12" t="e">
        <f>INDEX(基础数据!$A$2:$A$1024,MATCH(转配商关联商!X621,基础数据!$D$2:$D$1024,0))</f>
        <v>#N/A</v>
      </c>
      <c r="E621" s="12" t="e">
        <f>INDEX(基础数据!$B$2:$B$1024,MATCH(转配商关联商!X621,基础数据!$D$2:$D$1024,0))</f>
        <v>#N/A</v>
      </c>
      <c r="G621" s="12" t="e">
        <f>INDEX([1]流向迭代数据!E$2:E$65536,MATCH(转配商关联商!W621,[1]流向迭代数据!M$2:M$65536,0))</f>
        <v>#N/A</v>
      </c>
      <c r="N621" s="12" t="e">
        <f>INDEX([1]流向迭代数据!J$2:J$65536,MATCH(L621,[1]流向迭代数据!H$2:H$65536,0))</f>
        <v>#N/A</v>
      </c>
      <c r="P621" s="14"/>
      <c r="T621" s="12" t="e">
        <f>INDEX([1]流向迭代数据!K$2:K$65536,MATCH(L621,[1]流向迭代数据!H$2:H$65536,0))</f>
        <v>#N/A</v>
      </c>
      <c r="W621" s="12" t="str">
        <f t="shared" si="19"/>
        <v/>
      </c>
    </row>
    <row r="622" spans="1:23" x14ac:dyDescent="0.15">
      <c r="A622" s="14" t="str">
        <f t="shared" si="18"/>
        <v>190001</v>
      </c>
      <c r="C622" s="12" t="e">
        <f>INDEX(基础数据!$A$2:$A$1024,MATCH(转配商关联商!X622,基础数据!$D$2:$D$1024,0))</f>
        <v>#N/A</v>
      </c>
      <c r="E622" s="12" t="e">
        <f>INDEX(基础数据!$B$2:$B$1024,MATCH(转配商关联商!X622,基础数据!$D$2:$D$1024,0))</f>
        <v>#N/A</v>
      </c>
      <c r="G622" s="12" t="e">
        <f>INDEX([1]流向迭代数据!E$2:E$65536,MATCH(转配商关联商!W622,[1]流向迭代数据!M$2:M$65536,0))</f>
        <v>#N/A</v>
      </c>
      <c r="N622" s="12" t="e">
        <f>INDEX([1]流向迭代数据!J$2:J$65536,MATCH(L622,[1]流向迭代数据!H$2:H$65536,0))</f>
        <v>#N/A</v>
      </c>
      <c r="P622" s="14"/>
      <c r="T622" s="12" t="e">
        <f>INDEX([1]流向迭代数据!K$2:K$65536,MATCH(L622,[1]流向迭代数据!H$2:H$65536,0))</f>
        <v>#N/A</v>
      </c>
      <c r="W622" s="12" t="str">
        <f t="shared" si="19"/>
        <v/>
      </c>
    </row>
    <row r="623" spans="1:23" x14ac:dyDescent="0.15">
      <c r="A623" s="14" t="str">
        <f t="shared" si="18"/>
        <v>190001</v>
      </c>
      <c r="C623" s="12" t="e">
        <f>INDEX(基础数据!$A$2:$A$1024,MATCH(转配商关联商!X623,基础数据!$D$2:$D$1024,0))</f>
        <v>#N/A</v>
      </c>
      <c r="E623" s="12" t="e">
        <f>INDEX(基础数据!$B$2:$B$1024,MATCH(转配商关联商!X623,基础数据!$D$2:$D$1024,0))</f>
        <v>#N/A</v>
      </c>
      <c r="G623" s="12" t="e">
        <f>INDEX([1]流向迭代数据!E$2:E$65536,MATCH(转配商关联商!W623,[1]流向迭代数据!M$2:M$65536,0))</f>
        <v>#N/A</v>
      </c>
      <c r="N623" s="12" t="e">
        <f>INDEX([1]流向迭代数据!J$2:J$65536,MATCH(L623,[1]流向迭代数据!H$2:H$65536,0))</f>
        <v>#N/A</v>
      </c>
      <c r="P623" s="14"/>
      <c r="T623" s="12" t="e">
        <f>INDEX([1]流向迭代数据!K$2:K$65536,MATCH(L623,[1]流向迭代数据!H$2:H$65536,0))</f>
        <v>#N/A</v>
      </c>
      <c r="W623" s="12" t="str">
        <f t="shared" si="19"/>
        <v/>
      </c>
    </row>
    <row r="624" spans="1:23" x14ac:dyDescent="0.15">
      <c r="A624" s="14" t="str">
        <f t="shared" si="18"/>
        <v>190001</v>
      </c>
      <c r="C624" s="12" t="e">
        <f>INDEX(基础数据!$A$2:$A$1024,MATCH(转配商关联商!X624,基础数据!$D$2:$D$1024,0))</f>
        <v>#N/A</v>
      </c>
      <c r="E624" s="12" t="e">
        <f>INDEX(基础数据!$B$2:$B$1024,MATCH(转配商关联商!X624,基础数据!$D$2:$D$1024,0))</f>
        <v>#N/A</v>
      </c>
      <c r="G624" s="12" t="e">
        <f>INDEX([1]流向迭代数据!E$2:E$65536,MATCH(转配商关联商!W624,[1]流向迭代数据!M$2:M$65536,0))</f>
        <v>#N/A</v>
      </c>
      <c r="N624" s="12" t="e">
        <f>INDEX([1]流向迭代数据!J$2:J$65536,MATCH(L624,[1]流向迭代数据!H$2:H$65536,0))</f>
        <v>#N/A</v>
      </c>
      <c r="P624" s="14"/>
      <c r="T624" s="12" t="e">
        <f>INDEX([1]流向迭代数据!K$2:K$65536,MATCH(L624,[1]流向迭代数据!H$2:H$65536,0))</f>
        <v>#N/A</v>
      </c>
      <c r="W624" s="12" t="str">
        <f t="shared" si="19"/>
        <v/>
      </c>
    </row>
    <row r="625" spans="1:23" x14ac:dyDescent="0.15">
      <c r="A625" s="14" t="str">
        <f t="shared" si="18"/>
        <v>190001</v>
      </c>
      <c r="C625" s="12" t="e">
        <f>INDEX(基础数据!$A$2:$A$1024,MATCH(转配商关联商!X625,基础数据!$D$2:$D$1024,0))</f>
        <v>#N/A</v>
      </c>
      <c r="E625" s="12" t="e">
        <f>INDEX(基础数据!$B$2:$B$1024,MATCH(转配商关联商!X625,基础数据!$D$2:$D$1024,0))</f>
        <v>#N/A</v>
      </c>
      <c r="G625" s="12" t="e">
        <f>INDEX([1]流向迭代数据!E$2:E$65536,MATCH(转配商关联商!W625,[1]流向迭代数据!M$2:M$65536,0))</f>
        <v>#N/A</v>
      </c>
      <c r="N625" s="12" t="e">
        <f>INDEX([1]流向迭代数据!J$2:J$65536,MATCH(L625,[1]流向迭代数据!H$2:H$65536,0))</f>
        <v>#N/A</v>
      </c>
      <c r="P625" s="14"/>
      <c r="T625" s="12" t="e">
        <f>INDEX([1]流向迭代数据!K$2:K$65536,MATCH(L625,[1]流向迭代数据!H$2:H$65536,0))</f>
        <v>#N/A</v>
      </c>
      <c r="W625" s="12" t="str">
        <f t="shared" si="19"/>
        <v/>
      </c>
    </row>
    <row r="626" spans="1:23" x14ac:dyDescent="0.15">
      <c r="A626" s="14" t="str">
        <f t="shared" si="18"/>
        <v>190001</v>
      </c>
      <c r="C626" s="12" t="e">
        <f>INDEX(基础数据!$A$2:$A$1024,MATCH(转配商关联商!X626,基础数据!$D$2:$D$1024,0))</f>
        <v>#N/A</v>
      </c>
      <c r="E626" s="12" t="e">
        <f>INDEX(基础数据!$B$2:$B$1024,MATCH(转配商关联商!X626,基础数据!$D$2:$D$1024,0))</f>
        <v>#N/A</v>
      </c>
      <c r="G626" s="12" t="e">
        <f>INDEX([1]流向迭代数据!E$2:E$65536,MATCH(转配商关联商!W626,[1]流向迭代数据!M$2:M$65536,0))</f>
        <v>#N/A</v>
      </c>
      <c r="N626" s="12" t="e">
        <f>INDEX([1]流向迭代数据!J$2:J$65536,MATCH(L626,[1]流向迭代数据!H$2:H$65536,0))</f>
        <v>#N/A</v>
      </c>
      <c r="P626" s="14"/>
      <c r="T626" s="12" t="e">
        <f>INDEX([1]流向迭代数据!K$2:K$65536,MATCH(L626,[1]流向迭代数据!H$2:H$65536,0))</f>
        <v>#N/A</v>
      </c>
      <c r="W626" s="12" t="str">
        <f t="shared" si="19"/>
        <v/>
      </c>
    </row>
    <row r="627" spans="1:23" x14ac:dyDescent="0.15">
      <c r="A627" s="14" t="str">
        <f t="shared" si="18"/>
        <v>190001</v>
      </c>
      <c r="C627" s="12" t="e">
        <f>INDEX(基础数据!$A$2:$A$1024,MATCH(转配商关联商!X627,基础数据!$D$2:$D$1024,0))</f>
        <v>#N/A</v>
      </c>
      <c r="E627" s="12" t="e">
        <f>INDEX(基础数据!$B$2:$B$1024,MATCH(转配商关联商!X627,基础数据!$D$2:$D$1024,0))</f>
        <v>#N/A</v>
      </c>
      <c r="G627" s="12" t="e">
        <f>INDEX([1]流向迭代数据!E$2:E$65536,MATCH(转配商关联商!W627,[1]流向迭代数据!M$2:M$65536,0))</f>
        <v>#N/A</v>
      </c>
      <c r="N627" s="12" t="e">
        <f>INDEX([1]流向迭代数据!J$2:J$65536,MATCH(L627,[1]流向迭代数据!H$2:H$65536,0))</f>
        <v>#N/A</v>
      </c>
      <c r="P627" s="14"/>
      <c r="T627" s="12" t="e">
        <f>INDEX([1]流向迭代数据!K$2:K$65536,MATCH(L627,[1]流向迭代数据!H$2:H$65536,0))</f>
        <v>#N/A</v>
      </c>
      <c r="W627" s="12" t="str">
        <f t="shared" si="19"/>
        <v/>
      </c>
    </row>
    <row r="628" spans="1:23" x14ac:dyDescent="0.15">
      <c r="A628" s="14" t="str">
        <f t="shared" si="18"/>
        <v>190001</v>
      </c>
      <c r="C628" s="12" t="e">
        <f>INDEX(基础数据!$A$2:$A$1024,MATCH(转配商关联商!X628,基础数据!$D$2:$D$1024,0))</f>
        <v>#N/A</v>
      </c>
      <c r="E628" s="12" t="e">
        <f>INDEX(基础数据!$B$2:$B$1024,MATCH(转配商关联商!X628,基础数据!$D$2:$D$1024,0))</f>
        <v>#N/A</v>
      </c>
      <c r="G628" s="12" t="e">
        <f>INDEX([1]流向迭代数据!E$2:E$65536,MATCH(转配商关联商!W628,[1]流向迭代数据!M$2:M$65536,0))</f>
        <v>#N/A</v>
      </c>
      <c r="N628" s="12" t="e">
        <f>INDEX([1]流向迭代数据!J$2:J$65536,MATCH(L628,[1]流向迭代数据!H$2:H$65536,0))</f>
        <v>#N/A</v>
      </c>
      <c r="P628" s="14"/>
      <c r="T628" s="12" t="e">
        <f>INDEX([1]流向迭代数据!K$2:K$65536,MATCH(L628,[1]流向迭代数据!H$2:H$65536,0))</f>
        <v>#N/A</v>
      </c>
      <c r="W628" s="12" t="str">
        <f t="shared" si="19"/>
        <v/>
      </c>
    </row>
    <row r="629" spans="1:23" x14ac:dyDescent="0.15">
      <c r="A629" s="14" t="str">
        <f t="shared" si="18"/>
        <v>190001</v>
      </c>
      <c r="C629" s="12" t="e">
        <f>INDEX(基础数据!$A$2:$A$1024,MATCH(转配商关联商!X629,基础数据!$D$2:$D$1024,0))</f>
        <v>#N/A</v>
      </c>
      <c r="E629" s="12" t="e">
        <f>INDEX(基础数据!$B$2:$B$1024,MATCH(转配商关联商!X629,基础数据!$D$2:$D$1024,0))</f>
        <v>#N/A</v>
      </c>
      <c r="G629" s="12" t="e">
        <f>INDEX([1]流向迭代数据!E$2:E$65536,MATCH(转配商关联商!W629,[1]流向迭代数据!M$2:M$65536,0))</f>
        <v>#N/A</v>
      </c>
      <c r="N629" s="12" t="e">
        <f>INDEX([1]流向迭代数据!J$2:J$65536,MATCH(L629,[1]流向迭代数据!H$2:H$65536,0))</f>
        <v>#N/A</v>
      </c>
      <c r="P629" s="14"/>
      <c r="T629" s="12" t="e">
        <f>INDEX([1]流向迭代数据!K$2:K$65536,MATCH(L629,[1]流向迭代数据!H$2:H$65536,0))</f>
        <v>#N/A</v>
      </c>
      <c r="W629" s="12" t="str">
        <f t="shared" si="19"/>
        <v/>
      </c>
    </row>
    <row r="630" spans="1:23" x14ac:dyDescent="0.15">
      <c r="A630" s="14" t="str">
        <f t="shared" si="18"/>
        <v>190001</v>
      </c>
      <c r="C630" s="12" t="e">
        <f>INDEX(基础数据!$A$2:$A$1024,MATCH(转配商关联商!X630,基础数据!$D$2:$D$1024,0))</f>
        <v>#N/A</v>
      </c>
      <c r="E630" s="12" t="e">
        <f>INDEX(基础数据!$B$2:$B$1024,MATCH(转配商关联商!X630,基础数据!$D$2:$D$1024,0))</f>
        <v>#N/A</v>
      </c>
      <c r="G630" s="12" t="e">
        <f>INDEX([1]流向迭代数据!E$2:E$65536,MATCH(转配商关联商!W630,[1]流向迭代数据!M$2:M$65536,0))</f>
        <v>#N/A</v>
      </c>
      <c r="N630" s="12" t="e">
        <f>INDEX([1]流向迭代数据!J$2:J$65536,MATCH(L630,[1]流向迭代数据!H$2:H$65536,0))</f>
        <v>#N/A</v>
      </c>
      <c r="P630" s="14"/>
      <c r="T630" s="12" t="e">
        <f>INDEX([1]流向迭代数据!K$2:K$65536,MATCH(L630,[1]流向迭代数据!H$2:H$65536,0))</f>
        <v>#N/A</v>
      </c>
      <c r="W630" s="12" t="str">
        <f t="shared" si="19"/>
        <v/>
      </c>
    </row>
    <row r="631" spans="1:23" x14ac:dyDescent="0.15">
      <c r="A631" s="14" t="str">
        <f t="shared" si="18"/>
        <v>190001</v>
      </c>
      <c r="C631" s="12" t="e">
        <f>INDEX(基础数据!$A$2:$A$1024,MATCH(转配商关联商!X631,基础数据!$D$2:$D$1024,0))</f>
        <v>#N/A</v>
      </c>
      <c r="E631" s="12" t="e">
        <f>INDEX(基础数据!$B$2:$B$1024,MATCH(转配商关联商!X631,基础数据!$D$2:$D$1024,0))</f>
        <v>#N/A</v>
      </c>
      <c r="G631" s="12" t="e">
        <f>INDEX([1]流向迭代数据!E$2:E$65536,MATCH(转配商关联商!W631,[1]流向迭代数据!M$2:M$65536,0))</f>
        <v>#N/A</v>
      </c>
      <c r="N631" s="12" t="e">
        <f>INDEX([1]流向迭代数据!J$2:J$65536,MATCH(L631,[1]流向迭代数据!H$2:H$65536,0))</f>
        <v>#N/A</v>
      </c>
      <c r="P631" s="14"/>
      <c r="T631" s="12" t="e">
        <f>INDEX([1]流向迭代数据!K$2:K$65536,MATCH(L631,[1]流向迭代数据!H$2:H$65536,0))</f>
        <v>#N/A</v>
      </c>
      <c r="W631" s="12" t="str">
        <f t="shared" si="19"/>
        <v/>
      </c>
    </row>
    <row r="632" spans="1:23" x14ac:dyDescent="0.15">
      <c r="A632" s="14" t="str">
        <f t="shared" si="18"/>
        <v>190001</v>
      </c>
      <c r="C632" s="12" t="e">
        <f>INDEX(基础数据!$A$2:$A$1024,MATCH(转配商关联商!X632,基础数据!$D$2:$D$1024,0))</f>
        <v>#N/A</v>
      </c>
      <c r="E632" s="12" t="e">
        <f>INDEX(基础数据!$B$2:$B$1024,MATCH(转配商关联商!X632,基础数据!$D$2:$D$1024,0))</f>
        <v>#N/A</v>
      </c>
      <c r="G632" s="12" t="e">
        <f>INDEX([1]流向迭代数据!E$2:E$65536,MATCH(转配商关联商!W632,[1]流向迭代数据!M$2:M$65536,0))</f>
        <v>#N/A</v>
      </c>
      <c r="N632" s="12" t="e">
        <f>INDEX([1]流向迭代数据!J$2:J$65536,MATCH(L632,[1]流向迭代数据!H$2:H$65536,0))</f>
        <v>#N/A</v>
      </c>
      <c r="P632" s="14"/>
      <c r="T632" s="12" t="e">
        <f>INDEX([1]流向迭代数据!K$2:K$65536,MATCH(L632,[1]流向迭代数据!H$2:H$65536,0))</f>
        <v>#N/A</v>
      </c>
      <c r="W632" s="12" t="str">
        <f t="shared" si="19"/>
        <v/>
      </c>
    </row>
    <row r="633" spans="1:23" x14ac:dyDescent="0.15">
      <c r="A633" s="14" t="str">
        <f t="shared" si="18"/>
        <v>190001</v>
      </c>
      <c r="C633" s="12" t="e">
        <f>INDEX(基础数据!$A$2:$A$1024,MATCH(转配商关联商!X633,基础数据!$D$2:$D$1024,0))</f>
        <v>#N/A</v>
      </c>
      <c r="E633" s="12" t="e">
        <f>INDEX(基础数据!$B$2:$B$1024,MATCH(转配商关联商!X633,基础数据!$D$2:$D$1024,0))</f>
        <v>#N/A</v>
      </c>
      <c r="G633" s="12" t="e">
        <f>INDEX([1]流向迭代数据!E$2:E$65536,MATCH(转配商关联商!W633,[1]流向迭代数据!M$2:M$65536,0))</f>
        <v>#N/A</v>
      </c>
      <c r="N633" s="12" t="e">
        <f>INDEX([1]流向迭代数据!J$2:J$65536,MATCH(L633,[1]流向迭代数据!H$2:H$65536,0))</f>
        <v>#N/A</v>
      </c>
      <c r="P633" s="14"/>
      <c r="T633" s="12" t="e">
        <f>INDEX([1]流向迭代数据!K$2:K$65536,MATCH(L633,[1]流向迭代数据!H$2:H$65536,0))</f>
        <v>#N/A</v>
      </c>
      <c r="W633" s="12" t="str">
        <f t="shared" si="19"/>
        <v/>
      </c>
    </row>
    <row r="634" spans="1:23" x14ac:dyDescent="0.15">
      <c r="A634" s="14" t="str">
        <f t="shared" si="18"/>
        <v>190001</v>
      </c>
      <c r="C634" s="12" t="e">
        <f>INDEX(基础数据!$A$2:$A$1024,MATCH(转配商关联商!X634,基础数据!$D$2:$D$1024,0))</f>
        <v>#N/A</v>
      </c>
      <c r="E634" s="12" t="e">
        <f>INDEX(基础数据!$B$2:$B$1024,MATCH(转配商关联商!X634,基础数据!$D$2:$D$1024,0))</f>
        <v>#N/A</v>
      </c>
      <c r="G634" s="12" t="e">
        <f>INDEX([1]流向迭代数据!E$2:E$65536,MATCH(转配商关联商!W634,[1]流向迭代数据!M$2:M$65536,0))</f>
        <v>#N/A</v>
      </c>
      <c r="N634" s="12" t="e">
        <f>INDEX([1]流向迭代数据!J$2:J$65536,MATCH(L634,[1]流向迭代数据!H$2:H$65536,0))</f>
        <v>#N/A</v>
      </c>
      <c r="P634" s="14"/>
      <c r="T634" s="12" t="e">
        <f>INDEX([1]流向迭代数据!K$2:K$65536,MATCH(L634,[1]流向迭代数据!H$2:H$65536,0))</f>
        <v>#N/A</v>
      </c>
      <c r="W634" s="12" t="str">
        <f t="shared" si="19"/>
        <v/>
      </c>
    </row>
    <row r="635" spans="1:23" x14ac:dyDescent="0.15">
      <c r="A635" s="14" t="str">
        <f t="shared" si="18"/>
        <v>190001</v>
      </c>
      <c r="C635" s="12" t="e">
        <f>INDEX(基础数据!$A$2:$A$1024,MATCH(转配商关联商!X635,基础数据!$D$2:$D$1024,0))</f>
        <v>#N/A</v>
      </c>
      <c r="E635" s="12" t="e">
        <f>INDEX(基础数据!$B$2:$B$1024,MATCH(转配商关联商!X635,基础数据!$D$2:$D$1024,0))</f>
        <v>#N/A</v>
      </c>
      <c r="G635" s="12" t="e">
        <f>INDEX([1]流向迭代数据!E$2:E$65536,MATCH(转配商关联商!W635,[1]流向迭代数据!M$2:M$65536,0))</f>
        <v>#N/A</v>
      </c>
      <c r="N635" s="12" t="e">
        <f>INDEX([1]流向迭代数据!J$2:J$65536,MATCH(L635,[1]流向迭代数据!H$2:H$65536,0))</f>
        <v>#N/A</v>
      </c>
      <c r="P635" s="14"/>
      <c r="T635" s="12" t="e">
        <f>INDEX([1]流向迭代数据!K$2:K$65536,MATCH(L635,[1]流向迭代数据!H$2:H$65536,0))</f>
        <v>#N/A</v>
      </c>
      <c r="W635" s="12" t="str">
        <f t="shared" si="19"/>
        <v/>
      </c>
    </row>
    <row r="636" spans="1:23" x14ac:dyDescent="0.15">
      <c r="A636" s="14" t="str">
        <f t="shared" si="18"/>
        <v>190001</v>
      </c>
      <c r="C636" s="12" t="e">
        <f>INDEX(基础数据!$A$2:$A$1024,MATCH(转配商关联商!X636,基础数据!$D$2:$D$1024,0))</f>
        <v>#N/A</v>
      </c>
      <c r="E636" s="12" t="e">
        <f>INDEX(基础数据!$B$2:$B$1024,MATCH(转配商关联商!X636,基础数据!$D$2:$D$1024,0))</f>
        <v>#N/A</v>
      </c>
      <c r="G636" s="12" t="e">
        <f>INDEX([1]流向迭代数据!E$2:E$65536,MATCH(转配商关联商!W636,[1]流向迭代数据!M$2:M$65536,0))</f>
        <v>#N/A</v>
      </c>
      <c r="N636" s="12" t="e">
        <f>INDEX([1]流向迭代数据!J$2:J$65536,MATCH(L636,[1]流向迭代数据!H$2:H$65536,0))</f>
        <v>#N/A</v>
      </c>
      <c r="P636" s="14"/>
      <c r="T636" s="12" t="e">
        <f>INDEX([1]流向迭代数据!K$2:K$65536,MATCH(L636,[1]流向迭代数据!H$2:H$65536,0))</f>
        <v>#N/A</v>
      </c>
      <c r="W636" s="12" t="str">
        <f t="shared" si="19"/>
        <v/>
      </c>
    </row>
    <row r="637" spans="1:23" x14ac:dyDescent="0.15">
      <c r="A637" s="14" t="str">
        <f t="shared" si="18"/>
        <v>190001</v>
      </c>
      <c r="C637" s="12" t="e">
        <f>INDEX(基础数据!$A$2:$A$1024,MATCH(转配商关联商!X637,基础数据!$D$2:$D$1024,0))</f>
        <v>#N/A</v>
      </c>
      <c r="E637" s="12" t="e">
        <f>INDEX(基础数据!$B$2:$B$1024,MATCH(转配商关联商!X637,基础数据!$D$2:$D$1024,0))</f>
        <v>#N/A</v>
      </c>
      <c r="G637" s="12" t="e">
        <f>INDEX([1]流向迭代数据!E$2:E$65536,MATCH(转配商关联商!W637,[1]流向迭代数据!M$2:M$65536,0))</f>
        <v>#N/A</v>
      </c>
      <c r="N637" s="12" t="e">
        <f>INDEX([1]流向迭代数据!J$2:J$65536,MATCH(L637,[1]流向迭代数据!H$2:H$65536,0))</f>
        <v>#N/A</v>
      </c>
      <c r="P637" s="14"/>
      <c r="T637" s="12" t="e">
        <f>INDEX([1]流向迭代数据!K$2:K$65536,MATCH(L637,[1]流向迭代数据!H$2:H$65536,0))</f>
        <v>#N/A</v>
      </c>
      <c r="W637" s="12" t="str">
        <f t="shared" si="19"/>
        <v/>
      </c>
    </row>
    <row r="638" spans="1:23" x14ac:dyDescent="0.15">
      <c r="A638" s="14" t="str">
        <f t="shared" si="18"/>
        <v>190001</v>
      </c>
      <c r="C638" s="12" t="e">
        <f>INDEX(基础数据!$A$2:$A$1024,MATCH(转配商关联商!X638,基础数据!$D$2:$D$1024,0))</f>
        <v>#N/A</v>
      </c>
      <c r="E638" s="12" t="e">
        <f>INDEX(基础数据!$B$2:$B$1024,MATCH(转配商关联商!X638,基础数据!$D$2:$D$1024,0))</f>
        <v>#N/A</v>
      </c>
      <c r="G638" s="12" t="e">
        <f>INDEX([1]流向迭代数据!E$2:E$65536,MATCH(转配商关联商!W638,[1]流向迭代数据!M$2:M$65536,0))</f>
        <v>#N/A</v>
      </c>
      <c r="N638" s="12" t="e">
        <f>INDEX([1]流向迭代数据!J$2:J$65536,MATCH(L638,[1]流向迭代数据!H$2:H$65536,0))</f>
        <v>#N/A</v>
      </c>
      <c r="P638" s="14"/>
      <c r="T638" s="12" t="e">
        <f>INDEX([1]流向迭代数据!K$2:K$65536,MATCH(L638,[1]流向迭代数据!H$2:H$65536,0))</f>
        <v>#N/A</v>
      </c>
      <c r="W638" s="12" t="str">
        <f t="shared" si="19"/>
        <v/>
      </c>
    </row>
    <row r="639" spans="1:23" x14ac:dyDescent="0.15">
      <c r="A639" s="14" t="str">
        <f t="shared" si="18"/>
        <v>190001</v>
      </c>
      <c r="C639" s="12" t="e">
        <f>INDEX(基础数据!$A$2:$A$1024,MATCH(转配商关联商!X639,基础数据!$D$2:$D$1024,0))</f>
        <v>#N/A</v>
      </c>
      <c r="E639" s="12" t="e">
        <f>INDEX(基础数据!$B$2:$B$1024,MATCH(转配商关联商!X639,基础数据!$D$2:$D$1024,0))</f>
        <v>#N/A</v>
      </c>
      <c r="G639" s="12" t="e">
        <f>INDEX([1]流向迭代数据!E$2:E$65536,MATCH(转配商关联商!W639,[1]流向迭代数据!M$2:M$65536,0))</f>
        <v>#N/A</v>
      </c>
      <c r="N639" s="12" t="e">
        <f>INDEX([1]流向迭代数据!J$2:J$65536,MATCH(L639,[1]流向迭代数据!H$2:H$65536,0))</f>
        <v>#N/A</v>
      </c>
      <c r="P639" s="14"/>
      <c r="T639" s="12" t="e">
        <f>INDEX([1]流向迭代数据!K$2:K$65536,MATCH(L639,[1]流向迭代数据!H$2:H$65536,0))</f>
        <v>#N/A</v>
      </c>
      <c r="W639" s="12" t="str">
        <f t="shared" si="19"/>
        <v/>
      </c>
    </row>
    <row r="640" spans="1:23" x14ac:dyDescent="0.15">
      <c r="A640" s="14" t="str">
        <f t="shared" si="18"/>
        <v>190001</v>
      </c>
      <c r="C640" s="12" t="e">
        <f>INDEX(基础数据!$A$2:$A$1024,MATCH(转配商关联商!X640,基础数据!$D$2:$D$1024,0))</f>
        <v>#N/A</v>
      </c>
      <c r="E640" s="12" t="e">
        <f>INDEX(基础数据!$B$2:$B$1024,MATCH(转配商关联商!X640,基础数据!$D$2:$D$1024,0))</f>
        <v>#N/A</v>
      </c>
      <c r="G640" s="12" t="e">
        <f>INDEX([1]流向迭代数据!E$2:E$65536,MATCH(转配商关联商!W640,[1]流向迭代数据!M$2:M$65536,0))</f>
        <v>#N/A</v>
      </c>
      <c r="N640" s="12" t="e">
        <f>INDEX([1]流向迭代数据!J$2:J$65536,MATCH(L640,[1]流向迭代数据!H$2:H$65536,0))</f>
        <v>#N/A</v>
      </c>
      <c r="P640" s="14"/>
      <c r="T640" s="12" t="e">
        <f>INDEX([1]流向迭代数据!K$2:K$65536,MATCH(L640,[1]流向迭代数据!H$2:H$65536,0))</f>
        <v>#N/A</v>
      </c>
      <c r="W640" s="12" t="str">
        <f t="shared" si="19"/>
        <v/>
      </c>
    </row>
    <row r="641" spans="1:23" x14ac:dyDescent="0.15">
      <c r="A641" s="14" t="str">
        <f t="shared" si="18"/>
        <v>190001</v>
      </c>
      <c r="C641" s="12" t="e">
        <f>INDEX(基础数据!$A$2:$A$1024,MATCH(转配商关联商!X641,基础数据!$D$2:$D$1024,0))</f>
        <v>#N/A</v>
      </c>
      <c r="E641" s="12" t="e">
        <f>INDEX(基础数据!$B$2:$B$1024,MATCH(转配商关联商!X641,基础数据!$D$2:$D$1024,0))</f>
        <v>#N/A</v>
      </c>
      <c r="G641" s="12" t="e">
        <f>INDEX([1]流向迭代数据!E$2:E$65536,MATCH(转配商关联商!W641,[1]流向迭代数据!M$2:M$65536,0))</f>
        <v>#N/A</v>
      </c>
      <c r="N641" s="12" t="e">
        <f>INDEX([1]流向迭代数据!J$2:J$65536,MATCH(L641,[1]流向迭代数据!H$2:H$65536,0))</f>
        <v>#N/A</v>
      </c>
      <c r="P641" s="14"/>
      <c r="T641" s="12" t="e">
        <f>INDEX([1]流向迭代数据!K$2:K$65536,MATCH(L641,[1]流向迭代数据!H$2:H$65536,0))</f>
        <v>#N/A</v>
      </c>
      <c r="W641" s="12" t="str">
        <f t="shared" si="19"/>
        <v/>
      </c>
    </row>
    <row r="642" spans="1:23" x14ac:dyDescent="0.15">
      <c r="A642" s="14" t="str">
        <f t="shared" si="18"/>
        <v>190001</v>
      </c>
      <c r="C642" s="12" t="e">
        <f>INDEX(基础数据!$A$2:$A$1024,MATCH(转配商关联商!X642,基础数据!$D$2:$D$1024,0))</f>
        <v>#N/A</v>
      </c>
      <c r="E642" s="12" t="e">
        <f>INDEX(基础数据!$B$2:$B$1024,MATCH(转配商关联商!X642,基础数据!$D$2:$D$1024,0))</f>
        <v>#N/A</v>
      </c>
      <c r="G642" s="12" t="e">
        <f>INDEX([1]流向迭代数据!E$2:E$65536,MATCH(转配商关联商!W642,[1]流向迭代数据!M$2:M$65536,0))</f>
        <v>#N/A</v>
      </c>
      <c r="N642" s="12" t="e">
        <f>INDEX([1]流向迭代数据!J$2:J$65536,MATCH(L642,[1]流向迭代数据!H$2:H$65536,0))</f>
        <v>#N/A</v>
      </c>
      <c r="P642" s="14"/>
      <c r="T642" s="12" t="e">
        <f>INDEX([1]流向迭代数据!K$2:K$65536,MATCH(L642,[1]流向迭代数据!H$2:H$65536,0))</f>
        <v>#N/A</v>
      </c>
      <c r="W642" s="12" t="str">
        <f t="shared" si="19"/>
        <v/>
      </c>
    </row>
    <row r="643" spans="1:23" x14ac:dyDescent="0.15">
      <c r="A643" s="14" t="str">
        <f t="shared" ref="A643:A706" si="20">IF(MONTH(P643)&lt;10,YEAR(P643)&amp;"0"&amp;MONTH(P643),YEAR(P643)&amp;MONTH(P643))</f>
        <v>190001</v>
      </c>
      <c r="C643" s="12" t="e">
        <f>INDEX(基础数据!$A$2:$A$1024,MATCH(转配商关联商!X643,基础数据!$D$2:$D$1024,0))</f>
        <v>#N/A</v>
      </c>
      <c r="E643" s="12" t="e">
        <f>INDEX(基础数据!$B$2:$B$1024,MATCH(转配商关联商!X643,基础数据!$D$2:$D$1024,0))</f>
        <v>#N/A</v>
      </c>
      <c r="G643" s="12" t="e">
        <f>INDEX([1]流向迭代数据!E$2:E$65536,MATCH(转配商关联商!W643,[1]流向迭代数据!M$2:M$65536,0))</f>
        <v>#N/A</v>
      </c>
      <c r="N643" s="12" t="e">
        <f>INDEX([1]流向迭代数据!J$2:J$65536,MATCH(L643,[1]流向迭代数据!H$2:H$65536,0))</f>
        <v>#N/A</v>
      </c>
      <c r="P643" s="14"/>
      <c r="T643" s="12" t="e">
        <f>INDEX([1]流向迭代数据!K$2:K$65536,MATCH(L643,[1]流向迭代数据!H$2:H$65536,0))</f>
        <v>#N/A</v>
      </c>
      <c r="W643" s="12" t="str">
        <f t="shared" ref="W643:W706" si="21">H643&amp;I643</f>
        <v/>
      </c>
    </row>
    <row r="644" spans="1:23" x14ac:dyDescent="0.15">
      <c r="A644" s="14" t="str">
        <f t="shared" si="20"/>
        <v>190001</v>
      </c>
      <c r="C644" s="12" t="e">
        <f>INDEX(基础数据!$A$2:$A$1024,MATCH(转配商关联商!X644,基础数据!$D$2:$D$1024,0))</f>
        <v>#N/A</v>
      </c>
      <c r="E644" s="12" t="e">
        <f>INDEX(基础数据!$B$2:$B$1024,MATCH(转配商关联商!X644,基础数据!$D$2:$D$1024,0))</f>
        <v>#N/A</v>
      </c>
      <c r="G644" s="12" t="e">
        <f>INDEX([1]流向迭代数据!E$2:E$65536,MATCH(转配商关联商!W644,[1]流向迭代数据!M$2:M$65536,0))</f>
        <v>#N/A</v>
      </c>
      <c r="N644" s="12" t="e">
        <f>INDEX([1]流向迭代数据!J$2:J$65536,MATCH(L644,[1]流向迭代数据!H$2:H$65536,0))</f>
        <v>#N/A</v>
      </c>
      <c r="P644" s="14"/>
      <c r="T644" s="12" t="e">
        <f>INDEX([1]流向迭代数据!K$2:K$65536,MATCH(L644,[1]流向迭代数据!H$2:H$65536,0))</f>
        <v>#N/A</v>
      </c>
      <c r="W644" s="12" t="str">
        <f t="shared" si="21"/>
        <v/>
      </c>
    </row>
    <row r="645" spans="1:23" x14ac:dyDescent="0.15">
      <c r="A645" s="14" t="str">
        <f t="shared" si="20"/>
        <v>190001</v>
      </c>
      <c r="C645" s="12" t="e">
        <f>INDEX(基础数据!$A$2:$A$1024,MATCH(转配商关联商!X645,基础数据!$D$2:$D$1024,0))</f>
        <v>#N/A</v>
      </c>
      <c r="E645" s="12" t="e">
        <f>INDEX(基础数据!$B$2:$B$1024,MATCH(转配商关联商!X645,基础数据!$D$2:$D$1024,0))</f>
        <v>#N/A</v>
      </c>
      <c r="G645" s="12" t="e">
        <f>INDEX([1]流向迭代数据!E$2:E$65536,MATCH(转配商关联商!W645,[1]流向迭代数据!M$2:M$65536,0))</f>
        <v>#N/A</v>
      </c>
      <c r="N645" s="12" t="e">
        <f>INDEX([1]流向迭代数据!J$2:J$65536,MATCH(L645,[1]流向迭代数据!H$2:H$65536,0))</f>
        <v>#N/A</v>
      </c>
      <c r="P645" s="14"/>
      <c r="T645" s="12" t="e">
        <f>INDEX([1]流向迭代数据!K$2:K$65536,MATCH(L645,[1]流向迭代数据!H$2:H$65536,0))</f>
        <v>#N/A</v>
      </c>
      <c r="W645" s="12" t="str">
        <f t="shared" si="21"/>
        <v/>
      </c>
    </row>
    <row r="646" spans="1:23" x14ac:dyDescent="0.15">
      <c r="A646" s="14" t="str">
        <f t="shared" si="20"/>
        <v>190001</v>
      </c>
      <c r="C646" s="12" t="e">
        <f>INDEX(基础数据!$A$2:$A$1024,MATCH(转配商关联商!X646,基础数据!$D$2:$D$1024,0))</f>
        <v>#N/A</v>
      </c>
      <c r="E646" s="12" t="e">
        <f>INDEX(基础数据!$B$2:$B$1024,MATCH(转配商关联商!X646,基础数据!$D$2:$D$1024,0))</f>
        <v>#N/A</v>
      </c>
      <c r="G646" s="12" t="e">
        <f>INDEX([1]流向迭代数据!E$2:E$65536,MATCH(转配商关联商!W646,[1]流向迭代数据!M$2:M$65536,0))</f>
        <v>#N/A</v>
      </c>
      <c r="N646" s="12" t="e">
        <f>INDEX([1]流向迭代数据!J$2:J$65536,MATCH(L646,[1]流向迭代数据!H$2:H$65536,0))</f>
        <v>#N/A</v>
      </c>
      <c r="P646" s="14"/>
      <c r="T646" s="12" t="e">
        <f>INDEX([1]流向迭代数据!K$2:K$65536,MATCH(L646,[1]流向迭代数据!H$2:H$65536,0))</f>
        <v>#N/A</v>
      </c>
      <c r="W646" s="12" t="str">
        <f t="shared" si="21"/>
        <v/>
      </c>
    </row>
    <row r="647" spans="1:23" x14ac:dyDescent="0.15">
      <c r="A647" s="14" t="str">
        <f t="shared" si="20"/>
        <v>190001</v>
      </c>
      <c r="C647" s="12" t="e">
        <f>INDEX(基础数据!$A$2:$A$1024,MATCH(转配商关联商!X647,基础数据!$D$2:$D$1024,0))</f>
        <v>#N/A</v>
      </c>
      <c r="E647" s="12" t="e">
        <f>INDEX(基础数据!$B$2:$B$1024,MATCH(转配商关联商!X647,基础数据!$D$2:$D$1024,0))</f>
        <v>#N/A</v>
      </c>
      <c r="G647" s="12" t="e">
        <f>INDEX([1]流向迭代数据!E$2:E$65536,MATCH(转配商关联商!W647,[1]流向迭代数据!M$2:M$65536,0))</f>
        <v>#N/A</v>
      </c>
      <c r="N647" s="12" t="e">
        <f>INDEX([1]流向迭代数据!J$2:J$65536,MATCH(L647,[1]流向迭代数据!H$2:H$65536,0))</f>
        <v>#N/A</v>
      </c>
      <c r="P647" s="14"/>
      <c r="T647" s="12" t="e">
        <f>INDEX([1]流向迭代数据!K$2:K$65536,MATCH(L647,[1]流向迭代数据!H$2:H$65536,0))</f>
        <v>#N/A</v>
      </c>
      <c r="W647" s="12" t="str">
        <f t="shared" si="21"/>
        <v/>
      </c>
    </row>
    <row r="648" spans="1:23" x14ac:dyDescent="0.15">
      <c r="A648" s="14" t="str">
        <f t="shared" si="20"/>
        <v>190001</v>
      </c>
      <c r="C648" s="12" t="e">
        <f>INDEX(基础数据!$A$2:$A$1024,MATCH(转配商关联商!X648,基础数据!$D$2:$D$1024,0))</f>
        <v>#N/A</v>
      </c>
      <c r="E648" s="12" t="e">
        <f>INDEX(基础数据!$B$2:$B$1024,MATCH(转配商关联商!X648,基础数据!$D$2:$D$1024,0))</f>
        <v>#N/A</v>
      </c>
      <c r="G648" s="12" t="e">
        <f>INDEX([1]流向迭代数据!E$2:E$65536,MATCH(转配商关联商!W648,[1]流向迭代数据!M$2:M$65536,0))</f>
        <v>#N/A</v>
      </c>
      <c r="N648" s="12" t="e">
        <f>INDEX([1]流向迭代数据!J$2:J$65536,MATCH(L648,[1]流向迭代数据!H$2:H$65536,0))</f>
        <v>#N/A</v>
      </c>
      <c r="P648" s="14"/>
      <c r="T648" s="12" t="e">
        <f>INDEX([1]流向迭代数据!K$2:K$65536,MATCH(L648,[1]流向迭代数据!H$2:H$65536,0))</f>
        <v>#N/A</v>
      </c>
      <c r="W648" s="12" t="str">
        <f t="shared" si="21"/>
        <v/>
      </c>
    </row>
    <row r="649" spans="1:23" x14ac:dyDescent="0.15">
      <c r="A649" s="14" t="str">
        <f t="shared" si="20"/>
        <v>190001</v>
      </c>
      <c r="C649" s="12" t="e">
        <f>INDEX(基础数据!$A$2:$A$1024,MATCH(转配商关联商!X649,基础数据!$D$2:$D$1024,0))</f>
        <v>#N/A</v>
      </c>
      <c r="E649" s="12" t="e">
        <f>INDEX(基础数据!$B$2:$B$1024,MATCH(转配商关联商!X649,基础数据!$D$2:$D$1024,0))</f>
        <v>#N/A</v>
      </c>
      <c r="G649" s="12" t="e">
        <f>INDEX([1]流向迭代数据!E$2:E$65536,MATCH(转配商关联商!W649,[1]流向迭代数据!M$2:M$65536,0))</f>
        <v>#N/A</v>
      </c>
      <c r="N649" s="12" t="e">
        <f>INDEX([1]流向迭代数据!J$2:J$65536,MATCH(L649,[1]流向迭代数据!H$2:H$65536,0))</f>
        <v>#N/A</v>
      </c>
      <c r="P649" s="14"/>
      <c r="T649" s="12" t="e">
        <f>INDEX([1]流向迭代数据!K$2:K$65536,MATCH(L649,[1]流向迭代数据!H$2:H$65536,0))</f>
        <v>#N/A</v>
      </c>
      <c r="W649" s="12" t="str">
        <f t="shared" si="21"/>
        <v/>
      </c>
    </row>
    <row r="650" spans="1:23" x14ac:dyDescent="0.15">
      <c r="A650" s="14" t="str">
        <f t="shared" si="20"/>
        <v>190001</v>
      </c>
      <c r="C650" s="12" t="e">
        <f>INDEX(基础数据!$A$2:$A$1024,MATCH(转配商关联商!X650,基础数据!$D$2:$D$1024,0))</f>
        <v>#N/A</v>
      </c>
      <c r="E650" s="12" t="e">
        <f>INDEX(基础数据!$B$2:$B$1024,MATCH(转配商关联商!X650,基础数据!$D$2:$D$1024,0))</f>
        <v>#N/A</v>
      </c>
      <c r="G650" s="12" t="e">
        <f>INDEX([1]流向迭代数据!E$2:E$65536,MATCH(转配商关联商!W650,[1]流向迭代数据!M$2:M$65536,0))</f>
        <v>#N/A</v>
      </c>
      <c r="N650" s="12" t="e">
        <f>INDEX([1]流向迭代数据!J$2:J$65536,MATCH(L650,[1]流向迭代数据!H$2:H$65536,0))</f>
        <v>#N/A</v>
      </c>
      <c r="P650" s="14"/>
      <c r="T650" s="12" t="e">
        <f>INDEX([1]流向迭代数据!K$2:K$65536,MATCH(L650,[1]流向迭代数据!H$2:H$65536,0))</f>
        <v>#N/A</v>
      </c>
      <c r="W650" s="12" t="str">
        <f t="shared" si="21"/>
        <v/>
      </c>
    </row>
    <row r="651" spans="1:23" x14ac:dyDescent="0.15">
      <c r="A651" s="14" t="str">
        <f t="shared" si="20"/>
        <v>190001</v>
      </c>
      <c r="C651" s="12" t="e">
        <f>INDEX(基础数据!$A$2:$A$1024,MATCH(转配商关联商!X651,基础数据!$D$2:$D$1024,0))</f>
        <v>#N/A</v>
      </c>
      <c r="E651" s="12" t="e">
        <f>INDEX(基础数据!$B$2:$B$1024,MATCH(转配商关联商!X651,基础数据!$D$2:$D$1024,0))</f>
        <v>#N/A</v>
      </c>
      <c r="G651" s="12" t="e">
        <f>INDEX([1]流向迭代数据!E$2:E$65536,MATCH(转配商关联商!W651,[1]流向迭代数据!M$2:M$65536,0))</f>
        <v>#N/A</v>
      </c>
      <c r="N651" s="12" t="e">
        <f>INDEX([1]流向迭代数据!J$2:J$65536,MATCH(L651,[1]流向迭代数据!H$2:H$65536,0))</f>
        <v>#N/A</v>
      </c>
      <c r="P651" s="14"/>
      <c r="T651" s="12" t="e">
        <f>INDEX([1]流向迭代数据!K$2:K$65536,MATCH(L651,[1]流向迭代数据!H$2:H$65536,0))</f>
        <v>#N/A</v>
      </c>
      <c r="W651" s="12" t="str">
        <f t="shared" si="21"/>
        <v/>
      </c>
    </row>
    <row r="652" spans="1:23" x14ac:dyDescent="0.15">
      <c r="A652" s="14" t="str">
        <f t="shared" si="20"/>
        <v>190001</v>
      </c>
      <c r="C652" s="12" t="e">
        <f>INDEX(基础数据!$A$2:$A$1024,MATCH(转配商关联商!X652,基础数据!$D$2:$D$1024,0))</f>
        <v>#N/A</v>
      </c>
      <c r="E652" s="12" t="e">
        <f>INDEX(基础数据!$B$2:$B$1024,MATCH(转配商关联商!X652,基础数据!$D$2:$D$1024,0))</f>
        <v>#N/A</v>
      </c>
      <c r="G652" s="12" t="e">
        <f>INDEX([1]流向迭代数据!E$2:E$65536,MATCH(转配商关联商!W652,[1]流向迭代数据!M$2:M$65536,0))</f>
        <v>#N/A</v>
      </c>
      <c r="N652" s="12" t="e">
        <f>INDEX([1]流向迭代数据!J$2:J$65536,MATCH(L652,[1]流向迭代数据!H$2:H$65536,0))</f>
        <v>#N/A</v>
      </c>
      <c r="P652" s="14"/>
      <c r="T652" s="12" t="e">
        <f>INDEX([1]流向迭代数据!K$2:K$65536,MATCH(L652,[1]流向迭代数据!H$2:H$65536,0))</f>
        <v>#N/A</v>
      </c>
      <c r="W652" s="12" t="str">
        <f t="shared" si="21"/>
        <v/>
      </c>
    </row>
    <row r="653" spans="1:23" x14ac:dyDescent="0.15">
      <c r="A653" s="14" t="str">
        <f t="shared" si="20"/>
        <v>190001</v>
      </c>
      <c r="C653" s="12" t="e">
        <f>INDEX(基础数据!$A$2:$A$1024,MATCH(转配商关联商!X653,基础数据!$D$2:$D$1024,0))</f>
        <v>#N/A</v>
      </c>
      <c r="E653" s="12" t="e">
        <f>INDEX(基础数据!$B$2:$B$1024,MATCH(转配商关联商!X653,基础数据!$D$2:$D$1024,0))</f>
        <v>#N/A</v>
      </c>
      <c r="G653" s="12" t="e">
        <f>INDEX([1]流向迭代数据!E$2:E$65536,MATCH(转配商关联商!W653,[1]流向迭代数据!M$2:M$65536,0))</f>
        <v>#N/A</v>
      </c>
      <c r="N653" s="12" t="e">
        <f>INDEX([1]流向迭代数据!J$2:J$65536,MATCH(L653,[1]流向迭代数据!H$2:H$65536,0))</f>
        <v>#N/A</v>
      </c>
      <c r="P653" s="14"/>
      <c r="T653" s="12" t="e">
        <f>INDEX([1]流向迭代数据!K$2:K$65536,MATCH(L653,[1]流向迭代数据!H$2:H$65536,0))</f>
        <v>#N/A</v>
      </c>
      <c r="W653" s="12" t="str">
        <f t="shared" si="21"/>
        <v/>
      </c>
    </row>
    <row r="654" spans="1:23" x14ac:dyDescent="0.15">
      <c r="A654" s="14" t="str">
        <f t="shared" si="20"/>
        <v>190001</v>
      </c>
      <c r="C654" s="12" t="e">
        <f>INDEX(基础数据!$A$2:$A$1024,MATCH(转配商关联商!X654,基础数据!$D$2:$D$1024,0))</f>
        <v>#N/A</v>
      </c>
      <c r="E654" s="12" t="e">
        <f>INDEX(基础数据!$B$2:$B$1024,MATCH(转配商关联商!X654,基础数据!$D$2:$D$1024,0))</f>
        <v>#N/A</v>
      </c>
      <c r="G654" s="12" t="e">
        <f>INDEX([1]流向迭代数据!E$2:E$65536,MATCH(转配商关联商!W654,[1]流向迭代数据!M$2:M$65536,0))</f>
        <v>#N/A</v>
      </c>
      <c r="N654" s="12" t="e">
        <f>INDEX([1]流向迭代数据!J$2:J$65536,MATCH(L654,[1]流向迭代数据!H$2:H$65536,0))</f>
        <v>#N/A</v>
      </c>
      <c r="P654" s="14"/>
      <c r="T654" s="12" t="e">
        <f>INDEX([1]流向迭代数据!K$2:K$65536,MATCH(L654,[1]流向迭代数据!H$2:H$65536,0))</f>
        <v>#N/A</v>
      </c>
      <c r="W654" s="12" t="str">
        <f t="shared" si="21"/>
        <v/>
      </c>
    </row>
    <row r="655" spans="1:23" x14ac:dyDescent="0.15">
      <c r="A655" s="14" t="str">
        <f t="shared" si="20"/>
        <v>190001</v>
      </c>
      <c r="C655" s="12" t="e">
        <f>INDEX(基础数据!$A$2:$A$1024,MATCH(转配商关联商!X655,基础数据!$D$2:$D$1024,0))</f>
        <v>#N/A</v>
      </c>
      <c r="E655" s="12" t="e">
        <f>INDEX(基础数据!$B$2:$B$1024,MATCH(转配商关联商!X655,基础数据!$D$2:$D$1024,0))</f>
        <v>#N/A</v>
      </c>
      <c r="G655" s="12" t="e">
        <f>INDEX([1]流向迭代数据!E$2:E$65536,MATCH(转配商关联商!W655,[1]流向迭代数据!M$2:M$65536,0))</f>
        <v>#N/A</v>
      </c>
      <c r="N655" s="12" t="e">
        <f>INDEX([1]流向迭代数据!J$2:J$65536,MATCH(L655,[1]流向迭代数据!H$2:H$65536,0))</f>
        <v>#N/A</v>
      </c>
      <c r="P655" s="14"/>
      <c r="T655" s="12" t="e">
        <f>INDEX([1]流向迭代数据!K$2:K$65536,MATCH(L655,[1]流向迭代数据!H$2:H$65536,0))</f>
        <v>#N/A</v>
      </c>
      <c r="W655" s="12" t="str">
        <f t="shared" si="21"/>
        <v/>
      </c>
    </row>
    <row r="656" spans="1:23" x14ac:dyDescent="0.15">
      <c r="A656" s="14" t="str">
        <f t="shared" si="20"/>
        <v>190001</v>
      </c>
      <c r="C656" s="12" t="e">
        <f>INDEX(基础数据!$A$2:$A$1024,MATCH(转配商关联商!X656,基础数据!$D$2:$D$1024,0))</f>
        <v>#N/A</v>
      </c>
      <c r="E656" s="12" t="e">
        <f>INDEX(基础数据!$B$2:$B$1024,MATCH(转配商关联商!X656,基础数据!$D$2:$D$1024,0))</f>
        <v>#N/A</v>
      </c>
      <c r="G656" s="12" t="e">
        <f>INDEX([1]流向迭代数据!E$2:E$65536,MATCH(转配商关联商!W656,[1]流向迭代数据!M$2:M$65536,0))</f>
        <v>#N/A</v>
      </c>
      <c r="N656" s="12" t="e">
        <f>INDEX([1]流向迭代数据!J$2:J$65536,MATCH(L656,[1]流向迭代数据!H$2:H$65536,0))</f>
        <v>#N/A</v>
      </c>
      <c r="P656" s="14"/>
      <c r="T656" s="12" t="e">
        <f>INDEX([1]流向迭代数据!K$2:K$65536,MATCH(L656,[1]流向迭代数据!H$2:H$65536,0))</f>
        <v>#N/A</v>
      </c>
      <c r="W656" s="12" t="str">
        <f t="shared" si="21"/>
        <v/>
      </c>
    </row>
    <row r="657" spans="1:23" x14ac:dyDescent="0.15">
      <c r="A657" s="14" t="str">
        <f t="shared" si="20"/>
        <v>190001</v>
      </c>
      <c r="C657" s="12" t="e">
        <f>INDEX(基础数据!$A$2:$A$1024,MATCH(转配商关联商!X657,基础数据!$D$2:$D$1024,0))</f>
        <v>#N/A</v>
      </c>
      <c r="E657" s="12" t="e">
        <f>INDEX(基础数据!$B$2:$B$1024,MATCH(转配商关联商!X657,基础数据!$D$2:$D$1024,0))</f>
        <v>#N/A</v>
      </c>
      <c r="G657" s="12" t="e">
        <f>INDEX([1]流向迭代数据!E$2:E$65536,MATCH(转配商关联商!W657,[1]流向迭代数据!M$2:M$65536,0))</f>
        <v>#N/A</v>
      </c>
      <c r="N657" s="12" t="e">
        <f>INDEX([1]流向迭代数据!J$2:J$65536,MATCH(L657,[1]流向迭代数据!H$2:H$65536,0))</f>
        <v>#N/A</v>
      </c>
      <c r="P657" s="14"/>
      <c r="T657" s="12" t="e">
        <f>INDEX([1]流向迭代数据!K$2:K$65536,MATCH(L657,[1]流向迭代数据!H$2:H$65536,0))</f>
        <v>#N/A</v>
      </c>
      <c r="W657" s="12" t="str">
        <f t="shared" si="21"/>
        <v/>
      </c>
    </row>
    <row r="658" spans="1:23" x14ac:dyDescent="0.15">
      <c r="A658" s="14" t="str">
        <f t="shared" si="20"/>
        <v>190001</v>
      </c>
      <c r="C658" s="12" t="e">
        <f>INDEX(基础数据!$A$2:$A$1024,MATCH(转配商关联商!X658,基础数据!$D$2:$D$1024,0))</f>
        <v>#N/A</v>
      </c>
      <c r="E658" s="12" t="e">
        <f>INDEX(基础数据!$B$2:$B$1024,MATCH(转配商关联商!X658,基础数据!$D$2:$D$1024,0))</f>
        <v>#N/A</v>
      </c>
      <c r="G658" s="12" t="e">
        <f>INDEX([1]流向迭代数据!E$2:E$65536,MATCH(转配商关联商!W658,[1]流向迭代数据!M$2:M$65536,0))</f>
        <v>#N/A</v>
      </c>
      <c r="N658" s="12" t="e">
        <f>INDEX([1]流向迭代数据!J$2:J$65536,MATCH(L658,[1]流向迭代数据!H$2:H$65536,0))</f>
        <v>#N/A</v>
      </c>
      <c r="P658" s="14"/>
      <c r="T658" s="12" t="e">
        <f>INDEX([1]流向迭代数据!K$2:K$65536,MATCH(L658,[1]流向迭代数据!H$2:H$65536,0))</f>
        <v>#N/A</v>
      </c>
      <c r="W658" s="12" t="str">
        <f t="shared" si="21"/>
        <v/>
      </c>
    </row>
    <row r="659" spans="1:23" x14ac:dyDescent="0.15">
      <c r="A659" s="14" t="str">
        <f t="shared" si="20"/>
        <v>190001</v>
      </c>
      <c r="C659" s="12" t="e">
        <f>INDEX(基础数据!$A$2:$A$1024,MATCH(转配商关联商!X659,基础数据!$D$2:$D$1024,0))</f>
        <v>#N/A</v>
      </c>
      <c r="E659" s="12" t="e">
        <f>INDEX(基础数据!$B$2:$B$1024,MATCH(转配商关联商!X659,基础数据!$D$2:$D$1024,0))</f>
        <v>#N/A</v>
      </c>
      <c r="G659" s="12" t="e">
        <f>INDEX([1]流向迭代数据!E$2:E$65536,MATCH(转配商关联商!W659,[1]流向迭代数据!M$2:M$65536,0))</f>
        <v>#N/A</v>
      </c>
      <c r="N659" s="12" t="e">
        <f>INDEX([1]流向迭代数据!J$2:J$65536,MATCH(L659,[1]流向迭代数据!H$2:H$65536,0))</f>
        <v>#N/A</v>
      </c>
      <c r="P659" s="14"/>
      <c r="T659" s="12" t="e">
        <f>INDEX([1]流向迭代数据!K$2:K$65536,MATCH(L659,[1]流向迭代数据!H$2:H$65536,0))</f>
        <v>#N/A</v>
      </c>
      <c r="W659" s="12" t="str">
        <f t="shared" si="21"/>
        <v/>
      </c>
    </row>
    <row r="660" spans="1:23" x14ac:dyDescent="0.15">
      <c r="A660" s="14" t="str">
        <f t="shared" si="20"/>
        <v>190001</v>
      </c>
      <c r="C660" s="12" t="e">
        <f>INDEX(基础数据!$A$2:$A$1024,MATCH(转配商关联商!X660,基础数据!$D$2:$D$1024,0))</f>
        <v>#N/A</v>
      </c>
      <c r="E660" s="12" t="e">
        <f>INDEX(基础数据!$B$2:$B$1024,MATCH(转配商关联商!X660,基础数据!$D$2:$D$1024,0))</f>
        <v>#N/A</v>
      </c>
      <c r="G660" s="12" t="e">
        <f>INDEX([1]流向迭代数据!E$2:E$65536,MATCH(转配商关联商!W660,[1]流向迭代数据!M$2:M$65536,0))</f>
        <v>#N/A</v>
      </c>
      <c r="N660" s="12" t="e">
        <f>INDEX([1]流向迭代数据!J$2:J$65536,MATCH(L660,[1]流向迭代数据!H$2:H$65536,0))</f>
        <v>#N/A</v>
      </c>
      <c r="P660" s="14"/>
      <c r="T660" s="12" t="e">
        <f>INDEX([1]流向迭代数据!K$2:K$65536,MATCH(L660,[1]流向迭代数据!H$2:H$65536,0))</f>
        <v>#N/A</v>
      </c>
      <c r="W660" s="12" t="str">
        <f t="shared" si="21"/>
        <v/>
      </c>
    </row>
    <row r="661" spans="1:23" x14ac:dyDescent="0.15">
      <c r="A661" s="14" t="str">
        <f t="shared" si="20"/>
        <v>190001</v>
      </c>
      <c r="C661" s="12" t="e">
        <f>INDEX(基础数据!$A$2:$A$1024,MATCH(转配商关联商!X661,基础数据!$D$2:$D$1024,0))</f>
        <v>#N/A</v>
      </c>
      <c r="E661" s="12" t="e">
        <f>INDEX(基础数据!$B$2:$B$1024,MATCH(转配商关联商!X661,基础数据!$D$2:$D$1024,0))</f>
        <v>#N/A</v>
      </c>
      <c r="G661" s="12" t="e">
        <f>INDEX([1]流向迭代数据!E$2:E$65536,MATCH(转配商关联商!W661,[1]流向迭代数据!M$2:M$65536,0))</f>
        <v>#N/A</v>
      </c>
      <c r="N661" s="12" t="e">
        <f>INDEX([1]流向迭代数据!J$2:J$65536,MATCH(L661,[1]流向迭代数据!H$2:H$65536,0))</f>
        <v>#N/A</v>
      </c>
      <c r="P661" s="14"/>
      <c r="T661" s="12" t="e">
        <f>INDEX([1]流向迭代数据!K$2:K$65536,MATCH(L661,[1]流向迭代数据!H$2:H$65536,0))</f>
        <v>#N/A</v>
      </c>
      <c r="W661" s="12" t="str">
        <f t="shared" si="21"/>
        <v/>
      </c>
    </row>
    <row r="662" spans="1:23" x14ac:dyDescent="0.15">
      <c r="A662" s="14" t="str">
        <f t="shared" si="20"/>
        <v>190001</v>
      </c>
      <c r="C662" s="12" t="e">
        <f>INDEX(基础数据!$A$2:$A$1024,MATCH(转配商关联商!X662,基础数据!$D$2:$D$1024,0))</f>
        <v>#N/A</v>
      </c>
      <c r="E662" s="12" t="e">
        <f>INDEX(基础数据!$B$2:$B$1024,MATCH(转配商关联商!X662,基础数据!$D$2:$D$1024,0))</f>
        <v>#N/A</v>
      </c>
      <c r="G662" s="12" t="e">
        <f>INDEX([1]流向迭代数据!E$2:E$65536,MATCH(转配商关联商!W662,[1]流向迭代数据!M$2:M$65536,0))</f>
        <v>#N/A</v>
      </c>
      <c r="N662" s="12" t="e">
        <f>INDEX([1]流向迭代数据!J$2:J$65536,MATCH(L662,[1]流向迭代数据!H$2:H$65536,0))</f>
        <v>#N/A</v>
      </c>
      <c r="P662" s="14"/>
      <c r="T662" s="12" t="e">
        <f>INDEX([1]流向迭代数据!K$2:K$65536,MATCH(L662,[1]流向迭代数据!H$2:H$65536,0))</f>
        <v>#N/A</v>
      </c>
      <c r="W662" s="12" t="str">
        <f t="shared" si="21"/>
        <v/>
      </c>
    </row>
    <row r="663" spans="1:23" x14ac:dyDescent="0.15">
      <c r="A663" s="14" t="str">
        <f t="shared" si="20"/>
        <v>190001</v>
      </c>
      <c r="C663" s="12" t="e">
        <f>INDEX(基础数据!$A$2:$A$1024,MATCH(转配商关联商!X663,基础数据!$D$2:$D$1024,0))</f>
        <v>#N/A</v>
      </c>
      <c r="E663" s="12" t="e">
        <f>INDEX(基础数据!$B$2:$B$1024,MATCH(转配商关联商!X663,基础数据!$D$2:$D$1024,0))</f>
        <v>#N/A</v>
      </c>
      <c r="G663" s="12" t="e">
        <f>INDEX([1]流向迭代数据!E$2:E$65536,MATCH(转配商关联商!W663,[1]流向迭代数据!M$2:M$65536,0))</f>
        <v>#N/A</v>
      </c>
      <c r="N663" s="12" t="e">
        <f>INDEX([1]流向迭代数据!J$2:J$65536,MATCH(L663,[1]流向迭代数据!H$2:H$65536,0))</f>
        <v>#N/A</v>
      </c>
      <c r="P663" s="14"/>
      <c r="T663" s="12" t="e">
        <f>INDEX([1]流向迭代数据!K$2:K$65536,MATCH(L663,[1]流向迭代数据!H$2:H$65536,0))</f>
        <v>#N/A</v>
      </c>
      <c r="W663" s="12" t="str">
        <f t="shared" si="21"/>
        <v/>
      </c>
    </row>
    <row r="664" spans="1:23" x14ac:dyDescent="0.15">
      <c r="A664" s="14" t="str">
        <f t="shared" si="20"/>
        <v>190001</v>
      </c>
      <c r="C664" s="12" t="e">
        <f>INDEX(基础数据!$A$2:$A$1024,MATCH(转配商关联商!X664,基础数据!$D$2:$D$1024,0))</f>
        <v>#N/A</v>
      </c>
      <c r="E664" s="12" t="e">
        <f>INDEX(基础数据!$B$2:$B$1024,MATCH(转配商关联商!X664,基础数据!$D$2:$D$1024,0))</f>
        <v>#N/A</v>
      </c>
      <c r="G664" s="12" t="e">
        <f>INDEX([1]流向迭代数据!E$2:E$65536,MATCH(转配商关联商!W664,[1]流向迭代数据!M$2:M$65536,0))</f>
        <v>#N/A</v>
      </c>
      <c r="N664" s="12" t="e">
        <f>INDEX([1]流向迭代数据!J$2:J$65536,MATCH(L664,[1]流向迭代数据!H$2:H$65536,0))</f>
        <v>#N/A</v>
      </c>
      <c r="P664" s="14"/>
      <c r="T664" s="12" t="e">
        <f>INDEX([1]流向迭代数据!K$2:K$65536,MATCH(L664,[1]流向迭代数据!H$2:H$65536,0))</f>
        <v>#N/A</v>
      </c>
      <c r="W664" s="12" t="str">
        <f t="shared" si="21"/>
        <v/>
      </c>
    </row>
    <row r="665" spans="1:23" x14ac:dyDescent="0.15">
      <c r="A665" s="14" t="str">
        <f t="shared" si="20"/>
        <v>190001</v>
      </c>
      <c r="C665" s="12" t="e">
        <f>INDEX(基础数据!$A$2:$A$1024,MATCH(转配商关联商!X665,基础数据!$D$2:$D$1024,0))</f>
        <v>#N/A</v>
      </c>
      <c r="E665" s="12" t="e">
        <f>INDEX(基础数据!$B$2:$B$1024,MATCH(转配商关联商!X665,基础数据!$D$2:$D$1024,0))</f>
        <v>#N/A</v>
      </c>
      <c r="G665" s="12" t="e">
        <f>INDEX([1]流向迭代数据!E$2:E$65536,MATCH(转配商关联商!W665,[1]流向迭代数据!M$2:M$65536,0))</f>
        <v>#N/A</v>
      </c>
      <c r="N665" s="12" t="e">
        <f>INDEX([1]流向迭代数据!J$2:J$65536,MATCH(L665,[1]流向迭代数据!H$2:H$65536,0))</f>
        <v>#N/A</v>
      </c>
      <c r="P665" s="14"/>
      <c r="T665" s="12" t="e">
        <f>INDEX([1]流向迭代数据!K$2:K$65536,MATCH(L665,[1]流向迭代数据!H$2:H$65536,0))</f>
        <v>#N/A</v>
      </c>
      <c r="W665" s="12" t="str">
        <f t="shared" si="21"/>
        <v/>
      </c>
    </row>
    <row r="666" spans="1:23" x14ac:dyDescent="0.15">
      <c r="A666" s="14" t="str">
        <f t="shared" si="20"/>
        <v>190001</v>
      </c>
      <c r="C666" s="12" t="e">
        <f>INDEX(基础数据!$A$2:$A$1024,MATCH(转配商关联商!X666,基础数据!$D$2:$D$1024,0))</f>
        <v>#N/A</v>
      </c>
      <c r="E666" s="12" t="e">
        <f>INDEX(基础数据!$B$2:$B$1024,MATCH(转配商关联商!X666,基础数据!$D$2:$D$1024,0))</f>
        <v>#N/A</v>
      </c>
      <c r="G666" s="12" t="e">
        <f>INDEX([1]流向迭代数据!E$2:E$65536,MATCH(转配商关联商!W666,[1]流向迭代数据!M$2:M$65536,0))</f>
        <v>#N/A</v>
      </c>
      <c r="N666" s="12" t="e">
        <f>INDEX([1]流向迭代数据!J$2:J$65536,MATCH(L666,[1]流向迭代数据!H$2:H$65536,0))</f>
        <v>#N/A</v>
      </c>
      <c r="P666" s="14"/>
      <c r="T666" s="12" t="e">
        <f>INDEX([1]流向迭代数据!K$2:K$65536,MATCH(L666,[1]流向迭代数据!H$2:H$65536,0))</f>
        <v>#N/A</v>
      </c>
      <c r="W666" s="12" t="str">
        <f t="shared" si="21"/>
        <v/>
      </c>
    </row>
    <row r="667" spans="1:23" x14ac:dyDescent="0.15">
      <c r="A667" s="14" t="str">
        <f t="shared" si="20"/>
        <v>190001</v>
      </c>
      <c r="C667" s="12" t="e">
        <f>INDEX(基础数据!$A$2:$A$1024,MATCH(转配商关联商!X667,基础数据!$D$2:$D$1024,0))</f>
        <v>#N/A</v>
      </c>
      <c r="E667" s="12" t="e">
        <f>INDEX(基础数据!$B$2:$B$1024,MATCH(转配商关联商!X667,基础数据!$D$2:$D$1024,0))</f>
        <v>#N/A</v>
      </c>
      <c r="G667" s="12" t="e">
        <f>INDEX([1]流向迭代数据!E$2:E$65536,MATCH(转配商关联商!W667,[1]流向迭代数据!M$2:M$65536,0))</f>
        <v>#N/A</v>
      </c>
      <c r="N667" s="12" t="e">
        <f>INDEX([1]流向迭代数据!J$2:J$65536,MATCH(L667,[1]流向迭代数据!H$2:H$65536,0))</f>
        <v>#N/A</v>
      </c>
      <c r="P667" s="14"/>
      <c r="T667" s="12" t="e">
        <f>INDEX([1]流向迭代数据!K$2:K$65536,MATCH(L667,[1]流向迭代数据!H$2:H$65536,0))</f>
        <v>#N/A</v>
      </c>
      <c r="W667" s="12" t="str">
        <f t="shared" si="21"/>
        <v/>
      </c>
    </row>
    <row r="668" spans="1:23" x14ac:dyDescent="0.15">
      <c r="A668" s="14" t="str">
        <f t="shared" si="20"/>
        <v>190001</v>
      </c>
      <c r="C668" s="12" t="e">
        <f>INDEX(基础数据!$A$2:$A$1024,MATCH(转配商关联商!X668,基础数据!$D$2:$D$1024,0))</f>
        <v>#N/A</v>
      </c>
      <c r="E668" s="12" t="e">
        <f>INDEX(基础数据!$B$2:$B$1024,MATCH(转配商关联商!X668,基础数据!$D$2:$D$1024,0))</f>
        <v>#N/A</v>
      </c>
      <c r="G668" s="12" t="e">
        <f>INDEX([1]流向迭代数据!E$2:E$65536,MATCH(转配商关联商!W668,[1]流向迭代数据!M$2:M$65536,0))</f>
        <v>#N/A</v>
      </c>
      <c r="N668" s="12" t="e">
        <f>INDEX([1]流向迭代数据!J$2:J$65536,MATCH(L668,[1]流向迭代数据!H$2:H$65536,0))</f>
        <v>#N/A</v>
      </c>
      <c r="P668" s="14"/>
      <c r="T668" s="12" t="e">
        <f>INDEX([1]流向迭代数据!K$2:K$65536,MATCH(L668,[1]流向迭代数据!H$2:H$65536,0))</f>
        <v>#N/A</v>
      </c>
      <c r="W668" s="12" t="str">
        <f t="shared" si="21"/>
        <v/>
      </c>
    </row>
    <row r="669" spans="1:23" x14ac:dyDescent="0.15">
      <c r="A669" s="14" t="str">
        <f t="shared" si="20"/>
        <v>190001</v>
      </c>
      <c r="C669" s="12" t="e">
        <f>INDEX(基础数据!$A$2:$A$1024,MATCH(转配商关联商!X669,基础数据!$D$2:$D$1024,0))</f>
        <v>#N/A</v>
      </c>
      <c r="E669" s="12" t="e">
        <f>INDEX(基础数据!$B$2:$B$1024,MATCH(转配商关联商!X669,基础数据!$D$2:$D$1024,0))</f>
        <v>#N/A</v>
      </c>
      <c r="G669" s="12" t="e">
        <f>INDEX([1]流向迭代数据!E$2:E$65536,MATCH(转配商关联商!W669,[1]流向迭代数据!M$2:M$65536,0))</f>
        <v>#N/A</v>
      </c>
      <c r="N669" s="12" t="e">
        <f>INDEX([1]流向迭代数据!J$2:J$65536,MATCH(L669,[1]流向迭代数据!H$2:H$65536,0))</f>
        <v>#N/A</v>
      </c>
      <c r="P669" s="14"/>
      <c r="T669" s="12" t="e">
        <f>INDEX([1]流向迭代数据!K$2:K$65536,MATCH(L669,[1]流向迭代数据!H$2:H$65536,0))</f>
        <v>#N/A</v>
      </c>
      <c r="W669" s="12" t="str">
        <f t="shared" si="21"/>
        <v/>
      </c>
    </row>
    <row r="670" spans="1:23" x14ac:dyDescent="0.15">
      <c r="A670" s="14" t="str">
        <f t="shared" si="20"/>
        <v>190001</v>
      </c>
      <c r="C670" s="12" t="e">
        <f>INDEX(基础数据!$A$2:$A$1024,MATCH(转配商关联商!X670,基础数据!$D$2:$D$1024,0))</f>
        <v>#N/A</v>
      </c>
      <c r="E670" s="12" t="e">
        <f>INDEX(基础数据!$B$2:$B$1024,MATCH(转配商关联商!X670,基础数据!$D$2:$D$1024,0))</f>
        <v>#N/A</v>
      </c>
      <c r="G670" s="12" t="e">
        <f>INDEX([1]流向迭代数据!E$2:E$65536,MATCH(转配商关联商!W670,[1]流向迭代数据!M$2:M$65536,0))</f>
        <v>#N/A</v>
      </c>
      <c r="N670" s="12" t="e">
        <f>INDEX([1]流向迭代数据!J$2:J$65536,MATCH(L670,[1]流向迭代数据!H$2:H$65536,0))</f>
        <v>#N/A</v>
      </c>
      <c r="P670" s="14"/>
      <c r="T670" s="12" t="e">
        <f>INDEX([1]流向迭代数据!K$2:K$65536,MATCH(L670,[1]流向迭代数据!H$2:H$65536,0))</f>
        <v>#N/A</v>
      </c>
      <c r="W670" s="12" t="str">
        <f t="shared" si="21"/>
        <v/>
      </c>
    </row>
    <row r="671" spans="1:23" x14ac:dyDescent="0.15">
      <c r="A671" s="14" t="str">
        <f t="shared" si="20"/>
        <v>190001</v>
      </c>
      <c r="C671" s="12" t="e">
        <f>INDEX(基础数据!$A$2:$A$1024,MATCH(转配商关联商!X671,基础数据!$D$2:$D$1024,0))</f>
        <v>#N/A</v>
      </c>
      <c r="E671" s="12" t="e">
        <f>INDEX(基础数据!$B$2:$B$1024,MATCH(转配商关联商!X671,基础数据!$D$2:$D$1024,0))</f>
        <v>#N/A</v>
      </c>
      <c r="G671" s="12" t="e">
        <f>INDEX([1]流向迭代数据!E$2:E$65536,MATCH(转配商关联商!W671,[1]流向迭代数据!M$2:M$65536,0))</f>
        <v>#N/A</v>
      </c>
      <c r="N671" s="12" t="e">
        <f>INDEX([1]流向迭代数据!J$2:J$65536,MATCH(L671,[1]流向迭代数据!H$2:H$65536,0))</f>
        <v>#N/A</v>
      </c>
      <c r="P671" s="14"/>
      <c r="T671" s="12" t="e">
        <f>INDEX([1]流向迭代数据!K$2:K$65536,MATCH(L671,[1]流向迭代数据!H$2:H$65536,0))</f>
        <v>#N/A</v>
      </c>
      <c r="W671" s="12" t="str">
        <f t="shared" si="21"/>
        <v/>
      </c>
    </row>
    <row r="672" spans="1:23" x14ac:dyDescent="0.15">
      <c r="A672" s="14" t="str">
        <f t="shared" si="20"/>
        <v>190001</v>
      </c>
      <c r="C672" s="12" t="e">
        <f>INDEX(基础数据!$A$2:$A$1024,MATCH(转配商关联商!X672,基础数据!$D$2:$D$1024,0))</f>
        <v>#N/A</v>
      </c>
      <c r="E672" s="12" t="e">
        <f>INDEX(基础数据!$B$2:$B$1024,MATCH(转配商关联商!X672,基础数据!$D$2:$D$1024,0))</f>
        <v>#N/A</v>
      </c>
      <c r="G672" s="12" t="e">
        <f>INDEX([1]流向迭代数据!E$2:E$65536,MATCH(转配商关联商!W672,[1]流向迭代数据!M$2:M$65536,0))</f>
        <v>#N/A</v>
      </c>
      <c r="N672" s="12" t="e">
        <f>INDEX([1]流向迭代数据!J$2:J$65536,MATCH(L672,[1]流向迭代数据!H$2:H$65536,0))</f>
        <v>#N/A</v>
      </c>
      <c r="P672" s="14"/>
      <c r="T672" s="12" t="e">
        <f>INDEX([1]流向迭代数据!K$2:K$65536,MATCH(L672,[1]流向迭代数据!H$2:H$65536,0))</f>
        <v>#N/A</v>
      </c>
      <c r="W672" s="12" t="str">
        <f t="shared" si="21"/>
        <v/>
      </c>
    </row>
    <row r="673" spans="1:23" x14ac:dyDescent="0.15">
      <c r="A673" s="14" t="str">
        <f t="shared" si="20"/>
        <v>190001</v>
      </c>
      <c r="C673" s="12" t="e">
        <f>INDEX(基础数据!$A$2:$A$1024,MATCH(转配商关联商!X673,基础数据!$D$2:$D$1024,0))</f>
        <v>#N/A</v>
      </c>
      <c r="E673" s="12" t="e">
        <f>INDEX(基础数据!$B$2:$B$1024,MATCH(转配商关联商!X673,基础数据!$D$2:$D$1024,0))</f>
        <v>#N/A</v>
      </c>
      <c r="G673" s="12" t="e">
        <f>INDEX([1]流向迭代数据!E$2:E$65536,MATCH(转配商关联商!W673,[1]流向迭代数据!M$2:M$65536,0))</f>
        <v>#N/A</v>
      </c>
      <c r="N673" s="12" t="e">
        <f>INDEX([1]流向迭代数据!J$2:J$65536,MATCH(L673,[1]流向迭代数据!H$2:H$65536,0))</f>
        <v>#N/A</v>
      </c>
      <c r="P673" s="14"/>
      <c r="T673" s="12" t="e">
        <f>INDEX([1]流向迭代数据!K$2:K$65536,MATCH(L673,[1]流向迭代数据!H$2:H$65536,0))</f>
        <v>#N/A</v>
      </c>
      <c r="W673" s="12" t="str">
        <f t="shared" si="21"/>
        <v/>
      </c>
    </row>
    <row r="674" spans="1:23" x14ac:dyDescent="0.15">
      <c r="A674" s="14" t="str">
        <f t="shared" si="20"/>
        <v>190001</v>
      </c>
      <c r="C674" s="12" t="e">
        <f>INDEX(基础数据!$A$2:$A$1024,MATCH(转配商关联商!X674,基础数据!$D$2:$D$1024,0))</f>
        <v>#N/A</v>
      </c>
      <c r="E674" s="12" t="e">
        <f>INDEX(基础数据!$B$2:$B$1024,MATCH(转配商关联商!X674,基础数据!$D$2:$D$1024,0))</f>
        <v>#N/A</v>
      </c>
      <c r="G674" s="12" t="e">
        <f>INDEX([1]流向迭代数据!E$2:E$65536,MATCH(转配商关联商!W674,[1]流向迭代数据!M$2:M$65536,0))</f>
        <v>#N/A</v>
      </c>
      <c r="N674" s="12" t="e">
        <f>INDEX([1]流向迭代数据!J$2:J$65536,MATCH(L674,[1]流向迭代数据!H$2:H$65536,0))</f>
        <v>#N/A</v>
      </c>
      <c r="P674" s="14"/>
      <c r="T674" s="12" t="e">
        <f>INDEX([1]流向迭代数据!K$2:K$65536,MATCH(L674,[1]流向迭代数据!H$2:H$65536,0))</f>
        <v>#N/A</v>
      </c>
      <c r="W674" s="12" t="str">
        <f t="shared" si="21"/>
        <v/>
      </c>
    </row>
    <row r="675" spans="1:23" x14ac:dyDescent="0.15">
      <c r="A675" s="14" t="str">
        <f t="shared" si="20"/>
        <v>190001</v>
      </c>
      <c r="C675" s="12" t="e">
        <f>INDEX(基础数据!$A$2:$A$1024,MATCH(转配商关联商!X675,基础数据!$D$2:$D$1024,0))</f>
        <v>#N/A</v>
      </c>
      <c r="E675" s="12" t="e">
        <f>INDEX(基础数据!$B$2:$B$1024,MATCH(转配商关联商!X675,基础数据!$D$2:$D$1024,0))</f>
        <v>#N/A</v>
      </c>
      <c r="G675" s="12" t="e">
        <f>INDEX([1]流向迭代数据!E$2:E$65536,MATCH(转配商关联商!W675,[1]流向迭代数据!M$2:M$65536,0))</f>
        <v>#N/A</v>
      </c>
      <c r="N675" s="12" t="e">
        <f>INDEX([1]流向迭代数据!J$2:J$65536,MATCH(L675,[1]流向迭代数据!H$2:H$65536,0))</f>
        <v>#N/A</v>
      </c>
      <c r="P675" s="14"/>
      <c r="T675" s="12" t="e">
        <f>INDEX([1]流向迭代数据!K$2:K$65536,MATCH(L675,[1]流向迭代数据!H$2:H$65536,0))</f>
        <v>#N/A</v>
      </c>
      <c r="W675" s="12" t="str">
        <f t="shared" si="21"/>
        <v/>
      </c>
    </row>
    <row r="676" spans="1:23" x14ac:dyDescent="0.15">
      <c r="A676" s="14" t="str">
        <f t="shared" si="20"/>
        <v>190001</v>
      </c>
      <c r="C676" s="12" t="e">
        <f>INDEX(基础数据!$A$2:$A$1024,MATCH(转配商关联商!X676,基础数据!$D$2:$D$1024,0))</f>
        <v>#N/A</v>
      </c>
      <c r="E676" s="12" t="e">
        <f>INDEX(基础数据!$B$2:$B$1024,MATCH(转配商关联商!X676,基础数据!$D$2:$D$1024,0))</f>
        <v>#N/A</v>
      </c>
      <c r="G676" s="12" t="e">
        <f>INDEX([1]流向迭代数据!E$2:E$65536,MATCH(转配商关联商!W676,[1]流向迭代数据!M$2:M$65536,0))</f>
        <v>#N/A</v>
      </c>
      <c r="N676" s="12" t="e">
        <f>INDEX([1]流向迭代数据!J$2:J$65536,MATCH(L676,[1]流向迭代数据!H$2:H$65536,0))</f>
        <v>#N/A</v>
      </c>
      <c r="P676" s="14"/>
      <c r="T676" s="12" t="e">
        <f>INDEX([1]流向迭代数据!K$2:K$65536,MATCH(L676,[1]流向迭代数据!H$2:H$65536,0))</f>
        <v>#N/A</v>
      </c>
      <c r="W676" s="12" t="str">
        <f t="shared" si="21"/>
        <v/>
      </c>
    </row>
    <row r="677" spans="1:23" x14ac:dyDescent="0.15">
      <c r="A677" s="14" t="str">
        <f t="shared" si="20"/>
        <v>190001</v>
      </c>
      <c r="C677" s="12" t="e">
        <f>INDEX(基础数据!$A$2:$A$1024,MATCH(转配商关联商!X677,基础数据!$D$2:$D$1024,0))</f>
        <v>#N/A</v>
      </c>
      <c r="E677" s="12" t="e">
        <f>INDEX(基础数据!$B$2:$B$1024,MATCH(转配商关联商!X677,基础数据!$D$2:$D$1024,0))</f>
        <v>#N/A</v>
      </c>
      <c r="G677" s="12" t="e">
        <f>INDEX([1]流向迭代数据!E$2:E$65536,MATCH(转配商关联商!W677,[1]流向迭代数据!M$2:M$65536,0))</f>
        <v>#N/A</v>
      </c>
      <c r="N677" s="12" t="e">
        <f>INDEX([1]流向迭代数据!J$2:J$65536,MATCH(L677,[1]流向迭代数据!H$2:H$65536,0))</f>
        <v>#N/A</v>
      </c>
      <c r="P677" s="14"/>
      <c r="T677" s="12" t="e">
        <f>INDEX([1]流向迭代数据!K$2:K$65536,MATCH(L677,[1]流向迭代数据!H$2:H$65536,0))</f>
        <v>#N/A</v>
      </c>
      <c r="W677" s="12" t="str">
        <f t="shared" si="21"/>
        <v/>
      </c>
    </row>
    <row r="678" spans="1:23" x14ac:dyDescent="0.15">
      <c r="A678" s="14" t="str">
        <f t="shared" si="20"/>
        <v>190001</v>
      </c>
      <c r="C678" s="12" t="e">
        <f>INDEX(基础数据!$A$2:$A$1024,MATCH(转配商关联商!X678,基础数据!$D$2:$D$1024,0))</f>
        <v>#N/A</v>
      </c>
      <c r="E678" s="12" t="e">
        <f>INDEX(基础数据!$B$2:$B$1024,MATCH(转配商关联商!X678,基础数据!$D$2:$D$1024,0))</f>
        <v>#N/A</v>
      </c>
      <c r="G678" s="12" t="e">
        <f>INDEX([1]流向迭代数据!E$2:E$65536,MATCH(转配商关联商!W678,[1]流向迭代数据!M$2:M$65536,0))</f>
        <v>#N/A</v>
      </c>
      <c r="N678" s="12" t="e">
        <f>INDEX([1]流向迭代数据!J$2:J$65536,MATCH(L678,[1]流向迭代数据!H$2:H$65536,0))</f>
        <v>#N/A</v>
      </c>
      <c r="P678" s="14"/>
      <c r="T678" s="12" t="e">
        <f>INDEX([1]流向迭代数据!K$2:K$65536,MATCH(L678,[1]流向迭代数据!H$2:H$65536,0))</f>
        <v>#N/A</v>
      </c>
      <c r="W678" s="12" t="str">
        <f t="shared" si="21"/>
        <v/>
      </c>
    </row>
    <row r="679" spans="1:23" x14ac:dyDescent="0.15">
      <c r="A679" s="14" t="str">
        <f t="shared" si="20"/>
        <v>190001</v>
      </c>
      <c r="C679" s="12" t="e">
        <f>INDEX(基础数据!$A$2:$A$1024,MATCH(转配商关联商!X679,基础数据!$D$2:$D$1024,0))</f>
        <v>#N/A</v>
      </c>
      <c r="E679" s="12" t="e">
        <f>INDEX(基础数据!$B$2:$B$1024,MATCH(转配商关联商!X679,基础数据!$D$2:$D$1024,0))</f>
        <v>#N/A</v>
      </c>
      <c r="G679" s="12" t="e">
        <f>INDEX([1]流向迭代数据!E$2:E$65536,MATCH(转配商关联商!W679,[1]流向迭代数据!M$2:M$65536,0))</f>
        <v>#N/A</v>
      </c>
      <c r="N679" s="12" t="e">
        <f>INDEX([1]流向迭代数据!J$2:J$65536,MATCH(L679,[1]流向迭代数据!H$2:H$65536,0))</f>
        <v>#N/A</v>
      </c>
      <c r="P679" s="14"/>
      <c r="T679" s="12" t="e">
        <f>INDEX([1]流向迭代数据!K$2:K$65536,MATCH(L679,[1]流向迭代数据!H$2:H$65536,0))</f>
        <v>#N/A</v>
      </c>
      <c r="W679" s="12" t="str">
        <f t="shared" si="21"/>
        <v/>
      </c>
    </row>
    <row r="680" spans="1:23" x14ac:dyDescent="0.15">
      <c r="A680" s="14" t="str">
        <f t="shared" si="20"/>
        <v>190001</v>
      </c>
      <c r="C680" s="12" t="e">
        <f>INDEX(基础数据!$A$2:$A$1024,MATCH(转配商关联商!X680,基础数据!$D$2:$D$1024,0))</f>
        <v>#N/A</v>
      </c>
      <c r="E680" s="12" t="e">
        <f>INDEX(基础数据!$B$2:$B$1024,MATCH(转配商关联商!X680,基础数据!$D$2:$D$1024,0))</f>
        <v>#N/A</v>
      </c>
      <c r="G680" s="12" t="e">
        <f>INDEX([1]流向迭代数据!E$2:E$65536,MATCH(转配商关联商!W680,[1]流向迭代数据!M$2:M$65536,0))</f>
        <v>#N/A</v>
      </c>
      <c r="N680" s="12" t="e">
        <f>INDEX([1]流向迭代数据!J$2:J$65536,MATCH(L680,[1]流向迭代数据!H$2:H$65536,0))</f>
        <v>#N/A</v>
      </c>
      <c r="P680" s="14"/>
      <c r="T680" s="12" t="e">
        <f>INDEX([1]流向迭代数据!K$2:K$65536,MATCH(L680,[1]流向迭代数据!H$2:H$65536,0))</f>
        <v>#N/A</v>
      </c>
      <c r="W680" s="12" t="str">
        <f t="shared" si="21"/>
        <v/>
      </c>
    </row>
    <row r="681" spans="1:23" x14ac:dyDescent="0.15">
      <c r="A681" s="14" t="str">
        <f t="shared" si="20"/>
        <v>190001</v>
      </c>
      <c r="C681" s="12" t="e">
        <f>INDEX(基础数据!$A$2:$A$1024,MATCH(转配商关联商!X681,基础数据!$D$2:$D$1024,0))</f>
        <v>#N/A</v>
      </c>
      <c r="E681" s="12" t="e">
        <f>INDEX(基础数据!$B$2:$B$1024,MATCH(转配商关联商!X681,基础数据!$D$2:$D$1024,0))</f>
        <v>#N/A</v>
      </c>
      <c r="G681" s="12" t="e">
        <f>INDEX([1]流向迭代数据!E$2:E$65536,MATCH(转配商关联商!W681,[1]流向迭代数据!M$2:M$65536,0))</f>
        <v>#N/A</v>
      </c>
      <c r="N681" s="12" t="e">
        <f>INDEX([1]流向迭代数据!J$2:J$65536,MATCH(L681,[1]流向迭代数据!H$2:H$65536,0))</f>
        <v>#N/A</v>
      </c>
      <c r="P681" s="14"/>
      <c r="T681" s="12" t="e">
        <f>INDEX([1]流向迭代数据!K$2:K$65536,MATCH(L681,[1]流向迭代数据!H$2:H$65536,0))</f>
        <v>#N/A</v>
      </c>
      <c r="W681" s="12" t="str">
        <f t="shared" si="21"/>
        <v/>
      </c>
    </row>
    <row r="682" spans="1:23" x14ac:dyDescent="0.15">
      <c r="A682" s="14" t="str">
        <f t="shared" si="20"/>
        <v>190001</v>
      </c>
      <c r="C682" s="12" t="e">
        <f>INDEX(基础数据!$A$2:$A$1024,MATCH(转配商关联商!X682,基础数据!$D$2:$D$1024,0))</f>
        <v>#N/A</v>
      </c>
      <c r="E682" s="12" t="e">
        <f>INDEX(基础数据!$B$2:$B$1024,MATCH(转配商关联商!X682,基础数据!$D$2:$D$1024,0))</f>
        <v>#N/A</v>
      </c>
      <c r="G682" s="12" t="e">
        <f>INDEX([1]流向迭代数据!E$2:E$65536,MATCH(转配商关联商!W682,[1]流向迭代数据!M$2:M$65536,0))</f>
        <v>#N/A</v>
      </c>
      <c r="N682" s="12" t="e">
        <f>INDEX([1]流向迭代数据!J$2:J$65536,MATCH(L682,[1]流向迭代数据!H$2:H$65536,0))</f>
        <v>#N/A</v>
      </c>
      <c r="P682" s="14"/>
      <c r="T682" s="12" t="e">
        <f>INDEX([1]流向迭代数据!K$2:K$65536,MATCH(L682,[1]流向迭代数据!H$2:H$65536,0))</f>
        <v>#N/A</v>
      </c>
      <c r="W682" s="12" t="str">
        <f t="shared" si="21"/>
        <v/>
      </c>
    </row>
    <row r="683" spans="1:23" x14ac:dyDescent="0.15">
      <c r="A683" s="14" t="str">
        <f t="shared" si="20"/>
        <v>190001</v>
      </c>
      <c r="C683" s="12" t="e">
        <f>INDEX(基础数据!$A$2:$A$1024,MATCH(转配商关联商!X683,基础数据!$D$2:$D$1024,0))</f>
        <v>#N/A</v>
      </c>
      <c r="E683" s="12" t="e">
        <f>INDEX(基础数据!$B$2:$B$1024,MATCH(转配商关联商!X683,基础数据!$D$2:$D$1024,0))</f>
        <v>#N/A</v>
      </c>
      <c r="G683" s="12" t="e">
        <f>INDEX([1]流向迭代数据!E$2:E$65536,MATCH(转配商关联商!W683,[1]流向迭代数据!M$2:M$65536,0))</f>
        <v>#N/A</v>
      </c>
      <c r="N683" s="12" t="e">
        <f>INDEX([1]流向迭代数据!J$2:J$65536,MATCH(L683,[1]流向迭代数据!H$2:H$65536,0))</f>
        <v>#N/A</v>
      </c>
      <c r="P683" s="14"/>
      <c r="T683" s="12" t="e">
        <f>INDEX([1]流向迭代数据!K$2:K$65536,MATCH(L683,[1]流向迭代数据!H$2:H$65536,0))</f>
        <v>#N/A</v>
      </c>
      <c r="W683" s="12" t="str">
        <f t="shared" si="21"/>
        <v/>
      </c>
    </row>
    <row r="684" spans="1:23" x14ac:dyDescent="0.15">
      <c r="A684" s="14" t="str">
        <f t="shared" si="20"/>
        <v>190001</v>
      </c>
      <c r="C684" s="12" t="e">
        <f>INDEX(基础数据!$A$2:$A$1024,MATCH(转配商关联商!X684,基础数据!$D$2:$D$1024,0))</f>
        <v>#N/A</v>
      </c>
      <c r="E684" s="12" t="e">
        <f>INDEX(基础数据!$B$2:$B$1024,MATCH(转配商关联商!X684,基础数据!$D$2:$D$1024,0))</f>
        <v>#N/A</v>
      </c>
      <c r="G684" s="12" t="e">
        <f>INDEX([1]流向迭代数据!E$2:E$65536,MATCH(转配商关联商!W684,[1]流向迭代数据!M$2:M$65536,0))</f>
        <v>#N/A</v>
      </c>
      <c r="N684" s="12" t="e">
        <f>INDEX([1]流向迭代数据!J$2:J$65536,MATCH(L684,[1]流向迭代数据!H$2:H$65536,0))</f>
        <v>#N/A</v>
      </c>
      <c r="P684" s="14"/>
      <c r="T684" s="12" t="e">
        <f>INDEX([1]流向迭代数据!K$2:K$65536,MATCH(L684,[1]流向迭代数据!H$2:H$65536,0))</f>
        <v>#N/A</v>
      </c>
      <c r="W684" s="12" t="str">
        <f t="shared" si="21"/>
        <v/>
      </c>
    </row>
    <row r="685" spans="1:23" x14ac:dyDescent="0.15">
      <c r="A685" s="14" t="str">
        <f t="shared" si="20"/>
        <v>190001</v>
      </c>
      <c r="C685" s="12" t="e">
        <f>INDEX(基础数据!$A$2:$A$1024,MATCH(转配商关联商!X685,基础数据!$D$2:$D$1024,0))</f>
        <v>#N/A</v>
      </c>
      <c r="E685" s="12" t="e">
        <f>INDEX(基础数据!$B$2:$B$1024,MATCH(转配商关联商!X685,基础数据!$D$2:$D$1024,0))</f>
        <v>#N/A</v>
      </c>
      <c r="G685" s="12" t="e">
        <f>INDEX([1]流向迭代数据!E$2:E$65536,MATCH(转配商关联商!W685,[1]流向迭代数据!M$2:M$65536,0))</f>
        <v>#N/A</v>
      </c>
      <c r="N685" s="12" t="e">
        <f>INDEX([1]流向迭代数据!J$2:J$65536,MATCH(L685,[1]流向迭代数据!H$2:H$65536,0))</f>
        <v>#N/A</v>
      </c>
      <c r="P685" s="14"/>
      <c r="T685" s="12" t="e">
        <f>INDEX([1]流向迭代数据!K$2:K$65536,MATCH(L685,[1]流向迭代数据!H$2:H$65536,0))</f>
        <v>#N/A</v>
      </c>
      <c r="W685" s="12" t="str">
        <f t="shared" si="21"/>
        <v/>
      </c>
    </row>
    <row r="686" spans="1:23" x14ac:dyDescent="0.15">
      <c r="A686" s="14" t="str">
        <f t="shared" si="20"/>
        <v>190001</v>
      </c>
      <c r="C686" s="12" t="e">
        <f>INDEX(基础数据!$A$2:$A$1024,MATCH(转配商关联商!X686,基础数据!$D$2:$D$1024,0))</f>
        <v>#N/A</v>
      </c>
      <c r="E686" s="12" t="e">
        <f>INDEX(基础数据!$B$2:$B$1024,MATCH(转配商关联商!X686,基础数据!$D$2:$D$1024,0))</f>
        <v>#N/A</v>
      </c>
      <c r="G686" s="12" t="e">
        <f>INDEX([1]流向迭代数据!E$2:E$65536,MATCH(转配商关联商!W686,[1]流向迭代数据!M$2:M$65536,0))</f>
        <v>#N/A</v>
      </c>
      <c r="N686" s="12" t="e">
        <f>INDEX([1]流向迭代数据!J$2:J$65536,MATCH(L686,[1]流向迭代数据!H$2:H$65536,0))</f>
        <v>#N/A</v>
      </c>
      <c r="P686" s="14"/>
      <c r="T686" s="12" t="e">
        <f>INDEX([1]流向迭代数据!K$2:K$65536,MATCH(L686,[1]流向迭代数据!H$2:H$65536,0))</f>
        <v>#N/A</v>
      </c>
      <c r="W686" s="12" t="str">
        <f t="shared" si="21"/>
        <v/>
      </c>
    </row>
    <row r="687" spans="1:23" x14ac:dyDescent="0.15">
      <c r="A687" s="14" t="str">
        <f t="shared" si="20"/>
        <v>190001</v>
      </c>
      <c r="C687" s="12" t="e">
        <f>INDEX(基础数据!$A$2:$A$1024,MATCH(转配商关联商!X687,基础数据!$D$2:$D$1024,0))</f>
        <v>#N/A</v>
      </c>
      <c r="E687" s="12" t="e">
        <f>INDEX(基础数据!$B$2:$B$1024,MATCH(转配商关联商!X687,基础数据!$D$2:$D$1024,0))</f>
        <v>#N/A</v>
      </c>
      <c r="G687" s="12" t="e">
        <f>INDEX([1]流向迭代数据!E$2:E$65536,MATCH(转配商关联商!W687,[1]流向迭代数据!M$2:M$65536,0))</f>
        <v>#N/A</v>
      </c>
      <c r="N687" s="12" t="e">
        <f>INDEX([1]流向迭代数据!J$2:J$65536,MATCH(L687,[1]流向迭代数据!H$2:H$65536,0))</f>
        <v>#N/A</v>
      </c>
      <c r="P687" s="14"/>
      <c r="T687" s="12" t="e">
        <f>INDEX([1]流向迭代数据!K$2:K$65536,MATCH(L687,[1]流向迭代数据!H$2:H$65536,0))</f>
        <v>#N/A</v>
      </c>
      <c r="W687" s="12" t="str">
        <f t="shared" si="21"/>
        <v/>
      </c>
    </row>
    <row r="688" spans="1:23" x14ac:dyDescent="0.15">
      <c r="A688" s="14" t="str">
        <f t="shared" si="20"/>
        <v>190001</v>
      </c>
      <c r="C688" s="12" t="e">
        <f>INDEX(基础数据!$A$2:$A$1024,MATCH(转配商关联商!X688,基础数据!$D$2:$D$1024,0))</f>
        <v>#N/A</v>
      </c>
      <c r="E688" s="12" t="e">
        <f>INDEX(基础数据!$B$2:$B$1024,MATCH(转配商关联商!X688,基础数据!$D$2:$D$1024,0))</f>
        <v>#N/A</v>
      </c>
      <c r="G688" s="12" t="e">
        <f>INDEX([1]流向迭代数据!E$2:E$65536,MATCH(转配商关联商!W688,[1]流向迭代数据!M$2:M$65536,0))</f>
        <v>#N/A</v>
      </c>
      <c r="N688" s="12" t="e">
        <f>INDEX([1]流向迭代数据!J$2:J$65536,MATCH(L688,[1]流向迭代数据!H$2:H$65536,0))</f>
        <v>#N/A</v>
      </c>
      <c r="P688" s="14"/>
      <c r="T688" s="12" t="e">
        <f>INDEX([1]流向迭代数据!K$2:K$65536,MATCH(L688,[1]流向迭代数据!H$2:H$65536,0))</f>
        <v>#N/A</v>
      </c>
      <c r="W688" s="12" t="str">
        <f t="shared" si="21"/>
        <v/>
      </c>
    </row>
    <row r="689" spans="1:23" x14ac:dyDescent="0.15">
      <c r="A689" s="14" t="str">
        <f t="shared" si="20"/>
        <v>190001</v>
      </c>
      <c r="C689" s="12" t="e">
        <f>INDEX(基础数据!$A$2:$A$1024,MATCH(转配商关联商!X689,基础数据!$D$2:$D$1024,0))</f>
        <v>#N/A</v>
      </c>
      <c r="E689" s="12" t="e">
        <f>INDEX(基础数据!$B$2:$B$1024,MATCH(转配商关联商!X689,基础数据!$D$2:$D$1024,0))</f>
        <v>#N/A</v>
      </c>
      <c r="G689" s="12" t="e">
        <f>INDEX([1]流向迭代数据!E$2:E$65536,MATCH(转配商关联商!W689,[1]流向迭代数据!M$2:M$65536,0))</f>
        <v>#N/A</v>
      </c>
      <c r="N689" s="12" t="e">
        <f>INDEX([1]流向迭代数据!J$2:J$65536,MATCH(L689,[1]流向迭代数据!H$2:H$65536,0))</f>
        <v>#N/A</v>
      </c>
      <c r="P689" s="14"/>
      <c r="T689" s="12" t="e">
        <f>INDEX([1]流向迭代数据!K$2:K$65536,MATCH(L689,[1]流向迭代数据!H$2:H$65536,0))</f>
        <v>#N/A</v>
      </c>
      <c r="W689" s="12" t="str">
        <f t="shared" si="21"/>
        <v/>
      </c>
    </row>
    <row r="690" spans="1:23" x14ac:dyDescent="0.15">
      <c r="A690" s="14" t="str">
        <f t="shared" si="20"/>
        <v>190001</v>
      </c>
      <c r="C690" s="12" t="e">
        <f>INDEX(基础数据!$A$2:$A$1024,MATCH(转配商关联商!X690,基础数据!$D$2:$D$1024,0))</f>
        <v>#N/A</v>
      </c>
      <c r="E690" s="12" t="e">
        <f>INDEX(基础数据!$B$2:$B$1024,MATCH(转配商关联商!X690,基础数据!$D$2:$D$1024,0))</f>
        <v>#N/A</v>
      </c>
      <c r="G690" s="12" t="e">
        <f>INDEX([1]流向迭代数据!E$2:E$65536,MATCH(转配商关联商!W690,[1]流向迭代数据!M$2:M$65536,0))</f>
        <v>#N/A</v>
      </c>
      <c r="N690" s="12" t="e">
        <f>INDEX([1]流向迭代数据!J$2:J$65536,MATCH(L690,[1]流向迭代数据!H$2:H$65536,0))</f>
        <v>#N/A</v>
      </c>
      <c r="P690" s="14"/>
      <c r="T690" s="12" t="e">
        <f>INDEX([1]流向迭代数据!K$2:K$65536,MATCH(L690,[1]流向迭代数据!H$2:H$65536,0))</f>
        <v>#N/A</v>
      </c>
      <c r="W690" s="12" t="str">
        <f t="shared" si="21"/>
        <v/>
      </c>
    </row>
    <row r="691" spans="1:23" x14ac:dyDescent="0.15">
      <c r="A691" s="14" t="str">
        <f t="shared" si="20"/>
        <v>190001</v>
      </c>
      <c r="C691" s="12" t="e">
        <f>INDEX(基础数据!$A$2:$A$1024,MATCH(转配商关联商!X691,基础数据!$D$2:$D$1024,0))</f>
        <v>#N/A</v>
      </c>
      <c r="E691" s="12" t="e">
        <f>INDEX(基础数据!$B$2:$B$1024,MATCH(转配商关联商!X691,基础数据!$D$2:$D$1024,0))</f>
        <v>#N/A</v>
      </c>
      <c r="G691" s="12" t="e">
        <f>INDEX([1]流向迭代数据!E$2:E$65536,MATCH(转配商关联商!W691,[1]流向迭代数据!M$2:M$65536,0))</f>
        <v>#N/A</v>
      </c>
      <c r="N691" s="12" t="e">
        <f>INDEX([1]流向迭代数据!J$2:J$65536,MATCH(L691,[1]流向迭代数据!H$2:H$65536,0))</f>
        <v>#N/A</v>
      </c>
      <c r="P691" s="14"/>
      <c r="T691" s="12" t="e">
        <f>INDEX([1]流向迭代数据!K$2:K$65536,MATCH(L691,[1]流向迭代数据!H$2:H$65536,0))</f>
        <v>#N/A</v>
      </c>
      <c r="W691" s="12" t="str">
        <f t="shared" si="21"/>
        <v/>
      </c>
    </row>
    <row r="692" spans="1:23" x14ac:dyDescent="0.15">
      <c r="A692" s="14" t="str">
        <f t="shared" si="20"/>
        <v>190001</v>
      </c>
      <c r="C692" s="12" t="e">
        <f>INDEX(基础数据!$A$2:$A$1024,MATCH(转配商关联商!X692,基础数据!$D$2:$D$1024,0))</f>
        <v>#N/A</v>
      </c>
      <c r="E692" s="12" t="e">
        <f>INDEX(基础数据!$B$2:$B$1024,MATCH(转配商关联商!X692,基础数据!$D$2:$D$1024,0))</f>
        <v>#N/A</v>
      </c>
      <c r="G692" s="12" t="e">
        <f>INDEX([1]流向迭代数据!E$2:E$65536,MATCH(转配商关联商!W692,[1]流向迭代数据!M$2:M$65536,0))</f>
        <v>#N/A</v>
      </c>
      <c r="N692" s="12" t="e">
        <f>INDEX([1]流向迭代数据!J$2:J$65536,MATCH(L692,[1]流向迭代数据!H$2:H$65536,0))</f>
        <v>#N/A</v>
      </c>
      <c r="P692" s="14"/>
      <c r="T692" s="12" t="e">
        <f>INDEX([1]流向迭代数据!K$2:K$65536,MATCH(L692,[1]流向迭代数据!H$2:H$65536,0))</f>
        <v>#N/A</v>
      </c>
      <c r="W692" s="12" t="str">
        <f t="shared" si="21"/>
        <v/>
      </c>
    </row>
    <row r="693" spans="1:23" x14ac:dyDescent="0.15">
      <c r="A693" s="14" t="str">
        <f t="shared" si="20"/>
        <v>190001</v>
      </c>
      <c r="C693" s="12" t="e">
        <f>INDEX(基础数据!$A$2:$A$1024,MATCH(转配商关联商!X693,基础数据!$D$2:$D$1024,0))</f>
        <v>#N/A</v>
      </c>
      <c r="E693" s="12" t="e">
        <f>INDEX(基础数据!$B$2:$B$1024,MATCH(转配商关联商!X693,基础数据!$D$2:$D$1024,0))</f>
        <v>#N/A</v>
      </c>
      <c r="G693" s="12" t="e">
        <f>INDEX([1]流向迭代数据!E$2:E$65536,MATCH(转配商关联商!W693,[1]流向迭代数据!M$2:M$65536,0))</f>
        <v>#N/A</v>
      </c>
      <c r="N693" s="12" t="e">
        <f>INDEX([1]流向迭代数据!J$2:J$65536,MATCH(L693,[1]流向迭代数据!H$2:H$65536,0))</f>
        <v>#N/A</v>
      </c>
      <c r="P693" s="14"/>
      <c r="T693" s="12" t="e">
        <f>INDEX([1]流向迭代数据!K$2:K$65536,MATCH(L693,[1]流向迭代数据!H$2:H$65536,0))</f>
        <v>#N/A</v>
      </c>
      <c r="W693" s="12" t="str">
        <f t="shared" si="21"/>
        <v/>
      </c>
    </row>
    <row r="694" spans="1:23" x14ac:dyDescent="0.15">
      <c r="A694" s="14" t="str">
        <f t="shared" si="20"/>
        <v>190001</v>
      </c>
      <c r="C694" s="12" t="e">
        <f>INDEX(基础数据!$A$2:$A$1024,MATCH(转配商关联商!X694,基础数据!$D$2:$D$1024,0))</f>
        <v>#N/A</v>
      </c>
      <c r="E694" s="12" t="e">
        <f>INDEX(基础数据!$B$2:$B$1024,MATCH(转配商关联商!X694,基础数据!$D$2:$D$1024,0))</f>
        <v>#N/A</v>
      </c>
      <c r="G694" s="12" t="e">
        <f>INDEX([1]流向迭代数据!E$2:E$65536,MATCH(转配商关联商!W694,[1]流向迭代数据!M$2:M$65536,0))</f>
        <v>#N/A</v>
      </c>
      <c r="N694" s="12" t="e">
        <f>INDEX([1]流向迭代数据!J$2:J$65536,MATCH(L694,[1]流向迭代数据!H$2:H$65536,0))</f>
        <v>#N/A</v>
      </c>
      <c r="P694" s="14"/>
      <c r="T694" s="12" t="e">
        <f>INDEX([1]流向迭代数据!K$2:K$65536,MATCH(L694,[1]流向迭代数据!H$2:H$65536,0))</f>
        <v>#N/A</v>
      </c>
      <c r="W694" s="12" t="str">
        <f t="shared" si="21"/>
        <v/>
      </c>
    </row>
    <row r="695" spans="1:23" x14ac:dyDescent="0.15">
      <c r="A695" s="14" t="str">
        <f t="shared" si="20"/>
        <v>190001</v>
      </c>
      <c r="C695" s="12" t="e">
        <f>INDEX(基础数据!$A$2:$A$1024,MATCH(转配商关联商!X695,基础数据!$D$2:$D$1024,0))</f>
        <v>#N/A</v>
      </c>
      <c r="E695" s="12" t="e">
        <f>INDEX(基础数据!$B$2:$B$1024,MATCH(转配商关联商!X695,基础数据!$D$2:$D$1024,0))</f>
        <v>#N/A</v>
      </c>
      <c r="G695" s="12" t="e">
        <f>INDEX([1]流向迭代数据!E$2:E$65536,MATCH(转配商关联商!W695,[1]流向迭代数据!M$2:M$65536,0))</f>
        <v>#N/A</v>
      </c>
      <c r="N695" s="12" t="e">
        <f>INDEX([1]流向迭代数据!J$2:J$65536,MATCH(L695,[1]流向迭代数据!H$2:H$65536,0))</f>
        <v>#N/A</v>
      </c>
      <c r="P695" s="14"/>
      <c r="T695" s="12" t="e">
        <f>INDEX([1]流向迭代数据!K$2:K$65536,MATCH(L695,[1]流向迭代数据!H$2:H$65536,0))</f>
        <v>#N/A</v>
      </c>
      <c r="W695" s="12" t="str">
        <f t="shared" si="21"/>
        <v/>
      </c>
    </row>
    <row r="696" spans="1:23" x14ac:dyDescent="0.15">
      <c r="A696" s="14" t="str">
        <f t="shared" si="20"/>
        <v>190001</v>
      </c>
      <c r="C696" s="12" t="e">
        <f>INDEX(基础数据!$A$2:$A$1024,MATCH(转配商关联商!X696,基础数据!$D$2:$D$1024,0))</f>
        <v>#N/A</v>
      </c>
      <c r="E696" s="12" t="e">
        <f>INDEX(基础数据!$B$2:$B$1024,MATCH(转配商关联商!X696,基础数据!$D$2:$D$1024,0))</f>
        <v>#N/A</v>
      </c>
      <c r="G696" s="12" t="e">
        <f>INDEX([1]流向迭代数据!E$2:E$65536,MATCH(转配商关联商!W696,[1]流向迭代数据!M$2:M$65536,0))</f>
        <v>#N/A</v>
      </c>
      <c r="N696" s="12" t="e">
        <f>INDEX([1]流向迭代数据!J$2:J$65536,MATCH(L696,[1]流向迭代数据!H$2:H$65536,0))</f>
        <v>#N/A</v>
      </c>
      <c r="P696" s="14"/>
      <c r="T696" s="12" t="e">
        <f>INDEX([1]流向迭代数据!K$2:K$65536,MATCH(L696,[1]流向迭代数据!H$2:H$65536,0))</f>
        <v>#N/A</v>
      </c>
      <c r="W696" s="12" t="str">
        <f t="shared" si="21"/>
        <v/>
      </c>
    </row>
    <row r="697" spans="1:23" x14ac:dyDescent="0.15">
      <c r="A697" s="14" t="str">
        <f t="shared" si="20"/>
        <v>190001</v>
      </c>
      <c r="C697" s="12" t="e">
        <f>INDEX(基础数据!$A$2:$A$1024,MATCH(转配商关联商!X697,基础数据!$D$2:$D$1024,0))</f>
        <v>#N/A</v>
      </c>
      <c r="E697" s="12" t="e">
        <f>INDEX(基础数据!$B$2:$B$1024,MATCH(转配商关联商!X697,基础数据!$D$2:$D$1024,0))</f>
        <v>#N/A</v>
      </c>
      <c r="G697" s="12" t="e">
        <f>INDEX([1]流向迭代数据!E$2:E$65536,MATCH(转配商关联商!W697,[1]流向迭代数据!M$2:M$65536,0))</f>
        <v>#N/A</v>
      </c>
      <c r="N697" s="12" t="e">
        <f>INDEX([1]流向迭代数据!J$2:J$65536,MATCH(L697,[1]流向迭代数据!H$2:H$65536,0))</f>
        <v>#N/A</v>
      </c>
      <c r="P697" s="14"/>
      <c r="T697" s="12" t="e">
        <f>INDEX([1]流向迭代数据!K$2:K$65536,MATCH(L697,[1]流向迭代数据!H$2:H$65536,0))</f>
        <v>#N/A</v>
      </c>
      <c r="W697" s="12" t="str">
        <f t="shared" si="21"/>
        <v/>
      </c>
    </row>
    <row r="698" spans="1:23" x14ac:dyDescent="0.15">
      <c r="A698" s="14" t="str">
        <f t="shared" si="20"/>
        <v>190001</v>
      </c>
      <c r="C698" s="12" t="e">
        <f>INDEX(基础数据!$A$2:$A$1024,MATCH(转配商关联商!X698,基础数据!$D$2:$D$1024,0))</f>
        <v>#N/A</v>
      </c>
      <c r="E698" s="12" t="e">
        <f>INDEX(基础数据!$B$2:$B$1024,MATCH(转配商关联商!X698,基础数据!$D$2:$D$1024,0))</f>
        <v>#N/A</v>
      </c>
      <c r="G698" s="12" t="e">
        <f>INDEX([1]流向迭代数据!E$2:E$65536,MATCH(转配商关联商!W698,[1]流向迭代数据!M$2:M$65536,0))</f>
        <v>#N/A</v>
      </c>
      <c r="N698" s="12" t="e">
        <f>INDEX([1]流向迭代数据!J$2:J$65536,MATCH(L698,[1]流向迭代数据!H$2:H$65536,0))</f>
        <v>#N/A</v>
      </c>
      <c r="P698" s="14"/>
      <c r="T698" s="12" t="e">
        <f>INDEX([1]流向迭代数据!K$2:K$65536,MATCH(L698,[1]流向迭代数据!H$2:H$65536,0))</f>
        <v>#N/A</v>
      </c>
      <c r="W698" s="12" t="str">
        <f t="shared" si="21"/>
        <v/>
      </c>
    </row>
    <row r="699" spans="1:23" x14ac:dyDescent="0.15">
      <c r="A699" s="14" t="str">
        <f t="shared" si="20"/>
        <v>190001</v>
      </c>
      <c r="C699" s="12" t="e">
        <f>INDEX(基础数据!$A$2:$A$1024,MATCH(转配商关联商!X699,基础数据!$D$2:$D$1024,0))</f>
        <v>#N/A</v>
      </c>
      <c r="E699" s="12" t="e">
        <f>INDEX(基础数据!$B$2:$B$1024,MATCH(转配商关联商!X699,基础数据!$D$2:$D$1024,0))</f>
        <v>#N/A</v>
      </c>
      <c r="G699" s="12" t="e">
        <f>INDEX([1]流向迭代数据!E$2:E$65536,MATCH(转配商关联商!W699,[1]流向迭代数据!M$2:M$65536,0))</f>
        <v>#N/A</v>
      </c>
      <c r="N699" s="12" t="e">
        <f>INDEX([1]流向迭代数据!J$2:J$65536,MATCH(L699,[1]流向迭代数据!H$2:H$65536,0))</f>
        <v>#N/A</v>
      </c>
      <c r="P699" s="14"/>
      <c r="T699" s="12" t="e">
        <f>INDEX([1]流向迭代数据!K$2:K$65536,MATCH(L699,[1]流向迭代数据!H$2:H$65536,0))</f>
        <v>#N/A</v>
      </c>
      <c r="W699" s="12" t="str">
        <f t="shared" si="21"/>
        <v/>
      </c>
    </row>
    <row r="700" spans="1:23" x14ac:dyDescent="0.15">
      <c r="A700" s="14" t="str">
        <f t="shared" si="20"/>
        <v>190001</v>
      </c>
      <c r="C700" s="12" t="e">
        <f>INDEX(基础数据!$A$2:$A$1024,MATCH(转配商关联商!X700,基础数据!$D$2:$D$1024,0))</f>
        <v>#N/A</v>
      </c>
      <c r="E700" s="12" t="e">
        <f>INDEX(基础数据!$B$2:$B$1024,MATCH(转配商关联商!X700,基础数据!$D$2:$D$1024,0))</f>
        <v>#N/A</v>
      </c>
      <c r="G700" s="12" t="e">
        <f>INDEX([1]流向迭代数据!E$2:E$65536,MATCH(转配商关联商!W700,[1]流向迭代数据!M$2:M$65536,0))</f>
        <v>#N/A</v>
      </c>
      <c r="N700" s="12" t="e">
        <f>INDEX([1]流向迭代数据!J$2:J$65536,MATCH(L700,[1]流向迭代数据!H$2:H$65536,0))</f>
        <v>#N/A</v>
      </c>
      <c r="P700" s="14"/>
      <c r="T700" s="12" t="e">
        <f>INDEX([1]流向迭代数据!K$2:K$65536,MATCH(L700,[1]流向迭代数据!H$2:H$65536,0))</f>
        <v>#N/A</v>
      </c>
      <c r="W700" s="12" t="str">
        <f t="shared" si="21"/>
        <v/>
      </c>
    </row>
    <row r="701" spans="1:23" x14ac:dyDescent="0.15">
      <c r="A701" s="14" t="str">
        <f t="shared" si="20"/>
        <v>190001</v>
      </c>
      <c r="C701" s="12" t="e">
        <f>INDEX(基础数据!$A$2:$A$1024,MATCH(转配商关联商!X701,基础数据!$D$2:$D$1024,0))</f>
        <v>#N/A</v>
      </c>
      <c r="E701" s="12" t="e">
        <f>INDEX(基础数据!$B$2:$B$1024,MATCH(转配商关联商!X701,基础数据!$D$2:$D$1024,0))</f>
        <v>#N/A</v>
      </c>
      <c r="G701" s="12" t="e">
        <f>INDEX([1]流向迭代数据!E$2:E$65536,MATCH(转配商关联商!W701,[1]流向迭代数据!M$2:M$65536,0))</f>
        <v>#N/A</v>
      </c>
      <c r="N701" s="12" t="e">
        <f>INDEX([1]流向迭代数据!J$2:J$65536,MATCH(L701,[1]流向迭代数据!H$2:H$65536,0))</f>
        <v>#N/A</v>
      </c>
      <c r="P701" s="14"/>
      <c r="T701" s="12" t="e">
        <f>INDEX([1]流向迭代数据!K$2:K$65536,MATCH(L701,[1]流向迭代数据!H$2:H$65536,0))</f>
        <v>#N/A</v>
      </c>
      <c r="W701" s="12" t="str">
        <f t="shared" si="21"/>
        <v/>
      </c>
    </row>
    <row r="702" spans="1:23" x14ac:dyDescent="0.15">
      <c r="A702" s="14" t="str">
        <f t="shared" si="20"/>
        <v>190001</v>
      </c>
      <c r="C702" s="12" t="e">
        <f>INDEX(基础数据!$A$2:$A$1024,MATCH(转配商关联商!X702,基础数据!$D$2:$D$1024,0))</f>
        <v>#N/A</v>
      </c>
      <c r="E702" s="12" t="e">
        <f>INDEX(基础数据!$B$2:$B$1024,MATCH(转配商关联商!X702,基础数据!$D$2:$D$1024,0))</f>
        <v>#N/A</v>
      </c>
      <c r="G702" s="12" t="e">
        <f>INDEX([1]流向迭代数据!E$2:E$65536,MATCH(转配商关联商!W702,[1]流向迭代数据!M$2:M$65536,0))</f>
        <v>#N/A</v>
      </c>
      <c r="N702" s="12" t="e">
        <f>INDEX([1]流向迭代数据!J$2:J$65536,MATCH(L702,[1]流向迭代数据!H$2:H$65536,0))</f>
        <v>#N/A</v>
      </c>
      <c r="P702" s="14"/>
      <c r="T702" s="12" t="e">
        <f>INDEX([1]流向迭代数据!K$2:K$65536,MATCH(L702,[1]流向迭代数据!H$2:H$65536,0))</f>
        <v>#N/A</v>
      </c>
      <c r="W702" s="12" t="str">
        <f t="shared" si="21"/>
        <v/>
      </c>
    </row>
    <row r="703" spans="1:23" x14ac:dyDescent="0.15">
      <c r="A703" s="14" t="str">
        <f t="shared" si="20"/>
        <v>190001</v>
      </c>
      <c r="C703" s="12" t="e">
        <f>INDEX(基础数据!$A$2:$A$1024,MATCH(转配商关联商!X703,基础数据!$D$2:$D$1024,0))</f>
        <v>#N/A</v>
      </c>
      <c r="E703" s="12" t="e">
        <f>INDEX(基础数据!$B$2:$B$1024,MATCH(转配商关联商!X703,基础数据!$D$2:$D$1024,0))</f>
        <v>#N/A</v>
      </c>
      <c r="G703" s="12" t="e">
        <f>INDEX([1]流向迭代数据!E$2:E$65536,MATCH(转配商关联商!W703,[1]流向迭代数据!M$2:M$65536,0))</f>
        <v>#N/A</v>
      </c>
      <c r="N703" s="12" t="e">
        <f>INDEX([1]流向迭代数据!J$2:J$65536,MATCH(L703,[1]流向迭代数据!H$2:H$65536,0))</f>
        <v>#N/A</v>
      </c>
      <c r="P703" s="14"/>
      <c r="T703" s="12" t="e">
        <f>INDEX([1]流向迭代数据!K$2:K$65536,MATCH(L703,[1]流向迭代数据!H$2:H$65536,0))</f>
        <v>#N/A</v>
      </c>
      <c r="W703" s="12" t="str">
        <f t="shared" si="21"/>
        <v/>
      </c>
    </row>
    <row r="704" spans="1:23" x14ac:dyDescent="0.15">
      <c r="A704" s="14" t="str">
        <f t="shared" si="20"/>
        <v>190001</v>
      </c>
      <c r="C704" s="12" t="e">
        <f>INDEX(基础数据!$A$2:$A$1024,MATCH(转配商关联商!X704,基础数据!$D$2:$D$1024,0))</f>
        <v>#N/A</v>
      </c>
      <c r="E704" s="12" t="e">
        <f>INDEX(基础数据!$B$2:$B$1024,MATCH(转配商关联商!X704,基础数据!$D$2:$D$1024,0))</f>
        <v>#N/A</v>
      </c>
      <c r="G704" s="12" t="e">
        <f>INDEX([1]流向迭代数据!E$2:E$65536,MATCH(转配商关联商!W704,[1]流向迭代数据!M$2:M$65536,0))</f>
        <v>#N/A</v>
      </c>
      <c r="N704" s="12" t="e">
        <f>INDEX([1]流向迭代数据!J$2:J$65536,MATCH(L704,[1]流向迭代数据!H$2:H$65536,0))</f>
        <v>#N/A</v>
      </c>
      <c r="P704" s="14"/>
      <c r="T704" s="12" t="e">
        <f>INDEX([1]流向迭代数据!K$2:K$65536,MATCH(L704,[1]流向迭代数据!H$2:H$65536,0))</f>
        <v>#N/A</v>
      </c>
      <c r="W704" s="12" t="str">
        <f t="shared" si="21"/>
        <v/>
      </c>
    </row>
    <row r="705" spans="1:23" x14ac:dyDescent="0.15">
      <c r="A705" s="14" t="str">
        <f t="shared" si="20"/>
        <v>190001</v>
      </c>
      <c r="C705" s="12" t="e">
        <f>INDEX(基础数据!$A$2:$A$1024,MATCH(转配商关联商!X705,基础数据!$D$2:$D$1024,0))</f>
        <v>#N/A</v>
      </c>
      <c r="E705" s="12" t="e">
        <f>INDEX(基础数据!$B$2:$B$1024,MATCH(转配商关联商!X705,基础数据!$D$2:$D$1024,0))</f>
        <v>#N/A</v>
      </c>
      <c r="G705" s="12" t="e">
        <f>INDEX([1]流向迭代数据!E$2:E$65536,MATCH(转配商关联商!W705,[1]流向迭代数据!M$2:M$65536,0))</f>
        <v>#N/A</v>
      </c>
      <c r="N705" s="12" t="e">
        <f>INDEX([1]流向迭代数据!J$2:J$65536,MATCH(L705,[1]流向迭代数据!H$2:H$65536,0))</f>
        <v>#N/A</v>
      </c>
      <c r="P705" s="14"/>
      <c r="T705" s="12" t="e">
        <f>INDEX([1]流向迭代数据!K$2:K$65536,MATCH(L705,[1]流向迭代数据!H$2:H$65536,0))</f>
        <v>#N/A</v>
      </c>
      <c r="W705" s="12" t="str">
        <f t="shared" si="21"/>
        <v/>
      </c>
    </row>
    <row r="706" spans="1:23" x14ac:dyDescent="0.15">
      <c r="A706" s="14" t="str">
        <f t="shared" si="20"/>
        <v>190001</v>
      </c>
      <c r="C706" s="12" t="e">
        <f>INDEX(基础数据!$A$2:$A$1024,MATCH(转配商关联商!X706,基础数据!$D$2:$D$1024,0))</f>
        <v>#N/A</v>
      </c>
      <c r="E706" s="12" t="e">
        <f>INDEX(基础数据!$B$2:$B$1024,MATCH(转配商关联商!X706,基础数据!$D$2:$D$1024,0))</f>
        <v>#N/A</v>
      </c>
      <c r="G706" s="12" t="e">
        <f>INDEX([1]流向迭代数据!E$2:E$65536,MATCH(转配商关联商!W706,[1]流向迭代数据!M$2:M$65536,0))</f>
        <v>#N/A</v>
      </c>
      <c r="N706" s="12" t="e">
        <f>INDEX([1]流向迭代数据!J$2:J$65536,MATCH(L706,[1]流向迭代数据!H$2:H$65536,0))</f>
        <v>#N/A</v>
      </c>
      <c r="P706" s="14"/>
      <c r="T706" s="12" t="e">
        <f>INDEX([1]流向迭代数据!K$2:K$65536,MATCH(L706,[1]流向迭代数据!H$2:H$65536,0))</f>
        <v>#N/A</v>
      </c>
      <c r="W706" s="12" t="str">
        <f t="shared" si="21"/>
        <v/>
      </c>
    </row>
    <row r="707" spans="1:23" x14ac:dyDescent="0.15">
      <c r="A707" s="14" t="str">
        <f t="shared" ref="A707:A770" si="22">IF(MONTH(P707)&lt;10,YEAR(P707)&amp;"0"&amp;MONTH(P707),YEAR(P707)&amp;MONTH(P707))</f>
        <v>190001</v>
      </c>
      <c r="C707" s="12" t="e">
        <f>INDEX(基础数据!$A$2:$A$1024,MATCH(转配商关联商!X707,基础数据!$D$2:$D$1024,0))</f>
        <v>#N/A</v>
      </c>
      <c r="E707" s="12" t="e">
        <f>INDEX(基础数据!$B$2:$B$1024,MATCH(转配商关联商!X707,基础数据!$D$2:$D$1024,0))</f>
        <v>#N/A</v>
      </c>
      <c r="G707" s="12" t="e">
        <f>INDEX([1]流向迭代数据!E$2:E$65536,MATCH(转配商关联商!W707,[1]流向迭代数据!M$2:M$65536,0))</f>
        <v>#N/A</v>
      </c>
      <c r="N707" s="12" t="e">
        <f>INDEX([1]流向迭代数据!J$2:J$65536,MATCH(L707,[1]流向迭代数据!H$2:H$65536,0))</f>
        <v>#N/A</v>
      </c>
      <c r="P707" s="14"/>
      <c r="T707" s="12" t="e">
        <f>INDEX([1]流向迭代数据!K$2:K$65536,MATCH(L707,[1]流向迭代数据!H$2:H$65536,0))</f>
        <v>#N/A</v>
      </c>
      <c r="W707" s="12" t="str">
        <f t="shared" ref="W707:W770" si="23">H707&amp;I707</f>
        <v/>
      </c>
    </row>
    <row r="708" spans="1:23" x14ac:dyDescent="0.15">
      <c r="A708" s="14" t="str">
        <f t="shared" si="22"/>
        <v>190001</v>
      </c>
      <c r="C708" s="12" t="e">
        <f>INDEX(基础数据!$A$2:$A$1024,MATCH(转配商关联商!X708,基础数据!$D$2:$D$1024,0))</f>
        <v>#N/A</v>
      </c>
      <c r="E708" s="12" t="e">
        <f>INDEX(基础数据!$B$2:$B$1024,MATCH(转配商关联商!X708,基础数据!$D$2:$D$1024,0))</f>
        <v>#N/A</v>
      </c>
      <c r="G708" s="12" t="e">
        <f>INDEX([1]流向迭代数据!E$2:E$65536,MATCH(转配商关联商!W708,[1]流向迭代数据!M$2:M$65536,0))</f>
        <v>#N/A</v>
      </c>
      <c r="N708" s="12" t="e">
        <f>INDEX([1]流向迭代数据!J$2:J$65536,MATCH(L708,[1]流向迭代数据!H$2:H$65536,0))</f>
        <v>#N/A</v>
      </c>
      <c r="P708" s="14"/>
      <c r="T708" s="12" t="e">
        <f>INDEX([1]流向迭代数据!K$2:K$65536,MATCH(L708,[1]流向迭代数据!H$2:H$65536,0))</f>
        <v>#N/A</v>
      </c>
      <c r="W708" s="12" t="str">
        <f t="shared" si="23"/>
        <v/>
      </c>
    </row>
    <row r="709" spans="1:23" x14ac:dyDescent="0.15">
      <c r="A709" s="14" t="str">
        <f t="shared" si="22"/>
        <v>190001</v>
      </c>
      <c r="C709" s="12" t="e">
        <f>INDEX(基础数据!$A$2:$A$1024,MATCH(转配商关联商!X709,基础数据!$D$2:$D$1024,0))</f>
        <v>#N/A</v>
      </c>
      <c r="E709" s="12" t="e">
        <f>INDEX(基础数据!$B$2:$B$1024,MATCH(转配商关联商!X709,基础数据!$D$2:$D$1024,0))</f>
        <v>#N/A</v>
      </c>
      <c r="G709" s="12" t="e">
        <f>INDEX([1]流向迭代数据!E$2:E$65536,MATCH(转配商关联商!W709,[1]流向迭代数据!M$2:M$65536,0))</f>
        <v>#N/A</v>
      </c>
      <c r="N709" s="12" t="e">
        <f>INDEX([1]流向迭代数据!J$2:J$65536,MATCH(L709,[1]流向迭代数据!H$2:H$65536,0))</f>
        <v>#N/A</v>
      </c>
      <c r="P709" s="14"/>
      <c r="T709" s="12" t="e">
        <f>INDEX([1]流向迭代数据!K$2:K$65536,MATCH(L709,[1]流向迭代数据!H$2:H$65536,0))</f>
        <v>#N/A</v>
      </c>
      <c r="W709" s="12" t="str">
        <f t="shared" si="23"/>
        <v/>
      </c>
    </row>
    <row r="710" spans="1:23" x14ac:dyDescent="0.15">
      <c r="A710" s="14" t="str">
        <f t="shared" si="22"/>
        <v>190001</v>
      </c>
      <c r="C710" s="12" t="e">
        <f>INDEX(基础数据!$A$2:$A$1024,MATCH(转配商关联商!X710,基础数据!$D$2:$D$1024,0))</f>
        <v>#N/A</v>
      </c>
      <c r="E710" s="12" t="e">
        <f>INDEX(基础数据!$B$2:$B$1024,MATCH(转配商关联商!X710,基础数据!$D$2:$D$1024,0))</f>
        <v>#N/A</v>
      </c>
      <c r="G710" s="12" t="e">
        <f>INDEX([1]流向迭代数据!E$2:E$65536,MATCH(转配商关联商!W710,[1]流向迭代数据!M$2:M$65536,0))</f>
        <v>#N/A</v>
      </c>
      <c r="N710" s="12" t="e">
        <f>INDEX([1]流向迭代数据!J$2:J$65536,MATCH(L710,[1]流向迭代数据!H$2:H$65536,0))</f>
        <v>#N/A</v>
      </c>
      <c r="P710" s="14"/>
      <c r="T710" s="12" t="e">
        <f>INDEX([1]流向迭代数据!K$2:K$65536,MATCH(L710,[1]流向迭代数据!H$2:H$65536,0))</f>
        <v>#N/A</v>
      </c>
      <c r="W710" s="12" t="str">
        <f t="shared" si="23"/>
        <v/>
      </c>
    </row>
    <row r="711" spans="1:23" x14ac:dyDescent="0.15">
      <c r="A711" s="14" t="str">
        <f t="shared" si="22"/>
        <v>190001</v>
      </c>
      <c r="C711" s="12" t="e">
        <f>INDEX(基础数据!$A$2:$A$1024,MATCH(转配商关联商!X711,基础数据!$D$2:$D$1024,0))</f>
        <v>#N/A</v>
      </c>
      <c r="E711" s="12" t="e">
        <f>INDEX(基础数据!$B$2:$B$1024,MATCH(转配商关联商!X711,基础数据!$D$2:$D$1024,0))</f>
        <v>#N/A</v>
      </c>
      <c r="G711" s="12" t="e">
        <f>INDEX([1]流向迭代数据!E$2:E$65536,MATCH(转配商关联商!W711,[1]流向迭代数据!M$2:M$65536,0))</f>
        <v>#N/A</v>
      </c>
      <c r="N711" s="12" t="e">
        <f>INDEX([1]流向迭代数据!J$2:J$65536,MATCH(L711,[1]流向迭代数据!H$2:H$65536,0))</f>
        <v>#N/A</v>
      </c>
      <c r="P711" s="14"/>
      <c r="T711" s="12" t="e">
        <f>INDEX([1]流向迭代数据!K$2:K$65536,MATCH(L711,[1]流向迭代数据!H$2:H$65536,0))</f>
        <v>#N/A</v>
      </c>
      <c r="W711" s="12" t="str">
        <f t="shared" si="23"/>
        <v/>
      </c>
    </row>
    <row r="712" spans="1:23" x14ac:dyDescent="0.15">
      <c r="A712" s="14" t="str">
        <f t="shared" si="22"/>
        <v>190001</v>
      </c>
      <c r="C712" s="12" t="e">
        <f>INDEX(基础数据!$A$2:$A$1024,MATCH(转配商关联商!X712,基础数据!$D$2:$D$1024,0))</f>
        <v>#N/A</v>
      </c>
      <c r="E712" s="12" t="e">
        <f>INDEX(基础数据!$B$2:$B$1024,MATCH(转配商关联商!X712,基础数据!$D$2:$D$1024,0))</f>
        <v>#N/A</v>
      </c>
      <c r="G712" s="12" t="e">
        <f>INDEX([1]流向迭代数据!E$2:E$65536,MATCH(转配商关联商!W712,[1]流向迭代数据!M$2:M$65536,0))</f>
        <v>#N/A</v>
      </c>
      <c r="N712" s="12" t="e">
        <f>INDEX([1]流向迭代数据!J$2:J$65536,MATCH(L712,[1]流向迭代数据!H$2:H$65536,0))</f>
        <v>#N/A</v>
      </c>
      <c r="P712" s="14"/>
      <c r="T712" s="12" t="e">
        <f>INDEX([1]流向迭代数据!K$2:K$65536,MATCH(L712,[1]流向迭代数据!H$2:H$65536,0))</f>
        <v>#N/A</v>
      </c>
      <c r="W712" s="12" t="str">
        <f t="shared" si="23"/>
        <v/>
      </c>
    </row>
    <row r="713" spans="1:23" x14ac:dyDescent="0.15">
      <c r="A713" s="14" t="str">
        <f t="shared" si="22"/>
        <v>190001</v>
      </c>
      <c r="C713" s="12" t="e">
        <f>INDEX(基础数据!$A$2:$A$1024,MATCH(转配商关联商!X713,基础数据!$D$2:$D$1024,0))</f>
        <v>#N/A</v>
      </c>
      <c r="E713" s="12" t="e">
        <f>INDEX(基础数据!$B$2:$B$1024,MATCH(转配商关联商!X713,基础数据!$D$2:$D$1024,0))</f>
        <v>#N/A</v>
      </c>
      <c r="G713" s="12" t="e">
        <f>INDEX([1]流向迭代数据!E$2:E$65536,MATCH(转配商关联商!W713,[1]流向迭代数据!M$2:M$65536,0))</f>
        <v>#N/A</v>
      </c>
      <c r="N713" s="12" t="e">
        <f>INDEX([1]流向迭代数据!J$2:J$65536,MATCH(L713,[1]流向迭代数据!H$2:H$65536,0))</f>
        <v>#N/A</v>
      </c>
      <c r="P713" s="14"/>
      <c r="T713" s="12" t="e">
        <f>INDEX([1]流向迭代数据!K$2:K$65536,MATCH(L713,[1]流向迭代数据!H$2:H$65536,0))</f>
        <v>#N/A</v>
      </c>
      <c r="W713" s="12" t="str">
        <f t="shared" si="23"/>
        <v/>
      </c>
    </row>
    <row r="714" spans="1:23" x14ac:dyDescent="0.15">
      <c r="A714" s="14" t="str">
        <f t="shared" si="22"/>
        <v>190001</v>
      </c>
      <c r="C714" s="12" t="e">
        <f>INDEX(基础数据!$A$2:$A$1024,MATCH(转配商关联商!X714,基础数据!$D$2:$D$1024,0))</f>
        <v>#N/A</v>
      </c>
      <c r="E714" s="12" t="e">
        <f>INDEX(基础数据!$B$2:$B$1024,MATCH(转配商关联商!X714,基础数据!$D$2:$D$1024,0))</f>
        <v>#N/A</v>
      </c>
      <c r="G714" s="12" t="e">
        <f>INDEX([1]流向迭代数据!E$2:E$65536,MATCH(转配商关联商!W714,[1]流向迭代数据!M$2:M$65536,0))</f>
        <v>#N/A</v>
      </c>
      <c r="N714" s="12" t="e">
        <f>INDEX([1]流向迭代数据!J$2:J$65536,MATCH(L714,[1]流向迭代数据!H$2:H$65536,0))</f>
        <v>#N/A</v>
      </c>
      <c r="P714" s="14"/>
      <c r="T714" s="12" t="e">
        <f>INDEX([1]流向迭代数据!K$2:K$65536,MATCH(L714,[1]流向迭代数据!H$2:H$65536,0))</f>
        <v>#N/A</v>
      </c>
      <c r="W714" s="12" t="str">
        <f t="shared" si="23"/>
        <v/>
      </c>
    </row>
    <row r="715" spans="1:23" x14ac:dyDescent="0.15">
      <c r="A715" s="14" t="str">
        <f t="shared" si="22"/>
        <v>190001</v>
      </c>
      <c r="C715" s="12" t="e">
        <f>INDEX(基础数据!$A$2:$A$1024,MATCH(转配商关联商!X715,基础数据!$D$2:$D$1024,0))</f>
        <v>#N/A</v>
      </c>
      <c r="E715" s="12" t="e">
        <f>INDEX(基础数据!$B$2:$B$1024,MATCH(转配商关联商!X715,基础数据!$D$2:$D$1024,0))</f>
        <v>#N/A</v>
      </c>
      <c r="G715" s="12" t="e">
        <f>INDEX([1]流向迭代数据!E$2:E$65536,MATCH(转配商关联商!W715,[1]流向迭代数据!M$2:M$65536,0))</f>
        <v>#N/A</v>
      </c>
      <c r="N715" s="12" t="e">
        <f>INDEX([1]流向迭代数据!J$2:J$65536,MATCH(L715,[1]流向迭代数据!H$2:H$65536,0))</f>
        <v>#N/A</v>
      </c>
      <c r="P715" s="14"/>
      <c r="T715" s="12" t="e">
        <f>INDEX([1]流向迭代数据!K$2:K$65536,MATCH(L715,[1]流向迭代数据!H$2:H$65536,0))</f>
        <v>#N/A</v>
      </c>
      <c r="W715" s="12" t="str">
        <f t="shared" si="23"/>
        <v/>
      </c>
    </row>
    <row r="716" spans="1:23" x14ac:dyDescent="0.15">
      <c r="A716" s="14" t="str">
        <f t="shared" si="22"/>
        <v>190001</v>
      </c>
      <c r="C716" s="12" t="e">
        <f>INDEX(基础数据!$A$2:$A$1024,MATCH(转配商关联商!X716,基础数据!$D$2:$D$1024,0))</f>
        <v>#N/A</v>
      </c>
      <c r="E716" s="12" t="e">
        <f>INDEX(基础数据!$B$2:$B$1024,MATCH(转配商关联商!X716,基础数据!$D$2:$D$1024,0))</f>
        <v>#N/A</v>
      </c>
      <c r="G716" s="12" t="e">
        <f>INDEX([1]流向迭代数据!E$2:E$65536,MATCH(转配商关联商!W716,[1]流向迭代数据!M$2:M$65536,0))</f>
        <v>#N/A</v>
      </c>
      <c r="N716" s="12" t="e">
        <f>INDEX([1]流向迭代数据!J$2:J$65536,MATCH(L716,[1]流向迭代数据!H$2:H$65536,0))</f>
        <v>#N/A</v>
      </c>
      <c r="P716" s="14"/>
      <c r="T716" s="12" t="e">
        <f>INDEX([1]流向迭代数据!K$2:K$65536,MATCH(L716,[1]流向迭代数据!H$2:H$65536,0))</f>
        <v>#N/A</v>
      </c>
      <c r="W716" s="12" t="str">
        <f t="shared" si="23"/>
        <v/>
      </c>
    </row>
    <row r="717" spans="1:23" x14ac:dyDescent="0.15">
      <c r="A717" s="14" t="str">
        <f t="shared" si="22"/>
        <v>190001</v>
      </c>
      <c r="C717" s="12" t="e">
        <f>INDEX(基础数据!$A$2:$A$1024,MATCH(转配商关联商!X717,基础数据!$D$2:$D$1024,0))</f>
        <v>#N/A</v>
      </c>
      <c r="E717" s="12" t="e">
        <f>INDEX(基础数据!$B$2:$B$1024,MATCH(转配商关联商!X717,基础数据!$D$2:$D$1024,0))</f>
        <v>#N/A</v>
      </c>
      <c r="G717" s="12" t="e">
        <f>INDEX([1]流向迭代数据!E$2:E$65536,MATCH(转配商关联商!W717,[1]流向迭代数据!M$2:M$65536,0))</f>
        <v>#N/A</v>
      </c>
      <c r="N717" s="12" t="e">
        <f>INDEX([1]流向迭代数据!J$2:J$65536,MATCH(L717,[1]流向迭代数据!H$2:H$65536,0))</f>
        <v>#N/A</v>
      </c>
      <c r="P717" s="14"/>
      <c r="T717" s="12" t="e">
        <f>INDEX([1]流向迭代数据!K$2:K$65536,MATCH(L717,[1]流向迭代数据!H$2:H$65536,0))</f>
        <v>#N/A</v>
      </c>
      <c r="W717" s="12" t="str">
        <f t="shared" si="23"/>
        <v/>
      </c>
    </row>
    <row r="718" spans="1:23" x14ac:dyDescent="0.15">
      <c r="A718" s="14" t="str">
        <f t="shared" si="22"/>
        <v>190001</v>
      </c>
      <c r="C718" s="12" t="e">
        <f>INDEX(基础数据!$A$2:$A$1024,MATCH(转配商关联商!X718,基础数据!$D$2:$D$1024,0))</f>
        <v>#N/A</v>
      </c>
      <c r="E718" s="12" t="e">
        <f>INDEX(基础数据!$B$2:$B$1024,MATCH(转配商关联商!X718,基础数据!$D$2:$D$1024,0))</f>
        <v>#N/A</v>
      </c>
      <c r="G718" s="12" t="e">
        <f>INDEX([1]流向迭代数据!E$2:E$65536,MATCH(转配商关联商!W718,[1]流向迭代数据!M$2:M$65536,0))</f>
        <v>#N/A</v>
      </c>
      <c r="N718" s="12" t="e">
        <f>INDEX([1]流向迭代数据!J$2:J$65536,MATCH(L718,[1]流向迭代数据!H$2:H$65536,0))</f>
        <v>#N/A</v>
      </c>
      <c r="P718" s="14"/>
      <c r="T718" s="12" t="e">
        <f>INDEX([1]流向迭代数据!K$2:K$65536,MATCH(L718,[1]流向迭代数据!H$2:H$65536,0))</f>
        <v>#N/A</v>
      </c>
      <c r="W718" s="12" t="str">
        <f t="shared" si="23"/>
        <v/>
      </c>
    </row>
    <row r="719" spans="1:23" x14ac:dyDescent="0.15">
      <c r="A719" s="14" t="str">
        <f t="shared" si="22"/>
        <v>190001</v>
      </c>
      <c r="C719" s="12" t="e">
        <f>INDEX(基础数据!$A$2:$A$1024,MATCH(转配商关联商!X719,基础数据!$D$2:$D$1024,0))</f>
        <v>#N/A</v>
      </c>
      <c r="E719" s="12" t="e">
        <f>INDEX(基础数据!$B$2:$B$1024,MATCH(转配商关联商!X719,基础数据!$D$2:$D$1024,0))</f>
        <v>#N/A</v>
      </c>
      <c r="G719" s="12" t="e">
        <f>INDEX([1]流向迭代数据!E$2:E$65536,MATCH(转配商关联商!W719,[1]流向迭代数据!M$2:M$65536,0))</f>
        <v>#N/A</v>
      </c>
      <c r="N719" s="12" t="e">
        <f>INDEX([1]流向迭代数据!J$2:J$65536,MATCH(L719,[1]流向迭代数据!H$2:H$65536,0))</f>
        <v>#N/A</v>
      </c>
      <c r="P719" s="14"/>
      <c r="T719" s="12" t="e">
        <f>INDEX([1]流向迭代数据!K$2:K$65536,MATCH(L719,[1]流向迭代数据!H$2:H$65536,0))</f>
        <v>#N/A</v>
      </c>
      <c r="W719" s="12" t="str">
        <f t="shared" si="23"/>
        <v/>
      </c>
    </row>
    <row r="720" spans="1:23" x14ac:dyDescent="0.15">
      <c r="A720" s="14" t="str">
        <f t="shared" si="22"/>
        <v>190001</v>
      </c>
      <c r="C720" s="12" t="e">
        <f>INDEX(基础数据!$A$2:$A$1024,MATCH(转配商关联商!X720,基础数据!$D$2:$D$1024,0))</f>
        <v>#N/A</v>
      </c>
      <c r="E720" s="12" t="e">
        <f>INDEX(基础数据!$B$2:$B$1024,MATCH(转配商关联商!X720,基础数据!$D$2:$D$1024,0))</f>
        <v>#N/A</v>
      </c>
      <c r="G720" s="12" t="e">
        <f>INDEX([1]流向迭代数据!E$2:E$65536,MATCH(转配商关联商!W720,[1]流向迭代数据!M$2:M$65536,0))</f>
        <v>#N/A</v>
      </c>
      <c r="N720" s="12" t="e">
        <f>INDEX([1]流向迭代数据!J$2:J$65536,MATCH(L720,[1]流向迭代数据!H$2:H$65536,0))</f>
        <v>#N/A</v>
      </c>
      <c r="P720" s="14"/>
      <c r="T720" s="12" t="e">
        <f>INDEX([1]流向迭代数据!K$2:K$65536,MATCH(L720,[1]流向迭代数据!H$2:H$65536,0))</f>
        <v>#N/A</v>
      </c>
      <c r="W720" s="12" t="str">
        <f t="shared" si="23"/>
        <v/>
      </c>
    </row>
    <row r="721" spans="1:23" x14ac:dyDescent="0.15">
      <c r="A721" s="14" t="str">
        <f t="shared" si="22"/>
        <v>190001</v>
      </c>
      <c r="C721" s="12" t="e">
        <f>INDEX(基础数据!$A$2:$A$1024,MATCH(转配商关联商!X721,基础数据!$D$2:$D$1024,0))</f>
        <v>#N/A</v>
      </c>
      <c r="E721" s="12" t="e">
        <f>INDEX(基础数据!$B$2:$B$1024,MATCH(转配商关联商!X721,基础数据!$D$2:$D$1024,0))</f>
        <v>#N/A</v>
      </c>
      <c r="G721" s="12" t="e">
        <f>INDEX([1]流向迭代数据!E$2:E$65536,MATCH(转配商关联商!W721,[1]流向迭代数据!M$2:M$65536,0))</f>
        <v>#N/A</v>
      </c>
      <c r="N721" s="12" t="e">
        <f>INDEX([1]流向迭代数据!J$2:J$65536,MATCH(L721,[1]流向迭代数据!H$2:H$65536,0))</f>
        <v>#N/A</v>
      </c>
      <c r="P721" s="14"/>
      <c r="T721" s="12" t="e">
        <f>INDEX([1]流向迭代数据!K$2:K$65536,MATCH(L721,[1]流向迭代数据!H$2:H$65536,0))</f>
        <v>#N/A</v>
      </c>
      <c r="W721" s="12" t="str">
        <f t="shared" si="23"/>
        <v/>
      </c>
    </row>
    <row r="722" spans="1:23" x14ac:dyDescent="0.15">
      <c r="A722" s="14" t="str">
        <f t="shared" si="22"/>
        <v>190001</v>
      </c>
      <c r="C722" s="12" t="e">
        <f>INDEX(基础数据!$A$2:$A$1024,MATCH(转配商关联商!X722,基础数据!$D$2:$D$1024,0))</f>
        <v>#N/A</v>
      </c>
      <c r="E722" s="12" t="e">
        <f>INDEX(基础数据!$B$2:$B$1024,MATCH(转配商关联商!X722,基础数据!$D$2:$D$1024,0))</f>
        <v>#N/A</v>
      </c>
      <c r="G722" s="12" t="e">
        <f>INDEX([1]流向迭代数据!E$2:E$65536,MATCH(转配商关联商!W722,[1]流向迭代数据!M$2:M$65536,0))</f>
        <v>#N/A</v>
      </c>
      <c r="N722" s="12" t="e">
        <f>INDEX([1]流向迭代数据!J$2:J$65536,MATCH(L722,[1]流向迭代数据!H$2:H$65536,0))</f>
        <v>#N/A</v>
      </c>
      <c r="P722" s="14"/>
      <c r="T722" s="12" t="e">
        <f>INDEX([1]流向迭代数据!K$2:K$65536,MATCH(L722,[1]流向迭代数据!H$2:H$65536,0))</f>
        <v>#N/A</v>
      </c>
      <c r="W722" s="12" t="str">
        <f t="shared" si="23"/>
        <v/>
      </c>
    </row>
    <row r="723" spans="1:23" x14ac:dyDescent="0.15">
      <c r="A723" s="14" t="str">
        <f t="shared" si="22"/>
        <v>190001</v>
      </c>
      <c r="C723" s="12" t="e">
        <f>INDEX(基础数据!$A$2:$A$1024,MATCH(转配商关联商!X723,基础数据!$D$2:$D$1024,0))</f>
        <v>#N/A</v>
      </c>
      <c r="E723" s="12" t="e">
        <f>INDEX(基础数据!$B$2:$B$1024,MATCH(转配商关联商!X723,基础数据!$D$2:$D$1024,0))</f>
        <v>#N/A</v>
      </c>
      <c r="G723" s="12" t="e">
        <f>INDEX([1]流向迭代数据!E$2:E$65536,MATCH(转配商关联商!W723,[1]流向迭代数据!M$2:M$65536,0))</f>
        <v>#N/A</v>
      </c>
      <c r="N723" s="12" t="e">
        <f>INDEX([1]流向迭代数据!J$2:J$65536,MATCH(L723,[1]流向迭代数据!H$2:H$65536,0))</f>
        <v>#N/A</v>
      </c>
      <c r="P723" s="14"/>
      <c r="T723" s="12" t="e">
        <f>INDEX([1]流向迭代数据!K$2:K$65536,MATCH(L723,[1]流向迭代数据!H$2:H$65536,0))</f>
        <v>#N/A</v>
      </c>
      <c r="W723" s="12" t="str">
        <f t="shared" si="23"/>
        <v/>
      </c>
    </row>
    <row r="724" spans="1:23" x14ac:dyDescent="0.15">
      <c r="A724" s="14" t="str">
        <f t="shared" si="22"/>
        <v>190001</v>
      </c>
      <c r="C724" s="12" t="e">
        <f>INDEX(基础数据!$A$2:$A$1024,MATCH(转配商关联商!X724,基础数据!$D$2:$D$1024,0))</f>
        <v>#N/A</v>
      </c>
      <c r="E724" s="12" t="e">
        <f>INDEX(基础数据!$B$2:$B$1024,MATCH(转配商关联商!X724,基础数据!$D$2:$D$1024,0))</f>
        <v>#N/A</v>
      </c>
      <c r="G724" s="12" t="e">
        <f>INDEX([1]流向迭代数据!E$2:E$65536,MATCH(转配商关联商!W724,[1]流向迭代数据!M$2:M$65536,0))</f>
        <v>#N/A</v>
      </c>
      <c r="N724" s="12" t="e">
        <f>INDEX([1]流向迭代数据!J$2:J$65536,MATCH(L724,[1]流向迭代数据!H$2:H$65536,0))</f>
        <v>#N/A</v>
      </c>
      <c r="P724" s="14"/>
      <c r="T724" s="12" t="e">
        <f>INDEX([1]流向迭代数据!K$2:K$65536,MATCH(L724,[1]流向迭代数据!H$2:H$65536,0))</f>
        <v>#N/A</v>
      </c>
      <c r="W724" s="12" t="str">
        <f t="shared" si="23"/>
        <v/>
      </c>
    </row>
    <row r="725" spans="1:23" x14ac:dyDescent="0.15">
      <c r="A725" s="14" t="str">
        <f t="shared" si="22"/>
        <v>190001</v>
      </c>
      <c r="C725" s="12" t="e">
        <f>INDEX(基础数据!$A$2:$A$1024,MATCH(转配商关联商!X725,基础数据!$D$2:$D$1024,0))</f>
        <v>#N/A</v>
      </c>
      <c r="E725" s="12" t="e">
        <f>INDEX(基础数据!$B$2:$B$1024,MATCH(转配商关联商!X725,基础数据!$D$2:$D$1024,0))</f>
        <v>#N/A</v>
      </c>
      <c r="G725" s="12" t="e">
        <f>INDEX([1]流向迭代数据!E$2:E$65536,MATCH(转配商关联商!W725,[1]流向迭代数据!M$2:M$65536,0))</f>
        <v>#N/A</v>
      </c>
      <c r="N725" s="12" t="e">
        <f>INDEX([1]流向迭代数据!J$2:J$65536,MATCH(L725,[1]流向迭代数据!H$2:H$65536,0))</f>
        <v>#N/A</v>
      </c>
      <c r="P725" s="14"/>
      <c r="T725" s="12" t="e">
        <f>INDEX([1]流向迭代数据!K$2:K$65536,MATCH(L725,[1]流向迭代数据!H$2:H$65536,0))</f>
        <v>#N/A</v>
      </c>
      <c r="W725" s="12" t="str">
        <f t="shared" si="23"/>
        <v/>
      </c>
    </row>
    <row r="726" spans="1:23" x14ac:dyDescent="0.15">
      <c r="A726" s="14" t="str">
        <f t="shared" si="22"/>
        <v>190001</v>
      </c>
      <c r="C726" s="12" t="e">
        <f>INDEX(基础数据!$A$2:$A$1024,MATCH(转配商关联商!X726,基础数据!$D$2:$D$1024,0))</f>
        <v>#N/A</v>
      </c>
      <c r="E726" s="12" t="e">
        <f>INDEX(基础数据!$B$2:$B$1024,MATCH(转配商关联商!X726,基础数据!$D$2:$D$1024,0))</f>
        <v>#N/A</v>
      </c>
      <c r="G726" s="12" t="e">
        <f>INDEX([1]流向迭代数据!E$2:E$65536,MATCH(转配商关联商!W726,[1]流向迭代数据!M$2:M$65536,0))</f>
        <v>#N/A</v>
      </c>
      <c r="N726" s="12" t="e">
        <f>INDEX([1]流向迭代数据!J$2:J$65536,MATCH(L726,[1]流向迭代数据!H$2:H$65536,0))</f>
        <v>#N/A</v>
      </c>
      <c r="P726" s="14"/>
      <c r="T726" s="12" t="e">
        <f>INDEX([1]流向迭代数据!K$2:K$65536,MATCH(L726,[1]流向迭代数据!H$2:H$65536,0))</f>
        <v>#N/A</v>
      </c>
      <c r="W726" s="12" t="str">
        <f t="shared" si="23"/>
        <v/>
      </c>
    </row>
    <row r="727" spans="1:23" x14ac:dyDescent="0.15">
      <c r="A727" s="14" t="str">
        <f t="shared" si="22"/>
        <v>190001</v>
      </c>
      <c r="C727" s="12" t="e">
        <f>INDEX(基础数据!$A$2:$A$1024,MATCH(转配商关联商!X727,基础数据!$D$2:$D$1024,0))</f>
        <v>#N/A</v>
      </c>
      <c r="E727" s="12" t="e">
        <f>INDEX(基础数据!$B$2:$B$1024,MATCH(转配商关联商!X727,基础数据!$D$2:$D$1024,0))</f>
        <v>#N/A</v>
      </c>
      <c r="G727" s="12" t="e">
        <f>INDEX([1]流向迭代数据!E$2:E$65536,MATCH(转配商关联商!W727,[1]流向迭代数据!M$2:M$65536,0))</f>
        <v>#N/A</v>
      </c>
      <c r="N727" s="12" t="e">
        <f>INDEX([1]流向迭代数据!J$2:J$65536,MATCH(L727,[1]流向迭代数据!H$2:H$65536,0))</f>
        <v>#N/A</v>
      </c>
      <c r="P727" s="14"/>
      <c r="T727" s="12" t="e">
        <f>INDEX([1]流向迭代数据!K$2:K$65536,MATCH(L727,[1]流向迭代数据!H$2:H$65536,0))</f>
        <v>#N/A</v>
      </c>
      <c r="W727" s="12" t="str">
        <f t="shared" si="23"/>
        <v/>
      </c>
    </row>
    <row r="728" spans="1:23" x14ac:dyDescent="0.15">
      <c r="A728" s="14" t="str">
        <f t="shared" si="22"/>
        <v>190001</v>
      </c>
      <c r="C728" s="12" t="e">
        <f>INDEX(基础数据!$A$2:$A$1024,MATCH(转配商关联商!X728,基础数据!$D$2:$D$1024,0))</f>
        <v>#N/A</v>
      </c>
      <c r="E728" s="12" t="e">
        <f>INDEX(基础数据!$B$2:$B$1024,MATCH(转配商关联商!X728,基础数据!$D$2:$D$1024,0))</f>
        <v>#N/A</v>
      </c>
      <c r="G728" s="12" t="e">
        <f>INDEX([1]流向迭代数据!E$2:E$65536,MATCH(转配商关联商!W728,[1]流向迭代数据!M$2:M$65536,0))</f>
        <v>#N/A</v>
      </c>
      <c r="N728" s="12" t="e">
        <f>INDEX([1]流向迭代数据!J$2:J$65536,MATCH(L728,[1]流向迭代数据!H$2:H$65536,0))</f>
        <v>#N/A</v>
      </c>
      <c r="P728" s="14"/>
      <c r="T728" s="12" t="e">
        <f>INDEX([1]流向迭代数据!K$2:K$65536,MATCH(L728,[1]流向迭代数据!H$2:H$65536,0))</f>
        <v>#N/A</v>
      </c>
      <c r="W728" s="12" t="str">
        <f t="shared" si="23"/>
        <v/>
      </c>
    </row>
    <row r="729" spans="1:23" x14ac:dyDescent="0.15">
      <c r="A729" s="14" t="str">
        <f t="shared" si="22"/>
        <v>190001</v>
      </c>
      <c r="C729" s="12" t="e">
        <f>INDEX(基础数据!$A$2:$A$1024,MATCH(转配商关联商!X729,基础数据!$D$2:$D$1024,0))</f>
        <v>#N/A</v>
      </c>
      <c r="E729" s="12" t="e">
        <f>INDEX(基础数据!$B$2:$B$1024,MATCH(转配商关联商!X729,基础数据!$D$2:$D$1024,0))</f>
        <v>#N/A</v>
      </c>
      <c r="G729" s="12" t="e">
        <f>INDEX([1]流向迭代数据!E$2:E$65536,MATCH(转配商关联商!W729,[1]流向迭代数据!M$2:M$65536,0))</f>
        <v>#N/A</v>
      </c>
      <c r="N729" s="12" t="e">
        <f>INDEX([1]流向迭代数据!J$2:J$65536,MATCH(L729,[1]流向迭代数据!H$2:H$65536,0))</f>
        <v>#N/A</v>
      </c>
      <c r="P729" s="14"/>
      <c r="T729" s="12" t="e">
        <f>INDEX([1]流向迭代数据!K$2:K$65536,MATCH(L729,[1]流向迭代数据!H$2:H$65536,0))</f>
        <v>#N/A</v>
      </c>
      <c r="W729" s="12" t="str">
        <f t="shared" si="23"/>
        <v/>
      </c>
    </row>
    <row r="730" spans="1:23" x14ac:dyDescent="0.15">
      <c r="A730" s="14" t="str">
        <f t="shared" si="22"/>
        <v>190001</v>
      </c>
      <c r="C730" s="12" t="e">
        <f>INDEX(基础数据!$A$2:$A$1024,MATCH(转配商关联商!X730,基础数据!$D$2:$D$1024,0))</f>
        <v>#N/A</v>
      </c>
      <c r="E730" s="12" t="e">
        <f>INDEX(基础数据!$B$2:$B$1024,MATCH(转配商关联商!X730,基础数据!$D$2:$D$1024,0))</f>
        <v>#N/A</v>
      </c>
      <c r="G730" s="12" t="e">
        <f>INDEX([1]流向迭代数据!E$2:E$65536,MATCH(转配商关联商!W730,[1]流向迭代数据!M$2:M$65536,0))</f>
        <v>#N/A</v>
      </c>
      <c r="N730" s="12" t="e">
        <f>INDEX([1]流向迭代数据!J$2:J$65536,MATCH(L730,[1]流向迭代数据!H$2:H$65536,0))</f>
        <v>#N/A</v>
      </c>
      <c r="P730" s="14"/>
      <c r="T730" s="12" t="e">
        <f>INDEX([1]流向迭代数据!K$2:K$65536,MATCH(L730,[1]流向迭代数据!H$2:H$65536,0))</f>
        <v>#N/A</v>
      </c>
      <c r="W730" s="12" t="str">
        <f t="shared" si="23"/>
        <v/>
      </c>
    </row>
    <row r="731" spans="1:23" x14ac:dyDescent="0.15">
      <c r="A731" s="14" t="str">
        <f t="shared" si="22"/>
        <v>190001</v>
      </c>
      <c r="C731" s="12" t="e">
        <f>INDEX(基础数据!$A$2:$A$1024,MATCH(转配商关联商!X731,基础数据!$D$2:$D$1024,0))</f>
        <v>#N/A</v>
      </c>
      <c r="E731" s="12" t="e">
        <f>INDEX(基础数据!$B$2:$B$1024,MATCH(转配商关联商!X731,基础数据!$D$2:$D$1024,0))</f>
        <v>#N/A</v>
      </c>
      <c r="G731" s="12" t="e">
        <f>INDEX([1]流向迭代数据!E$2:E$65536,MATCH(转配商关联商!W731,[1]流向迭代数据!M$2:M$65536,0))</f>
        <v>#N/A</v>
      </c>
      <c r="N731" s="12" t="e">
        <f>INDEX([1]流向迭代数据!J$2:J$65536,MATCH(L731,[1]流向迭代数据!H$2:H$65536,0))</f>
        <v>#N/A</v>
      </c>
      <c r="P731" s="14"/>
      <c r="T731" s="12" t="e">
        <f>INDEX([1]流向迭代数据!K$2:K$65536,MATCH(L731,[1]流向迭代数据!H$2:H$65536,0))</f>
        <v>#N/A</v>
      </c>
      <c r="W731" s="12" t="str">
        <f t="shared" si="23"/>
        <v/>
      </c>
    </row>
    <row r="732" spans="1:23" x14ac:dyDescent="0.15">
      <c r="A732" s="14" t="str">
        <f t="shared" si="22"/>
        <v>190001</v>
      </c>
      <c r="C732" s="12" t="e">
        <f>INDEX(基础数据!$A$2:$A$1024,MATCH(转配商关联商!X732,基础数据!$D$2:$D$1024,0))</f>
        <v>#N/A</v>
      </c>
      <c r="E732" s="12" t="e">
        <f>INDEX(基础数据!$B$2:$B$1024,MATCH(转配商关联商!X732,基础数据!$D$2:$D$1024,0))</f>
        <v>#N/A</v>
      </c>
      <c r="G732" s="12" t="e">
        <f>INDEX([1]流向迭代数据!E$2:E$65536,MATCH(转配商关联商!W732,[1]流向迭代数据!M$2:M$65536,0))</f>
        <v>#N/A</v>
      </c>
      <c r="N732" s="12" t="e">
        <f>INDEX([1]流向迭代数据!J$2:J$65536,MATCH(L732,[1]流向迭代数据!H$2:H$65536,0))</f>
        <v>#N/A</v>
      </c>
      <c r="P732" s="14"/>
      <c r="T732" s="12" t="e">
        <f>INDEX([1]流向迭代数据!K$2:K$65536,MATCH(L732,[1]流向迭代数据!H$2:H$65536,0))</f>
        <v>#N/A</v>
      </c>
      <c r="W732" s="12" t="str">
        <f t="shared" si="23"/>
        <v/>
      </c>
    </row>
    <row r="733" spans="1:23" x14ac:dyDescent="0.15">
      <c r="A733" s="14" t="str">
        <f t="shared" si="22"/>
        <v>190001</v>
      </c>
      <c r="C733" s="12" t="e">
        <f>INDEX(基础数据!$A$2:$A$1024,MATCH(转配商关联商!X733,基础数据!$D$2:$D$1024,0))</f>
        <v>#N/A</v>
      </c>
      <c r="E733" s="12" t="e">
        <f>INDEX(基础数据!$B$2:$B$1024,MATCH(转配商关联商!X733,基础数据!$D$2:$D$1024,0))</f>
        <v>#N/A</v>
      </c>
      <c r="G733" s="12" t="e">
        <f>INDEX([1]流向迭代数据!E$2:E$65536,MATCH(转配商关联商!W733,[1]流向迭代数据!M$2:M$65536,0))</f>
        <v>#N/A</v>
      </c>
      <c r="N733" s="12" t="e">
        <f>INDEX([1]流向迭代数据!J$2:J$65536,MATCH(L733,[1]流向迭代数据!H$2:H$65536,0))</f>
        <v>#N/A</v>
      </c>
      <c r="P733" s="14"/>
      <c r="T733" s="12" t="e">
        <f>INDEX([1]流向迭代数据!K$2:K$65536,MATCH(L733,[1]流向迭代数据!H$2:H$65536,0))</f>
        <v>#N/A</v>
      </c>
      <c r="W733" s="12" t="str">
        <f t="shared" si="23"/>
        <v/>
      </c>
    </row>
    <row r="734" spans="1:23" x14ac:dyDescent="0.15">
      <c r="A734" s="14" t="str">
        <f t="shared" si="22"/>
        <v>190001</v>
      </c>
      <c r="C734" s="12" t="e">
        <f>INDEX(基础数据!$A$2:$A$1024,MATCH(转配商关联商!X734,基础数据!$D$2:$D$1024,0))</f>
        <v>#N/A</v>
      </c>
      <c r="E734" s="12" t="e">
        <f>INDEX(基础数据!$B$2:$B$1024,MATCH(转配商关联商!X734,基础数据!$D$2:$D$1024,0))</f>
        <v>#N/A</v>
      </c>
      <c r="G734" s="12" t="e">
        <f>INDEX([1]流向迭代数据!E$2:E$65536,MATCH(转配商关联商!W734,[1]流向迭代数据!M$2:M$65536,0))</f>
        <v>#N/A</v>
      </c>
      <c r="N734" s="12" t="e">
        <f>INDEX([1]流向迭代数据!J$2:J$65536,MATCH(L734,[1]流向迭代数据!H$2:H$65536,0))</f>
        <v>#N/A</v>
      </c>
      <c r="P734" s="14"/>
      <c r="T734" s="12" t="e">
        <f>INDEX([1]流向迭代数据!K$2:K$65536,MATCH(L734,[1]流向迭代数据!H$2:H$65536,0))</f>
        <v>#N/A</v>
      </c>
      <c r="W734" s="12" t="str">
        <f t="shared" si="23"/>
        <v/>
      </c>
    </row>
    <row r="735" spans="1:23" x14ac:dyDescent="0.15">
      <c r="A735" s="14" t="str">
        <f t="shared" si="22"/>
        <v>190001</v>
      </c>
      <c r="C735" s="12" t="e">
        <f>INDEX(基础数据!$A$2:$A$1024,MATCH(转配商关联商!X735,基础数据!$D$2:$D$1024,0))</f>
        <v>#N/A</v>
      </c>
      <c r="E735" s="12" t="e">
        <f>INDEX(基础数据!$B$2:$B$1024,MATCH(转配商关联商!X735,基础数据!$D$2:$D$1024,0))</f>
        <v>#N/A</v>
      </c>
      <c r="G735" s="12" t="e">
        <f>INDEX([1]流向迭代数据!E$2:E$65536,MATCH(转配商关联商!W735,[1]流向迭代数据!M$2:M$65536,0))</f>
        <v>#N/A</v>
      </c>
      <c r="N735" s="12" t="e">
        <f>INDEX([1]流向迭代数据!J$2:J$65536,MATCH(L735,[1]流向迭代数据!H$2:H$65536,0))</f>
        <v>#N/A</v>
      </c>
      <c r="P735" s="14"/>
      <c r="T735" s="12" t="e">
        <f>INDEX([1]流向迭代数据!K$2:K$65536,MATCH(L735,[1]流向迭代数据!H$2:H$65536,0))</f>
        <v>#N/A</v>
      </c>
      <c r="W735" s="12" t="str">
        <f t="shared" si="23"/>
        <v/>
      </c>
    </row>
    <row r="736" spans="1:23" x14ac:dyDescent="0.15">
      <c r="A736" s="14" t="str">
        <f t="shared" si="22"/>
        <v>190001</v>
      </c>
      <c r="C736" s="12" t="e">
        <f>INDEX(基础数据!$A$2:$A$1024,MATCH(转配商关联商!X736,基础数据!$D$2:$D$1024,0))</f>
        <v>#N/A</v>
      </c>
      <c r="E736" s="12" t="e">
        <f>INDEX(基础数据!$B$2:$B$1024,MATCH(转配商关联商!X736,基础数据!$D$2:$D$1024,0))</f>
        <v>#N/A</v>
      </c>
      <c r="G736" s="12" t="e">
        <f>INDEX([1]流向迭代数据!E$2:E$65536,MATCH(转配商关联商!W736,[1]流向迭代数据!M$2:M$65536,0))</f>
        <v>#N/A</v>
      </c>
      <c r="N736" s="12" t="e">
        <f>INDEX([1]流向迭代数据!J$2:J$65536,MATCH(L736,[1]流向迭代数据!H$2:H$65536,0))</f>
        <v>#N/A</v>
      </c>
      <c r="P736" s="14"/>
      <c r="T736" s="12" t="e">
        <f>INDEX([1]流向迭代数据!K$2:K$65536,MATCH(L736,[1]流向迭代数据!H$2:H$65536,0))</f>
        <v>#N/A</v>
      </c>
      <c r="W736" s="12" t="str">
        <f t="shared" si="23"/>
        <v/>
      </c>
    </row>
    <row r="737" spans="1:23" x14ac:dyDescent="0.15">
      <c r="A737" s="14" t="str">
        <f t="shared" si="22"/>
        <v>190001</v>
      </c>
      <c r="C737" s="12" t="e">
        <f>INDEX(基础数据!$A$2:$A$1024,MATCH(转配商关联商!X737,基础数据!$D$2:$D$1024,0))</f>
        <v>#N/A</v>
      </c>
      <c r="E737" s="12" t="e">
        <f>INDEX(基础数据!$B$2:$B$1024,MATCH(转配商关联商!X737,基础数据!$D$2:$D$1024,0))</f>
        <v>#N/A</v>
      </c>
      <c r="G737" s="12" t="e">
        <f>INDEX([1]流向迭代数据!E$2:E$65536,MATCH(转配商关联商!W737,[1]流向迭代数据!M$2:M$65536,0))</f>
        <v>#N/A</v>
      </c>
      <c r="N737" s="12" t="e">
        <f>INDEX([1]流向迭代数据!J$2:J$65536,MATCH(L737,[1]流向迭代数据!H$2:H$65536,0))</f>
        <v>#N/A</v>
      </c>
      <c r="P737" s="14"/>
      <c r="T737" s="12" t="e">
        <f>INDEX([1]流向迭代数据!K$2:K$65536,MATCH(L737,[1]流向迭代数据!H$2:H$65536,0))</f>
        <v>#N/A</v>
      </c>
      <c r="W737" s="12" t="str">
        <f t="shared" si="23"/>
        <v/>
      </c>
    </row>
    <row r="738" spans="1:23" x14ac:dyDescent="0.15">
      <c r="A738" s="14" t="str">
        <f t="shared" si="22"/>
        <v>190001</v>
      </c>
      <c r="C738" s="12" t="e">
        <f>INDEX(基础数据!$A$2:$A$1024,MATCH(转配商关联商!X738,基础数据!$D$2:$D$1024,0))</f>
        <v>#N/A</v>
      </c>
      <c r="E738" s="12" t="e">
        <f>INDEX(基础数据!$B$2:$B$1024,MATCH(转配商关联商!X738,基础数据!$D$2:$D$1024,0))</f>
        <v>#N/A</v>
      </c>
      <c r="G738" s="12" t="e">
        <f>INDEX([1]流向迭代数据!E$2:E$65536,MATCH(转配商关联商!W738,[1]流向迭代数据!M$2:M$65536,0))</f>
        <v>#N/A</v>
      </c>
      <c r="N738" s="12" t="e">
        <f>INDEX([1]流向迭代数据!J$2:J$65536,MATCH(L738,[1]流向迭代数据!H$2:H$65536,0))</f>
        <v>#N/A</v>
      </c>
      <c r="P738" s="14"/>
      <c r="T738" s="12" t="e">
        <f>INDEX([1]流向迭代数据!K$2:K$65536,MATCH(L738,[1]流向迭代数据!H$2:H$65536,0))</f>
        <v>#N/A</v>
      </c>
      <c r="W738" s="12" t="str">
        <f t="shared" si="23"/>
        <v/>
      </c>
    </row>
    <row r="739" spans="1:23" x14ac:dyDescent="0.15">
      <c r="A739" s="14" t="str">
        <f t="shared" si="22"/>
        <v>190001</v>
      </c>
      <c r="C739" s="12" t="e">
        <f>INDEX(基础数据!$A$2:$A$1024,MATCH(转配商关联商!X739,基础数据!$D$2:$D$1024,0))</f>
        <v>#N/A</v>
      </c>
      <c r="E739" s="12" t="e">
        <f>INDEX(基础数据!$B$2:$B$1024,MATCH(转配商关联商!X739,基础数据!$D$2:$D$1024,0))</f>
        <v>#N/A</v>
      </c>
      <c r="G739" s="12" t="e">
        <f>INDEX([1]流向迭代数据!E$2:E$65536,MATCH(转配商关联商!W739,[1]流向迭代数据!M$2:M$65536,0))</f>
        <v>#N/A</v>
      </c>
      <c r="N739" s="12" t="e">
        <f>INDEX([1]流向迭代数据!J$2:J$65536,MATCH(L739,[1]流向迭代数据!H$2:H$65536,0))</f>
        <v>#N/A</v>
      </c>
      <c r="P739" s="14"/>
      <c r="T739" s="12" t="e">
        <f>INDEX([1]流向迭代数据!K$2:K$65536,MATCH(L739,[1]流向迭代数据!H$2:H$65536,0))</f>
        <v>#N/A</v>
      </c>
      <c r="W739" s="12" t="str">
        <f t="shared" si="23"/>
        <v/>
      </c>
    </row>
    <row r="740" spans="1:23" x14ac:dyDescent="0.15">
      <c r="A740" s="14" t="str">
        <f t="shared" si="22"/>
        <v>190001</v>
      </c>
      <c r="C740" s="12" t="e">
        <f>INDEX(基础数据!$A$2:$A$1024,MATCH(转配商关联商!X740,基础数据!$D$2:$D$1024,0))</f>
        <v>#N/A</v>
      </c>
      <c r="E740" s="12" t="e">
        <f>INDEX(基础数据!$B$2:$B$1024,MATCH(转配商关联商!X740,基础数据!$D$2:$D$1024,0))</f>
        <v>#N/A</v>
      </c>
      <c r="G740" s="12" t="e">
        <f>INDEX([1]流向迭代数据!E$2:E$65536,MATCH(转配商关联商!W740,[1]流向迭代数据!M$2:M$65536,0))</f>
        <v>#N/A</v>
      </c>
      <c r="N740" s="12" t="e">
        <f>INDEX([1]流向迭代数据!J$2:J$65536,MATCH(L740,[1]流向迭代数据!H$2:H$65536,0))</f>
        <v>#N/A</v>
      </c>
      <c r="P740" s="14"/>
      <c r="T740" s="12" t="e">
        <f>INDEX([1]流向迭代数据!K$2:K$65536,MATCH(L740,[1]流向迭代数据!H$2:H$65536,0))</f>
        <v>#N/A</v>
      </c>
      <c r="W740" s="12" t="str">
        <f t="shared" si="23"/>
        <v/>
      </c>
    </row>
    <row r="741" spans="1:23" x14ac:dyDescent="0.15">
      <c r="A741" s="14" t="str">
        <f t="shared" si="22"/>
        <v>190001</v>
      </c>
      <c r="C741" s="12" t="e">
        <f>INDEX(基础数据!$A$2:$A$1024,MATCH(转配商关联商!X741,基础数据!$D$2:$D$1024,0))</f>
        <v>#N/A</v>
      </c>
      <c r="E741" s="12" t="e">
        <f>INDEX(基础数据!$B$2:$B$1024,MATCH(转配商关联商!X741,基础数据!$D$2:$D$1024,0))</f>
        <v>#N/A</v>
      </c>
      <c r="G741" s="12" t="e">
        <f>INDEX([1]流向迭代数据!E$2:E$65536,MATCH(转配商关联商!W741,[1]流向迭代数据!M$2:M$65536,0))</f>
        <v>#N/A</v>
      </c>
      <c r="N741" s="12" t="e">
        <f>INDEX([1]流向迭代数据!J$2:J$65536,MATCH(L741,[1]流向迭代数据!H$2:H$65536,0))</f>
        <v>#N/A</v>
      </c>
      <c r="P741" s="14"/>
      <c r="T741" s="12" t="e">
        <f>INDEX([1]流向迭代数据!K$2:K$65536,MATCH(L741,[1]流向迭代数据!H$2:H$65536,0))</f>
        <v>#N/A</v>
      </c>
      <c r="W741" s="12" t="str">
        <f t="shared" si="23"/>
        <v/>
      </c>
    </row>
    <row r="742" spans="1:23" x14ac:dyDescent="0.15">
      <c r="A742" s="14" t="str">
        <f t="shared" si="22"/>
        <v>190001</v>
      </c>
      <c r="C742" s="12" t="e">
        <f>INDEX(基础数据!$A$2:$A$1024,MATCH(转配商关联商!X742,基础数据!$D$2:$D$1024,0))</f>
        <v>#N/A</v>
      </c>
      <c r="E742" s="12" t="e">
        <f>INDEX(基础数据!$B$2:$B$1024,MATCH(转配商关联商!X742,基础数据!$D$2:$D$1024,0))</f>
        <v>#N/A</v>
      </c>
      <c r="G742" s="12" t="e">
        <f>INDEX([1]流向迭代数据!E$2:E$65536,MATCH(转配商关联商!W742,[1]流向迭代数据!M$2:M$65536,0))</f>
        <v>#N/A</v>
      </c>
      <c r="N742" s="12" t="e">
        <f>INDEX([1]流向迭代数据!J$2:J$65536,MATCH(L742,[1]流向迭代数据!H$2:H$65536,0))</f>
        <v>#N/A</v>
      </c>
      <c r="P742" s="14"/>
      <c r="T742" s="12" t="e">
        <f>INDEX([1]流向迭代数据!K$2:K$65536,MATCH(L742,[1]流向迭代数据!H$2:H$65536,0))</f>
        <v>#N/A</v>
      </c>
      <c r="W742" s="12" t="str">
        <f t="shared" si="23"/>
        <v/>
      </c>
    </row>
    <row r="743" spans="1:23" x14ac:dyDescent="0.15">
      <c r="A743" s="14" t="str">
        <f t="shared" si="22"/>
        <v>190001</v>
      </c>
      <c r="C743" s="12" t="e">
        <f>INDEX(基础数据!$A$2:$A$1024,MATCH(转配商关联商!X743,基础数据!$D$2:$D$1024,0))</f>
        <v>#N/A</v>
      </c>
      <c r="E743" s="12" t="e">
        <f>INDEX(基础数据!$B$2:$B$1024,MATCH(转配商关联商!X743,基础数据!$D$2:$D$1024,0))</f>
        <v>#N/A</v>
      </c>
      <c r="G743" s="12" t="e">
        <f>INDEX([1]流向迭代数据!E$2:E$65536,MATCH(转配商关联商!W743,[1]流向迭代数据!M$2:M$65536,0))</f>
        <v>#N/A</v>
      </c>
      <c r="N743" s="12" t="e">
        <f>INDEX([1]流向迭代数据!J$2:J$65536,MATCH(L743,[1]流向迭代数据!H$2:H$65536,0))</f>
        <v>#N/A</v>
      </c>
      <c r="P743" s="14"/>
      <c r="T743" s="12" t="e">
        <f>INDEX([1]流向迭代数据!K$2:K$65536,MATCH(L743,[1]流向迭代数据!H$2:H$65536,0))</f>
        <v>#N/A</v>
      </c>
      <c r="W743" s="12" t="str">
        <f t="shared" si="23"/>
        <v/>
      </c>
    </row>
    <row r="744" spans="1:23" x14ac:dyDescent="0.15">
      <c r="A744" s="14" t="str">
        <f t="shared" si="22"/>
        <v>190001</v>
      </c>
      <c r="C744" s="12" t="e">
        <f>INDEX(基础数据!$A$2:$A$1024,MATCH(转配商关联商!X744,基础数据!$D$2:$D$1024,0))</f>
        <v>#N/A</v>
      </c>
      <c r="E744" s="12" t="e">
        <f>INDEX(基础数据!$B$2:$B$1024,MATCH(转配商关联商!X744,基础数据!$D$2:$D$1024,0))</f>
        <v>#N/A</v>
      </c>
      <c r="G744" s="12" t="e">
        <f>INDEX([1]流向迭代数据!E$2:E$65536,MATCH(转配商关联商!W744,[1]流向迭代数据!M$2:M$65536,0))</f>
        <v>#N/A</v>
      </c>
      <c r="N744" s="12" t="e">
        <f>INDEX([1]流向迭代数据!J$2:J$65536,MATCH(L744,[1]流向迭代数据!H$2:H$65536,0))</f>
        <v>#N/A</v>
      </c>
      <c r="P744" s="14"/>
      <c r="T744" s="12" t="e">
        <f>INDEX([1]流向迭代数据!K$2:K$65536,MATCH(L744,[1]流向迭代数据!H$2:H$65536,0))</f>
        <v>#N/A</v>
      </c>
      <c r="W744" s="12" t="str">
        <f t="shared" si="23"/>
        <v/>
      </c>
    </row>
    <row r="745" spans="1:23" x14ac:dyDescent="0.15">
      <c r="A745" s="14" t="str">
        <f t="shared" si="22"/>
        <v>190001</v>
      </c>
      <c r="C745" s="12" t="e">
        <f>INDEX(基础数据!$A$2:$A$1024,MATCH(转配商关联商!X745,基础数据!$D$2:$D$1024,0))</f>
        <v>#N/A</v>
      </c>
      <c r="E745" s="12" t="e">
        <f>INDEX(基础数据!$B$2:$B$1024,MATCH(转配商关联商!X745,基础数据!$D$2:$D$1024,0))</f>
        <v>#N/A</v>
      </c>
      <c r="G745" s="12" t="e">
        <f>INDEX([1]流向迭代数据!E$2:E$65536,MATCH(转配商关联商!W745,[1]流向迭代数据!M$2:M$65536,0))</f>
        <v>#N/A</v>
      </c>
      <c r="N745" s="12" t="e">
        <f>INDEX([1]流向迭代数据!J$2:J$65536,MATCH(L745,[1]流向迭代数据!H$2:H$65536,0))</f>
        <v>#N/A</v>
      </c>
      <c r="P745" s="14"/>
      <c r="T745" s="12" t="e">
        <f>INDEX([1]流向迭代数据!K$2:K$65536,MATCH(L745,[1]流向迭代数据!H$2:H$65536,0))</f>
        <v>#N/A</v>
      </c>
      <c r="W745" s="12" t="str">
        <f t="shared" si="23"/>
        <v/>
      </c>
    </row>
    <row r="746" spans="1:23" x14ac:dyDescent="0.15">
      <c r="A746" s="14" t="str">
        <f t="shared" si="22"/>
        <v>190001</v>
      </c>
      <c r="C746" s="12" t="e">
        <f>INDEX(基础数据!$A$2:$A$1024,MATCH(转配商关联商!X746,基础数据!$D$2:$D$1024,0))</f>
        <v>#N/A</v>
      </c>
      <c r="E746" s="12" t="e">
        <f>INDEX(基础数据!$B$2:$B$1024,MATCH(转配商关联商!X746,基础数据!$D$2:$D$1024,0))</f>
        <v>#N/A</v>
      </c>
      <c r="G746" s="12" t="e">
        <f>INDEX([1]流向迭代数据!E$2:E$65536,MATCH(转配商关联商!W746,[1]流向迭代数据!M$2:M$65536,0))</f>
        <v>#N/A</v>
      </c>
      <c r="N746" s="12" t="e">
        <f>INDEX([1]流向迭代数据!J$2:J$65536,MATCH(L746,[1]流向迭代数据!H$2:H$65536,0))</f>
        <v>#N/A</v>
      </c>
      <c r="P746" s="14"/>
      <c r="T746" s="12" t="e">
        <f>INDEX([1]流向迭代数据!K$2:K$65536,MATCH(L746,[1]流向迭代数据!H$2:H$65536,0))</f>
        <v>#N/A</v>
      </c>
      <c r="W746" s="12" t="str">
        <f t="shared" si="23"/>
        <v/>
      </c>
    </row>
    <row r="747" spans="1:23" x14ac:dyDescent="0.15">
      <c r="A747" s="14" t="str">
        <f t="shared" si="22"/>
        <v>190001</v>
      </c>
      <c r="C747" s="12" t="e">
        <f>INDEX(基础数据!$A$2:$A$1024,MATCH(转配商关联商!X747,基础数据!$D$2:$D$1024,0))</f>
        <v>#N/A</v>
      </c>
      <c r="E747" s="12" t="e">
        <f>INDEX(基础数据!$B$2:$B$1024,MATCH(转配商关联商!X747,基础数据!$D$2:$D$1024,0))</f>
        <v>#N/A</v>
      </c>
      <c r="G747" s="12" t="e">
        <f>INDEX([1]流向迭代数据!E$2:E$65536,MATCH(转配商关联商!W747,[1]流向迭代数据!M$2:M$65536,0))</f>
        <v>#N/A</v>
      </c>
      <c r="N747" s="12" t="e">
        <f>INDEX([1]流向迭代数据!J$2:J$65536,MATCH(L747,[1]流向迭代数据!H$2:H$65536,0))</f>
        <v>#N/A</v>
      </c>
      <c r="P747" s="14"/>
      <c r="T747" s="12" t="e">
        <f>INDEX([1]流向迭代数据!K$2:K$65536,MATCH(L747,[1]流向迭代数据!H$2:H$65536,0))</f>
        <v>#N/A</v>
      </c>
      <c r="W747" s="12" t="str">
        <f t="shared" si="23"/>
        <v/>
      </c>
    </row>
    <row r="748" spans="1:23" x14ac:dyDescent="0.15">
      <c r="A748" s="14" t="str">
        <f t="shared" si="22"/>
        <v>190001</v>
      </c>
      <c r="C748" s="12" t="e">
        <f>INDEX(基础数据!$A$2:$A$1024,MATCH(转配商关联商!X748,基础数据!$D$2:$D$1024,0))</f>
        <v>#N/A</v>
      </c>
      <c r="E748" s="12" t="e">
        <f>INDEX(基础数据!$B$2:$B$1024,MATCH(转配商关联商!X748,基础数据!$D$2:$D$1024,0))</f>
        <v>#N/A</v>
      </c>
      <c r="G748" s="12" t="e">
        <f>INDEX([1]流向迭代数据!E$2:E$65536,MATCH(转配商关联商!W748,[1]流向迭代数据!M$2:M$65536,0))</f>
        <v>#N/A</v>
      </c>
      <c r="N748" s="12" t="e">
        <f>INDEX([1]流向迭代数据!J$2:J$65536,MATCH(L748,[1]流向迭代数据!H$2:H$65536,0))</f>
        <v>#N/A</v>
      </c>
      <c r="P748" s="14"/>
      <c r="T748" s="12" t="e">
        <f>INDEX([1]流向迭代数据!K$2:K$65536,MATCH(L748,[1]流向迭代数据!H$2:H$65536,0))</f>
        <v>#N/A</v>
      </c>
      <c r="W748" s="12" t="str">
        <f t="shared" si="23"/>
        <v/>
      </c>
    </row>
    <row r="749" spans="1:23" x14ac:dyDescent="0.15">
      <c r="A749" s="14" t="str">
        <f t="shared" si="22"/>
        <v>190001</v>
      </c>
      <c r="C749" s="12" t="e">
        <f>INDEX(基础数据!$A$2:$A$1024,MATCH(转配商关联商!X749,基础数据!$D$2:$D$1024,0))</f>
        <v>#N/A</v>
      </c>
      <c r="E749" s="12" t="e">
        <f>INDEX(基础数据!$B$2:$B$1024,MATCH(转配商关联商!X749,基础数据!$D$2:$D$1024,0))</f>
        <v>#N/A</v>
      </c>
      <c r="G749" s="12" t="e">
        <f>INDEX([1]流向迭代数据!E$2:E$65536,MATCH(转配商关联商!W749,[1]流向迭代数据!M$2:M$65536,0))</f>
        <v>#N/A</v>
      </c>
      <c r="N749" s="12" t="e">
        <f>INDEX([1]流向迭代数据!J$2:J$65536,MATCH(L749,[1]流向迭代数据!H$2:H$65536,0))</f>
        <v>#N/A</v>
      </c>
      <c r="P749" s="14"/>
      <c r="T749" s="12" t="e">
        <f>INDEX([1]流向迭代数据!K$2:K$65536,MATCH(L749,[1]流向迭代数据!H$2:H$65536,0))</f>
        <v>#N/A</v>
      </c>
      <c r="W749" s="12" t="str">
        <f t="shared" si="23"/>
        <v/>
      </c>
    </row>
    <row r="750" spans="1:23" x14ac:dyDescent="0.15">
      <c r="A750" s="14" t="str">
        <f t="shared" si="22"/>
        <v>190001</v>
      </c>
      <c r="C750" s="12" t="e">
        <f>INDEX(基础数据!$A$2:$A$1024,MATCH(转配商关联商!X750,基础数据!$D$2:$D$1024,0))</f>
        <v>#N/A</v>
      </c>
      <c r="E750" s="12" t="e">
        <f>INDEX(基础数据!$B$2:$B$1024,MATCH(转配商关联商!X750,基础数据!$D$2:$D$1024,0))</f>
        <v>#N/A</v>
      </c>
      <c r="G750" s="12" t="e">
        <f>INDEX([1]流向迭代数据!E$2:E$65536,MATCH(转配商关联商!W750,[1]流向迭代数据!M$2:M$65536,0))</f>
        <v>#N/A</v>
      </c>
      <c r="N750" s="12" t="e">
        <f>INDEX([1]流向迭代数据!J$2:J$65536,MATCH(L750,[1]流向迭代数据!H$2:H$65536,0))</f>
        <v>#N/A</v>
      </c>
      <c r="P750" s="14"/>
      <c r="T750" s="12" t="e">
        <f>INDEX([1]流向迭代数据!K$2:K$65536,MATCH(L750,[1]流向迭代数据!H$2:H$65536,0))</f>
        <v>#N/A</v>
      </c>
      <c r="W750" s="12" t="str">
        <f t="shared" si="23"/>
        <v/>
      </c>
    </row>
    <row r="751" spans="1:23" x14ac:dyDescent="0.15">
      <c r="A751" s="14" t="str">
        <f t="shared" si="22"/>
        <v>190001</v>
      </c>
      <c r="C751" s="12" t="e">
        <f>INDEX(基础数据!$A$2:$A$1024,MATCH(转配商关联商!X751,基础数据!$D$2:$D$1024,0))</f>
        <v>#N/A</v>
      </c>
      <c r="E751" s="12" t="e">
        <f>INDEX(基础数据!$B$2:$B$1024,MATCH(转配商关联商!X751,基础数据!$D$2:$D$1024,0))</f>
        <v>#N/A</v>
      </c>
      <c r="G751" s="12" t="e">
        <f>INDEX([1]流向迭代数据!E$2:E$65536,MATCH(转配商关联商!W751,[1]流向迭代数据!M$2:M$65536,0))</f>
        <v>#N/A</v>
      </c>
      <c r="N751" s="12" t="e">
        <f>INDEX([1]流向迭代数据!J$2:J$65536,MATCH(L751,[1]流向迭代数据!H$2:H$65536,0))</f>
        <v>#N/A</v>
      </c>
      <c r="P751" s="14"/>
      <c r="T751" s="12" t="e">
        <f>INDEX([1]流向迭代数据!K$2:K$65536,MATCH(L751,[1]流向迭代数据!H$2:H$65536,0))</f>
        <v>#N/A</v>
      </c>
      <c r="W751" s="12" t="str">
        <f t="shared" si="23"/>
        <v/>
      </c>
    </row>
    <row r="752" spans="1:23" x14ac:dyDescent="0.15">
      <c r="A752" s="14" t="str">
        <f t="shared" si="22"/>
        <v>190001</v>
      </c>
      <c r="C752" s="12" t="e">
        <f>INDEX(基础数据!$A$2:$A$1024,MATCH(转配商关联商!X752,基础数据!$D$2:$D$1024,0))</f>
        <v>#N/A</v>
      </c>
      <c r="E752" s="12" t="e">
        <f>INDEX(基础数据!$B$2:$B$1024,MATCH(转配商关联商!X752,基础数据!$D$2:$D$1024,0))</f>
        <v>#N/A</v>
      </c>
      <c r="G752" s="12" t="e">
        <f>INDEX([1]流向迭代数据!E$2:E$65536,MATCH(转配商关联商!W752,[1]流向迭代数据!M$2:M$65536,0))</f>
        <v>#N/A</v>
      </c>
      <c r="N752" s="12" t="e">
        <f>INDEX([1]流向迭代数据!J$2:J$65536,MATCH(L752,[1]流向迭代数据!H$2:H$65536,0))</f>
        <v>#N/A</v>
      </c>
      <c r="P752" s="14"/>
      <c r="T752" s="12" t="e">
        <f>INDEX([1]流向迭代数据!K$2:K$65536,MATCH(L752,[1]流向迭代数据!H$2:H$65536,0))</f>
        <v>#N/A</v>
      </c>
      <c r="W752" s="12" t="str">
        <f t="shared" si="23"/>
        <v/>
      </c>
    </row>
    <row r="753" spans="1:23" x14ac:dyDescent="0.15">
      <c r="A753" s="14" t="str">
        <f t="shared" si="22"/>
        <v>190001</v>
      </c>
      <c r="C753" s="12" t="e">
        <f>INDEX(基础数据!$A$2:$A$1024,MATCH(转配商关联商!X753,基础数据!$D$2:$D$1024,0))</f>
        <v>#N/A</v>
      </c>
      <c r="E753" s="12" t="e">
        <f>INDEX(基础数据!$B$2:$B$1024,MATCH(转配商关联商!X753,基础数据!$D$2:$D$1024,0))</f>
        <v>#N/A</v>
      </c>
      <c r="G753" s="12" t="e">
        <f>INDEX([1]流向迭代数据!E$2:E$65536,MATCH(转配商关联商!W753,[1]流向迭代数据!M$2:M$65536,0))</f>
        <v>#N/A</v>
      </c>
      <c r="N753" s="12" t="e">
        <f>INDEX([1]流向迭代数据!J$2:J$65536,MATCH(L753,[1]流向迭代数据!H$2:H$65536,0))</f>
        <v>#N/A</v>
      </c>
      <c r="P753" s="14"/>
      <c r="T753" s="12" t="e">
        <f>INDEX([1]流向迭代数据!K$2:K$65536,MATCH(L753,[1]流向迭代数据!H$2:H$65536,0))</f>
        <v>#N/A</v>
      </c>
      <c r="W753" s="12" t="str">
        <f t="shared" si="23"/>
        <v/>
      </c>
    </row>
    <row r="754" spans="1:23" x14ac:dyDescent="0.15">
      <c r="A754" s="14" t="str">
        <f t="shared" si="22"/>
        <v>190001</v>
      </c>
      <c r="C754" s="12" t="e">
        <f>INDEX(基础数据!$A$2:$A$1024,MATCH(转配商关联商!X754,基础数据!$D$2:$D$1024,0))</f>
        <v>#N/A</v>
      </c>
      <c r="E754" s="12" t="e">
        <f>INDEX(基础数据!$B$2:$B$1024,MATCH(转配商关联商!X754,基础数据!$D$2:$D$1024,0))</f>
        <v>#N/A</v>
      </c>
      <c r="G754" s="12" t="e">
        <f>INDEX([1]流向迭代数据!E$2:E$65536,MATCH(转配商关联商!W754,[1]流向迭代数据!M$2:M$65536,0))</f>
        <v>#N/A</v>
      </c>
      <c r="N754" s="12" t="e">
        <f>INDEX([1]流向迭代数据!J$2:J$65536,MATCH(L754,[1]流向迭代数据!H$2:H$65536,0))</f>
        <v>#N/A</v>
      </c>
      <c r="P754" s="14"/>
      <c r="T754" s="12" t="e">
        <f>INDEX([1]流向迭代数据!K$2:K$65536,MATCH(L754,[1]流向迭代数据!H$2:H$65536,0))</f>
        <v>#N/A</v>
      </c>
      <c r="W754" s="12" t="str">
        <f t="shared" si="23"/>
        <v/>
      </c>
    </row>
    <row r="755" spans="1:23" x14ac:dyDescent="0.15">
      <c r="A755" s="14" t="str">
        <f t="shared" si="22"/>
        <v>190001</v>
      </c>
      <c r="C755" s="12" t="e">
        <f>INDEX(基础数据!$A$2:$A$1024,MATCH(转配商关联商!X755,基础数据!$D$2:$D$1024,0))</f>
        <v>#N/A</v>
      </c>
      <c r="E755" s="12" t="e">
        <f>INDEX(基础数据!$B$2:$B$1024,MATCH(转配商关联商!X755,基础数据!$D$2:$D$1024,0))</f>
        <v>#N/A</v>
      </c>
      <c r="G755" s="12" t="e">
        <f>INDEX([1]流向迭代数据!E$2:E$65536,MATCH(转配商关联商!W755,[1]流向迭代数据!M$2:M$65536,0))</f>
        <v>#N/A</v>
      </c>
      <c r="N755" s="12" t="e">
        <f>INDEX([1]流向迭代数据!J$2:J$65536,MATCH(L755,[1]流向迭代数据!H$2:H$65536,0))</f>
        <v>#N/A</v>
      </c>
      <c r="P755" s="14"/>
      <c r="T755" s="12" t="e">
        <f>INDEX([1]流向迭代数据!K$2:K$65536,MATCH(L755,[1]流向迭代数据!H$2:H$65536,0))</f>
        <v>#N/A</v>
      </c>
      <c r="W755" s="12" t="str">
        <f t="shared" si="23"/>
        <v/>
      </c>
    </row>
    <row r="756" spans="1:23" x14ac:dyDescent="0.15">
      <c r="A756" s="14" t="str">
        <f t="shared" si="22"/>
        <v>190001</v>
      </c>
      <c r="C756" s="12" t="e">
        <f>INDEX(基础数据!$A$2:$A$1024,MATCH(转配商关联商!X756,基础数据!$D$2:$D$1024,0))</f>
        <v>#N/A</v>
      </c>
      <c r="E756" s="12" t="e">
        <f>INDEX(基础数据!$B$2:$B$1024,MATCH(转配商关联商!X756,基础数据!$D$2:$D$1024,0))</f>
        <v>#N/A</v>
      </c>
      <c r="G756" s="12" t="e">
        <f>INDEX([1]流向迭代数据!E$2:E$65536,MATCH(转配商关联商!W756,[1]流向迭代数据!M$2:M$65536,0))</f>
        <v>#N/A</v>
      </c>
      <c r="N756" s="12" t="e">
        <f>INDEX([1]流向迭代数据!J$2:J$65536,MATCH(L756,[1]流向迭代数据!H$2:H$65536,0))</f>
        <v>#N/A</v>
      </c>
      <c r="P756" s="14"/>
      <c r="T756" s="12" t="e">
        <f>INDEX([1]流向迭代数据!K$2:K$65536,MATCH(L756,[1]流向迭代数据!H$2:H$65536,0))</f>
        <v>#N/A</v>
      </c>
      <c r="W756" s="12" t="str">
        <f t="shared" si="23"/>
        <v/>
      </c>
    </row>
    <row r="757" spans="1:23" x14ac:dyDescent="0.15">
      <c r="A757" s="14" t="str">
        <f t="shared" si="22"/>
        <v>190001</v>
      </c>
      <c r="C757" s="12" t="e">
        <f>INDEX(基础数据!$A$2:$A$1024,MATCH(转配商关联商!X757,基础数据!$D$2:$D$1024,0))</f>
        <v>#N/A</v>
      </c>
      <c r="E757" s="12" t="e">
        <f>INDEX(基础数据!$B$2:$B$1024,MATCH(转配商关联商!X757,基础数据!$D$2:$D$1024,0))</f>
        <v>#N/A</v>
      </c>
      <c r="G757" s="12" t="e">
        <f>INDEX([1]流向迭代数据!E$2:E$65536,MATCH(转配商关联商!W757,[1]流向迭代数据!M$2:M$65536,0))</f>
        <v>#N/A</v>
      </c>
      <c r="N757" s="12" t="e">
        <f>INDEX([1]流向迭代数据!J$2:J$65536,MATCH(L757,[1]流向迭代数据!H$2:H$65536,0))</f>
        <v>#N/A</v>
      </c>
      <c r="P757" s="14"/>
      <c r="T757" s="12" t="e">
        <f>INDEX([1]流向迭代数据!K$2:K$65536,MATCH(L757,[1]流向迭代数据!H$2:H$65536,0))</f>
        <v>#N/A</v>
      </c>
      <c r="W757" s="12" t="str">
        <f t="shared" si="23"/>
        <v/>
      </c>
    </row>
    <row r="758" spans="1:23" x14ac:dyDescent="0.15">
      <c r="A758" s="14" t="str">
        <f t="shared" si="22"/>
        <v>190001</v>
      </c>
      <c r="C758" s="12" t="e">
        <f>INDEX(基础数据!$A$2:$A$1024,MATCH(转配商关联商!X758,基础数据!$D$2:$D$1024,0))</f>
        <v>#N/A</v>
      </c>
      <c r="E758" s="12" t="e">
        <f>INDEX(基础数据!$B$2:$B$1024,MATCH(转配商关联商!X758,基础数据!$D$2:$D$1024,0))</f>
        <v>#N/A</v>
      </c>
      <c r="G758" s="12" t="e">
        <f>INDEX([1]流向迭代数据!E$2:E$65536,MATCH(转配商关联商!W758,[1]流向迭代数据!M$2:M$65536,0))</f>
        <v>#N/A</v>
      </c>
      <c r="N758" s="12" t="e">
        <f>INDEX([1]流向迭代数据!J$2:J$65536,MATCH(L758,[1]流向迭代数据!H$2:H$65536,0))</f>
        <v>#N/A</v>
      </c>
      <c r="P758" s="14"/>
      <c r="T758" s="12" t="e">
        <f>INDEX([1]流向迭代数据!K$2:K$65536,MATCH(L758,[1]流向迭代数据!H$2:H$65536,0))</f>
        <v>#N/A</v>
      </c>
      <c r="W758" s="12" t="str">
        <f t="shared" si="23"/>
        <v/>
      </c>
    </row>
    <row r="759" spans="1:23" x14ac:dyDescent="0.15">
      <c r="A759" s="14" t="str">
        <f t="shared" si="22"/>
        <v>190001</v>
      </c>
      <c r="C759" s="12" t="e">
        <f>INDEX(基础数据!$A$2:$A$1024,MATCH(转配商关联商!X759,基础数据!$D$2:$D$1024,0))</f>
        <v>#N/A</v>
      </c>
      <c r="E759" s="12" t="e">
        <f>INDEX(基础数据!$B$2:$B$1024,MATCH(转配商关联商!X759,基础数据!$D$2:$D$1024,0))</f>
        <v>#N/A</v>
      </c>
      <c r="G759" s="12" t="e">
        <f>INDEX([1]流向迭代数据!E$2:E$65536,MATCH(转配商关联商!W759,[1]流向迭代数据!M$2:M$65536,0))</f>
        <v>#N/A</v>
      </c>
      <c r="N759" s="12" t="e">
        <f>INDEX([1]流向迭代数据!J$2:J$65536,MATCH(L759,[1]流向迭代数据!H$2:H$65536,0))</f>
        <v>#N/A</v>
      </c>
      <c r="P759" s="14"/>
      <c r="T759" s="12" t="e">
        <f>INDEX([1]流向迭代数据!K$2:K$65536,MATCH(L759,[1]流向迭代数据!H$2:H$65536,0))</f>
        <v>#N/A</v>
      </c>
      <c r="W759" s="12" t="str">
        <f t="shared" si="23"/>
        <v/>
      </c>
    </row>
    <row r="760" spans="1:23" x14ac:dyDescent="0.15">
      <c r="A760" s="14" t="str">
        <f t="shared" si="22"/>
        <v>190001</v>
      </c>
      <c r="C760" s="12" t="e">
        <f>INDEX(基础数据!$A$2:$A$1024,MATCH(转配商关联商!X760,基础数据!$D$2:$D$1024,0))</f>
        <v>#N/A</v>
      </c>
      <c r="E760" s="12" t="e">
        <f>INDEX(基础数据!$B$2:$B$1024,MATCH(转配商关联商!X760,基础数据!$D$2:$D$1024,0))</f>
        <v>#N/A</v>
      </c>
      <c r="G760" s="12" t="e">
        <f>INDEX([1]流向迭代数据!E$2:E$65536,MATCH(转配商关联商!W760,[1]流向迭代数据!M$2:M$65536,0))</f>
        <v>#N/A</v>
      </c>
      <c r="N760" s="12" t="e">
        <f>INDEX([1]流向迭代数据!J$2:J$65536,MATCH(L760,[1]流向迭代数据!H$2:H$65536,0))</f>
        <v>#N/A</v>
      </c>
      <c r="P760" s="14"/>
      <c r="T760" s="12" t="e">
        <f>INDEX([1]流向迭代数据!K$2:K$65536,MATCH(L760,[1]流向迭代数据!H$2:H$65536,0))</f>
        <v>#N/A</v>
      </c>
      <c r="W760" s="12" t="str">
        <f t="shared" si="23"/>
        <v/>
      </c>
    </row>
    <row r="761" spans="1:23" x14ac:dyDescent="0.15">
      <c r="A761" s="14" t="str">
        <f t="shared" si="22"/>
        <v>190001</v>
      </c>
      <c r="C761" s="12" t="e">
        <f>INDEX(基础数据!$A$2:$A$1024,MATCH(转配商关联商!X761,基础数据!$D$2:$D$1024,0))</f>
        <v>#N/A</v>
      </c>
      <c r="E761" s="12" t="e">
        <f>INDEX(基础数据!$B$2:$B$1024,MATCH(转配商关联商!X761,基础数据!$D$2:$D$1024,0))</f>
        <v>#N/A</v>
      </c>
      <c r="G761" s="12" t="e">
        <f>INDEX([1]流向迭代数据!E$2:E$65536,MATCH(转配商关联商!W761,[1]流向迭代数据!M$2:M$65536,0))</f>
        <v>#N/A</v>
      </c>
      <c r="N761" s="12" t="e">
        <f>INDEX([1]流向迭代数据!J$2:J$65536,MATCH(L761,[1]流向迭代数据!H$2:H$65536,0))</f>
        <v>#N/A</v>
      </c>
      <c r="P761" s="14"/>
      <c r="T761" s="12" t="e">
        <f>INDEX([1]流向迭代数据!K$2:K$65536,MATCH(L761,[1]流向迭代数据!H$2:H$65536,0))</f>
        <v>#N/A</v>
      </c>
      <c r="W761" s="12" t="str">
        <f t="shared" si="23"/>
        <v/>
      </c>
    </row>
    <row r="762" spans="1:23" x14ac:dyDescent="0.15">
      <c r="A762" s="14" t="str">
        <f t="shared" si="22"/>
        <v>190001</v>
      </c>
      <c r="C762" s="12" t="e">
        <f>INDEX(基础数据!$A$2:$A$1024,MATCH(转配商关联商!X762,基础数据!$D$2:$D$1024,0))</f>
        <v>#N/A</v>
      </c>
      <c r="E762" s="12" t="e">
        <f>INDEX(基础数据!$B$2:$B$1024,MATCH(转配商关联商!X762,基础数据!$D$2:$D$1024,0))</f>
        <v>#N/A</v>
      </c>
      <c r="G762" s="12" t="e">
        <f>INDEX([1]流向迭代数据!E$2:E$65536,MATCH(转配商关联商!W762,[1]流向迭代数据!M$2:M$65536,0))</f>
        <v>#N/A</v>
      </c>
      <c r="N762" s="12" t="e">
        <f>INDEX([1]流向迭代数据!J$2:J$65536,MATCH(L762,[1]流向迭代数据!H$2:H$65536,0))</f>
        <v>#N/A</v>
      </c>
      <c r="P762" s="14"/>
      <c r="T762" s="12" t="e">
        <f>INDEX([1]流向迭代数据!K$2:K$65536,MATCH(L762,[1]流向迭代数据!H$2:H$65536,0))</f>
        <v>#N/A</v>
      </c>
      <c r="W762" s="12" t="str">
        <f t="shared" si="23"/>
        <v/>
      </c>
    </row>
    <row r="763" spans="1:23" x14ac:dyDescent="0.15">
      <c r="A763" s="14" t="str">
        <f t="shared" si="22"/>
        <v>190001</v>
      </c>
      <c r="C763" s="12" t="e">
        <f>INDEX(基础数据!$A$2:$A$1024,MATCH(转配商关联商!X763,基础数据!$D$2:$D$1024,0))</f>
        <v>#N/A</v>
      </c>
      <c r="E763" s="12" t="e">
        <f>INDEX(基础数据!$B$2:$B$1024,MATCH(转配商关联商!X763,基础数据!$D$2:$D$1024,0))</f>
        <v>#N/A</v>
      </c>
      <c r="G763" s="12" t="e">
        <f>INDEX([1]流向迭代数据!E$2:E$65536,MATCH(转配商关联商!W763,[1]流向迭代数据!M$2:M$65536,0))</f>
        <v>#N/A</v>
      </c>
      <c r="N763" s="12" t="e">
        <f>INDEX([1]流向迭代数据!J$2:J$65536,MATCH(L763,[1]流向迭代数据!H$2:H$65536,0))</f>
        <v>#N/A</v>
      </c>
      <c r="P763" s="14"/>
      <c r="T763" s="12" t="e">
        <f>INDEX([1]流向迭代数据!K$2:K$65536,MATCH(L763,[1]流向迭代数据!H$2:H$65536,0))</f>
        <v>#N/A</v>
      </c>
      <c r="W763" s="12" t="str">
        <f t="shared" si="23"/>
        <v/>
      </c>
    </row>
    <row r="764" spans="1:23" x14ac:dyDescent="0.15">
      <c r="A764" s="14" t="str">
        <f t="shared" si="22"/>
        <v>190001</v>
      </c>
      <c r="C764" s="12" t="e">
        <f>INDEX(基础数据!$A$2:$A$1024,MATCH(转配商关联商!X764,基础数据!$D$2:$D$1024,0))</f>
        <v>#N/A</v>
      </c>
      <c r="E764" s="12" t="e">
        <f>INDEX(基础数据!$B$2:$B$1024,MATCH(转配商关联商!X764,基础数据!$D$2:$D$1024,0))</f>
        <v>#N/A</v>
      </c>
      <c r="G764" s="12" t="e">
        <f>INDEX([1]流向迭代数据!E$2:E$65536,MATCH(转配商关联商!W764,[1]流向迭代数据!M$2:M$65536,0))</f>
        <v>#N/A</v>
      </c>
      <c r="N764" s="12" t="e">
        <f>INDEX([1]流向迭代数据!J$2:J$65536,MATCH(L764,[1]流向迭代数据!H$2:H$65536,0))</f>
        <v>#N/A</v>
      </c>
      <c r="P764" s="14"/>
      <c r="T764" s="12" t="e">
        <f>INDEX([1]流向迭代数据!K$2:K$65536,MATCH(L764,[1]流向迭代数据!H$2:H$65536,0))</f>
        <v>#N/A</v>
      </c>
      <c r="W764" s="12" t="str">
        <f t="shared" si="23"/>
        <v/>
      </c>
    </row>
    <row r="765" spans="1:23" x14ac:dyDescent="0.15">
      <c r="A765" s="14" t="str">
        <f t="shared" si="22"/>
        <v>190001</v>
      </c>
      <c r="C765" s="12" t="e">
        <f>INDEX(基础数据!$A$2:$A$1024,MATCH(转配商关联商!X765,基础数据!$D$2:$D$1024,0))</f>
        <v>#N/A</v>
      </c>
      <c r="E765" s="12" t="e">
        <f>INDEX(基础数据!$B$2:$B$1024,MATCH(转配商关联商!X765,基础数据!$D$2:$D$1024,0))</f>
        <v>#N/A</v>
      </c>
      <c r="G765" s="12" t="e">
        <f>INDEX([1]流向迭代数据!E$2:E$65536,MATCH(转配商关联商!W765,[1]流向迭代数据!M$2:M$65536,0))</f>
        <v>#N/A</v>
      </c>
      <c r="N765" s="12" t="e">
        <f>INDEX([1]流向迭代数据!J$2:J$65536,MATCH(L765,[1]流向迭代数据!H$2:H$65536,0))</f>
        <v>#N/A</v>
      </c>
      <c r="P765" s="14"/>
      <c r="T765" s="12" t="e">
        <f>INDEX([1]流向迭代数据!K$2:K$65536,MATCH(L765,[1]流向迭代数据!H$2:H$65536,0))</f>
        <v>#N/A</v>
      </c>
      <c r="W765" s="12" t="str">
        <f t="shared" si="23"/>
        <v/>
      </c>
    </row>
    <row r="766" spans="1:23" x14ac:dyDescent="0.15">
      <c r="A766" s="14" t="str">
        <f t="shared" si="22"/>
        <v>190001</v>
      </c>
      <c r="C766" s="12" t="e">
        <f>INDEX(基础数据!$A$2:$A$1024,MATCH(转配商关联商!X766,基础数据!$D$2:$D$1024,0))</f>
        <v>#N/A</v>
      </c>
      <c r="E766" s="12" t="e">
        <f>INDEX(基础数据!$B$2:$B$1024,MATCH(转配商关联商!X766,基础数据!$D$2:$D$1024,0))</f>
        <v>#N/A</v>
      </c>
      <c r="G766" s="12" t="e">
        <f>INDEX([1]流向迭代数据!E$2:E$65536,MATCH(转配商关联商!W766,[1]流向迭代数据!M$2:M$65536,0))</f>
        <v>#N/A</v>
      </c>
      <c r="N766" s="12" t="e">
        <f>INDEX([1]流向迭代数据!J$2:J$65536,MATCH(L766,[1]流向迭代数据!H$2:H$65536,0))</f>
        <v>#N/A</v>
      </c>
      <c r="P766" s="14"/>
      <c r="T766" s="12" t="e">
        <f>INDEX([1]流向迭代数据!K$2:K$65536,MATCH(L766,[1]流向迭代数据!H$2:H$65536,0))</f>
        <v>#N/A</v>
      </c>
      <c r="W766" s="12" t="str">
        <f t="shared" si="23"/>
        <v/>
      </c>
    </row>
    <row r="767" spans="1:23" x14ac:dyDescent="0.15">
      <c r="A767" s="14" t="str">
        <f t="shared" si="22"/>
        <v>190001</v>
      </c>
      <c r="C767" s="12" t="e">
        <f>INDEX(基础数据!$A$2:$A$1024,MATCH(转配商关联商!X767,基础数据!$D$2:$D$1024,0))</f>
        <v>#N/A</v>
      </c>
      <c r="E767" s="12" t="e">
        <f>INDEX(基础数据!$B$2:$B$1024,MATCH(转配商关联商!X767,基础数据!$D$2:$D$1024,0))</f>
        <v>#N/A</v>
      </c>
      <c r="G767" s="12" t="e">
        <f>INDEX([1]流向迭代数据!E$2:E$65536,MATCH(转配商关联商!W767,[1]流向迭代数据!M$2:M$65536,0))</f>
        <v>#N/A</v>
      </c>
      <c r="N767" s="12" t="e">
        <f>INDEX([1]流向迭代数据!J$2:J$65536,MATCH(L767,[1]流向迭代数据!H$2:H$65536,0))</f>
        <v>#N/A</v>
      </c>
      <c r="P767" s="14"/>
      <c r="T767" s="12" t="e">
        <f>INDEX([1]流向迭代数据!K$2:K$65536,MATCH(L767,[1]流向迭代数据!H$2:H$65536,0))</f>
        <v>#N/A</v>
      </c>
      <c r="W767" s="12" t="str">
        <f t="shared" si="23"/>
        <v/>
      </c>
    </row>
    <row r="768" spans="1:23" x14ac:dyDescent="0.15">
      <c r="A768" s="14" t="str">
        <f t="shared" si="22"/>
        <v>190001</v>
      </c>
      <c r="C768" s="12" t="e">
        <f>INDEX(基础数据!$A$2:$A$1024,MATCH(转配商关联商!X768,基础数据!$D$2:$D$1024,0))</f>
        <v>#N/A</v>
      </c>
      <c r="E768" s="12" t="e">
        <f>INDEX(基础数据!$B$2:$B$1024,MATCH(转配商关联商!X768,基础数据!$D$2:$D$1024,0))</f>
        <v>#N/A</v>
      </c>
      <c r="G768" s="12" t="e">
        <f>INDEX([1]流向迭代数据!E$2:E$65536,MATCH(转配商关联商!W768,[1]流向迭代数据!M$2:M$65536,0))</f>
        <v>#N/A</v>
      </c>
      <c r="N768" s="12" t="e">
        <f>INDEX([1]流向迭代数据!J$2:J$65536,MATCH(L768,[1]流向迭代数据!H$2:H$65536,0))</f>
        <v>#N/A</v>
      </c>
      <c r="P768" s="14"/>
      <c r="T768" s="12" t="e">
        <f>INDEX([1]流向迭代数据!K$2:K$65536,MATCH(L768,[1]流向迭代数据!H$2:H$65536,0))</f>
        <v>#N/A</v>
      </c>
      <c r="W768" s="12" t="str">
        <f t="shared" si="23"/>
        <v/>
      </c>
    </row>
    <row r="769" spans="1:23" x14ac:dyDescent="0.15">
      <c r="A769" s="14" t="str">
        <f t="shared" si="22"/>
        <v>190001</v>
      </c>
      <c r="C769" s="12" t="e">
        <f>INDEX(基础数据!$A$2:$A$1024,MATCH(转配商关联商!X769,基础数据!$D$2:$D$1024,0))</f>
        <v>#N/A</v>
      </c>
      <c r="E769" s="12" t="e">
        <f>INDEX(基础数据!$B$2:$B$1024,MATCH(转配商关联商!X769,基础数据!$D$2:$D$1024,0))</f>
        <v>#N/A</v>
      </c>
      <c r="G769" s="12" t="e">
        <f>INDEX([1]流向迭代数据!E$2:E$65536,MATCH(转配商关联商!W769,[1]流向迭代数据!M$2:M$65536,0))</f>
        <v>#N/A</v>
      </c>
      <c r="N769" s="12" t="e">
        <f>INDEX([1]流向迭代数据!J$2:J$65536,MATCH(L769,[1]流向迭代数据!H$2:H$65536,0))</f>
        <v>#N/A</v>
      </c>
      <c r="P769" s="14"/>
      <c r="T769" s="12" t="e">
        <f>INDEX([1]流向迭代数据!K$2:K$65536,MATCH(L769,[1]流向迭代数据!H$2:H$65536,0))</f>
        <v>#N/A</v>
      </c>
      <c r="W769" s="12" t="str">
        <f t="shared" si="23"/>
        <v/>
      </c>
    </row>
    <row r="770" spans="1:23" x14ac:dyDescent="0.15">
      <c r="A770" s="14" t="str">
        <f t="shared" si="22"/>
        <v>190001</v>
      </c>
      <c r="C770" s="12" t="e">
        <f>INDEX(基础数据!$A$2:$A$1024,MATCH(转配商关联商!X770,基础数据!$D$2:$D$1024,0))</f>
        <v>#N/A</v>
      </c>
      <c r="E770" s="12" t="e">
        <f>INDEX(基础数据!$B$2:$B$1024,MATCH(转配商关联商!X770,基础数据!$D$2:$D$1024,0))</f>
        <v>#N/A</v>
      </c>
      <c r="G770" s="12" t="e">
        <f>INDEX([1]流向迭代数据!E$2:E$65536,MATCH(转配商关联商!W770,[1]流向迭代数据!M$2:M$65536,0))</f>
        <v>#N/A</v>
      </c>
      <c r="N770" s="12" t="e">
        <f>INDEX([1]流向迭代数据!J$2:J$65536,MATCH(L770,[1]流向迭代数据!H$2:H$65536,0))</f>
        <v>#N/A</v>
      </c>
      <c r="P770" s="14"/>
      <c r="T770" s="12" t="e">
        <f>INDEX([1]流向迭代数据!K$2:K$65536,MATCH(L770,[1]流向迭代数据!H$2:H$65536,0))</f>
        <v>#N/A</v>
      </c>
      <c r="W770" s="12" t="str">
        <f t="shared" si="23"/>
        <v/>
      </c>
    </row>
    <row r="771" spans="1:23" x14ac:dyDescent="0.15">
      <c r="A771" s="14" t="str">
        <f t="shared" ref="A771:A834" si="24">IF(MONTH(P771)&lt;10,YEAR(P771)&amp;"0"&amp;MONTH(P771),YEAR(P771)&amp;MONTH(P771))</f>
        <v>190001</v>
      </c>
      <c r="C771" s="12" t="e">
        <f>INDEX(基础数据!$A$2:$A$1024,MATCH(转配商关联商!X771,基础数据!$D$2:$D$1024,0))</f>
        <v>#N/A</v>
      </c>
      <c r="E771" s="12" t="e">
        <f>INDEX(基础数据!$B$2:$B$1024,MATCH(转配商关联商!X771,基础数据!$D$2:$D$1024,0))</f>
        <v>#N/A</v>
      </c>
      <c r="G771" s="12" t="e">
        <f>INDEX([1]流向迭代数据!E$2:E$65536,MATCH(转配商关联商!W771,[1]流向迭代数据!M$2:M$65536,0))</f>
        <v>#N/A</v>
      </c>
      <c r="N771" s="12" t="e">
        <f>INDEX([1]流向迭代数据!J$2:J$65536,MATCH(L771,[1]流向迭代数据!H$2:H$65536,0))</f>
        <v>#N/A</v>
      </c>
      <c r="P771" s="14"/>
      <c r="T771" s="12" t="e">
        <f>INDEX([1]流向迭代数据!K$2:K$65536,MATCH(L771,[1]流向迭代数据!H$2:H$65536,0))</f>
        <v>#N/A</v>
      </c>
      <c r="W771" s="12" t="str">
        <f t="shared" ref="W771:W834" si="25">H771&amp;I771</f>
        <v/>
      </c>
    </row>
    <row r="772" spans="1:23" x14ac:dyDescent="0.15">
      <c r="A772" s="14" t="str">
        <f t="shared" si="24"/>
        <v>190001</v>
      </c>
      <c r="C772" s="12" t="e">
        <f>INDEX(基础数据!$A$2:$A$1024,MATCH(转配商关联商!X772,基础数据!$D$2:$D$1024,0))</f>
        <v>#N/A</v>
      </c>
      <c r="E772" s="12" t="e">
        <f>INDEX(基础数据!$B$2:$B$1024,MATCH(转配商关联商!X772,基础数据!$D$2:$D$1024,0))</f>
        <v>#N/A</v>
      </c>
      <c r="G772" s="12" t="e">
        <f>INDEX([1]流向迭代数据!E$2:E$65536,MATCH(转配商关联商!W772,[1]流向迭代数据!M$2:M$65536,0))</f>
        <v>#N/A</v>
      </c>
      <c r="N772" s="12" t="e">
        <f>INDEX([1]流向迭代数据!J$2:J$65536,MATCH(L772,[1]流向迭代数据!H$2:H$65536,0))</f>
        <v>#N/A</v>
      </c>
      <c r="P772" s="14"/>
      <c r="T772" s="12" t="e">
        <f>INDEX([1]流向迭代数据!K$2:K$65536,MATCH(L772,[1]流向迭代数据!H$2:H$65536,0))</f>
        <v>#N/A</v>
      </c>
      <c r="W772" s="12" t="str">
        <f t="shared" si="25"/>
        <v/>
      </c>
    </row>
    <row r="773" spans="1:23" x14ac:dyDescent="0.15">
      <c r="A773" s="14" t="str">
        <f t="shared" si="24"/>
        <v>190001</v>
      </c>
      <c r="C773" s="12" t="e">
        <f>INDEX(基础数据!$A$2:$A$1024,MATCH(转配商关联商!X773,基础数据!$D$2:$D$1024,0))</f>
        <v>#N/A</v>
      </c>
      <c r="E773" s="12" t="e">
        <f>INDEX(基础数据!$B$2:$B$1024,MATCH(转配商关联商!X773,基础数据!$D$2:$D$1024,0))</f>
        <v>#N/A</v>
      </c>
      <c r="G773" s="12" t="e">
        <f>INDEX([1]流向迭代数据!E$2:E$65536,MATCH(转配商关联商!W773,[1]流向迭代数据!M$2:M$65536,0))</f>
        <v>#N/A</v>
      </c>
      <c r="N773" s="12" t="e">
        <f>INDEX([1]流向迭代数据!J$2:J$65536,MATCH(L773,[1]流向迭代数据!H$2:H$65536,0))</f>
        <v>#N/A</v>
      </c>
      <c r="P773" s="14"/>
      <c r="T773" s="12" t="e">
        <f>INDEX([1]流向迭代数据!K$2:K$65536,MATCH(L773,[1]流向迭代数据!H$2:H$65536,0))</f>
        <v>#N/A</v>
      </c>
      <c r="W773" s="12" t="str">
        <f t="shared" si="25"/>
        <v/>
      </c>
    </row>
    <row r="774" spans="1:23" x14ac:dyDescent="0.15">
      <c r="A774" s="14" t="str">
        <f t="shared" si="24"/>
        <v>190001</v>
      </c>
      <c r="C774" s="12" t="e">
        <f>INDEX(基础数据!$A$2:$A$1024,MATCH(转配商关联商!X774,基础数据!$D$2:$D$1024,0))</f>
        <v>#N/A</v>
      </c>
      <c r="E774" s="12" t="e">
        <f>INDEX(基础数据!$B$2:$B$1024,MATCH(转配商关联商!X774,基础数据!$D$2:$D$1024,0))</f>
        <v>#N/A</v>
      </c>
      <c r="G774" s="12" t="e">
        <f>INDEX([1]流向迭代数据!E$2:E$65536,MATCH(转配商关联商!W774,[1]流向迭代数据!M$2:M$65536,0))</f>
        <v>#N/A</v>
      </c>
      <c r="N774" s="12" t="e">
        <f>INDEX([1]流向迭代数据!J$2:J$65536,MATCH(L774,[1]流向迭代数据!H$2:H$65536,0))</f>
        <v>#N/A</v>
      </c>
      <c r="P774" s="14"/>
      <c r="T774" s="12" t="e">
        <f>INDEX([1]流向迭代数据!K$2:K$65536,MATCH(L774,[1]流向迭代数据!H$2:H$65536,0))</f>
        <v>#N/A</v>
      </c>
      <c r="W774" s="12" t="str">
        <f t="shared" si="25"/>
        <v/>
      </c>
    </row>
    <row r="775" spans="1:23" x14ac:dyDescent="0.15">
      <c r="A775" s="14" t="str">
        <f t="shared" si="24"/>
        <v>190001</v>
      </c>
      <c r="C775" s="12" t="e">
        <f>INDEX(基础数据!$A$2:$A$1024,MATCH(转配商关联商!X775,基础数据!$D$2:$D$1024,0))</f>
        <v>#N/A</v>
      </c>
      <c r="E775" s="12" t="e">
        <f>INDEX(基础数据!$B$2:$B$1024,MATCH(转配商关联商!X775,基础数据!$D$2:$D$1024,0))</f>
        <v>#N/A</v>
      </c>
      <c r="G775" s="12" t="e">
        <f>INDEX([1]流向迭代数据!E$2:E$65536,MATCH(转配商关联商!W775,[1]流向迭代数据!M$2:M$65536,0))</f>
        <v>#N/A</v>
      </c>
      <c r="N775" s="12" t="e">
        <f>INDEX([1]流向迭代数据!J$2:J$65536,MATCH(L775,[1]流向迭代数据!H$2:H$65536,0))</f>
        <v>#N/A</v>
      </c>
      <c r="P775" s="14"/>
      <c r="T775" s="12" t="e">
        <f>INDEX([1]流向迭代数据!K$2:K$65536,MATCH(L775,[1]流向迭代数据!H$2:H$65536,0))</f>
        <v>#N/A</v>
      </c>
      <c r="W775" s="12" t="str">
        <f t="shared" si="25"/>
        <v/>
      </c>
    </row>
    <row r="776" spans="1:23" x14ac:dyDescent="0.15">
      <c r="A776" s="14" t="str">
        <f t="shared" si="24"/>
        <v>190001</v>
      </c>
      <c r="C776" s="12" t="e">
        <f>INDEX(基础数据!$A$2:$A$1024,MATCH(转配商关联商!X776,基础数据!$D$2:$D$1024,0))</f>
        <v>#N/A</v>
      </c>
      <c r="E776" s="12" t="e">
        <f>INDEX(基础数据!$B$2:$B$1024,MATCH(转配商关联商!X776,基础数据!$D$2:$D$1024,0))</f>
        <v>#N/A</v>
      </c>
      <c r="G776" s="12" t="e">
        <f>INDEX([1]流向迭代数据!E$2:E$65536,MATCH(转配商关联商!W776,[1]流向迭代数据!M$2:M$65536,0))</f>
        <v>#N/A</v>
      </c>
      <c r="N776" s="12" t="e">
        <f>INDEX([1]流向迭代数据!J$2:J$65536,MATCH(L776,[1]流向迭代数据!H$2:H$65536,0))</f>
        <v>#N/A</v>
      </c>
      <c r="P776" s="14"/>
      <c r="T776" s="12" t="e">
        <f>INDEX([1]流向迭代数据!K$2:K$65536,MATCH(L776,[1]流向迭代数据!H$2:H$65536,0))</f>
        <v>#N/A</v>
      </c>
      <c r="W776" s="12" t="str">
        <f t="shared" si="25"/>
        <v/>
      </c>
    </row>
    <row r="777" spans="1:23" x14ac:dyDescent="0.15">
      <c r="A777" s="14" t="str">
        <f t="shared" si="24"/>
        <v>190001</v>
      </c>
      <c r="C777" s="12" t="e">
        <f>INDEX(基础数据!$A$2:$A$1024,MATCH(转配商关联商!X777,基础数据!$D$2:$D$1024,0))</f>
        <v>#N/A</v>
      </c>
      <c r="E777" s="12" t="e">
        <f>INDEX(基础数据!$B$2:$B$1024,MATCH(转配商关联商!X777,基础数据!$D$2:$D$1024,0))</f>
        <v>#N/A</v>
      </c>
      <c r="G777" s="12" t="e">
        <f>INDEX([1]流向迭代数据!E$2:E$65536,MATCH(转配商关联商!W777,[1]流向迭代数据!M$2:M$65536,0))</f>
        <v>#N/A</v>
      </c>
      <c r="N777" s="12" t="e">
        <f>INDEX([1]流向迭代数据!J$2:J$65536,MATCH(L777,[1]流向迭代数据!H$2:H$65536,0))</f>
        <v>#N/A</v>
      </c>
      <c r="P777" s="14"/>
      <c r="T777" s="12" t="e">
        <f>INDEX([1]流向迭代数据!K$2:K$65536,MATCH(L777,[1]流向迭代数据!H$2:H$65536,0))</f>
        <v>#N/A</v>
      </c>
      <c r="W777" s="12" t="str">
        <f t="shared" si="25"/>
        <v/>
      </c>
    </row>
    <row r="778" spans="1:23" x14ac:dyDescent="0.15">
      <c r="A778" s="14" t="str">
        <f t="shared" si="24"/>
        <v>190001</v>
      </c>
      <c r="C778" s="12" t="e">
        <f>INDEX(基础数据!$A$2:$A$1024,MATCH(转配商关联商!X778,基础数据!$D$2:$D$1024,0))</f>
        <v>#N/A</v>
      </c>
      <c r="E778" s="12" t="e">
        <f>INDEX(基础数据!$B$2:$B$1024,MATCH(转配商关联商!X778,基础数据!$D$2:$D$1024,0))</f>
        <v>#N/A</v>
      </c>
      <c r="G778" s="12" t="e">
        <f>INDEX([1]流向迭代数据!E$2:E$65536,MATCH(转配商关联商!W778,[1]流向迭代数据!M$2:M$65536,0))</f>
        <v>#N/A</v>
      </c>
      <c r="N778" s="12" t="e">
        <f>INDEX([1]流向迭代数据!J$2:J$65536,MATCH(L778,[1]流向迭代数据!H$2:H$65536,0))</f>
        <v>#N/A</v>
      </c>
      <c r="P778" s="14"/>
      <c r="T778" s="12" t="e">
        <f>INDEX([1]流向迭代数据!K$2:K$65536,MATCH(L778,[1]流向迭代数据!H$2:H$65536,0))</f>
        <v>#N/A</v>
      </c>
      <c r="W778" s="12" t="str">
        <f t="shared" si="25"/>
        <v/>
      </c>
    </row>
    <row r="779" spans="1:23" x14ac:dyDescent="0.15">
      <c r="A779" s="14" t="str">
        <f t="shared" si="24"/>
        <v>190001</v>
      </c>
      <c r="C779" s="12" t="e">
        <f>INDEX(基础数据!$A$2:$A$1024,MATCH(转配商关联商!X779,基础数据!$D$2:$D$1024,0))</f>
        <v>#N/A</v>
      </c>
      <c r="E779" s="12" t="e">
        <f>INDEX(基础数据!$B$2:$B$1024,MATCH(转配商关联商!X779,基础数据!$D$2:$D$1024,0))</f>
        <v>#N/A</v>
      </c>
      <c r="G779" s="12" t="e">
        <f>INDEX([1]流向迭代数据!E$2:E$65536,MATCH(转配商关联商!W779,[1]流向迭代数据!M$2:M$65536,0))</f>
        <v>#N/A</v>
      </c>
      <c r="N779" s="12" t="e">
        <f>INDEX([1]流向迭代数据!J$2:J$65536,MATCH(L779,[1]流向迭代数据!H$2:H$65536,0))</f>
        <v>#N/A</v>
      </c>
      <c r="P779" s="14"/>
      <c r="T779" s="12" t="e">
        <f>INDEX([1]流向迭代数据!K$2:K$65536,MATCH(L779,[1]流向迭代数据!H$2:H$65536,0))</f>
        <v>#N/A</v>
      </c>
      <c r="W779" s="12" t="str">
        <f t="shared" si="25"/>
        <v/>
      </c>
    </row>
    <row r="780" spans="1:23" x14ac:dyDescent="0.15">
      <c r="A780" s="14" t="str">
        <f t="shared" si="24"/>
        <v>190001</v>
      </c>
      <c r="C780" s="12" t="e">
        <f>INDEX(基础数据!$A$2:$A$1024,MATCH(转配商关联商!X780,基础数据!$D$2:$D$1024,0))</f>
        <v>#N/A</v>
      </c>
      <c r="E780" s="12" t="e">
        <f>INDEX(基础数据!$B$2:$B$1024,MATCH(转配商关联商!X780,基础数据!$D$2:$D$1024,0))</f>
        <v>#N/A</v>
      </c>
      <c r="G780" s="12" t="e">
        <f>INDEX([1]流向迭代数据!E$2:E$65536,MATCH(转配商关联商!W780,[1]流向迭代数据!M$2:M$65536,0))</f>
        <v>#N/A</v>
      </c>
      <c r="N780" s="12" t="e">
        <f>INDEX([1]流向迭代数据!J$2:J$65536,MATCH(L780,[1]流向迭代数据!H$2:H$65536,0))</f>
        <v>#N/A</v>
      </c>
      <c r="P780" s="14"/>
      <c r="T780" s="12" t="e">
        <f>INDEX([1]流向迭代数据!K$2:K$65536,MATCH(L780,[1]流向迭代数据!H$2:H$65536,0))</f>
        <v>#N/A</v>
      </c>
      <c r="W780" s="12" t="str">
        <f t="shared" si="25"/>
        <v/>
      </c>
    </row>
    <row r="781" spans="1:23" x14ac:dyDescent="0.15">
      <c r="A781" s="14" t="str">
        <f t="shared" si="24"/>
        <v>190001</v>
      </c>
      <c r="C781" s="12" t="e">
        <f>INDEX(基础数据!$A$2:$A$1024,MATCH(转配商关联商!X781,基础数据!$D$2:$D$1024,0))</f>
        <v>#N/A</v>
      </c>
      <c r="E781" s="12" t="e">
        <f>INDEX(基础数据!$B$2:$B$1024,MATCH(转配商关联商!X781,基础数据!$D$2:$D$1024,0))</f>
        <v>#N/A</v>
      </c>
      <c r="G781" s="12" t="e">
        <f>INDEX([1]流向迭代数据!E$2:E$65536,MATCH(转配商关联商!W781,[1]流向迭代数据!M$2:M$65536,0))</f>
        <v>#N/A</v>
      </c>
      <c r="N781" s="12" t="e">
        <f>INDEX([1]流向迭代数据!J$2:J$65536,MATCH(L781,[1]流向迭代数据!H$2:H$65536,0))</f>
        <v>#N/A</v>
      </c>
      <c r="P781" s="14"/>
      <c r="T781" s="12" t="e">
        <f>INDEX([1]流向迭代数据!K$2:K$65536,MATCH(L781,[1]流向迭代数据!H$2:H$65536,0))</f>
        <v>#N/A</v>
      </c>
      <c r="W781" s="12" t="str">
        <f t="shared" si="25"/>
        <v/>
      </c>
    </row>
    <row r="782" spans="1:23" x14ac:dyDescent="0.15">
      <c r="A782" s="14" t="str">
        <f t="shared" si="24"/>
        <v>190001</v>
      </c>
      <c r="C782" s="12" t="e">
        <f>INDEX(基础数据!$A$2:$A$1024,MATCH(转配商关联商!X782,基础数据!$D$2:$D$1024,0))</f>
        <v>#N/A</v>
      </c>
      <c r="E782" s="12" t="e">
        <f>INDEX(基础数据!$B$2:$B$1024,MATCH(转配商关联商!X782,基础数据!$D$2:$D$1024,0))</f>
        <v>#N/A</v>
      </c>
      <c r="G782" s="12" t="e">
        <f>INDEX([1]流向迭代数据!E$2:E$65536,MATCH(转配商关联商!W782,[1]流向迭代数据!M$2:M$65536,0))</f>
        <v>#N/A</v>
      </c>
      <c r="N782" s="12" t="e">
        <f>INDEX([1]流向迭代数据!J$2:J$65536,MATCH(L782,[1]流向迭代数据!H$2:H$65536,0))</f>
        <v>#N/A</v>
      </c>
      <c r="P782" s="14"/>
      <c r="T782" s="12" t="e">
        <f>INDEX([1]流向迭代数据!K$2:K$65536,MATCH(L782,[1]流向迭代数据!H$2:H$65536,0))</f>
        <v>#N/A</v>
      </c>
      <c r="W782" s="12" t="str">
        <f t="shared" si="25"/>
        <v/>
      </c>
    </row>
    <row r="783" spans="1:23" x14ac:dyDescent="0.15">
      <c r="A783" s="14" t="str">
        <f t="shared" si="24"/>
        <v>190001</v>
      </c>
      <c r="C783" s="12" t="e">
        <f>INDEX(基础数据!$A$2:$A$1024,MATCH(转配商关联商!X783,基础数据!$D$2:$D$1024,0))</f>
        <v>#N/A</v>
      </c>
      <c r="E783" s="12" t="e">
        <f>INDEX(基础数据!$B$2:$B$1024,MATCH(转配商关联商!X783,基础数据!$D$2:$D$1024,0))</f>
        <v>#N/A</v>
      </c>
      <c r="G783" s="12" t="e">
        <f>INDEX([1]流向迭代数据!E$2:E$65536,MATCH(转配商关联商!W783,[1]流向迭代数据!M$2:M$65536,0))</f>
        <v>#N/A</v>
      </c>
      <c r="N783" s="12" t="e">
        <f>INDEX([1]流向迭代数据!J$2:J$65536,MATCH(L783,[1]流向迭代数据!H$2:H$65536,0))</f>
        <v>#N/A</v>
      </c>
      <c r="P783" s="14"/>
      <c r="T783" s="12" t="e">
        <f>INDEX([1]流向迭代数据!K$2:K$65536,MATCH(L783,[1]流向迭代数据!H$2:H$65536,0))</f>
        <v>#N/A</v>
      </c>
      <c r="W783" s="12" t="str">
        <f t="shared" si="25"/>
        <v/>
      </c>
    </row>
    <row r="784" spans="1:23" x14ac:dyDescent="0.15">
      <c r="A784" s="14" t="str">
        <f t="shared" si="24"/>
        <v>190001</v>
      </c>
      <c r="C784" s="12" t="e">
        <f>INDEX(基础数据!$A$2:$A$1024,MATCH(转配商关联商!X784,基础数据!$D$2:$D$1024,0))</f>
        <v>#N/A</v>
      </c>
      <c r="E784" s="12" t="e">
        <f>INDEX(基础数据!$B$2:$B$1024,MATCH(转配商关联商!X784,基础数据!$D$2:$D$1024,0))</f>
        <v>#N/A</v>
      </c>
      <c r="G784" s="12" t="e">
        <f>INDEX([1]流向迭代数据!E$2:E$65536,MATCH(转配商关联商!W784,[1]流向迭代数据!M$2:M$65536,0))</f>
        <v>#N/A</v>
      </c>
      <c r="N784" s="12" t="e">
        <f>INDEX([1]流向迭代数据!J$2:J$65536,MATCH(L784,[1]流向迭代数据!H$2:H$65536,0))</f>
        <v>#N/A</v>
      </c>
      <c r="P784" s="14"/>
      <c r="T784" s="12" t="e">
        <f>INDEX([1]流向迭代数据!K$2:K$65536,MATCH(L784,[1]流向迭代数据!H$2:H$65536,0))</f>
        <v>#N/A</v>
      </c>
      <c r="W784" s="12" t="str">
        <f t="shared" si="25"/>
        <v/>
      </c>
    </row>
    <row r="785" spans="1:23" x14ac:dyDescent="0.15">
      <c r="A785" s="14" t="str">
        <f t="shared" si="24"/>
        <v>190001</v>
      </c>
      <c r="C785" s="12" t="e">
        <f>INDEX(基础数据!$A$2:$A$1024,MATCH(转配商关联商!X785,基础数据!$D$2:$D$1024,0))</f>
        <v>#N/A</v>
      </c>
      <c r="E785" s="12" t="e">
        <f>INDEX(基础数据!$B$2:$B$1024,MATCH(转配商关联商!X785,基础数据!$D$2:$D$1024,0))</f>
        <v>#N/A</v>
      </c>
      <c r="G785" s="12" t="e">
        <f>INDEX([1]流向迭代数据!E$2:E$65536,MATCH(转配商关联商!W785,[1]流向迭代数据!M$2:M$65536,0))</f>
        <v>#N/A</v>
      </c>
      <c r="N785" s="12" t="e">
        <f>INDEX([1]流向迭代数据!J$2:J$65536,MATCH(L785,[1]流向迭代数据!H$2:H$65536,0))</f>
        <v>#N/A</v>
      </c>
      <c r="P785" s="14"/>
      <c r="T785" s="12" t="e">
        <f>INDEX([1]流向迭代数据!K$2:K$65536,MATCH(L785,[1]流向迭代数据!H$2:H$65536,0))</f>
        <v>#N/A</v>
      </c>
      <c r="W785" s="12" t="str">
        <f t="shared" si="25"/>
        <v/>
      </c>
    </row>
    <row r="786" spans="1:23" x14ac:dyDescent="0.15">
      <c r="A786" s="14" t="str">
        <f t="shared" si="24"/>
        <v>190001</v>
      </c>
      <c r="C786" s="12" t="e">
        <f>INDEX(基础数据!$A$2:$A$1024,MATCH(转配商关联商!X786,基础数据!$D$2:$D$1024,0))</f>
        <v>#N/A</v>
      </c>
      <c r="E786" s="12" t="e">
        <f>INDEX(基础数据!$B$2:$B$1024,MATCH(转配商关联商!X786,基础数据!$D$2:$D$1024,0))</f>
        <v>#N/A</v>
      </c>
      <c r="G786" s="12" t="e">
        <f>INDEX([1]流向迭代数据!E$2:E$65536,MATCH(转配商关联商!W786,[1]流向迭代数据!M$2:M$65536,0))</f>
        <v>#N/A</v>
      </c>
      <c r="N786" s="12" t="e">
        <f>INDEX([1]流向迭代数据!J$2:J$65536,MATCH(L786,[1]流向迭代数据!H$2:H$65536,0))</f>
        <v>#N/A</v>
      </c>
      <c r="P786" s="14"/>
      <c r="T786" s="12" t="e">
        <f>INDEX([1]流向迭代数据!K$2:K$65536,MATCH(L786,[1]流向迭代数据!H$2:H$65536,0))</f>
        <v>#N/A</v>
      </c>
      <c r="W786" s="12" t="str">
        <f t="shared" si="25"/>
        <v/>
      </c>
    </row>
    <row r="787" spans="1:23" x14ac:dyDescent="0.15">
      <c r="A787" s="14" t="str">
        <f t="shared" si="24"/>
        <v>190001</v>
      </c>
      <c r="C787" s="12" t="e">
        <f>INDEX(基础数据!$A$2:$A$1024,MATCH(转配商关联商!X787,基础数据!$D$2:$D$1024,0))</f>
        <v>#N/A</v>
      </c>
      <c r="E787" s="12" t="e">
        <f>INDEX(基础数据!$B$2:$B$1024,MATCH(转配商关联商!X787,基础数据!$D$2:$D$1024,0))</f>
        <v>#N/A</v>
      </c>
      <c r="G787" s="12" t="e">
        <f>INDEX([1]流向迭代数据!E$2:E$65536,MATCH(转配商关联商!W787,[1]流向迭代数据!M$2:M$65536,0))</f>
        <v>#N/A</v>
      </c>
      <c r="N787" s="12" t="e">
        <f>INDEX([1]流向迭代数据!J$2:J$65536,MATCH(L787,[1]流向迭代数据!H$2:H$65536,0))</f>
        <v>#N/A</v>
      </c>
      <c r="P787" s="14"/>
      <c r="T787" s="12" t="e">
        <f>INDEX([1]流向迭代数据!K$2:K$65536,MATCH(L787,[1]流向迭代数据!H$2:H$65536,0))</f>
        <v>#N/A</v>
      </c>
      <c r="W787" s="12" t="str">
        <f t="shared" si="25"/>
        <v/>
      </c>
    </row>
    <row r="788" spans="1:23" x14ac:dyDescent="0.15">
      <c r="A788" s="14" t="str">
        <f t="shared" si="24"/>
        <v>190001</v>
      </c>
      <c r="C788" s="12" t="e">
        <f>INDEX(基础数据!$A$2:$A$1024,MATCH(转配商关联商!X788,基础数据!$D$2:$D$1024,0))</f>
        <v>#N/A</v>
      </c>
      <c r="E788" s="12" t="e">
        <f>INDEX(基础数据!$B$2:$B$1024,MATCH(转配商关联商!X788,基础数据!$D$2:$D$1024,0))</f>
        <v>#N/A</v>
      </c>
      <c r="G788" s="12" t="e">
        <f>INDEX([1]流向迭代数据!E$2:E$65536,MATCH(转配商关联商!W788,[1]流向迭代数据!M$2:M$65536,0))</f>
        <v>#N/A</v>
      </c>
      <c r="N788" s="12" t="e">
        <f>INDEX([1]流向迭代数据!J$2:J$65536,MATCH(L788,[1]流向迭代数据!H$2:H$65536,0))</f>
        <v>#N/A</v>
      </c>
      <c r="P788" s="14"/>
      <c r="T788" s="12" t="e">
        <f>INDEX([1]流向迭代数据!K$2:K$65536,MATCH(L788,[1]流向迭代数据!H$2:H$65536,0))</f>
        <v>#N/A</v>
      </c>
      <c r="W788" s="12" t="str">
        <f t="shared" si="25"/>
        <v/>
      </c>
    </row>
    <row r="789" spans="1:23" x14ac:dyDescent="0.15">
      <c r="A789" s="14" t="str">
        <f t="shared" si="24"/>
        <v>190001</v>
      </c>
      <c r="C789" s="12" t="e">
        <f>INDEX(基础数据!$A$2:$A$1024,MATCH(转配商关联商!X789,基础数据!$D$2:$D$1024,0))</f>
        <v>#N/A</v>
      </c>
      <c r="E789" s="12" t="e">
        <f>INDEX(基础数据!$B$2:$B$1024,MATCH(转配商关联商!X789,基础数据!$D$2:$D$1024,0))</f>
        <v>#N/A</v>
      </c>
      <c r="G789" s="12" t="e">
        <f>INDEX([1]流向迭代数据!E$2:E$65536,MATCH(转配商关联商!W789,[1]流向迭代数据!M$2:M$65536,0))</f>
        <v>#N/A</v>
      </c>
      <c r="N789" s="12" t="e">
        <f>INDEX([1]流向迭代数据!J$2:J$65536,MATCH(L789,[1]流向迭代数据!H$2:H$65536,0))</f>
        <v>#N/A</v>
      </c>
      <c r="P789" s="14"/>
      <c r="T789" s="12" t="e">
        <f>INDEX([1]流向迭代数据!K$2:K$65536,MATCH(L789,[1]流向迭代数据!H$2:H$65536,0))</f>
        <v>#N/A</v>
      </c>
      <c r="W789" s="12" t="str">
        <f t="shared" si="25"/>
        <v/>
      </c>
    </row>
    <row r="790" spans="1:23" x14ac:dyDescent="0.15">
      <c r="A790" s="14" t="str">
        <f t="shared" si="24"/>
        <v>190001</v>
      </c>
      <c r="C790" s="12" t="e">
        <f>INDEX(基础数据!$A$2:$A$1024,MATCH(转配商关联商!X790,基础数据!$D$2:$D$1024,0))</f>
        <v>#N/A</v>
      </c>
      <c r="E790" s="12" t="e">
        <f>INDEX(基础数据!$B$2:$B$1024,MATCH(转配商关联商!X790,基础数据!$D$2:$D$1024,0))</f>
        <v>#N/A</v>
      </c>
      <c r="G790" s="12" t="e">
        <f>INDEX([1]流向迭代数据!E$2:E$65536,MATCH(转配商关联商!W790,[1]流向迭代数据!M$2:M$65536,0))</f>
        <v>#N/A</v>
      </c>
      <c r="N790" s="12" t="e">
        <f>INDEX([1]流向迭代数据!J$2:J$65536,MATCH(L790,[1]流向迭代数据!H$2:H$65536,0))</f>
        <v>#N/A</v>
      </c>
      <c r="P790" s="14"/>
      <c r="T790" s="12" t="e">
        <f>INDEX([1]流向迭代数据!K$2:K$65536,MATCH(L790,[1]流向迭代数据!H$2:H$65536,0))</f>
        <v>#N/A</v>
      </c>
      <c r="W790" s="12" t="str">
        <f t="shared" si="25"/>
        <v/>
      </c>
    </row>
    <row r="791" spans="1:23" x14ac:dyDescent="0.15">
      <c r="A791" s="14" t="str">
        <f t="shared" si="24"/>
        <v>190001</v>
      </c>
      <c r="C791" s="12" t="e">
        <f>INDEX(基础数据!$A$2:$A$1024,MATCH(转配商关联商!X791,基础数据!$D$2:$D$1024,0))</f>
        <v>#N/A</v>
      </c>
      <c r="E791" s="12" t="e">
        <f>INDEX(基础数据!$B$2:$B$1024,MATCH(转配商关联商!X791,基础数据!$D$2:$D$1024,0))</f>
        <v>#N/A</v>
      </c>
      <c r="G791" s="12" t="e">
        <f>INDEX([1]流向迭代数据!E$2:E$65536,MATCH(转配商关联商!W791,[1]流向迭代数据!M$2:M$65536,0))</f>
        <v>#N/A</v>
      </c>
      <c r="N791" s="12" t="e">
        <f>INDEX([1]流向迭代数据!J$2:J$65536,MATCH(L791,[1]流向迭代数据!H$2:H$65536,0))</f>
        <v>#N/A</v>
      </c>
      <c r="P791" s="14"/>
      <c r="T791" s="12" t="e">
        <f>INDEX([1]流向迭代数据!K$2:K$65536,MATCH(L791,[1]流向迭代数据!H$2:H$65536,0))</f>
        <v>#N/A</v>
      </c>
      <c r="W791" s="12" t="str">
        <f t="shared" si="25"/>
        <v/>
      </c>
    </row>
    <row r="792" spans="1:23" x14ac:dyDescent="0.15">
      <c r="A792" s="14" t="str">
        <f t="shared" si="24"/>
        <v>190001</v>
      </c>
      <c r="C792" s="12" t="e">
        <f>INDEX(基础数据!$A$2:$A$1024,MATCH(转配商关联商!X792,基础数据!$D$2:$D$1024,0))</f>
        <v>#N/A</v>
      </c>
      <c r="E792" s="12" t="e">
        <f>INDEX(基础数据!$B$2:$B$1024,MATCH(转配商关联商!X792,基础数据!$D$2:$D$1024,0))</f>
        <v>#N/A</v>
      </c>
      <c r="G792" s="12" t="e">
        <f>INDEX([1]流向迭代数据!E$2:E$65536,MATCH(转配商关联商!W792,[1]流向迭代数据!M$2:M$65536,0))</f>
        <v>#N/A</v>
      </c>
      <c r="N792" s="12" t="e">
        <f>INDEX([1]流向迭代数据!J$2:J$65536,MATCH(L792,[1]流向迭代数据!H$2:H$65536,0))</f>
        <v>#N/A</v>
      </c>
      <c r="P792" s="14"/>
      <c r="T792" s="12" t="e">
        <f>INDEX([1]流向迭代数据!K$2:K$65536,MATCH(L792,[1]流向迭代数据!H$2:H$65536,0))</f>
        <v>#N/A</v>
      </c>
      <c r="W792" s="12" t="str">
        <f t="shared" si="25"/>
        <v/>
      </c>
    </row>
    <row r="793" spans="1:23" x14ac:dyDescent="0.15">
      <c r="A793" s="14" t="str">
        <f t="shared" si="24"/>
        <v>190001</v>
      </c>
      <c r="C793" s="12" t="e">
        <f>INDEX(基础数据!$A$2:$A$1024,MATCH(转配商关联商!X793,基础数据!$D$2:$D$1024,0))</f>
        <v>#N/A</v>
      </c>
      <c r="E793" s="12" t="e">
        <f>INDEX(基础数据!$B$2:$B$1024,MATCH(转配商关联商!X793,基础数据!$D$2:$D$1024,0))</f>
        <v>#N/A</v>
      </c>
      <c r="G793" s="12" t="e">
        <f>INDEX([1]流向迭代数据!E$2:E$65536,MATCH(转配商关联商!W793,[1]流向迭代数据!M$2:M$65536,0))</f>
        <v>#N/A</v>
      </c>
      <c r="N793" s="12" t="e">
        <f>INDEX([1]流向迭代数据!J$2:J$65536,MATCH(L793,[1]流向迭代数据!H$2:H$65536,0))</f>
        <v>#N/A</v>
      </c>
      <c r="P793" s="14"/>
      <c r="T793" s="12" t="e">
        <f>INDEX([1]流向迭代数据!K$2:K$65536,MATCH(L793,[1]流向迭代数据!H$2:H$65536,0))</f>
        <v>#N/A</v>
      </c>
      <c r="W793" s="12" t="str">
        <f t="shared" si="25"/>
        <v/>
      </c>
    </row>
    <row r="794" spans="1:23" x14ac:dyDescent="0.15">
      <c r="A794" s="14" t="str">
        <f t="shared" si="24"/>
        <v>190001</v>
      </c>
      <c r="C794" s="12" t="e">
        <f>INDEX(基础数据!$A$2:$A$1024,MATCH(转配商关联商!X794,基础数据!$D$2:$D$1024,0))</f>
        <v>#N/A</v>
      </c>
      <c r="E794" s="12" t="e">
        <f>INDEX(基础数据!$B$2:$B$1024,MATCH(转配商关联商!X794,基础数据!$D$2:$D$1024,0))</f>
        <v>#N/A</v>
      </c>
      <c r="G794" s="12" t="e">
        <f>INDEX([1]流向迭代数据!E$2:E$65536,MATCH(转配商关联商!W794,[1]流向迭代数据!M$2:M$65536,0))</f>
        <v>#N/A</v>
      </c>
      <c r="N794" s="12" t="e">
        <f>INDEX([1]流向迭代数据!J$2:J$65536,MATCH(L794,[1]流向迭代数据!H$2:H$65536,0))</f>
        <v>#N/A</v>
      </c>
      <c r="P794" s="14"/>
      <c r="T794" s="12" t="e">
        <f>INDEX([1]流向迭代数据!K$2:K$65536,MATCH(L794,[1]流向迭代数据!H$2:H$65536,0))</f>
        <v>#N/A</v>
      </c>
      <c r="W794" s="12" t="str">
        <f t="shared" si="25"/>
        <v/>
      </c>
    </row>
    <row r="795" spans="1:23" x14ac:dyDescent="0.15">
      <c r="A795" s="14" t="str">
        <f t="shared" si="24"/>
        <v>190001</v>
      </c>
      <c r="C795" s="12" t="e">
        <f>INDEX(基础数据!$A$2:$A$1024,MATCH(转配商关联商!X795,基础数据!$D$2:$D$1024,0))</f>
        <v>#N/A</v>
      </c>
      <c r="E795" s="12" t="e">
        <f>INDEX(基础数据!$B$2:$B$1024,MATCH(转配商关联商!X795,基础数据!$D$2:$D$1024,0))</f>
        <v>#N/A</v>
      </c>
      <c r="G795" s="12" t="e">
        <f>INDEX([1]流向迭代数据!E$2:E$65536,MATCH(转配商关联商!W795,[1]流向迭代数据!M$2:M$65536,0))</f>
        <v>#N/A</v>
      </c>
      <c r="N795" s="12" t="e">
        <f>INDEX([1]流向迭代数据!J$2:J$65536,MATCH(L795,[1]流向迭代数据!H$2:H$65536,0))</f>
        <v>#N/A</v>
      </c>
      <c r="P795" s="14"/>
      <c r="T795" s="12" t="e">
        <f>INDEX([1]流向迭代数据!K$2:K$65536,MATCH(L795,[1]流向迭代数据!H$2:H$65536,0))</f>
        <v>#N/A</v>
      </c>
      <c r="W795" s="12" t="str">
        <f t="shared" si="25"/>
        <v/>
      </c>
    </row>
    <row r="796" spans="1:23" x14ac:dyDescent="0.15">
      <c r="A796" s="14" t="str">
        <f t="shared" si="24"/>
        <v>190001</v>
      </c>
      <c r="C796" s="12" t="e">
        <f>INDEX(基础数据!$A$2:$A$1024,MATCH(转配商关联商!X796,基础数据!$D$2:$D$1024,0))</f>
        <v>#N/A</v>
      </c>
      <c r="E796" s="12" t="e">
        <f>INDEX(基础数据!$B$2:$B$1024,MATCH(转配商关联商!X796,基础数据!$D$2:$D$1024,0))</f>
        <v>#N/A</v>
      </c>
      <c r="G796" s="12" t="e">
        <f>INDEX([1]流向迭代数据!E$2:E$65536,MATCH(转配商关联商!W796,[1]流向迭代数据!M$2:M$65536,0))</f>
        <v>#N/A</v>
      </c>
      <c r="N796" s="12" t="e">
        <f>INDEX([1]流向迭代数据!J$2:J$65536,MATCH(L796,[1]流向迭代数据!H$2:H$65536,0))</f>
        <v>#N/A</v>
      </c>
      <c r="P796" s="14"/>
      <c r="T796" s="12" t="e">
        <f>INDEX([1]流向迭代数据!K$2:K$65536,MATCH(L796,[1]流向迭代数据!H$2:H$65536,0))</f>
        <v>#N/A</v>
      </c>
      <c r="W796" s="12" t="str">
        <f t="shared" si="25"/>
        <v/>
      </c>
    </row>
    <row r="797" spans="1:23" x14ac:dyDescent="0.15">
      <c r="A797" s="14" t="str">
        <f t="shared" si="24"/>
        <v>190001</v>
      </c>
      <c r="C797" s="12" t="e">
        <f>INDEX(基础数据!$A$2:$A$1024,MATCH(转配商关联商!X797,基础数据!$D$2:$D$1024,0))</f>
        <v>#N/A</v>
      </c>
      <c r="E797" s="12" t="e">
        <f>INDEX(基础数据!$B$2:$B$1024,MATCH(转配商关联商!X797,基础数据!$D$2:$D$1024,0))</f>
        <v>#N/A</v>
      </c>
      <c r="G797" s="12" t="e">
        <f>INDEX([1]流向迭代数据!E$2:E$65536,MATCH(转配商关联商!W797,[1]流向迭代数据!M$2:M$65536,0))</f>
        <v>#N/A</v>
      </c>
      <c r="N797" s="12" t="e">
        <f>INDEX([1]流向迭代数据!J$2:J$65536,MATCH(L797,[1]流向迭代数据!H$2:H$65536,0))</f>
        <v>#N/A</v>
      </c>
      <c r="P797" s="14"/>
      <c r="T797" s="12" t="e">
        <f>INDEX([1]流向迭代数据!K$2:K$65536,MATCH(L797,[1]流向迭代数据!H$2:H$65536,0))</f>
        <v>#N/A</v>
      </c>
      <c r="W797" s="12" t="str">
        <f t="shared" si="25"/>
        <v/>
      </c>
    </row>
    <row r="798" spans="1:23" x14ac:dyDescent="0.15">
      <c r="A798" s="14" t="str">
        <f t="shared" si="24"/>
        <v>190001</v>
      </c>
      <c r="C798" s="12" t="e">
        <f>INDEX(基础数据!$A$2:$A$1024,MATCH(转配商关联商!X798,基础数据!$D$2:$D$1024,0))</f>
        <v>#N/A</v>
      </c>
      <c r="E798" s="12" t="e">
        <f>INDEX(基础数据!$B$2:$B$1024,MATCH(转配商关联商!X798,基础数据!$D$2:$D$1024,0))</f>
        <v>#N/A</v>
      </c>
      <c r="G798" s="12" t="e">
        <f>INDEX([1]流向迭代数据!E$2:E$65536,MATCH(转配商关联商!W798,[1]流向迭代数据!M$2:M$65536,0))</f>
        <v>#N/A</v>
      </c>
      <c r="N798" s="12" t="e">
        <f>INDEX([1]流向迭代数据!J$2:J$65536,MATCH(L798,[1]流向迭代数据!H$2:H$65536,0))</f>
        <v>#N/A</v>
      </c>
      <c r="P798" s="14"/>
      <c r="T798" s="12" t="e">
        <f>INDEX([1]流向迭代数据!K$2:K$65536,MATCH(L798,[1]流向迭代数据!H$2:H$65536,0))</f>
        <v>#N/A</v>
      </c>
      <c r="W798" s="12" t="str">
        <f t="shared" si="25"/>
        <v/>
      </c>
    </row>
    <row r="799" spans="1:23" x14ac:dyDescent="0.15">
      <c r="A799" s="14" t="str">
        <f t="shared" si="24"/>
        <v>190001</v>
      </c>
      <c r="C799" s="12" t="e">
        <f>INDEX(基础数据!$A$2:$A$1024,MATCH(转配商关联商!X799,基础数据!$D$2:$D$1024,0))</f>
        <v>#N/A</v>
      </c>
      <c r="E799" s="12" t="e">
        <f>INDEX(基础数据!$B$2:$B$1024,MATCH(转配商关联商!X799,基础数据!$D$2:$D$1024,0))</f>
        <v>#N/A</v>
      </c>
      <c r="G799" s="12" t="e">
        <f>INDEX([1]流向迭代数据!E$2:E$65536,MATCH(转配商关联商!W799,[1]流向迭代数据!M$2:M$65536,0))</f>
        <v>#N/A</v>
      </c>
      <c r="N799" s="12" t="e">
        <f>INDEX([1]流向迭代数据!J$2:J$65536,MATCH(L799,[1]流向迭代数据!H$2:H$65536,0))</f>
        <v>#N/A</v>
      </c>
      <c r="P799" s="14"/>
      <c r="T799" s="12" t="e">
        <f>INDEX([1]流向迭代数据!K$2:K$65536,MATCH(L799,[1]流向迭代数据!H$2:H$65536,0))</f>
        <v>#N/A</v>
      </c>
      <c r="W799" s="12" t="str">
        <f t="shared" si="25"/>
        <v/>
      </c>
    </row>
    <row r="800" spans="1:23" x14ac:dyDescent="0.15">
      <c r="A800" s="14" t="str">
        <f t="shared" si="24"/>
        <v>190001</v>
      </c>
      <c r="C800" s="12" t="e">
        <f>INDEX(基础数据!$A$2:$A$1024,MATCH(转配商关联商!X800,基础数据!$D$2:$D$1024,0))</f>
        <v>#N/A</v>
      </c>
      <c r="E800" s="12" t="e">
        <f>INDEX(基础数据!$B$2:$B$1024,MATCH(转配商关联商!X800,基础数据!$D$2:$D$1024,0))</f>
        <v>#N/A</v>
      </c>
      <c r="G800" s="12" t="e">
        <f>INDEX([1]流向迭代数据!E$2:E$65536,MATCH(转配商关联商!W800,[1]流向迭代数据!M$2:M$65536,0))</f>
        <v>#N/A</v>
      </c>
      <c r="N800" s="12" t="e">
        <f>INDEX([1]流向迭代数据!J$2:J$65536,MATCH(L800,[1]流向迭代数据!H$2:H$65536,0))</f>
        <v>#N/A</v>
      </c>
      <c r="P800" s="14"/>
      <c r="T800" s="12" t="e">
        <f>INDEX([1]流向迭代数据!K$2:K$65536,MATCH(L800,[1]流向迭代数据!H$2:H$65536,0))</f>
        <v>#N/A</v>
      </c>
      <c r="W800" s="12" t="str">
        <f t="shared" si="25"/>
        <v/>
      </c>
    </row>
    <row r="801" spans="1:23" x14ac:dyDescent="0.15">
      <c r="A801" s="14" t="str">
        <f t="shared" si="24"/>
        <v>190001</v>
      </c>
      <c r="C801" s="12" t="e">
        <f>INDEX(基础数据!$A$2:$A$1024,MATCH(转配商关联商!X801,基础数据!$D$2:$D$1024,0))</f>
        <v>#N/A</v>
      </c>
      <c r="E801" s="12" t="e">
        <f>INDEX(基础数据!$B$2:$B$1024,MATCH(转配商关联商!X801,基础数据!$D$2:$D$1024,0))</f>
        <v>#N/A</v>
      </c>
      <c r="G801" s="12" t="e">
        <f>INDEX([1]流向迭代数据!E$2:E$65536,MATCH(转配商关联商!W801,[1]流向迭代数据!M$2:M$65536,0))</f>
        <v>#N/A</v>
      </c>
      <c r="N801" s="12" t="e">
        <f>INDEX([1]流向迭代数据!J$2:J$65536,MATCH(L801,[1]流向迭代数据!H$2:H$65536,0))</f>
        <v>#N/A</v>
      </c>
      <c r="P801" s="14"/>
      <c r="T801" s="12" t="e">
        <f>INDEX([1]流向迭代数据!K$2:K$65536,MATCH(L801,[1]流向迭代数据!H$2:H$65536,0))</f>
        <v>#N/A</v>
      </c>
      <c r="W801" s="12" t="str">
        <f t="shared" si="25"/>
        <v/>
      </c>
    </row>
    <row r="802" spans="1:23" x14ac:dyDescent="0.15">
      <c r="A802" s="14" t="str">
        <f t="shared" si="24"/>
        <v>190001</v>
      </c>
      <c r="C802" s="12" t="e">
        <f>INDEX(基础数据!$A$2:$A$1024,MATCH(转配商关联商!X802,基础数据!$D$2:$D$1024,0))</f>
        <v>#N/A</v>
      </c>
      <c r="E802" s="12" t="e">
        <f>INDEX(基础数据!$B$2:$B$1024,MATCH(转配商关联商!X802,基础数据!$D$2:$D$1024,0))</f>
        <v>#N/A</v>
      </c>
      <c r="G802" s="12" t="e">
        <f>INDEX([1]流向迭代数据!E$2:E$65536,MATCH(转配商关联商!W802,[1]流向迭代数据!M$2:M$65536,0))</f>
        <v>#N/A</v>
      </c>
      <c r="N802" s="12" t="e">
        <f>INDEX([1]流向迭代数据!J$2:J$65536,MATCH(L802,[1]流向迭代数据!H$2:H$65536,0))</f>
        <v>#N/A</v>
      </c>
      <c r="P802" s="14"/>
      <c r="T802" s="12" t="e">
        <f>INDEX([1]流向迭代数据!K$2:K$65536,MATCH(L802,[1]流向迭代数据!H$2:H$65536,0))</f>
        <v>#N/A</v>
      </c>
      <c r="W802" s="12" t="str">
        <f t="shared" si="25"/>
        <v/>
      </c>
    </row>
    <row r="803" spans="1:23" x14ac:dyDescent="0.15">
      <c r="A803" s="14" t="str">
        <f t="shared" si="24"/>
        <v>190001</v>
      </c>
      <c r="C803" s="12" t="e">
        <f>INDEX(基础数据!$A$2:$A$1024,MATCH(转配商关联商!X803,基础数据!$D$2:$D$1024,0))</f>
        <v>#N/A</v>
      </c>
      <c r="E803" s="12" t="e">
        <f>INDEX(基础数据!$B$2:$B$1024,MATCH(转配商关联商!X803,基础数据!$D$2:$D$1024,0))</f>
        <v>#N/A</v>
      </c>
      <c r="G803" s="12" t="e">
        <f>INDEX([1]流向迭代数据!E$2:E$65536,MATCH(转配商关联商!W803,[1]流向迭代数据!M$2:M$65536,0))</f>
        <v>#N/A</v>
      </c>
      <c r="N803" s="12" t="e">
        <f>INDEX([1]流向迭代数据!J$2:J$65536,MATCH(L803,[1]流向迭代数据!H$2:H$65536,0))</f>
        <v>#N/A</v>
      </c>
      <c r="P803" s="14"/>
      <c r="T803" s="12" t="e">
        <f>INDEX([1]流向迭代数据!K$2:K$65536,MATCH(L803,[1]流向迭代数据!H$2:H$65536,0))</f>
        <v>#N/A</v>
      </c>
      <c r="W803" s="12" t="str">
        <f t="shared" si="25"/>
        <v/>
      </c>
    </row>
    <row r="804" spans="1:23" x14ac:dyDescent="0.15">
      <c r="A804" s="14" t="str">
        <f t="shared" si="24"/>
        <v>190001</v>
      </c>
      <c r="C804" s="12" t="e">
        <f>INDEX(基础数据!$A$2:$A$1024,MATCH(转配商关联商!X804,基础数据!$D$2:$D$1024,0))</f>
        <v>#N/A</v>
      </c>
      <c r="E804" s="12" t="e">
        <f>INDEX(基础数据!$B$2:$B$1024,MATCH(转配商关联商!X804,基础数据!$D$2:$D$1024,0))</f>
        <v>#N/A</v>
      </c>
      <c r="G804" s="12" t="e">
        <f>INDEX([1]流向迭代数据!E$2:E$65536,MATCH(转配商关联商!W804,[1]流向迭代数据!M$2:M$65536,0))</f>
        <v>#N/A</v>
      </c>
      <c r="N804" s="12" t="e">
        <f>INDEX([1]流向迭代数据!J$2:J$65536,MATCH(L804,[1]流向迭代数据!H$2:H$65536,0))</f>
        <v>#N/A</v>
      </c>
      <c r="P804" s="14"/>
      <c r="T804" s="12" t="e">
        <f>INDEX([1]流向迭代数据!K$2:K$65536,MATCH(L804,[1]流向迭代数据!H$2:H$65536,0))</f>
        <v>#N/A</v>
      </c>
      <c r="W804" s="12" t="str">
        <f t="shared" si="25"/>
        <v/>
      </c>
    </row>
    <row r="805" spans="1:23" x14ac:dyDescent="0.15">
      <c r="A805" s="14" t="str">
        <f t="shared" si="24"/>
        <v>190001</v>
      </c>
      <c r="C805" s="12" t="e">
        <f>INDEX(基础数据!$A$2:$A$1024,MATCH(转配商关联商!X805,基础数据!$D$2:$D$1024,0))</f>
        <v>#N/A</v>
      </c>
      <c r="E805" s="12" t="e">
        <f>INDEX(基础数据!$B$2:$B$1024,MATCH(转配商关联商!X805,基础数据!$D$2:$D$1024,0))</f>
        <v>#N/A</v>
      </c>
      <c r="G805" s="12" t="e">
        <f>INDEX([1]流向迭代数据!E$2:E$65536,MATCH(转配商关联商!W805,[1]流向迭代数据!M$2:M$65536,0))</f>
        <v>#N/A</v>
      </c>
      <c r="N805" s="12" t="e">
        <f>INDEX([1]流向迭代数据!J$2:J$65536,MATCH(L805,[1]流向迭代数据!H$2:H$65536,0))</f>
        <v>#N/A</v>
      </c>
      <c r="P805" s="14"/>
      <c r="T805" s="12" t="e">
        <f>INDEX([1]流向迭代数据!K$2:K$65536,MATCH(L805,[1]流向迭代数据!H$2:H$65536,0))</f>
        <v>#N/A</v>
      </c>
      <c r="W805" s="12" t="str">
        <f t="shared" si="25"/>
        <v/>
      </c>
    </row>
    <row r="806" spans="1:23" x14ac:dyDescent="0.15">
      <c r="A806" s="14" t="str">
        <f t="shared" si="24"/>
        <v>190001</v>
      </c>
      <c r="C806" s="12" t="e">
        <f>INDEX(基础数据!$A$2:$A$1024,MATCH(转配商关联商!X806,基础数据!$D$2:$D$1024,0))</f>
        <v>#N/A</v>
      </c>
      <c r="E806" s="12" t="e">
        <f>INDEX(基础数据!$B$2:$B$1024,MATCH(转配商关联商!X806,基础数据!$D$2:$D$1024,0))</f>
        <v>#N/A</v>
      </c>
      <c r="G806" s="12" t="e">
        <f>INDEX([1]流向迭代数据!E$2:E$65536,MATCH(转配商关联商!W806,[1]流向迭代数据!M$2:M$65536,0))</f>
        <v>#N/A</v>
      </c>
      <c r="N806" s="12" t="e">
        <f>INDEX([1]流向迭代数据!J$2:J$65536,MATCH(L806,[1]流向迭代数据!H$2:H$65536,0))</f>
        <v>#N/A</v>
      </c>
      <c r="P806" s="14"/>
      <c r="T806" s="12" t="e">
        <f>INDEX([1]流向迭代数据!K$2:K$65536,MATCH(L806,[1]流向迭代数据!H$2:H$65536,0))</f>
        <v>#N/A</v>
      </c>
      <c r="W806" s="12" t="str">
        <f t="shared" si="25"/>
        <v/>
      </c>
    </row>
    <row r="807" spans="1:23" x14ac:dyDescent="0.15">
      <c r="A807" s="14" t="str">
        <f t="shared" si="24"/>
        <v>190001</v>
      </c>
      <c r="C807" s="12" t="e">
        <f>INDEX(基础数据!$A$2:$A$1024,MATCH(转配商关联商!X807,基础数据!$D$2:$D$1024,0))</f>
        <v>#N/A</v>
      </c>
      <c r="E807" s="12" t="e">
        <f>INDEX(基础数据!$B$2:$B$1024,MATCH(转配商关联商!X807,基础数据!$D$2:$D$1024,0))</f>
        <v>#N/A</v>
      </c>
      <c r="G807" s="12" t="e">
        <f>INDEX([1]流向迭代数据!E$2:E$65536,MATCH(转配商关联商!W807,[1]流向迭代数据!M$2:M$65536,0))</f>
        <v>#N/A</v>
      </c>
      <c r="N807" s="12" t="e">
        <f>INDEX([1]流向迭代数据!J$2:J$65536,MATCH(L807,[1]流向迭代数据!H$2:H$65536,0))</f>
        <v>#N/A</v>
      </c>
      <c r="P807" s="14"/>
      <c r="T807" s="12" t="e">
        <f>INDEX([1]流向迭代数据!K$2:K$65536,MATCH(L807,[1]流向迭代数据!H$2:H$65536,0))</f>
        <v>#N/A</v>
      </c>
      <c r="W807" s="12" t="str">
        <f t="shared" si="25"/>
        <v/>
      </c>
    </row>
    <row r="808" spans="1:23" x14ac:dyDescent="0.15">
      <c r="A808" s="14" t="str">
        <f t="shared" si="24"/>
        <v>190001</v>
      </c>
      <c r="C808" s="12" t="e">
        <f>INDEX(基础数据!$A$2:$A$1024,MATCH(转配商关联商!X808,基础数据!$D$2:$D$1024,0))</f>
        <v>#N/A</v>
      </c>
      <c r="E808" s="12" t="e">
        <f>INDEX(基础数据!$B$2:$B$1024,MATCH(转配商关联商!X808,基础数据!$D$2:$D$1024,0))</f>
        <v>#N/A</v>
      </c>
      <c r="G808" s="12" t="e">
        <f>INDEX([1]流向迭代数据!E$2:E$65536,MATCH(转配商关联商!W808,[1]流向迭代数据!M$2:M$65536,0))</f>
        <v>#N/A</v>
      </c>
      <c r="N808" s="12" t="e">
        <f>INDEX([1]流向迭代数据!J$2:J$65536,MATCH(L808,[1]流向迭代数据!H$2:H$65536,0))</f>
        <v>#N/A</v>
      </c>
      <c r="P808" s="14"/>
      <c r="T808" s="12" t="e">
        <f>INDEX([1]流向迭代数据!K$2:K$65536,MATCH(L808,[1]流向迭代数据!H$2:H$65536,0))</f>
        <v>#N/A</v>
      </c>
      <c r="W808" s="12" t="str">
        <f t="shared" si="25"/>
        <v/>
      </c>
    </row>
    <row r="809" spans="1:23" x14ac:dyDescent="0.15">
      <c r="A809" s="14" t="str">
        <f t="shared" si="24"/>
        <v>190001</v>
      </c>
      <c r="C809" s="12" t="e">
        <f>INDEX(基础数据!$A$2:$A$1024,MATCH(转配商关联商!X809,基础数据!$D$2:$D$1024,0))</f>
        <v>#N/A</v>
      </c>
      <c r="E809" s="12" t="e">
        <f>INDEX(基础数据!$B$2:$B$1024,MATCH(转配商关联商!X809,基础数据!$D$2:$D$1024,0))</f>
        <v>#N/A</v>
      </c>
      <c r="G809" s="12" t="e">
        <f>INDEX([1]流向迭代数据!E$2:E$65536,MATCH(转配商关联商!W809,[1]流向迭代数据!M$2:M$65536,0))</f>
        <v>#N/A</v>
      </c>
      <c r="N809" s="12" t="e">
        <f>INDEX([1]流向迭代数据!J$2:J$65536,MATCH(L809,[1]流向迭代数据!H$2:H$65536,0))</f>
        <v>#N/A</v>
      </c>
      <c r="P809" s="14"/>
      <c r="T809" s="12" t="e">
        <f>INDEX([1]流向迭代数据!K$2:K$65536,MATCH(L809,[1]流向迭代数据!H$2:H$65536,0))</f>
        <v>#N/A</v>
      </c>
      <c r="W809" s="12" t="str">
        <f t="shared" si="25"/>
        <v/>
      </c>
    </row>
    <row r="810" spans="1:23" x14ac:dyDescent="0.15">
      <c r="A810" s="14" t="str">
        <f t="shared" si="24"/>
        <v>190001</v>
      </c>
      <c r="C810" s="12" t="e">
        <f>INDEX(基础数据!$A$2:$A$1024,MATCH(转配商关联商!X810,基础数据!$D$2:$D$1024,0))</f>
        <v>#N/A</v>
      </c>
      <c r="E810" s="12" t="e">
        <f>INDEX(基础数据!$B$2:$B$1024,MATCH(转配商关联商!X810,基础数据!$D$2:$D$1024,0))</f>
        <v>#N/A</v>
      </c>
      <c r="G810" s="12" t="e">
        <f>INDEX([1]流向迭代数据!E$2:E$65536,MATCH(转配商关联商!W810,[1]流向迭代数据!M$2:M$65536,0))</f>
        <v>#N/A</v>
      </c>
      <c r="N810" s="12" t="e">
        <f>INDEX([1]流向迭代数据!J$2:J$65536,MATCH(L810,[1]流向迭代数据!H$2:H$65536,0))</f>
        <v>#N/A</v>
      </c>
      <c r="P810" s="14"/>
      <c r="T810" s="12" t="e">
        <f>INDEX([1]流向迭代数据!K$2:K$65536,MATCH(L810,[1]流向迭代数据!H$2:H$65536,0))</f>
        <v>#N/A</v>
      </c>
      <c r="W810" s="12" t="str">
        <f t="shared" si="25"/>
        <v/>
      </c>
    </row>
    <row r="811" spans="1:23" x14ac:dyDescent="0.15">
      <c r="A811" s="14" t="str">
        <f t="shared" si="24"/>
        <v>190001</v>
      </c>
      <c r="C811" s="12" t="e">
        <f>INDEX(基础数据!$A$2:$A$1024,MATCH(转配商关联商!X811,基础数据!$D$2:$D$1024,0))</f>
        <v>#N/A</v>
      </c>
      <c r="E811" s="12" t="e">
        <f>INDEX(基础数据!$B$2:$B$1024,MATCH(转配商关联商!X811,基础数据!$D$2:$D$1024,0))</f>
        <v>#N/A</v>
      </c>
      <c r="G811" s="12" t="e">
        <f>INDEX([1]流向迭代数据!E$2:E$65536,MATCH(转配商关联商!W811,[1]流向迭代数据!M$2:M$65536,0))</f>
        <v>#N/A</v>
      </c>
      <c r="N811" s="12" t="e">
        <f>INDEX([1]流向迭代数据!J$2:J$65536,MATCH(L811,[1]流向迭代数据!H$2:H$65536,0))</f>
        <v>#N/A</v>
      </c>
      <c r="P811" s="14"/>
      <c r="T811" s="12" t="e">
        <f>INDEX([1]流向迭代数据!K$2:K$65536,MATCH(L811,[1]流向迭代数据!H$2:H$65536,0))</f>
        <v>#N/A</v>
      </c>
      <c r="W811" s="12" t="str">
        <f t="shared" si="25"/>
        <v/>
      </c>
    </row>
    <row r="812" spans="1:23" x14ac:dyDescent="0.15">
      <c r="A812" s="14" t="str">
        <f t="shared" si="24"/>
        <v>190001</v>
      </c>
      <c r="C812" s="12" t="e">
        <f>INDEX(基础数据!$A$2:$A$1024,MATCH(转配商关联商!X812,基础数据!$D$2:$D$1024,0))</f>
        <v>#N/A</v>
      </c>
      <c r="E812" s="12" t="e">
        <f>INDEX(基础数据!$B$2:$B$1024,MATCH(转配商关联商!X812,基础数据!$D$2:$D$1024,0))</f>
        <v>#N/A</v>
      </c>
      <c r="G812" s="12" t="e">
        <f>INDEX([1]流向迭代数据!E$2:E$65536,MATCH(转配商关联商!W812,[1]流向迭代数据!M$2:M$65536,0))</f>
        <v>#N/A</v>
      </c>
      <c r="N812" s="12" t="e">
        <f>INDEX([1]流向迭代数据!J$2:J$65536,MATCH(L812,[1]流向迭代数据!H$2:H$65536,0))</f>
        <v>#N/A</v>
      </c>
      <c r="P812" s="14"/>
      <c r="T812" s="12" t="e">
        <f>INDEX([1]流向迭代数据!K$2:K$65536,MATCH(L812,[1]流向迭代数据!H$2:H$65536,0))</f>
        <v>#N/A</v>
      </c>
      <c r="W812" s="12" t="str">
        <f t="shared" si="25"/>
        <v/>
      </c>
    </row>
    <row r="813" spans="1:23" x14ac:dyDescent="0.15">
      <c r="A813" s="14" t="str">
        <f t="shared" si="24"/>
        <v>190001</v>
      </c>
      <c r="C813" s="12" t="e">
        <f>INDEX(基础数据!$A$2:$A$1024,MATCH(转配商关联商!X813,基础数据!$D$2:$D$1024,0))</f>
        <v>#N/A</v>
      </c>
      <c r="E813" s="12" t="e">
        <f>INDEX(基础数据!$B$2:$B$1024,MATCH(转配商关联商!X813,基础数据!$D$2:$D$1024,0))</f>
        <v>#N/A</v>
      </c>
      <c r="G813" s="12" t="e">
        <f>INDEX([1]流向迭代数据!E$2:E$65536,MATCH(转配商关联商!W813,[1]流向迭代数据!M$2:M$65536,0))</f>
        <v>#N/A</v>
      </c>
      <c r="N813" s="12" t="e">
        <f>INDEX([1]流向迭代数据!J$2:J$65536,MATCH(L813,[1]流向迭代数据!H$2:H$65536,0))</f>
        <v>#N/A</v>
      </c>
      <c r="P813" s="14"/>
      <c r="T813" s="12" t="e">
        <f>INDEX([1]流向迭代数据!K$2:K$65536,MATCH(L813,[1]流向迭代数据!H$2:H$65536,0))</f>
        <v>#N/A</v>
      </c>
      <c r="W813" s="12" t="str">
        <f t="shared" si="25"/>
        <v/>
      </c>
    </row>
    <row r="814" spans="1:23" x14ac:dyDescent="0.15">
      <c r="A814" s="14" t="str">
        <f t="shared" si="24"/>
        <v>190001</v>
      </c>
      <c r="C814" s="12" t="e">
        <f>INDEX(基础数据!$A$2:$A$1024,MATCH(转配商关联商!X814,基础数据!$D$2:$D$1024,0))</f>
        <v>#N/A</v>
      </c>
      <c r="E814" s="12" t="e">
        <f>INDEX(基础数据!$B$2:$B$1024,MATCH(转配商关联商!X814,基础数据!$D$2:$D$1024,0))</f>
        <v>#N/A</v>
      </c>
      <c r="G814" s="12" t="e">
        <f>INDEX([1]流向迭代数据!E$2:E$65536,MATCH(转配商关联商!W814,[1]流向迭代数据!M$2:M$65536,0))</f>
        <v>#N/A</v>
      </c>
      <c r="N814" s="12" t="e">
        <f>INDEX([1]流向迭代数据!J$2:J$65536,MATCH(L814,[1]流向迭代数据!H$2:H$65536,0))</f>
        <v>#N/A</v>
      </c>
      <c r="P814" s="14"/>
      <c r="T814" s="12" t="e">
        <f>INDEX([1]流向迭代数据!K$2:K$65536,MATCH(L814,[1]流向迭代数据!H$2:H$65536,0))</f>
        <v>#N/A</v>
      </c>
      <c r="W814" s="12" t="str">
        <f t="shared" si="25"/>
        <v/>
      </c>
    </row>
    <row r="815" spans="1:23" x14ac:dyDescent="0.15">
      <c r="A815" s="14" t="str">
        <f t="shared" si="24"/>
        <v>190001</v>
      </c>
      <c r="C815" s="12" t="e">
        <f>INDEX(基础数据!$A$2:$A$1024,MATCH(转配商关联商!X815,基础数据!$D$2:$D$1024,0))</f>
        <v>#N/A</v>
      </c>
      <c r="E815" s="12" t="e">
        <f>INDEX(基础数据!$B$2:$B$1024,MATCH(转配商关联商!X815,基础数据!$D$2:$D$1024,0))</f>
        <v>#N/A</v>
      </c>
      <c r="G815" s="12" t="e">
        <f>INDEX([1]流向迭代数据!E$2:E$65536,MATCH(转配商关联商!W815,[1]流向迭代数据!M$2:M$65536,0))</f>
        <v>#N/A</v>
      </c>
      <c r="N815" s="12" t="e">
        <f>INDEX([1]流向迭代数据!J$2:J$65536,MATCH(L815,[1]流向迭代数据!H$2:H$65536,0))</f>
        <v>#N/A</v>
      </c>
      <c r="P815" s="14"/>
      <c r="T815" s="12" t="e">
        <f>INDEX([1]流向迭代数据!K$2:K$65536,MATCH(L815,[1]流向迭代数据!H$2:H$65536,0))</f>
        <v>#N/A</v>
      </c>
      <c r="W815" s="12" t="str">
        <f t="shared" si="25"/>
        <v/>
      </c>
    </row>
    <row r="816" spans="1:23" x14ac:dyDescent="0.15">
      <c r="A816" s="14" t="str">
        <f t="shared" si="24"/>
        <v>190001</v>
      </c>
      <c r="C816" s="12" t="e">
        <f>INDEX(基础数据!$A$2:$A$1024,MATCH(转配商关联商!X816,基础数据!$D$2:$D$1024,0))</f>
        <v>#N/A</v>
      </c>
      <c r="E816" s="12" t="e">
        <f>INDEX(基础数据!$B$2:$B$1024,MATCH(转配商关联商!X816,基础数据!$D$2:$D$1024,0))</f>
        <v>#N/A</v>
      </c>
      <c r="G816" s="12" t="e">
        <f>INDEX([1]流向迭代数据!E$2:E$65536,MATCH(转配商关联商!W816,[1]流向迭代数据!M$2:M$65536,0))</f>
        <v>#N/A</v>
      </c>
      <c r="N816" s="12" t="e">
        <f>INDEX([1]流向迭代数据!J$2:J$65536,MATCH(L816,[1]流向迭代数据!H$2:H$65536,0))</f>
        <v>#N/A</v>
      </c>
      <c r="P816" s="14"/>
      <c r="T816" s="12" t="e">
        <f>INDEX([1]流向迭代数据!K$2:K$65536,MATCH(L816,[1]流向迭代数据!H$2:H$65536,0))</f>
        <v>#N/A</v>
      </c>
      <c r="W816" s="12" t="str">
        <f t="shared" si="25"/>
        <v/>
      </c>
    </row>
    <row r="817" spans="1:23" x14ac:dyDescent="0.15">
      <c r="A817" s="14" t="str">
        <f t="shared" si="24"/>
        <v>190001</v>
      </c>
      <c r="C817" s="12" t="e">
        <f>INDEX(基础数据!$A$2:$A$1024,MATCH(转配商关联商!X817,基础数据!$D$2:$D$1024,0))</f>
        <v>#N/A</v>
      </c>
      <c r="E817" s="12" t="e">
        <f>INDEX(基础数据!$B$2:$B$1024,MATCH(转配商关联商!X817,基础数据!$D$2:$D$1024,0))</f>
        <v>#N/A</v>
      </c>
      <c r="G817" s="12" t="e">
        <f>INDEX([1]流向迭代数据!E$2:E$65536,MATCH(转配商关联商!W817,[1]流向迭代数据!M$2:M$65536,0))</f>
        <v>#N/A</v>
      </c>
      <c r="N817" s="12" t="e">
        <f>INDEX([1]流向迭代数据!J$2:J$65536,MATCH(L817,[1]流向迭代数据!H$2:H$65536,0))</f>
        <v>#N/A</v>
      </c>
      <c r="P817" s="14"/>
      <c r="T817" s="12" t="e">
        <f>INDEX([1]流向迭代数据!K$2:K$65536,MATCH(L817,[1]流向迭代数据!H$2:H$65536,0))</f>
        <v>#N/A</v>
      </c>
      <c r="W817" s="12" t="str">
        <f t="shared" si="25"/>
        <v/>
      </c>
    </row>
    <row r="818" spans="1:23" x14ac:dyDescent="0.15">
      <c r="A818" s="14" t="str">
        <f t="shared" si="24"/>
        <v>190001</v>
      </c>
      <c r="C818" s="12" t="e">
        <f>INDEX(基础数据!$A$2:$A$1024,MATCH(转配商关联商!X818,基础数据!$D$2:$D$1024,0))</f>
        <v>#N/A</v>
      </c>
      <c r="E818" s="12" t="e">
        <f>INDEX(基础数据!$B$2:$B$1024,MATCH(转配商关联商!X818,基础数据!$D$2:$D$1024,0))</f>
        <v>#N/A</v>
      </c>
      <c r="G818" s="12" t="e">
        <f>INDEX([1]流向迭代数据!E$2:E$65536,MATCH(转配商关联商!W818,[1]流向迭代数据!M$2:M$65536,0))</f>
        <v>#N/A</v>
      </c>
      <c r="N818" s="12" t="e">
        <f>INDEX([1]流向迭代数据!J$2:J$65536,MATCH(L818,[1]流向迭代数据!H$2:H$65536,0))</f>
        <v>#N/A</v>
      </c>
      <c r="P818" s="14"/>
      <c r="T818" s="12" t="e">
        <f>INDEX([1]流向迭代数据!K$2:K$65536,MATCH(L818,[1]流向迭代数据!H$2:H$65536,0))</f>
        <v>#N/A</v>
      </c>
      <c r="W818" s="12" t="str">
        <f t="shared" si="25"/>
        <v/>
      </c>
    </row>
    <row r="819" spans="1:23" x14ac:dyDescent="0.15">
      <c r="A819" s="14" t="str">
        <f t="shared" si="24"/>
        <v>190001</v>
      </c>
      <c r="C819" s="12" t="e">
        <f>INDEX(基础数据!$A$2:$A$1024,MATCH(转配商关联商!X819,基础数据!$D$2:$D$1024,0))</f>
        <v>#N/A</v>
      </c>
      <c r="E819" s="12" t="e">
        <f>INDEX(基础数据!$B$2:$B$1024,MATCH(转配商关联商!X819,基础数据!$D$2:$D$1024,0))</f>
        <v>#N/A</v>
      </c>
      <c r="G819" s="12" t="e">
        <f>INDEX([1]流向迭代数据!E$2:E$65536,MATCH(转配商关联商!W819,[1]流向迭代数据!M$2:M$65536,0))</f>
        <v>#N/A</v>
      </c>
      <c r="N819" s="12" t="e">
        <f>INDEX([1]流向迭代数据!J$2:J$65536,MATCH(L819,[1]流向迭代数据!H$2:H$65536,0))</f>
        <v>#N/A</v>
      </c>
      <c r="P819" s="14"/>
      <c r="T819" s="12" t="e">
        <f>INDEX([1]流向迭代数据!K$2:K$65536,MATCH(L819,[1]流向迭代数据!H$2:H$65536,0))</f>
        <v>#N/A</v>
      </c>
      <c r="W819" s="12" t="str">
        <f t="shared" si="25"/>
        <v/>
      </c>
    </row>
    <row r="820" spans="1:23" x14ac:dyDescent="0.15">
      <c r="A820" s="14" t="str">
        <f t="shared" si="24"/>
        <v>190001</v>
      </c>
      <c r="C820" s="12" t="e">
        <f>INDEX(基础数据!$A$2:$A$1024,MATCH(转配商关联商!X820,基础数据!$D$2:$D$1024,0))</f>
        <v>#N/A</v>
      </c>
      <c r="E820" s="12" t="e">
        <f>INDEX(基础数据!$B$2:$B$1024,MATCH(转配商关联商!X820,基础数据!$D$2:$D$1024,0))</f>
        <v>#N/A</v>
      </c>
      <c r="G820" s="12" t="e">
        <f>INDEX([1]流向迭代数据!E$2:E$65536,MATCH(转配商关联商!W820,[1]流向迭代数据!M$2:M$65536,0))</f>
        <v>#N/A</v>
      </c>
      <c r="N820" s="12" t="e">
        <f>INDEX([1]流向迭代数据!J$2:J$65536,MATCH(L820,[1]流向迭代数据!H$2:H$65536,0))</f>
        <v>#N/A</v>
      </c>
      <c r="P820" s="14"/>
      <c r="T820" s="12" t="e">
        <f>INDEX([1]流向迭代数据!K$2:K$65536,MATCH(L820,[1]流向迭代数据!H$2:H$65536,0))</f>
        <v>#N/A</v>
      </c>
      <c r="W820" s="12" t="str">
        <f t="shared" si="25"/>
        <v/>
      </c>
    </row>
    <row r="821" spans="1:23" x14ac:dyDescent="0.15">
      <c r="A821" s="14" t="str">
        <f t="shared" si="24"/>
        <v>190001</v>
      </c>
      <c r="C821" s="12" t="e">
        <f>INDEX(基础数据!$A$2:$A$1024,MATCH(转配商关联商!X821,基础数据!$D$2:$D$1024,0))</f>
        <v>#N/A</v>
      </c>
      <c r="E821" s="12" t="e">
        <f>INDEX(基础数据!$B$2:$B$1024,MATCH(转配商关联商!X821,基础数据!$D$2:$D$1024,0))</f>
        <v>#N/A</v>
      </c>
      <c r="G821" s="12" t="e">
        <f>INDEX([1]流向迭代数据!E$2:E$65536,MATCH(转配商关联商!W821,[1]流向迭代数据!M$2:M$65536,0))</f>
        <v>#N/A</v>
      </c>
      <c r="N821" s="12" t="e">
        <f>INDEX([1]流向迭代数据!J$2:J$65536,MATCH(L821,[1]流向迭代数据!H$2:H$65536,0))</f>
        <v>#N/A</v>
      </c>
      <c r="P821" s="14"/>
      <c r="T821" s="12" t="e">
        <f>INDEX([1]流向迭代数据!K$2:K$65536,MATCH(L821,[1]流向迭代数据!H$2:H$65536,0))</f>
        <v>#N/A</v>
      </c>
      <c r="W821" s="12" t="str">
        <f t="shared" si="25"/>
        <v/>
      </c>
    </row>
    <row r="822" spans="1:23" x14ac:dyDescent="0.15">
      <c r="A822" s="14" t="str">
        <f t="shared" si="24"/>
        <v>190001</v>
      </c>
      <c r="C822" s="12" t="e">
        <f>INDEX(基础数据!$A$2:$A$1024,MATCH(转配商关联商!X822,基础数据!$D$2:$D$1024,0))</f>
        <v>#N/A</v>
      </c>
      <c r="E822" s="12" t="e">
        <f>INDEX(基础数据!$B$2:$B$1024,MATCH(转配商关联商!X822,基础数据!$D$2:$D$1024,0))</f>
        <v>#N/A</v>
      </c>
      <c r="G822" s="12" t="e">
        <f>INDEX([1]流向迭代数据!E$2:E$65536,MATCH(转配商关联商!W822,[1]流向迭代数据!M$2:M$65536,0))</f>
        <v>#N/A</v>
      </c>
      <c r="N822" s="12" t="e">
        <f>INDEX([1]流向迭代数据!J$2:J$65536,MATCH(L822,[1]流向迭代数据!H$2:H$65536,0))</f>
        <v>#N/A</v>
      </c>
      <c r="P822" s="14"/>
      <c r="T822" s="12" t="e">
        <f>INDEX([1]流向迭代数据!K$2:K$65536,MATCH(L822,[1]流向迭代数据!H$2:H$65536,0))</f>
        <v>#N/A</v>
      </c>
      <c r="W822" s="12" t="str">
        <f t="shared" si="25"/>
        <v/>
      </c>
    </row>
    <row r="823" spans="1:23" x14ac:dyDescent="0.15">
      <c r="A823" s="14" t="str">
        <f t="shared" si="24"/>
        <v>190001</v>
      </c>
      <c r="C823" s="12" t="e">
        <f>INDEX(基础数据!$A$2:$A$1024,MATCH(转配商关联商!X823,基础数据!$D$2:$D$1024,0))</f>
        <v>#N/A</v>
      </c>
      <c r="E823" s="12" t="e">
        <f>INDEX(基础数据!$B$2:$B$1024,MATCH(转配商关联商!X823,基础数据!$D$2:$D$1024,0))</f>
        <v>#N/A</v>
      </c>
      <c r="G823" s="12" t="e">
        <f>INDEX([1]流向迭代数据!E$2:E$65536,MATCH(转配商关联商!W823,[1]流向迭代数据!M$2:M$65536,0))</f>
        <v>#N/A</v>
      </c>
      <c r="N823" s="12" t="e">
        <f>INDEX([1]流向迭代数据!J$2:J$65536,MATCH(L823,[1]流向迭代数据!H$2:H$65536,0))</f>
        <v>#N/A</v>
      </c>
      <c r="P823" s="14"/>
      <c r="T823" s="12" t="e">
        <f>INDEX([1]流向迭代数据!K$2:K$65536,MATCH(L823,[1]流向迭代数据!H$2:H$65536,0))</f>
        <v>#N/A</v>
      </c>
      <c r="W823" s="12" t="str">
        <f t="shared" si="25"/>
        <v/>
      </c>
    </row>
    <row r="824" spans="1:23" x14ac:dyDescent="0.15">
      <c r="A824" s="14" t="str">
        <f t="shared" si="24"/>
        <v>190001</v>
      </c>
      <c r="C824" s="12" t="e">
        <f>INDEX(基础数据!$A$2:$A$1024,MATCH(转配商关联商!X824,基础数据!$D$2:$D$1024,0))</f>
        <v>#N/A</v>
      </c>
      <c r="E824" s="12" t="e">
        <f>INDEX(基础数据!$B$2:$B$1024,MATCH(转配商关联商!X824,基础数据!$D$2:$D$1024,0))</f>
        <v>#N/A</v>
      </c>
      <c r="G824" s="12" t="e">
        <f>INDEX([1]流向迭代数据!E$2:E$65536,MATCH(转配商关联商!W824,[1]流向迭代数据!M$2:M$65536,0))</f>
        <v>#N/A</v>
      </c>
      <c r="N824" s="12" t="e">
        <f>INDEX([1]流向迭代数据!J$2:J$65536,MATCH(L824,[1]流向迭代数据!H$2:H$65536,0))</f>
        <v>#N/A</v>
      </c>
      <c r="P824" s="14"/>
      <c r="T824" s="12" t="e">
        <f>INDEX([1]流向迭代数据!K$2:K$65536,MATCH(L824,[1]流向迭代数据!H$2:H$65536,0))</f>
        <v>#N/A</v>
      </c>
      <c r="W824" s="12" t="str">
        <f t="shared" si="25"/>
        <v/>
      </c>
    </row>
    <row r="825" spans="1:23" x14ac:dyDescent="0.15">
      <c r="A825" s="14" t="str">
        <f t="shared" si="24"/>
        <v>190001</v>
      </c>
      <c r="C825" s="12" t="e">
        <f>INDEX(基础数据!$A$2:$A$1024,MATCH(转配商关联商!X825,基础数据!$D$2:$D$1024,0))</f>
        <v>#N/A</v>
      </c>
      <c r="E825" s="12" t="e">
        <f>INDEX(基础数据!$B$2:$B$1024,MATCH(转配商关联商!X825,基础数据!$D$2:$D$1024,0))</f>
        <v>#N/A</v>
      </c>
      <c r="G825" s="12" t="e">
        <f>INDEX([1]流向迭代数据!E$2:E$65536,MATCH(转配商关联商!W825,[1]流向迭代数据!M$2:M$65536,0))</f>
        <v>#N/A</v>
      </c>
      <c r="N825" s="12" t="e">
        <f>INDEX([1]流向迭代数据!J$2:J$65536,MATCH(L825,[1]流向迭代数据!H$2:H$65536,0))</f>
        <v>#N/A</v>
      </c>
      <c r="P825" s="14"/>
      <c r="T825" s="12" t="e">
        <f>INDEX([1]流向迭代数据!K$2:K$65536,MATCH(L825,[1]流向迭代数据!H$2:H$65536,0))</f>
        <v>#N/A</v>
      </c>
      <c r="W825" s="12" t="str">
        <f t="shared" si="25"/>
        <v/>
      </c>
    </row>
    <row r="826" spans="1:23" x14ac:dyDescent="0.15">
      <c r="A826" s="14" t="str">
        <f t="shared" si="24"/>
        <v>190001</v>
      </c>
      <c r="C826" s="12" t="e">
        <f>INDEX(基础数据!$A$2:$A$1024,MATCH(转配商关联商!X826,基础数据!$D$2:$D$1024,0))</f>
        <v>#N/A</v>
      </c>
      <c r="E826" s="12" t="e">
        <f>INDEX(基础数据!$B$2:$B$1024,MATCH(转配商关联商!X826,基础数据!$D$2:$D$1024,0))</f>
        <v>#N/A</v>
      </c>
      <c r="G826" s="12" t="e">
        <f>INDEX([1]流向迭代数据!E$2:E$65536,MATCH(转配商关联商!W826,[1]流向迭代数据!M$2:M$65536,0))</f>
        <v>#N/A</v>
      </c>
      <c r="N826" s="12" t="e">
        <f>INDEX([1]流向迭代数据!J$2:J$65536,MATCH(L826,[1]流向迭代数据!H$2:H$65536,0))</f>
        <v>#N/A</v>
      </c>
      <c r="P826" s="14"/>
      <c r="T826" s="12" t="e">
        <f>INDEX([1]流向迭代数据!K$2:K$65536,MATCH(L826,[1]流向迭代数据!H$2:H$65536,0))</f>
        <v>#N/A</v>
      </c>
      <c r="W826" s="12" t="str">
        <f t="shared" si="25"/>
        <v/>
      </c>
    </row>
    <row r="827" spans="1:23" x14ac:dyDescent="0.15">
      <c r="A827" s="14" t="str">
        <f t="shared" si="24"/>
        <v>190001</v>
      </c>
      <c r="C827" s="12" t="e">
        <f>INDEX(基础数据!$A$2:$A$1024,MATCH(转配商关联商!X827,基础数据!$D$2:$D$1024,0))</f>
        <v>#N/A</v>
      </c>
      <c r="E827" s="12" t="e">
        <f>INDEX(基础数据!$B$2:$B$1024,MATCH(转配商关联商!X827,基础数据!$D$2:$D$1024,0))</f>
        <v>#N/A</v>
      </c>
      <c r="G827" s="12" t="e">
        <f>INDEX([1]流向迭代数据!E$2:E$65536,MATCH(转配商关联商!W827,[1]流向迭代数据!M$2:M$65536,0))</f>
        <v>#N/A</v>
      </c>
      <c r="N827" s="12" t="e">
        <f>INDEX([1]流向迭代数据!J$2:J$65536,MATCH(L827,[1]流向迭代数据!H$2:H$65536,0))</f>
        <v>#N/A</v>
      </c>
      <c r="P827" s="14"/>
      <c r="T827" s="12" t="e">
        <f>INDEX([1]流向迭代数据!K$2:K$65536,MATCH(L827,[1]流向迭代数据!H$2:H$65536,0))</f>
        <v>#N/A</v>
      </c>
      <c r="W827" s="12" t="str">
        <f t="shared" si="25"/>
        <v/>
      </c>
    </row>
    <row r="828" spans="1:23" x14ac:dyDescent="0.15">
      <c r="A828" s="14" t="str">
        <f t="shared" si="24"/>
        <v>190001</v>
      </c>
      <c r="C828" s="12" t="e">
        <f>INDEX(基础数据!$A$2:$A$1024,MATCH(转配商关联商!X828,基础数据!$D$2:$D$1024,0))</f>
        <v>#N/A</v>
      </c>
      <c r="E828" s="12" t="e">
        <f>INDEX(基础数据!$B$2:$B$1024,MATCH(转配商关联商!X828,基础数据!$D$2:$D$1024,0))</f>
        <v>#N/A</v>
      </c>
      <c r="G828" s="12" t="e">
        <f>INDEX([1]流向迭代数据!E$2:E$65536,MATCH(转配商关联商!W828,[1]流向迭代数据!M$2:M$65536,0))</f>
        <v>#N/A</v>
      </c>
      <c r="N828" s="12" t="e">
        <f>INDEX([1]流向迭代数据!J$2:J$65536,MATCH(L828,[1]流向迭代数据!H$2:H$65536,0))</f>
        <v>#N/A</v>
      </c>
      <c r="P828" s="14"/>
      <c r="T828" s="12" t="e">
        <f>INDEX([1]流向迭代数据!K$2:K$65536,MATCH(L828,[1]流向迭代数据!H$2:H$65536,0))</f>
        <v>#N/A</v>
      </c>
      <c r="W828" s="12" t="str">
        <f t="shared" si="25"/>
        <v/>
      </c>
    </row>
    <row r="829" spans="1:23" x14ac:dyDescent="0.15">
      <c r="A829" s="14" t="str">
        <f t="shared" si="24"/>
        <v>190001</v>
      </c>
      <c r="C829" s="12" t="e">
        <f>INDEX(基础数据!$A$2:$A$1024,MATCH(转配商关联商!X829,基础数据!$D$2:$D$1024,0))</f>
        <v>#N/A</v>
      </c>
      <c r="E829" s="12" t="e">
        <f>INDEX(基础数据!$B$2:$B$1024,MATCH(转配商关联商!X829,基础数据!$D$2:$D$1024,0))</f>
        <v>#N/A</v>
      </c>
      <c r="G829" s="12" t="e">
        <f>INDEX([1]流向迭代数据!E$2:E$65536,MATCH(转配商关联商!W829,[1]流向迭代数据!M$2:M$65536,0))</f>
        <v>#N/A</v>
      </c>
      <c r="N829" s="12" t="e">
        <f>INDEX([1]流向迭代数据!J$2:J$65536,MATCH(L829,[1]流向迭代数据!H$2:H$65536,0))</f>
        <v>#N/A</v>
      </c>
      <c r="P829" s="14"/>
      <c r="T829" s="12" t="e">
        <f>INDEX([1]流向迭代数据!K$2:K$65536,MATCH(L829,[1]流向迭代数据!H$2:H$65536,0))</f>
        <v>#N/A</v>
      </c>
      <c r="W829" s="12" t="str">
        <f t="shared" si="25"/>
        <v/>
      </c>
    </row>
    <row r="830" spans="1:23" x14ac:dyDescent="0.15">
      <c r="A830" s="14" t="str">
        <f t="shared" si="24"/>
        <v>190001</v>
      </c>
      <c r="C830" s="12" t="e">
        <f>INDEX(基础数据!$A$2:$A$1024,MATCH(转配商关联商!X830,基础数据!$D$2:$D$1024,0))</f>
        <v>#N/A</v>
      </c>
      <c r="E830" s="12" t="e">
        <f>INDEX(基础数据!$B$2:$B$1024,MATCH(转配商关联商!X830,基础数据!$D$2:$D$1024,0))</f>
        <v>#N/A</v>
      </c>
      <c r="G830" s="12" t="e">
        <f>INDEX([1]流向迭代数据!E$2:E$65536,MATCH(转配商关联商!W830,[1]流向迭代数据!M$2:M$65536,0))</f>
        <v>#N/A</v>
      </c>
      <c r="N830" s="12" t="e">
        <f>INDEX([1]流向迭代数据!J$2:J$65536,MATCH(L830,[1]流向迭代数据!H$2:H$65536,0))</f>
        <v>#N/A</v>
      </c>
      <c r="P830" s="14"/>
      <c r="T830" s="12" t="e">
        <f>INDEX([1]流向迭代数据!K$2:K$65536,MATCH(L830,[1]流向迭代数据!H$2:H$65536,0))</f>
        <v>#N/A</v>
      </c>
      <c r="W830" s="12" t="str">
        <f t="shared" si="25"/>
        <v/>
      </c>
    </row>
    <row r="831" spans="1:23" x14ac:dyDescent="0.15">
      <c r="A831" s="14" t="str">
        <f t="shared" si="24"/>
        <v>190001</v>
      </c>
      <c r="C831" s="12" t="e">
        <f>INDEX(基础数据!$A$2:$A$1024,MATCH(转配商关联商!X831,基础数据!$D$2:$D$1024,0))</f>
        <v>#N/A</v>
      </c>
      <c r="E831" s="12" t="e">
        <f>INDEX(基础数据!$B$2:$B$1024,MATCH(转配商关联商!X831,基础数据!$D$2:$D$1024,0))</f>
        <v>#N/A</v>
      </c>
      <c r="G831" s="12" t="e">
        <f>INDEX([1]流向迭代数据!E$2:E$65536,MATCH(转配商关联商!W831,[1]流向迭代数据!M$2:M$65536,0))</f>
        <v>#N/A</v>
      </c>
      <c r="N831" s="12" t="e">
        <f>INDEX([1]流向迭代数据!J$2:J$65536,MATCH(L831,[1]流向迭代数据!H$2:H$65536,0))</f>
        <v>#N/A</v>
      </c>
      <c r="P831" s="14"/>
      <c r="T831" s="12" t="e">
        <f>INDEX([1]流向迭代数据!K$2:K$65536,MATCH(L831,[1]流向迭代数据!H$2:H$65536,0))</f>
        <v>#N/A</v>
      </c>
      <c r="W831" s="12" t="str">
        <f t="shared" si="25"/>
        <v/>
      </c>
    </row>
    <row r="832" spans="1:23" x14ac:dyDescent="0.15">
      <c r="A832" s="14" t="str">
        <f t="shared" si="24"/>
        <v>190001</v>
      </c>
      <c r="C832" s="12" t="e">
        <f>INDEX(基础数据!$A$2:$A$1024,MATCH(转配商关联商!X832,基础数据!$D$2:$D$1024,0))</f>
        <v>#N/A</v>
      </c>
      <c r="E832" s="12" t="e">
        <f>INDEX(基础数据!$B$2:$B$1024,MATCH(转配商关联商!X832,基础数据!$D$2:$D$1024,0))</f>
        <v>#N/A</v>
      </c>
      <c r="G832" s="12" t="e">
        <f>INDEX([1]流向迭代数据!E$2:E$65536,MATCH(转配商关联商!W832,[1]流向迭代数据!M$2:M$65536,0))</f>
        <v>#N/A</v>
      </c>
      <c r="N832" s="12" t="e">
        <f>INDEX([1]流向迭代数据!J$2:J$65536,MATCH(L832,[1]流向迭代数据!H$2:H$65536,0))</f>
        <v>#N/A</v>
      </c>
      <c r="P832" s="14"/>
      <c r="T832" s="12" t="e">
        <f>INDEX([1]流向迭代数据!K$2:K$65536,MATCH(L832,[1]流向迭代数据!H$2:H$65536,0))</f>
        <v>#N/A</v>
      </c>
      <c r="W832" s="12" t="str">
        <f t="shared" si="25"/>
        <v/>
      </c>
    </row>
    <row r="833" spans="1:23" x14ac:dyDescent="0.15">
      <c r="A833" s="14" t="str">
        <f t="shared" si="24"/>
        <v>190001</v>
      </c>
      <c r="C833" s="12" t="e">
        <f>INDEX(基础数据!$A$2:$A$1024,MATCH(转配商关联商!X833,基础数据!$D$2:$D$1024,0))</f>
        <v>#N/A</v>
      </c>
      <c r="E833" s="12" t="e">
        <f>INDEX(基础数据!$B$2:$B$1024,MATCH(转配商关联商!X833,基础数据!$D$2:$D$1024,0))</f>
        <v>#N/A</v>
      </c>
      <c r="G833" s="12" t="e">
        <f>INDEX([1]流向迭代数据!E$2:E$65536,MATCH(转配商关联商!W833,[1]流向迭代数据!M$2:M$65536,0))</f>
        <v>#N/A</v>
      </c>
      <c r="N833" s="12" t="e">
        <f>INDEX([1]流向迭代数据!J$2:J$65536,MATCH(L833,[1]流向迭代数据!H$2:H$65536,0))</f>
        <v>#N/A</v>
      </c>
      <c r="P833" s="14"/>
      <c r="T833" s="12" t="e">
        <f>INDEX([1]流向迭代数据!K$2:K$65536,MATCH(L833,[1]流向迭代数据!H$2:H$65536,0))</f>
        <v>#N/A</v>
      </c>
      <c r="W833" s="12" t="str">
        <f t="shared" si="25"/>
        <v/>
      </c>
    </row>
    <row r="834" spans="1:23" x14ac:dyDescent="0.15">
      <c r="A834" s="14" t="str">
        <f t="shared" si="24"/>
        <v>190001</v>
      </c>
      <c r="C834" s="12" t="e">
        <f>INDEX(基础数据!$A$2:$A$1024,MATCH(转配商关联商!X834,基础数据!$D$2:$D$1024,0))</f>
        <v>#N/A</v>
      </c>
      <c r="E834" s="12" t="e">
        <f>INDEX(基础数据!$B$2:$B$1024,MATCH(转配商关联商!X834,基础数据!$D$2:$D$1024,0))</f>
        <v>#N/A</v>
      </c>
      <c r="G834" s="12" t="e">
        <f>INDEX([1]流向迭代数据!E$2:E$65536,MATCH(转配商关联商!W834,[1]流向迭代数据!M$2:M$65536,0))</f>
        <v>#N/A</v>
      </c>
      <c r="N834" s="12" t="e">
        <f>INDEX([1]流向迭代数据!J$2:J$65536,MATCH(L834,[1]流向迭代数据!H$2:H$65536,0))</f>
        <v>#N/A</v>
      </c>
      <c r="P834" s="14"/>
      <c r="T834" s="12" t="e">
        <f>INDEX([1]流向迭代数据!K$2:K$65536,MATCH(L834,[1]流向迭代数据!H$2:H$65536,0))</f>
        <v>#N/A</v>
      </c>
      <c r="W834" s="12" t="str">
        <f t="shared" si="25"/>
        <v/>
      </c>
    </row>
    <row r="835" spans="1:23" x14ac:dyDescent="0.15">
      <c r="A835" s="14" t="str">
        <f t="shared" ref="A835:A898" si="26">IF(MONTH(P835)&lt;10,YEAR(P835)&amp;"0"&amp;MONTH(P835),YEAR(P835)&amp;MONTH(P835))</f>
        <v>190001</v>
      </c>
      <c r="C835" s="12" t="e">
        <f>INDEX(基础数据!$A$2:$A$1024,MATCH(转配商关联商!X835,基础数据!$D$2:$D$1024,0))</f>
        <v>#N/A</v>
      </c>
      <c r="E835" s="12" t="e">
        <f>INDEX(基础数据!$B$2:$B$1024,MATCH(转配商关联商!X835,基础数据!$D$2:$D$1024,0))</f>
        <v>#N/A</v>
      </c>
      <c r="G835" s="12" t="e">
        <f>INDEX([1]流向迭代数据!E$2:E$65536,MATCH(转配商关联商!W835,[1]流向迭代数据!M$2:M$65536,0))</f>
        <v>#N/A</v>
      </c>
      <c r="N835" s="12" t="e">
        <f>INDEX([1]流向迭代数据!J$2:J$65536,MATCH(L835,[1]流向迭代数据!H$2:H$65536,0))</f>
        <v>#N/A</v>
      </c>
      <c r="P835" s="14"/>
      <c r="T835" s="12" t="e">
        <f>INDEX([1]流向迭代数据!K$2:K$65536,MATCH(L835,[1]流向迭代数据!H$2:H$65536,0))</f>
        <v>#N/A</v>
      </c>
      <c r="W835" s="12" t="str">
        <f t="shared" ref="W835:W898" si="27">H835&amp;I835</f>
        <v/>
      </c>
    </row>
    <row r="836" spans="1:23" x14ac:dyDescent="0.15">
      <c r="A836" s="14" t="str">
        <f t="shared" si="26"/>
        <v>190001</v>
      </c>
      <c r="C836" s="12" t="e">
        <f>INDEX(基础数据!$A$2:$A$1024,MATCH(转配商关联商!X836,基础数据!$D$2:$D$1024,0))</f>
        <v>#N/A</v>
      </c>
      <c r="E836" s="12" t="e">
        <f>INDEX(基础数据!$B$2:$B$1024,MATCH(转配商关联商!X836,基础数据!$D$2:$D$1024,0))</f>
        <v>#N/A</v>
      </c>
      <c r="G836" s="12" t="e">
        <f>INDEX([1]流向迭代数据!E$2:E$65536,MATCH(转配商关联商!W836,[1]流向迭代数据!M$2:M$65536,0))</f>
        <v>#N/A</v>
      </c>
      <c r="N836" s="12" t="e">
        <f>INDEX([1]流向迭代数据!J$2:J$65536,MATCH(L836,[1]流向迭代数据!H$2:H$65536,0))</f>
        <v>#N/A</v>
      </c>
      <c r="P836" s="14"/>
      <c r="T836" s="12" t="e">
        <f>INDEX([1]流向迭代数据!K$2:K$65536,MATCH(L836,[1]流向迭代数据!H$2:H$65536,0))</f>
        <v>#N/A</v>
      </c>
      <c r="W836" s="12" t="str">
        <f t="shared" si="27"/>
        <v/>
      </c>
    </row>
    <row r="837" spans="1:23" x14ac:dyDescent="0.15">
      <c r="A837" s="14" t="str">
        <f t="shared" si="26"/>
        <v>190001</v>
      </c>
      <c r="C837" s="12" t="e">
        <f>INDEX(基础数据!$A$2:$A$1024,MATCH(转配商关联商!X837,基础数据!$D$2:$D$1024,0))</f>
        <v>#N/A</v>
      </c>
      <c r="E837" s="12" t="e">
        <f>INDEX(基础数据!$B$2:$B$1024,MATCH(转配商关联商!X837,基础数据!$D$2:$D$1024,0))</f>
        <v>#N/A</v>
      </c>
      <c r="G837" s="12" t="e">
        <f>INDEX([1]流向迭代数据!E$2:E$65536,MATCH(转配商关联商!W837,[1]流向迭代数据!M$2:M$65536,0))</f>
        <v>#N/A</v>
      </c>
      <c r="N837" s="12" t="e">
        <f>INDEX([1]流向迭代数据!J$2:J$65536,MATCH(L837,[1]流向迭代数据!H$2:H$65536,0))</f>
        <v>#N/A</v>
      </c>
      <c r="P837" s="14"/>
      <c r="T837" s="12" t="e">
        <f>INDEX([1]流向迭代数据!K$2:K$65536,MATCH(L837,[1]流向迭代数据!H$2:H$65536,0))</f>
        <v>#N/A</v>
      </c>
      <c r="W837" s="12" t="str">
        <f t="shared" si="27"/>
        <v/>
      </c>
    </row>
    <row r="838" spans="1:23" x14ac:dyDescent="0.15">
      <c r="A838" s="14" t="str">
        <f t="shared" si="26"/>
        <v>190001</v>
      </c>
      <c r="C838" s="12" t="e">
        <f>INDEX(基础数据!$A$2:$A$1024,MATCH(转配商关联商!X838,基础数据!$D$2:$D$1024,0))</f>
        <v>#N/A</v>
      </c>
      <c r="E838" s="12" t="e">
        <f>INDEX(基础数据!$B$2:$B$1024,MATCH(转配商关联商!X838,基础数据!$D$2:$D$1024,0))</f>
        <v>#N/A</v>
      </c>
      <c r="G838" s="12" t="e">
        <f>INDEX([1]流向迭代数据!E$2:E$65536,MATCH(转配商关联商!W838,[1]流向迭代数据!M$2:M$65536,0))</f>
        <v>#N/A</v>
      </c>
      <c r="N838" s="12" t="e">
        <f>INDEX([1]流向迭代数据!J$2:J$65536,MATCH(L838,[1]流向迭代数据!H$2:H$65536,0))</f>
        <v>#N/A</v>
      </c>
      <c r="P838" s="14"/>
      <c r="T838" s="12" t="e">
        <f>INDEX([1]流向迭代数据!K$2:K$65536,MATCH(L838,[1]流向迭代数据!H$2:H$65536,0))</f>
        <v>#N/A</v>
      </c>
      <c r="W838" s="12" t="str">
        <f t="shared" si="27"/>
        <v/>
      </c>
    </row>
    <row r="839" spans="1:23" x14ac:dyDescent="0.15">
      <c r="A839" s="14" t="str">
        <f t="shared" si="26"/>
        <v>190001</v>
      </c>
      <c r="C839" s="12" t="e">
        <f>INDEX(基础数据!$A$2:$A$1024,MATCH(转配商关联商!X839,基础数据!$D$2:$D$1024,0))</f>
        <v>#N/A</v>
      </c>
      <c r="E839" s="12" t="e">
        <f>INDEX(基础数据!$B$2:$B$1024,MATCH(转配商关联商!X839,基础数据!$D$2:$D$1024,0))</f>
        <v>#N/A</v>
      </c>
      <c r="G839" s="12" t="e">
        <f>INDEX([1]流向迭代数据!E$2:E$65536,MATCH(转配商关联商!W839,[1]流向迭代数据!M$2:M$65536,0))</f>
        <v>#N/A</v>
      </c>
      <c r="N839" s="12" t="e">
        <f>INDEX([1]流向迭代数据!J$2:J$65536,MATCH(L839,[1]流向迭代数据!H$2:H$65536,0))</f>
        <v>#N/A</v>
      </c>
      <c r="P839" s="14"/>
      <c r="T839" s="12" t="e">
        <f>INDEX([1]流向迭代数据!K$2:K$65536,MATCH(L839,[1]流向迭代数据!H$2:H$65536,0))</f>
        <v>#N/A</v>
      </c>
      <c r="W839" s="12" t="str">
        <f t="shared" si="27"/>
        <v/>
      </c>
    </row>
    <row r="840" spans="1:23" x14ac:dyDescent="0.15">
      <c r="A840" s="14" t="str">
        <f t="shared" si="26"/>
        <v>190001</v>
      </c>
      <c r="C840" s="12" t="e">
        <f>INDEX(基础数据!$A$2:$A$1024,MATCH(转配商关联商!X840,基础数据!$D$2:$D$1024,0))</f>
        <v>#N/A</v>
      </c>
      <c r="E840" s="12" t="e">
        <f>INDEX(基础数据!$B$2:$B$1024,MATCH(转配商关联商!X840,基础数据!$D$2:$D$1024,0))</f>
        <v>#N/A</v>
      </c>
      <c r="G840" s="12" t="e">
        <f>INDEX([1]流向迭代数据!E$2:E$65536,MATCH(转配商关联商!W840,[1]流向迭代数据!M$2:M$65536,0))</f>
        <v>#N/A</v>
      </c>
      <c r="N840" s="12" t="e">
        <f>INDEX([1]流向迭代数据!J$2:J$65536,MATCH(L840,[1]流向迭代数据!H$2:H$65536,0))</f>
        <v>#N/A</v>
      </c>
      <c r="P840" s="14"/>
      <c r="T840" s="12" t="e">
        <f>INDEX([1]流向迭代数据!K$2:K$65536,MATCH(L840,[1]流向迭代数据!H$2:H$65536,0))</f>
        <v>#N/A</v>
      </c>
      <c r="W840" s="12" t="str">
        <f t="shared" si="27"/>
        <v/>
      </c>
    </row>
    <row r="841" spans="1:23" x14ac:dyDescent="0.15">
      <c r="A841" s="14" t="str">
        <f t="shared" si="26"/>
        <v>190001</v>
      </c>
      <c r="C841" s="12" t="e">
        <f>INDEX(基础数据!$A$2:$A$1024,MATCH(转配商关联商!X841,基础数据!$D$2:$D$1024,0))</f>
        <v>#N/A</v>
      </c>
      <c r="E841" s="12" t="e">
        <f>INDEX(基础数据!$B$2:$B$1024,MATCH(转配商关联商!X841,基础数据!$D$2:$D$1024,0))</f>
        <v>#N/A</v>
      </c>
      <c r="G841" s="12" t="e">
        <f>INDEX([1]流向迭代数据!E$2:E$65536,MATCH(转配商关联商!W841,[1]流向迭代数据!M$2:M$65536,0))</f>
        <v>#N/A</v>
      </c>
      <c r="N841" s="12" t="e">
        <f>INDEX([1]流向迭代数据!J$2:J$65536,MATCH(L841,[1]流向迭代数据!H$2:H$65536,0))</f>
        <v>#N/A</v>
      </c>
      <c r="P841" s="14"/>
      <c r="T841" s="12" t="e">
        <f>INDEX([1]流向迭代数据!K$2:K$65536,MATCH(L841,[1]流向迭代数据!H$2:H$65536,0))</f>
        <v>#N/A</v>
      </c>
      <c r="W841" s="12" t="str">
        <f t="shared" si="27"/>
        <v/>
      </c>
    </row>
    <row r="842" spans="1:23" x14ac:dyDescent="0.15">
      <c r="A842" s="14" t="str">
        <f t="shared" si="26"/>
        <v>190001</v>
      </c>
      <c r="C842" s="12" t="e">
        <f>INDEX(基础数据!$A$2:$A$1024,MATCH(转配商关联商!X842,基础数据!$D$2:$D$1024,0))</f>
        <v>#N/A</v>
      </c>
      <c r="E842" s="12" t="e">
        <f>INDEX(基础数据!$B$2:$B$1024,MATCH(转配商关联商!X842,基础数据!$D$2:$D$1024,0))</f>
        <v>#N/A</v>
      </c>
      <c r="G842" s="12" t="e">
        <f>INDEX([1]流向迭代数据!E$2:E$65536,MATCH(转配商关联商!W842,[1]流向迭代数据!M$2:M$65536,0))</f>
        <v>#N/A</v>
      </c>
      <c r="N842" s="12" t="e">
        <f>INDEX([1]流向迭代数据!J$2:J$65536,MATCH(L842,[1]流向迭代数据!H$2:H$65536,0))</f>
        <v>#N/A</v>
      </c>
      <c r="P842" s="14"/>
      <c r="T842" s="12" t="e">
        <f>INDEX([1]流向迭代数据!K$2:K$65536,MATCH(L842,[1]流向迭代数据!H$2:H$65536,0))</f>
        <v>#N/A</v>
      </c>
      <c r="W842" s="12" t="str">
        <f t="shared" si="27"/>
        <v/>
      </c>
    </row>
    <row r="843" spans="1:23" x14ac:dyDescent="0.15">
      <c r="A843" s="14" t="str">
        <f t="shared" si="26"/>
        <v>190001</v>
      </c>
      <c r="C843" s="12" t="e">
        <f>INDEX(基础数据!$A$2:$A$1024,MATCH(转配商关联商!X843,基础数据!$D$2:$D$1024,0))</f>
        <v>#N/A</v>
      </c>
      <c r="E843" s="12" t="e">
        <f>INDEX(基础数据!$B$2:$B$1024,MATCH(转配商关联商!X843,基础数据!$D$2:$D$1024,0))</f>
        <v>#N/A</v>
      </c>
      <c r="G843" s="12" t="e">
        <f>INDEX([1]流向迭代数据!E$2:E$65536,MATCH(转配商关联商!W843,[1]流向迭代数据!M$2:M$65536,0))</f>
        <v>#N/A</v>
      </c>
      <c r="N843" s="12" t="e">
        <f>INDEX([1]流向迭代数据!J$2:J$65536,MATCH(L843,[1]流向迭代数据!H$2:H$65536,0))</f>
        <v>#N/A</v>
      </c>
      <c r="P843" s="14"/>
      <c r="T843" s="12" t="e">
        <f>INDEX([1]流向迭代数据!K$2:K$65536,MATCH(L843,[1]流向迭代数据!H$2:H$65536,0))</f>
        <v>#N/A</v>
      </c>
      <c r="W843" s="12" t="str">
        <f t="shared" si="27"/>
        <v/>
      </c>
    </row>
    <row r="844" spans="1:23" x14ac:dyDescent="0.15">
      <c r="A844" s="14" t="str">
        <f t="shared" si="26"/>
        <v>190001</v>
      </c>
      <c r="C844" s="12" t="e">
        <f>INDEX(基础数据!$A$2:$A$1024,MATCH(转配商关联商!X844,基础数据!$D$2:$D$1024,0))</f>
        <v>#N/A</v>
      </c>
      <c r="E844" s="12" t="e">
        <f>INDEX(基础数据!$B$2:$B$1024,MATCH(转配商关联商!X844,基础数据!$D$2:$D$1024,0))</f>
        <v>#N/A</v>
      </c>
      <c r="G844" s="12" t="e">
        <f>INDEX([1]流向迭代数据!E$2:E$65536,MATCH(转配商关联商!W844,[1]流向迭代数据!M$2:M$65536,0))</f>
        <v>#N/A</v>
      </c>
      <c r="N844" s="12" t="e">
        <f>INDEX([1]流向迭代数据!J$2:J$65536,MATCH(L844,[1]流向迭代数据!H$2:H$65536,0))</f>
        <v>#N/A</v>
      </c>
      <c r="P844" s="14"/>
      <c r="T844" s="12" t="e">
        <f>INDEX([1]流向迭代数据!K$2:K$65536,MATCH(L844,[1]流向迭代数据!H$2:H$65536,0))</f>
        <v>#N/A</v>
      </c>
      <c r="W844" s="12" t="str">
        <f t="shared" si="27"/>
        <v/>
      </c>
    </row>
    <row r="845" spans="1:23" x14ac:dyDescent="0.15">
      <c r="A845" s="14" t="str">
        <f t="shared" si="26"/>
        <v>190001</v>
      </c>
      <c r="C845" s="12" t="e">
        <f>INDEX(基础数据!$A$2:$A$1024,MATCH(转配商关联商!X845,基础数据!$D$2:$D$1024,0))</f>
        <v>#N/A</v>
      </c>
      <c r="E845" s="12" t="e">
        <f>INDEX(基础数据!$B$2:$B$1024,MATCH(转配商关联商!X845,基础数据!$D$2:$D$1024,0))</f>
        <v>#N/A</v>
      </c>
      <c r="G845" s="12" t="e">
        <f>INDEX([1]流向迭代数据!E$2:E$65536,MATCH(转配商关联商!W845,[1]流向迭代数据!M$2:M$65536,0))</f>
        <v>#N/A</v>
      </c>
      <c r="N845" s="12" t="e">
        <f>INDEX([1]流向迭代数据!J$2:J$65536,MATCH(L845,[1]流向迭代数据!H$2:H$65536,0))</f>
        <v>#N/A</v>
      </c>
      <c r="P845" s="14"/>
      <c r="T845" s="12" t="e">
        <f>INDEX([1]流向迭代数据!K$2:K$65536,MATCH(L845,[1]流向迭代数据!H$2:H$65536,0))</f>
        <v>#N/A</v>
      </c>
      <c r="W845" s="12" t="str">
        <f t="shared" si="27"/>
        <v/>
      </c>
    </row>
    <row r="846" spans="1:23" x14ac:dyDescent="0.15">
      <c r="A846" s="14" t="str">
        <f t="shared" si="26"/>
        <v>190001</v>
      </c>
      <c r="C846" s="12" t="e">
        <f>INDEX(基础数据!$A$2:$A$1024,MATCH(转配商关联商!X846,基础数据!$D$2:$D$1024,0))</f>
        <v>#N/A</v>
      </c>
      <c r="E846" s="12" t="e">
        <f>INDEX(基础数据!$B$2:$B$1024,MATCH(转配商关联商!X846,基础数据!$D$2:$D$1024,0))</f>
        <v>#N/A</v>
      </c>
      <c r="G846" s="12" t="e">
        <f>INDEX([1]流向迭代数据!E$2:E$65536,MATCH(转配商关联商!W846,[1]流向迭代数据!M$2:M$65536,0))</f>
        <v>#N/A</v>
      </c>
      <c r="N846" s="12" t="e">
        <f>INDEX([1]流向迭代数据!J$2:J$65536,MATCH(L846,[1]流向迭代数据!H$2:H$65536,0))</f>
        <v>#N/A</v>
      </c>
      <c r="P846" s="14"/>
      <c r="T846" s="12" t="e">
        <f>INDEX([1]流向迭代数据!K$2:K$65536,MATCH(L846,[1]流向迭代数据!H$2:H$65536,0))</f>
        <v>#N/A</v>
      </c>
      <c r="W846" s="12" t="str">
        <f t="shared" si="27"/>
        <v/>
      </c>
    </row>
    <row r="847" spans="1:23" x14ac:dyDescent="0.15">
      <c r="A847" s="14" t="str">
        <f t="shared" si="26"/>
        <v>190001</v>
      </c>
      <c r="C847" s="12" t="e">
        <f>INDEX(基础数据!$A$2:$A$1024,MATCH(转配商关联商!X847,基础数据!$D$2:$D$1024,0))</f>
        <v>#N/A</v>
      </c>
      <c r="E847" s="12" t="e">
        <f>INDEX(基础数据!$B$2:$B$1024,MATCH(转配商关联商!X847,基础数据!$D$2:$D$1024,0))</f>
        <v>#N/A</v>
      </c>
      <c r="G847" s="12" t="e">
        <f>INDEX([1]流向迭代数据!E$2:E$65536,MATCH(转配商关联商!W847,[1]流向迭代数据!M$2:M$65536,0))</f>
        <v>#N/A</v>
      </c>
      <c r="N847" s="12" t="e">
        <f>INDEX([1]流向迭代数据!J$2:J$65536,MATCH(L847,[1]流向迭代数据!H$2:H$65536,0))</f>
        <v>#N/A</v>
      </c>
      <c r="P847" s="14"/>
      <c r="T847" s="12" t="e">
        <f>INDEX([1]流向迭代数据!K$2:K$65536,MATCH(L847,[1]流向迭代数据!H$2:H$65536,0))</f>
        <v>#N/A</v>
      </c>
      <c r="W847" s="12" t="str">
        <f t="shared" si="27"/>
        <v/>
      </c>
    </row>
    <row r="848" spans="1:23" x14ac:dyDescent="0.15">
      <c r="A848" s="14" t="str">
        <f t="shared" si="26"/>
        <v>190001</v>
      </c>
      <c r="C848" s="12" t="e">
        <f>INDEX(基础数据!$A$2:$A$1024,MATCH(转配商关联商!X848,基础数据!$D$2:$D$1024,0))</f>
        <v>#N/A</v>
      </c>
      <c r="E848" s="12" t="e">
        <f>INDEX(基础数据!$B$2:$B$1024,MATCH(转配商关联商!X848,基础数据!$D$2:$D$1024,0))</f>
        <v>#N/A</v>
      </c>
      <c r="G848" s="12" t="e">
        <f>INDEX([1]流向迭代数据!E$2:E$65536,MATCH(转配商关联商!W848,[1]流向迭代数据!M$2:M$65536,0))</f>
        <v>#N/A</v>
      </c>
      <c r="N848" s="12" t="e">
        <f>INDEX([1]流向迭代数据!J$2:J$65536,MATCH(L848,[1]流向迭代数据!H$2:H$65536,0))</f>
        <v>#N/A</v>
      </c>
      <c r="P848" s="14"/>
      <c r="T848" s="12" t="e">
        <f>INDEX([1]流向迭代数据!K$2:K$65536,MATCH(L848,[1]流向迭代数据!H$2:H$65536,0))</f>
        <v>#N/A</v>
      </c>
      <c r="W848" s="12" t="str">
        <f t="shared" si="27"/>
        <v/>
      </c>
    </row>
    <row r="849" spans="1:23" x14ac:dyDescent="0.15">
      <c r="A849" s="14" t="str">
        <f t="shared" si="26"/>
        <v>190001</v>
      </c>
      <c r="C849" s="12" t="e">
        <f>INDEX(基础数据!$A$2:$A$1024,MATCH(转配商关联商!X849,基础数据!$D$2:$D$1024,0))</f>
        <v>#N/A</v>
      </c>
      <c r="E849" s="12" t="e">
        <f>INDEX(基础数据!$B$2:$B$1024,MATCH(转配商关联商!X849,基础数据!$D$2:$D$1024,0))</f>
        <v>#N/A</v>
      </c>
      <c r="G849" s="12" t="e">
        <f>INDEX([1]流向迭代数据!E$2:E$65536,MATCH(转配商关联商!W849,[1]流向迭代数据!M$2:M$65536,0))</f>
        <v>#N/A</v>
      </c>
      <c r="N849" s="12" t="e">
        <f>INDEX([1]流向迭代数据!J$2:J$65536,MATCH(L849,[1]流向迭代数据!H$2:H$65536,0))</f>
        <v>#N/A</v>
      </c>
      <c r="P849" s="14"/>
      <c r="T849" s="12" t="e">
        <f>INDEX([1]流向迭代数据!K$2:K$65536,MATCH(L849,[1]流向迭代数据!H$2:H$65536,0))</f>
        <v>#N/A</v>
      </c>
      <c r="W849" s="12" t="str">
        <f t="shared" si="27"/>
        <v/>
      </c>
    </row>
    <row r="850" spans="1:23" x14ac:dyDescent="0.15">
      <c r="A850" s="14" t="str">
        <f t="shared" si="26"/>
        <v>190001</v>
      </c>
      <c r="C850" s="12" t="e">
        <f>INDEX(基础数据!$A$2:$A$1024,MATCH(转配商关联商!X850,基础数据!$D$2:$D$1024,0))</f>
        <v>#N/A</v>
      </c>
      <c r="E850" s="12" t="e">
        <f>INDEX(基础数据!$B$2:$B$1024,MATCH(转配商关联商!X850,基础数据!$D$2:$D$1024,0))</f>
        <v>#N/A</v>
      </c>
      <c r="G850" s="12" t="e">
        <f>INDEX([1]流向迭代数据!E$2:E$65536,MATCH(转配商关联商!W850,[1]流向迭代数据!M$2:M$65536,0))</f>
        <v>#N/A</v>
      </c>
      <c r="N850" s="12" t="e">
        <f>INDEX([1]流向迭代数据!J$2:J$65536,MATCH(L850,[1]流向迭代数据!H$2:H$65536,0))</f>
        <v>#N/A</v>
      </c>
      <c r="P850" s="14"/>
      <c r="T850" s="12" t="e">
        <f>INDEX([1]流向迭代数据!K$2:K$65536,MATCH(L850,[1]流向迭代数据!H$2:H$65536,0))</f>
        <v>#N/A</v>
      </c>
      <c r="W850" s="12" t="str">
        <f t="shared" si="27"/>
        <v/>
      </c>
    </row>
    <row r="851" spans="1:23" x14ac:dyDescent="0.15">
      <c r="A851" s="14" t="str">
        <f t="shared" si="26"/>
        <v>190001</v>
      </c>
      <c r="C851" s="12" t="e">
        <f>INDEX(基础数据!$A$2:$A$1024,MATCH(转配商关联商!X851,基础数据!$D$2:$D$1024,0))</f>
        <v>#N/A</v>
      </c>
      <c r="E851" s="12" t="e">
        <f>INDEX(基础数据!$B$2:$B$1024,MATCH(转配商关联商!X851,基础数据!$D$2:$D$1024,0))</f>
        <v>#N/A</v>
      </c>
      <c r="G851" s="12" t="e">
        <f>INDEX([1]流向迭代数据!E$2:E$65536,MATCH(转配商关联商!W851,[1]流向迭代数据!M$2:M$65536,0))</f>
        <v>#N/A</v>
      </c>
      <c r="N851" s="12" t="e">
        <f>INDEX([1]流向迭代数据!J$2:J$65536,MATCH(L851,[1]流向迭代数据!H$2:H$65536,0))</f>
        <v>#N/A</v>
      </c>
      <c r="P851" s="14"/>
      <c r="T851" s="12" t="e">
        <f>INDEX([1]流向迭代数据!K$2:K$65536,MATCH(L851,[1]流向迭代数据!H$2:H$65536,0))</f>
        <v>#N/A</v>
      </c>
      <c r="W851" s="12" t="str">
        <f t="shared" si="27"/>
        <v/>
      </c>
    </row>
    <row r="852" spans="1:23" x14ac:dyDescent="0.15">
      <c r="A852" s="14" t="str">
        <f t="shared" si="26"/>
        <v>190001</v>
      </c>
      <c r="C852" s="12" t="e">
        <f>INDEX(基础数据!$A$2:$A$1024,MATCH(转配商关联商!X852,基础数据!$D$2:$D$1024,0))</f>
        <v>#N/A</v>
      </c>
      <c r="E852" s="12" t="e">
        <f>INDEX(基础数据!$B$2:$B$1024,MATCH(转配商关联商!X852,基础数据!$D$2:$D$1024,0))</f>
        <v>#N/A</v>
      </c>
      <c r="G852" s="12" t="e">
        <f>INDEX([1]流向迭代数据!E$2:E$65536,MATCH(转配商关联商!W852,[1]流向迭代数据!M$2:M$65536,0))</f>
        <v>#N/A</v>
      </c>
      <c r="N852" s="12" t="e">
        <f>INDEX([1]流向迭代数据!J$2:J$65536,MATCH(L852,[1]流向迭代数据!H$2:H$65536,0))</f>
        <v>#N/A</v>
      </c>
      <c r="P852" s="14"/>
      <c r="T852" s="12" t="e">
        <f>INDEX([1]流向迭代数据!K$2:K$65536,MATCH(L852,[1]流向迭代数据!H$2:H$65536,0))</f>
        <v>#N/A</v>
      </c>
      <c r="W852" s="12" t="str">
        <f t="shared" si="27"/>
        <v/>
      </c>
    </row>
    <row r="853" spans="1:23" x14ac:dyDescent="0.15">
      <c r="A853" s="14" t="str">
        <f t="shared" si="26"/>
        <v>190001</v>
      </c>
      <c r="C853" s="12" t="e">
        <f>INDEX(基础数据!$A$2:$A$1024,MATCH(转配商关联商!X853,基础数据!$D$2:$D$1024,0))</f>
        <v>#N/A</v>
      </c>
      <c r="E853" s="12" t="e">
        <f>INDEX(基础数据!$B$2:$B$1024,MATCH(转配商关联商!X853,基础数据!$D$2:$D$1024,0))</f>
        <v>#N/A</v>
      </c>
      <c r="G853" s="12" t="e">
        <f>INDEX([1]流向迭代数据!E$2:E$65536,MATCH(转配商关联商!W853,[1]流向迭代数据!M$2:M$65536,0))</f>
        <v>#N/A</v>
      </c>
      <c r="N853" s="12" t="e">
        <f>INDEX([1]流向迭代数据!J$2:J$65536,MATCH(L853,[1]流向迭代数据!H$2:H$65536,0))</f>
        <v>#N/A</v>
      </c>
      <c r="P853" s="14"/>
      <c r="T853" s="12" t="e">
        <f>INDEX([1]流向迭代数据!K$2:K$65536,MATCH(L853,[1]流向迭代数据!H$2:H$65536,0))</f>
        <v>#N/A</v>
      </c>
      <c r="W853" s="12" t="str">
        <f t="shared" si="27"/>
        <v/>
      </c>
    </row>
    <row r="854" spans="1:23" x14ac:dyDescent="0.15">
      <c r="A854" s="14" t="str">
        <f t="shared" si="26"/>
        <v>190001</v>
      </c>
      <c r="C854" s="12" t="e">
        <f>INDEX(基础数据!$A$2:$A$1024,MATCH(转配商关联商!X854,基础数据!$D$2:$D$1024,0))</f>
        <v>#N/A</v>
      </c>
      <c r="E854" s="12" t="e">
        <f>INDEX(基础数据!$B$2:$B$1024,MATCH(转配商关联商!X854,基础数据!$D$2:$D$1024,0))</f>
        <v>#N/A</v>
      </c>
      <c r="G854" s="12" t="e">
        <f>INDEX([1]流向迭代数据!E$2:E$65536,MATCH(转配商关联商!W854,[1]流向迭代数据!M$2:M$65536,0))</f>
        <v>#N/A</v>
      </c>
      <c r="N854" s="12" t="e">
        <f>INDEX([1]流向迭代数据!J$2:J$65536,MATCH(L854,[1]流向迭代数据!H$2:H$65536,0))</f>
        <v>#N/A</v>
      </c>
      <c r="P854" s="14"/>
      <c r="T854" s="12" t="e">
        <f>INDEX([1]流向迭代数据!K$2:K$65536,MATCH(L854,[1]流向迭代数据!H$2:H$65536,0))</f>
        <v>#N/A</v>
      </c>
      <c r="W854" s="12" t="str">
        <f t="shared" si="27"/>
        <v/>
      </c>
    </row>
    <row r="855" spans="1:23" x14ac:dyDescent="0.15">
      <c r="A855" s="14" t="str">
        <f t="shared" si="26"/>
        <v>190001</v>
      </c>
      <c r="C855" s="12" t="e">
        <f>INDEX(基础数据!$A$2:$A$1024,MATCH(转配商关联商!X855,基础数据!$D$2:$D$1024,0))</f>
        <v>#N/A</v>
      </c>
      <c r="E855" s="12" t="e">
        <f>INDEX(基础数据!$B$2:$B$1024,MATCH(转配商关联商!X855,基础数据!$D$2:$D$1024,0))</f>
        <v>#N/A</v>
      </c>
      <c r="G855" s="12" t="e">
        <f>INDEX([1]流向迭代数据!E$2:E$65536,MATCH(转配商关联商!W855,[1]流向迭代数据!M$2:M$65536,0))</f>
        <v>#N/A</v>
      </c>
      <c r="N855" s="12" t="e">
        <f>INDEX([1]流向迭代数据!J$2:J$65536,MATCH(L855,[1]流向迭代数据!H$2:H$65536,0))</f>
        <v>#N/A</v>
      </c>
      <c r="P855" s="14"/>
      <c r="T855" s="12" t="e">
        <f>INDEX([1]流向迭代数据!K$2:K$65536,MATCH(L855,[1]流向迭代数据!H$2:H$65536,0))</f>
        <v>#N/A</v>
      </c>
      <c r="W855" s="12" t="str">
        <f t="shared" si="27"/>
        <v/>
      </c>
    </row>
    <row r="856" spans="1:23" x14ac:dyDescent="0.15">
      <c r="A856" s="14" t="str">
        <f t="shared" si="26"/>
        <v>190001</v>
      </c>
      <c r="C856" s="12" t="e">
        <f>INDEX(基础数据!$A$2:$A$1024,MATCH(转配商关联商!X856,基础数据!$D$2:$D$1024,0))</f>
        <v>#N/A</v>
      </c>
      <c r="E856" s="12" t="e">
        <f>INDEX(基础数据!$B$2:$B$1024,MATCH(转配商关联商!X856,基础数据!$D$2:$D$1024,0))</f>
        <v>#N/A</v>
      </c>
      <c r="G856" s="12" t="e">
        <f>INDEX([1]流向迭代数据!E$2:E$65536,MATCH(转配商关联商!W856,[1]流向迭代数据!M$2:M$65536,0))</f>
        <v>#N/A</v>
      </c>
      <c r="N856" s="12" t="e">
        <f>INDEX([1]流向迭代数据!J$2:J$65536,MATCH(L856,[1]流向迭代数据!H$2:H$65536,0))</f>
        <v>#N/A</v>
      </c>
      <c r="P856" s="14"/>
      <c r="T856" s="12" t="e">
        <f>INDEX([1]流向迭代数据!K$2:K$65536,MATCH(L856,[1]流向迭代数据!H$2:H$65536,0))</f>
        <v>#N/A</v>
      </c>
      <c r="W856" s="12" t="str">
        <f t="shared" si="27"/>
        <v/>
      </c>
    </row>
    <row r="857" spans="1:23" x14ac:dyDescent="0.15">
      <c r="A857" s="14" t="str">
        <f t="shared" si="26"/>
        <v>190001</v>
      </c>
      <c r="C857" s="12" t="e">
        <f>INDEX(基础数据!$A$2:$A$1024,MATCH(转配商关联商!X857,基础数据!$D$2:$D$1024,0))</f>
        <v>#N/A</v>
      </c>
      <c r="E857" s="12" t="e">
        <f>INDEX(基础数据!$B$2:$B$1024,MATCH(转配商关联商!X857,基础数据!$D$2:$D$1024,0))</f>
        <v>#N/A</v>
      </c>
      <c r="G857" s="12" t="e">
        <f>INDEX([1]流向迭代数据!E$2:E$65536,MATCH(转配商关联商!W857,[1]流向迭代数据!M$2:M$65536,0))</f>
        <v>#N/A</v>
      </c>
      <c r="N857" s="12" t="e">
        <f>INDEX([1]流向迭代数据!J$2:J$65536,MATCH(L857,[1]流向迭代数据!H$2:H$65536,0))</f>
        <v>#N/A</v>
      </c>
      <c r="P857" s="14"/>
      <c r="T857" s="12" t="e">
        <f>INDEX([1]流向迭代数据!K$2:K$65536,MATCH(L857,[1]流向迭代数据!H$2:H$65536,0))</f>
        <v>#N/A</v>
      </c>
      <c r="W857" s="12" t="str">
        <f t="shared" si="27"/>
        <v/>
      </c>
    </row>
    <row r="858" spans="1:23" x14ac:dyDescent="0.15">
      <c r="A858" s="14" t="str">
        <f t="shared" si="26"/>
        <v>190001</v>
      </c>
      <c r="C858" s="12" t="e">
        <f>INDEX(基础数据!$A$2:$A$1024,MATCH(转配商关联商!X858,基础数据!$D$2:$D$1024,0))</f>
        <v>#N/A</v>
      </c>
      <c r="E858" s="12" t="e">
        <f>INDEX(基础数据!$B$2:$B$1024,MATCH(转配商关联商!X858,基础数据!$D$2:$D$1024,0))</f>
        <v>#N/A</v>
      </c>
      <c r="G858" s="12" t="e">
        <f>INDEX([1]流向迭代数据!E$2:E$65536,MATCH(转配商关联商!W858,[1]流向迭代数据!M$2:M$65536,0))</f>
        <v>#N/A</v>
      </c>
      <c r="N858" s="12" t="e">
        <f>INDEX([1]流向迭代数据!J$2:J$65536,MATCH(L858,[1]流向迭代数据!H$2:H$65536,0))</f>
        <v>#N/A</v>
      </c>
      <c r="P858" s="14"/>
      <c r="T858" s="12" t="e">
        <f>INDEX([1]流向迭代数据!K$2:K$65536,MATCH(L858,[1]流向迭代数据!H$2:H$65536,0))</f>
        <v>#N/A</v>
      </c>
      <c r="W858" s="12" t="str">
        <f t="shared" si="27"/>
        <v/>
      </c>
    </row>
    <row r="859" spans="1:23" x14ac:dyDescent="0.15">
      <c r="A859" s="14" t="str">
        <f t="shared" si="26"/>
        <v>190001</v>
      </c>
      <c r="C859" s="12" t="e">
        <f>INDEX(基础数据!$A$2:$A$1024,MATCH(转配商关联商!X859,基础数据!$D$2:$D$1024,0))</f>
        <v>#N/A</v>
      </c>
      <c r="E859" s="12" t="e">
        <f>INDEX(基础数据!$B$2:$B$1024,MATCH(转配商关联商!X859,基础数据!$D$2:$D$1024,0))</f>
        <v>#N/A</v>
      </c>
      <c r="G859" s="12" t="e">
        <f>INDEX([1]流向迭代数据!E$2:E$65536,MATCH(转配商关联商!W859,[1]流向迭代数据!M$2:M$65536,0))</f>
        <v>#N/A</v>
      </c>
      <c r="N859" s="12" t="e">
        <f>INDEX([1]流向迭代数据!J$2:J$65536,MATCH(L859,[1]流向迭代数据!H$2:H$65536,0))</f>
        <v>#N/A</v>
      </c>
      <c r="P859" s="14"/>
      <c r="T859" s="12" t="e">
        <f>INDEX([1]流向迭代数据!K$2:K$65536,MATCH(L859,[1]流向迭代数据!H$2:H$65536,0))</f>
        <v>#N/A</v>
      </c>
      <c r="W859" s="12" t="str">
        <f t="shared" si="27"/>
        <v/>
      </c>
    </row>
    <row r="860" spans="1:23" x14ac:dyDescent="0.15">
      <c r="A860" s="14" t="str">
        <f t="shared" si="26"/>
        <v>190001</v>
      </c>
      <c r="C860" s="12" t="e">
        <f>INDEX(基础数据!$A$2:$A$1024,MATCH(转配商关联商!X860,基础数据!$D$2:$D$1024,0))</f>
        <v>#N/A</v>
      </c>
      <c r="E860" s="12" t="e">
        <f>INDEX(基础数据!$B$2:$B$1024,MATCH(转配商关联商!X860,基础数据!$D$2:$D$1024,0))</f>
        <v>#N/A</v>
      </c>
      <c r="G860" s="12" t="e">
        <f>INDEX([1]流向迭代数据!E$2:E$65536,MATCH(转配商关联商!W860,[1]流向迭代数据!M$2:M$65536,0))</f>
        <v>#N/A</v>
      </c>
      <c r="N860" s="12" t="e">
        <f>INDEX([1]流向迭代数据!J$2:J$65536,MATCH(L860,[1]流向迭代数据!H$2:H$65536,0))</f>
        <v>#N/A</v>
      </c>
      <c r="P860" s="14"/>
      <c r="T860" s="12" t="e">
        <f>INDEX([1]流向迭代数据!K$2:K$65536,MATCH(L860,[1]流向迭代数据!H$2:H$65536,0))</f>
        <v>#N/A</v>
      </c>
      <c r="W860" s="12" t="str">
        <f t="shared" si="27"/>
        <v/>
      </c>
    </row>
    <row r="861" spans="1:23" x14ac:dyDescent="0.15">
      <c r="A861" s="14" t="str">
        <f t="shared" si="26"/>
        <v>190001</v>
      </c>
      <c r="C861" s="12" t="e">
        <f>INDEX(基础数据!$A$2:$A$1024,MATCH(转配商关联商!X861,基础数据!$D$2:$D$1024,0))</f>
        <v>#N/A</v>
      </c>
      <c r="E861" s="12" t="e">
        <f>INDEX(基础数据!$B$2:$B$1024,MATCH(转配商关联商!X861,基础数据!$D$2:$D$1024,0))</f>
        <v>#N/A</v>
      </c>
      <c r="G861" s="12" t="e">
        <f>INDEX([1]流向迭代数据!E$2:E$65536,MATCH(转配商关联商!W861,[1]流向迭代数据!M$2:M$65536,0))</f>
        <v>#N/A</v>
      </c>
      <c r="N861" s="12" t="e">
        <f>INDEX([1]流向迭代数据!J$2:J$65536,MATCH(L861,[1]流向迭代数据!H$2:H$65536,0))</f>
        <v>#N/A</v>
      </c>
      <c r="P861" s="14"/>
      <c r="T861" s="12" t="e">
        <f>INDEX([1]流向迭代数据!K$2:K$65536,MATCH(L861,[1]流向迭代数据!H$2:H$65536,0))</f>
        <v>#N/A</v>
      </c>
      <c r="W861" s="12" t="str">
        <f t="shared" si="27"/>
        <v/>
      </c>
    </row>
    <row r="862" spans="1:23" x14ac:dyDescent="0.15">
      <c r="A862" s="14" t="str">
        <f t="shared" si="26"/>
        <v>190001</v>
      </c>
      <c r="C862" s="12" t="e">
        <f>INDEX(基础数据!$A$2:$A$1024,MATCH(转配商关联商!X862,基础数据!$D$2:$D$1024,0))</f>
        <v>#N/A</v>
      </c>
      <c r="E862" s="12" t="e">
        <f>INDEX(基础数据!$B$2:$B$1024,MATCH(转配商关联商!X862,基础数据!$D$2:$D$1024,0))</f>
        <v>#N/A</v>
      </c>
      <c r="G862" s="12" t="e">
        <f>INDEX([1]流向迭代数据!E$2:E$65536,MATCH(转配商关联商!W862,[1]流向迭代数据!M$2:M$65536,0))</f>
        <v>#N/A</v>
      </c>
      <c r="N862" s="12" t="e">
        <f>INDEX([1]流向迭代数据!J$2:J$65536,MATCH(L862,[1]流向迭代数据!H$2:H$65536,0))</f>
        <v>#N/A</v>
      </c>
      <c r="P862" s="14"/>
      <c r="T862" s="12" t="e">
        <f>INDEX([1]流向迭代数据!K$2:K$65536,MATCH(L862,[1]流向迭代数据!H$2:H$65536,0))</f>
        <v>#N/A</v>
      </c>
      <c r="W862" s="12" t="str">
        <f t="shared" si="27"/>
        <v/>
      </c>
    </row>
    <row r="863" spans="1:23" x14ac:dyDescent="0.15">
      <c r="A863" s="14" t="str">
        <f t="shared" si="26"/>
        <v>190001</v>
      </c>
      <c r="C863" s="12" t="e">
        <f>INDEX(基础数据!$A$2:$A$1024,MATCH(转配商关联商!X863,基础数据!$D$2:$D$1024,0))</f>
        <v>#N/A</v>
      </c>
      <c r="E863" s="12" t="e">
        <f>INDEX(基础数据!$B$2:$B$1024,MATCH(转配商关联商!X863,基础数据!$D$2:$D$1024,0))</f>
        <v>#N/A</v>
      </c>
      <c r="G863" s="12" t="e">
        <f>INDEX([1]流向迭代数据!E$2:E$65536,MATCH(转配商关联商!W863,[1]流向迭代数据!M$2:M$65536,0))</f>
        <v>#N/A</v>
      </c>
      <c r="N863" s="12" t="e">
        <f>INDEX([1]流向迭代数据!J$2:J$65536,MATCH(L863,[1]流向迭代数据!H$2:H$65536,0))</f>
        <v>#N/A</v>
      </c>
      <c r="P863" s="14"/>
      <c r="T863" s="12" t="e">
        <f>INDEX([1]流向迭代数据!K$2:K$65536,MATCH(L863,[1]流向迭代数据!H$2:H$65536,0))</f>
        <v>#N/A</v>
      </c>
      <c r="W863" s="12" t="str">
        <f t="shared" si="27"/>
        <v/>
      </c>
    </row>
    <row r="864" spans="1:23" x14ac:dyDescent="0.15">
      <c r="A864" s="14" t="str">
        <f t="shared" si="26"/>
        <v>190001</v>
      </c>
      <c r="C864" s="12" t="e">
        <f>INDEX(基础数据!$A$2:$A$1024,MATCH(转配商关联商!X864,基础数据!$D$2:$D$1024,0))</f>
        <v>#N/A</v>
      </c>
      <c r="E864" s="12" t="e">
        <f>INDEX(基础数据!$B$2:$B$1024,MATCH(转配商关联商!X864,基础数据!$D$2:$D$1024,0))</f>
        <v>#N/A</v>
      </c>
      <c r="G864" s="12" t="e">
        <f>INDEX([1]流向迭代数据!E$2:E$65536,MATCH(转配商关联商!W864,[1]流向迭代数据!M$2:M$65536,0))</f>
        <v>#N/A</v>
      </c>
      <c r="N864" s="12" t="e">
        <f>INDEX([1]流向迭代数据!J$2:J$65536,MATCH(L864,[1]流向迭代数据!H$2:H$65536,0))</f>
        <v>#N/A</v>
      </c>
      <c r="P864" s="14"/>
      <c r="T864" s="12" t="e">
        <f>INDEX([1]流向迭代数据!K$2:K$65536,MATCH(L864,[1]流向迭代数据!H$2:H$65536,0))</f>
        <v>#N/A</v>
      </c>
      <c r="W864" s="12" t="str">
        <f t="shared" si="27"/>
        <v/>
      </c>
    </row>
    <row r="865" spans="1:23" x14ac:dyDescent="0.15">
      <c r="A865" s="14" t="str">
        <f t="shared" si="26"/>
        <v>190001</v>
      </c>
      <c r="C865" s="12" t="e">
        <f>INDEX(基础数据!$A$2:$A$1024,MATCH(转配商关联商!X865,基础数据!$D$2:$D$1024,0))</f>
        <v>#N/A</v>
      </c>
      <c r="E865" s="12" t="e">
        <f>INDEX(基础数据!$B$2:$B$1024,MATCH(转配商关联商!X865,基础数据!$D$2:$D$1024,0))</f>
        <v>#N/A</v>
      </c>
      <c r="G865" s="12" t="e">
        <f>INDEX([1]流向迭代数据!E$2:E$65536,MATCH(转配商关联商!W865,[1]流向迭代数据!M$2:M$65536,0))</f>
        <v>#N/A</v>
      </c>
      <c r="N865" s="12" t="e">
        <f>INDEX([1]流向迭代数据!J$2:J$65536,MATCH(L865,[1]流向迭代数据!H$2:H$65536,0))</f>
        <v>#N/A</v>
      </c>
      <c r="P865" s="14"/>
      <c r="T865" s="12" t="e">
        <f>INDEX([1]流向迭代数据!K$2:K$65536,MATCH(L865,[1]流向迭代数据!H$2:H$65536,0))</f>
        <v>#N/A</v>
      </c>
      <c r="W865" s="12" t="str">
        <f t="shared" si="27"/>
        <v/>
      </c>
    </row>
    <row r="866" spans="1:23" x14ac:dyDescent="0.15">
      <c r="A866" s="14" t="str">
        <f t="shared" si="26"/>
        <v>190001</v>
      </c>
      <c r="C866" s="12" t="e">
        <f>INDEX(基础数据!$A$2:$A$1024,MATCH(转配商关联商!X866,基础数据!$D$2:$D$1024,0))</f>
        <v>#N/A</v>
      </c>
      <c r="E866" s="12" t="e">
        <f>INDEX(基础数据!$B$2:$B$1024,MATCH(转配商关联商!X866,基础数据!$D$2:$D$1024,0))</f>
        <v>#N/A</v>
      </c>
      <c r="G866" s="12" t="e">
        <f>INDEX([1]流向迭代数据!E$2:E$65536,MATCH(转配商关联商!W866,[1]流向迭代数据!M$2:M$65536,0))</f>
        <v>#N/A</v>
      </c>
      <c r="N866" s="12" t="e">
        <f>INDEX([1]流向迭代数据!J$2:J$65536,MATCH(L866,[1]流向迭代数据!H$2:H$65536,0))</f>
        <v>#N/A</v>
      </c>
      <c r="P866" s="14"/>
      <c r="T866" s="12" t="e">
        <f>INDEX([1]流向迭代数据!K$2:K$65536,MATCH(L866,[1]流向迭代数据!H$2:H$65536,0))</f>
        <v>#N/A</v>
      </c>
      <c r="W866" s="12" t="str">
        <f t="shared" si="27"/>
        <v/>
      </c>
    </row>
    <row r="867" spans="1:23" x14ac:dyDescent="0.15">
      <c r="A867" s="14" t="str">
        <f t="shared" si="26"/>
        <v>190001</v>
      </c>
      <c r="C867" s="12" t="e">
        <f>INDEX(基础数据!$A$2:$A$1024,MATCH(转配商关联商!X867,基础数据!$D$2:$D$1024,0))</f>
        <v>#N/A</v>
      </c>
      <c r="E867" s="12" t="e">
        <f>INDEX(基础数据!$B$2:$B$1024,MATCH(转配商关联商!X867,基础数据!$D$2:$D$1024,0))</f>
        <v>#N/A</v>
      </c>
      <c r="G867" s="12" t="e">
        <f>INDEX([1]流向迭代数据!E$2:E$65536,MATCH(转配商关联商!W867,[1]流向迭代数据!M$2:M$65536,0))</f>
        <v>#N/A</v>
      </c>
      <c r="N867" s="12" t="e">
        <f>INDEX([1]流向迭代数据!J$2:J$65536,MATCH(L867,[1]流向迭代数据!H$2:H$65536,0))</f>
        <v>#N/A</v>
      </c>
      <c r="P867" s="14"/>
      <c r="T867" s="12" t="e">
        <f>INDEX([1]流向迭代数据!K$2:K$65536,MATCH(L867,[1]流向迭代数据!H$2:H$65536,0))</f>
        <v>#N/A</v>
      </c>
      <c r="W867" s="12" t="str">
        <f t="shared" si="27"/>
        <v/>
      </c>
    </row>
    <row r="868" spans="1:23" x14ac:dyDescent="0.15">
      <c r="A868" s="14" t="str">
        <f t="shared" si="26"/>
        <v>190001</v>
      </c>
      <c r="C868" s="12" t="e">
        <f>INDEX(基础数据!$A$2:$A$1024,MATCH(转配商关联商!X868,基础数据!$D$2:$D$1024,0))</f>
        <v>#N/A</v>
      </c>
      <c r="E868" s="12" t="e">
        <f>INDEX(基础数据!$B$2:$B$1024,MATCH(转配商关联商!X868,基础数据!$D$2:$D$1024,0))</f>
        <v>#N/A</v>
      </c>
      <c r="G868" s="12" t="e">
        <f>INDEX([1]流向迭代数据!E$2:E$65536,MATCH(转配商关联商!W868,[1]流向迭代数据!M$2:M$65536,0))</f>
        <v>#N/A</v>
      </c>
      <c r="N868" s="12" t="e">
        <f>INDEX([1]流向迭代数据!J$2:J$65536,MATCH(L868,[1]流向迭代数据!H$2:H$65536,0))</f>
        <v>#N/A</v>
      </c>
      <c r="P868" s="14"/>
      <c r="T868" s="12" t="e">
        <f>INDEX([1]流向迭代数据!K$2:K$65536,MATCH(L868,[1]流向迭代数据!H$2:H$65536,0))</f>
        <v>#N/A</v>
      </c>
      <c r="W868" s="12" t="str">
        <f t="shared" si="27"/>
        <v/>
      </c>
    </row>
    <row r="869" spans="1:23" x14ac:dyDescent="0.15">
      <c r="A869" s="14" t="str">
        <f t="shared" si="26"/>
        <v>190001</v>
      </c>
      <c r="C869" s="12" t="e">
        <f>INDEX(基础数据!$A$2:$A$1024,MATCH(转配商关联商!X869,基础数据!$D$2:$D$1024,0))</f>
        <v>#N/A</v>
      </c>
      <c r="E869" s="12" t="e">
        <f>INDEX(基础数据!$B$2:$B$1024,MATCH(转配商关联商!X869,基础数据!$D$2:$D$1024,0))</f>
        <v>#N/A</v>
      </c>
      <c r="G869" s="12" t="e">
        <f>INDEX([1]流向迭代数据!E$2:E$65536,MATCH(转配商关联商!W869,[1]流向迭代数据!M$2:M$65536,0))</f>
        <v>#N/A</v>
      </c>
      <c r="N869" s="12" t="e">
        <f>INDEX([1]流向迭代数据!J$2:J$65536,MATCH(L869,[1]流向迭代数据!H$2:H$65536,0))</f>
        <v>#N/A</v>
      </c>
      <c r="P869" s="14"/>
      <c r="T869" s="12" t="e">
        <f>INDEX([1]流向迭代数据!K$2:K$65536,MATCH(L869,[1]流向迭代数据!H$2:H$65536,0))</f>
        <v>#N/A</v>
      </c>
      <c r="W869" s="12" t="str">
        <f t="shared" si="27"/>
        <v/>
      </c>
    </row>
    <row r="870" spans="1:23" x14ac:dyDescent="0.15">
      <c r="A870" s="14" t="str">
        <f t="shared" si="26"/>
        <v>190001</v>
      </c>
      <c r="C870" s="12" t="e">
        <f>INDEX(基础数据!$A$2:$A$1024,MATCH(转配商关联商!X870,基础数据!$D$2:$D$1024,0))</f>
        <v>#N/A</v>
      </c>
      <c r="E870" s="12" t="e">
        <f>INDEX(基础数据!$B$2:$B$1024,MATCH(转配商关联商!X870,基础数据!$D$2:$D$1024,0))</f>
        <v>#N/A</v>
      </c>
      <c r="G870" s="12" t="e">
        <f>INDEX([1]流向迭代数据!E$2:E$65536,MATCH(转配商关联商!W870,[1]流向迭代数据!M$2:M$65536,0))</f>
        <v>#N/A</v>
      </c>
      <c r="N870" s="12" t="e">
        <f>INDEX([1]流向迭代数据!J$2:J$65536,MATCH(L870,[1]流向迭代数据!H$2:H$65536,0))</f>
        <v>#N/A</v>
      </c>
      <c r="P870" s="14"/>
      <c r="T870" s="12" t="e">
        <f>INDEX([1]流向迭代数据!K$2:K$65536,MATCH(L870,[1]流向迭代数据!H$2:H$65536,0))</f>
        <v>#N/A</v>
      </c>
      <c r="W870" s="12" t="str">
        <f t="shared" si="27"/>
        <v/>
      </c>
    </row>
    <row r="871" spans="1:23" x14ac:dyDescent="0.15">
      <c r="A871" s="14" t="str">
        <f t="shared" si="26"/>
        <v>190001</v>
      </c>
      <c r="C871" s="12" t="e">
        <f>INDEX(基础数据!$A$2:$A$1024,MATCH(转配商关联商!X871,基础数据!$D$2:$D$1024,0))</f>
        <v>#N/A</v>
      </c>
      <c r="E871" s="12" t="e">
        <f>INDEX(基础数据!$B$2:$B$1024,MATCH(转配商关联商!X871,基础数据!$D$2:$D$1024,0))</f>
        <v>#N/A</v>
      </c>
      <c r="G871" s="12" t="e">
        <f>INDEX([1]流向迭代数据!E$2:E$65536,MATCH(转配商关联商!W871,[1]流向迭代数据!M$2:M$65536,0))</f>
        <v>#N/A</v>
      </c>
      <c r="N871" s="12" t="e">
        <f>INDEX([1]流向迭代数据!J$2:J$65536,MATCH(L871,[1]流向迭代数据!H$2:H$65536,0))</f>
        <v>#N/A</v>
      </c>
      <c r="P871" s="14"/>
      <c r="T871" s="12" t="e">
        <f>INDEX([1]流向迭代数据!K$2:K$65536,MATCH(L871,[1]流向迭代数据!H$2:H$65536,0))</f>
        <v>#N/A</v>
      </c>
      <c r="W871" s="12" t="str">
        <f t="shared" si="27"/>
        <v/>
      </c>
    </row>
    <row r="872" spans="1:23" x14ac:dyDescent="0.15">
      <c r="A872" s="14" t="str">
        <f t="shared" si="26"/>
        <v>190001</v>
      </c>
      <c r="C872" s="12" t="e">
        <f>INDEX(基础数据!$A$2:$A$1024,MATCH(转配商关联商!X872,基础数据!$D$2:$D$1024,0))</f>
        <v>#N/A</v>
      </c>
      <c r="E872" s="12" t="e">
        <f>INDEX(基础数据!$B$2:$B$1024,MATCH(转配商关联商!X872,基础数据!$D$2:$D$1024,0))</f>
        <v>#N/A</v>
      </c>
      <c r="G872" s="12" t="e">
        <f>INDEX([1]流向迭代数据!E$2:E$65536,MATCH(转配商关联商!W872,[1]流向迭代数据!M$2:M$65536,0))</f>
        <v>#N/A</v>
      </c>
      <c r="N872" s="12" t="e">
        <f>INDEX([1]流向迭代数据!J$2:J$65536,MATCH(L872,[1]流向迭代数据!H$2:H$65536,0))</f>
        <v>#N/A</v>
      </c>
      <c r="P872" s="14"/>
      <c r="T872" s="12" t="e">
        <f>INDEX([1]流向迭代数据!K$2:K$65536,MATCH(L872,[1]流向迭代数据!H$2:H$65536,0))</f>
        <v>#N/A</v>
      </c>
      <c r="W872" s="12" t="str">
        <f t="shared" si="27"/>
        <v/>
      </c>
    </row>
    <row r="873" spans="1:23" x14ac:dyDescent="0.15">
      <c r="A873" s="14" t="str">
        <f t="shared" si="26"/>
        <v>190001</v>
      </c>
      <c r="C873" s="12" t="e">
        <f>INDEX(基础数据!$A$2:$A$1024,MATCH(转配商关联商!X873,基础数据!$D$2:$D$1024,0))</f>
        <v>#N/A</v>
      </c>
      <c r="E873" s="12" t="e">
        <f>INDEX(基础数据!$B$2:$B$1024,MATCH(转配商关联商!X873,基础数据!$D$2:$D$1024,0))</f>
        <v>#N/A</v>
      </c>
      <c r="G873" s="12" t="e">
        <f>INDEX([1]流向迭代数据!E$2:E$65536,MATCH(转配商关联商!W873,[1]流向迭代数据!M$2:M$65536,0))</f>
        <v>#N/A</v>
      </c>
      <c r="N873" s="12" t="e">
        <f>INDEX([1]流向迭代数据!J$2:J$65536,MATCH(L873,[1]流向迭代数据!H$2:H$65536,0))</f>
        <v>#N/A</v>
      </c>
      <c r="P873" s="14"/>
      <c r="T873" s="12" t="e">
        <f>INDEX([1]流向迭代数据!K$2:K$65536,MATCH(L873,[1]流向迭代数据!H$2:H$65536,0))</f>
        <v>#N/A</v>
      </c>
      <c r="W873" s="12" t="str">
        <f t="shared" si="27"/>
        <v/>
      </c>
    </row>
    <row r="874" spans="1:23" x14ac:dyDescent="0.15">
      <c r="A874" s="14" t="str">
        <f t="shared" si="26"/>
        <v>190001</v>
      </c>
      <c r="C874" s="12" t="e">
        <f>INDEX(基础数据!$A$2:$A$1024,MATCH(转配商关联商!X874,基础数据!$D$2:$D$1024,0))</f>
        <v>#N/A</v>
      </c>
      <c r="E874" s="12" t="e">
        <f>INDEX(基础数据!$B$2:$B$1024,MATCH(转配商关联商!X874,基础数据!$D$2:$D$1024,0))</f>
        <v>#N/A</v>
      </c>
      <c r="G874" s="12" t="e">
        <f>INDEX([1]流向迭代数据!E$2:E$65536,MATCH(转配商关联商!W874,[1]流向迭代数据!M$2:M$65536,0))</f>
        <v>#N/A</v>
      </c>
      <c r="N874" s="12" t="e">
        <f>INDEX([1]流向迭代数据!J$2:J$65536,MATCH(L874,[1]流向迭代数据!H$2:H$65536,0))</f>
        <v>#N/A</v>
      </c>
      <c r="P874" s="14"/>
      <c r="T874" s="12" t="e">
        <f>INDEX([1]流向迭代数据!K$2:K$65536,MATCH(L874,[1]流向迭代数据!H$2:H$65536,0))</f>
        <v>#N/A</v>
      </c>
      <c r="W874" s="12" t="str">
        <f t="shared" si="27"/>
        <v/>
      </c>
    </row>
    <row r="875" spans="1:23" x14ac:dyDescent="0.15">
      <c r="A875" s="14" t="str">
        <f t="shared" si="26"/>
        <v>190001</v>
      </c>
      <c r="C875" s="12" t="e">
        <f>INDEX(基础数据!$A$2:$A$1024,MATCH(转配商关联商!X875,基础数据!$D$2:$D$1024,0))</f>
        <v>#N/A</v>
      </c>
      <c r="E875" s="12" t="e">
        <f>INDEX(基础数据!$B$2:$B$1024,MATCH(转配商关联商!X875,基础数据!$D$2:$D$1024,0))</f>
        <v>#N/A</v>
      </c>
      <c r="G875" s="12" t="e">
        <f>INDEX([1]流向迭代数据!E$2:E$65536,MATCH(转配商关联商!W875,[1]流向迭代数据!M$2:M$65536,0))</f>
        <v>#N/A</v>
      </c>
      <c r="N875" s="12" t="e">
        <f>INDEX([1]流向迭代数据!J$2:J$65536,MATCH(L875,[1]流向迭代数据!H$2:H$65536,0))</f>
        <v>#N/A</v>
      </c>
      <c r="P875" s="14"/>
      <c r="T875" s="12" t="e">
        <f>INDEX([1]流向迭代数据!K$2:K$65536,MATCH(L875,[1]流向迭代数据!H$2:H$65536,0))</f>
        <v>#N/A</v>
      </c>
      <c r="W875" s="12" t="str">
        <f t="shared" si="27"/>
        <v/>
      </c>
    </row>
    <row r="876" spans="1:23" x14ac:dyDescent="0.15">
      <c r="A876" s="14" t="str">
        <f t="shared" si="26"/>
        <v>190001</v>
      </c>
      <c r="C876" s="12" t="e">
        <f>INDEX(基础数据!$A$2:$A$1024,MATCH(转配商关联商!X876,基础数据!$D$2:$D$1024,0))</f>
        <v>#N/A</v>
      </c>
      <c r="E876" s="12" t="e">
        <f>INDEX(基础数据!$B$2:$B$1024,MATCH(转配商关联商!X876,基础数据!$D$2:$D$1024,0))</f>
        <v>#N/A</v>
      </c>
      <c r="G876" s="12" t="e">
        <f>INDEX([1]流向迭代数据!E$2:E$65536,MATCH(转配商关联商!W876,[1]流向迭代数据!M$2:M$65536,0))</f>
        <v>#N/A</v>
      </c>
      <c r="N876" s="12" t="e">
        <f>INDEX([1]流向迭代数据!J$2:J$65536,MATCH(L876,[1]流向迭代数据!H$2:H$65536,0))</f>
        <v>#N/A</v>
      </c>
      <c r="P876" s="14"/>
      <c r="T876" s="12" t="e">
        <f>INDEX([1]流向迭代数据!K$2:K$65536,MATCH(L876,[1]流向迭代数据!H$2:H$65536,0))</f>
        <v>#N/A</v>
      </c>
      <c r="W876" s="12" t="str">
        <f t="shared" si="27"/>
        <v/>
      </c>
    </row>
    <row r="877" spans="1:23" x14ac:dyDescent="0.15">
      <c r="A877" s="14" t="str">
        <f t="shared" si="26"/>
        <v>190001</v>
      </c>
      <c r="C877" s="12" t="e">
        <f>INDEX(基础数据!$A$2:$A$1024,MATCH(转配商关联商!X877,基础数据!$D$2:$D$1024,0))</f>
        <v>#N/A</v>
      </c>
      <c r="E877" s="12" t="e">
        <f>INDEX(基础数据!$B$2:$B$1024,MATCH(转配商关联商!X877,基础数据!$D$2:$D$1024,0))</f>
        <v>#N/A</v>
      </c>
      <c r="G877" s="12" t="e">
        <f>INDEX([1]流向迭代数据!E$2:E$65536,MATCH(转配商关联商!W877,[1]流向迭代数据!M$2:M$65536,0))</f>
        <v>#N/A</v>
      </c>
      <c r="N877" s="12" t="e">
        <f>INDEX([1]流向迭代数据!J$2:J$65536,MATCH(L877,[1]流向迭代数据!H$2:H$65536,0))</f>
        <v>#N/A</v>
      </c>
      <c r="P877" s="14"/>
      <c r="T877" s="12" t="e">
        <f>INDEX([1]流向迭代数据!K$2:K$65536,MATCH(L877,[1]流向迭代数据!H$2:H$65536,0))</f>
        <v>#N/A</v>
      </c>
      <c r="W877" s="12" t="str">
        <f t="shared" si="27"/>
        <v/>
      </c>
    </row>
    <row r="878" spans="1:23" x14ac:dyDescent="0.15">
      <c r="A878" s="14" t="str">
        <f t="shared" si="26"/>
        <v>190001</v>
      </c>
      <c r="C878" s="12" t="e">
        <f>INDEX(基础数据!$A$2:$A$1024,MATCH(转配商关联商!X878,基础数据!$D$2:$D$1024,0))</f>
        <v>#N/A</v>
      </c>
      <c r="E878" s="12" t="e">
        <f>INDEX(基础数据!$B$2:$B$1024,MATCH(转配商关联商!X878,基础数据!$D$2:$D$1024,0))</f>
        <v>#N/A</v>
      </c>
      <c r="G878" s="12" t="e">
        <f>INDEX([1]流向迭代数据!E$2:E$65536,MATCH(转配商关联商!W878,[1]流向迭代数据!M$2:M$65536,0))</f>
        <v>#N/A</v>
      </c>
      <c r="N878" s="12" t="e">
        <f>INDEX([1]流向迭代数据!J$2:J$65536,MATCH(L878,[1]流向迭代数据!H$2:H$65536,0))</f>
        <v>#N/A</v>
      </c>
      <c r="P878" s="14"/>
      <c r="T878" s="12" t="e">
        <f>INDEX([1]流向迭代数据!K$2:K$65536,MATCH(L878,[1]流向迭代数据!H$2:H$65536,0))</f>
        <v>#N/A</v>
      </c>
      <c r="W878" s="12" t="str">
        <f t="shared" si="27"/>
        <v/>
      </c>
    </row>
    <row r="879" spans="1:23" x14ac:dyDescent="0.15">
      <c r="A879" s="14" t="str">
        <f t="shared" si="26"/>
        <v>190001</v>
      </c>
      <c r="C879" s="12" t="e">
        <f>INDEX(基础数据!$A$2:$A$1024,MATCH(转配商关联商!X879,基础数据!$D$2:$D$1024,0))</f>
        <v>#N/A</v>
      </c>
      <c r="E879" s="12" t="e">
        <f>INDEX(基础数据!$B$2:$B$1024,MATCH(转配商关联商!X879,基础数据!$D$2:$D$1024,0))</f>
        <v>#N/A</v>
      </c>
      <c r="G879" s="12" t="e">
        <f>INDEX([1]流向迭代数据!E$2:E$65536,MATCH(转配商关联商!W879,[1]流向迭代数据!M$2:M$65536,0))</f>
        <v>#N/A</v>
      </c>
      <c r="N879" s="12" t="e">
        <f>INDEX([1]流向迭代数据!J$2:J$65536,MATCH(L879,[1]流向迭代数据!H$2:H$65536,0))</f>
        <v>#N/A</v>
      </c>
      <c r="P879" s="14"/>
      <c r="T879" s="12" t="e">
        <f>INDEX([1]流向迭代数据!K$2:K$65536,MATCH(L879,[1]流向迭代数据!H$2:H$65536,0))</f>
        <v>#N/A</v>
      </c>
      <c r="W879" s="12" t="str">
        <f t="shared" si="27"/>
        <v/>
      </c>
    </row>
    <row r="880" spans="1:23" x14ac:dyDescent="0.15">
      <c r="A880" s="14" t="str">
        <f t="shared" si="26"/>
        <v>190001</v>
      </c>
      <c r="C880" s="12" t="e">
        <f>INDEX(基础数据!$A$2:$A$1024,MATCH(转配商关联商!X880,基础数据!$D$2:$D$1024,0))</f>
        <v>#N/A</v>
      </c>
      <c r="E880" s="12" t="e">
        <f>INDEX(基础数据!$B$2:$B$1024,MATCH(转配商关联商!X880,基础数据!$D$2:$D$1024,0))</f>
        <v>#N/A</v>
      </c>
      <c r="G880" s="12" t="e">
        <f>INDEX([1]流向迭代数据!E$2:E$65536,MATCH(转配商关联商!W880,[1]流向迭代数据!M$2:M$65536,0))</f>
        <v>#N/A</v>
      </c>
      <c r="N880" s="12" t="e">
        <f>INDEX([1]流向迭代数据!J$2:J$65536,MATCH(L880,[1]流向迭代数据!H$2:H$65536,0))</f>
        <v>#N/A</v>
      </c>
      <c r="P880" s="14"/>
      <c r="T880" s="12" t="e">
        <f>INDEX([1]流向迭代数据!K$2:K$65536,MATCH(L880,[1]流向迭代数据!H$2:H$65536,0))</f>
        <v>#N/A</v>
      </c>
      <c r="W880" s="12" t="str">
        <f t="shared" si="27"/>
        <v/>
      </c>
    </row>
    <row r="881" spans="1:23" x14ac:dyDescent="0.15">
      <c r="A881" s="14" t="str">
        <f t="shared" si="26"/>
        <v>190001</v>
      </c>
      <c r="C881" s="12" t="e">
        <f>INDEX(基础数据!$A$2:$A$1024,MATCH(转配商关联商!X881,基础数据!$D$2:$D$1024,0))</f>
        <v>#N/A</v>
      </c>
      <c r="E881" s="12" t="e">
        <f>INDEX(基础数据!$B$2:$B$1024,MATCH(转配商关联商!X881,基础数据!$D$2:$D$1024,0))</f>
        <v>#N/A</v>
      </c>
      <c r="G881" s="12" t="e">
        <f>INDEX([1]流向迭代数据!E$2:E$65536,MATCH(转配商关联商!W881,[1]流向迭代数据!M$2:M$65536,0))</f>
        <v>#N/A</v>
      </c>
      <c r="N881" s="12" t="e">
        <f>INDEX([1]流向迭代数据!J$2:J$65536,MATCH(L881,[1]流向迭代数据!H$2:H$65536,0))</f>
        <v>#N/A</v>
      </c>
      <c r="P881" s="14"/>
      <c r="T881" s="12" t="e">
        <f>INDEX([1]流向迭代数据!K$2:K$65536,MATCH(L881,[1]流向迭代数据!H$2:H$65536,0))</f>
        <v>#N/A</v>
      </c>
      <c r="W881" s="12" t="str">
        <f t="shared" si="27"/>
        <v/>
      </c>
    </row>
    <row r="882" spans="1:23" x14ac:dyDescent="0.15">
      <c r="A882" s="14" t="str">
        <f t="shared" si="26"/>
        <v>190001</v>
      </c>
      <c r="C882" s="12" t="e">
        <f>INDEX(基础数据!$A$2:$A$1024,MATCH(转配商关联商!X882,基础数据!$D$2:$D$1024,0))</f>
        <v>#N/A</v>
      </c>
      <c r="E882" s="12" t="e">
        <f>INDEX(基础数据!$B$2:$B$1024,MATCH(转配商关联商!X882,基础数据!$D$2:$D$1024,0))</f>
        <v>#N/A</v>
      </c>
      <c r="G882" s="12" t="e">
        <f>INDEX([1]流向迭代数据!E$2:E$65536,MATCH(转配商关联商!W882,[1]流向迭代数据!M$2:M$65536,0))</f>
        <v>#N/A</v>
      </c>
      <c r="N882" s="12" t="e">
        <f>INDEX([1]流向迭代数据!J$2:J$65536,MATCH(L882,[1]流向迭代数据!H$2:H$65536,0))</f>
        <v>#N/A</v>
      </c>
      <c r="P882" s="14"/>
      <c r="T882" s="12" t="e">
        <f>INDEX([1]流向迭代数据!K$2:K$65536,MATCH(L882,[1]流向迭代数据!H$2:H$65536,0))</f>
        <v>#N/A</v>
      </c>
      <c r="W882" s="12" t="str">
        <f t="shared" si="27"/>
        <v/>
      </c>
    </row>
    <row r="883" spans="1:23" x14ac:dyDescent="0.15">
      <c r="A883" s="14" t="str">
        <f t="shared" si="26"/>
        <v>190001</v>
      </c>
      <c r="C883" s="12" t="e">
        <f>INDEX(基础数据!$A$2:$A$1024,MATCH(转配商关联商!X883,基础数据!$D$2:$D$1024,0))</f>
        <v>#N/A</v>
      </c>
      <c r="E883" s="12" t="e">
        <f>INDEX(基础数据!$B$2:$B$1024,MATCH(转配商关联商!X883,基础数据!$D$2:$D$1024,0))</f>
        <v>#N/A</v>
      </c>
      <c r="G883" s="12" t="e">
        <f>INDEX([1]流向迭代数据!E$2:E$65536,MATCH(转配商关联商!W883,[1]流向迭代数据!M$2:M$65536,0))</f>
        <v>#N/A</v>
      </c>
      <c r="N883" s="12" t="e">
        <f>INDEX([1]流向迭代数据!J$2:J$65536,MATCH(L883,[1]流向迭代数据!H$2:H$65536,0))</f>
        <v>#N/A</v>
      </c>
      <c r="P883" s="14"/>
      <c r="T883" s="12" t="e">
        <f>INDEX([1]流向迭代数据!K$2:K$65536,MATCH(L883,[1]流向迭代数据!H$2:H$65536,0))</f>
        <v>#N/A</v>
      </c>
      <c r="W883" s="12" t="str">
        <f t="shared" si="27"/>
        <v/>
      </c>
    </row>
    <row r="884" spans="1:23" x14ac:dyDescent="0.15">
      <c r="A884" s="14" t="str">
        <f t="shared" si="26"/>
        <v>190001</v>
      </c>
      <c r="C884" s="12" t="e">
        <f>INDEX(基础数据!$A$2:$A$1024,MATCH(转配商关联商!X884,基础数据!$D$2:$D$1024,0))</f>
        <v>#N/A</v>
      </c>
      <c r="E884" s="12" t="e">
        <f>INDEX(基础数据!$B$2:$B$1024,MATCH(转配商关联商!X884,基础数据!$D$2:$D$1024,0))</f>
        <v>#N/A</v>
      </c>
      <c r="G884" s="12" t="e">
        <f>INDEX([1]流向迭代数据!E$2:E$65536,MATCH(转配商关联商!W884,[1]流向迭代数据!M$2:M$65536,0))</f>
        <v>#N/A</v>
      </c>
      <c r="N884" s="12" t="e">
        <f>INDEX([1]流向迭代数据!J$2:J$65536,MATCH(L884,[1]流向迭代数据!H$2:H$65536,0))</f>
        <v>#N/A</v>
      </c>
      <c r="P884" s="14"/>
      <c r="T884" s="12" t="e">
        <f>INDEX([1]流向迭代数据!K$2:K$65536,MATCH(L884,[1]流向迭代数据!H$2:H$65536,0))</f>
        <v>#N/A</v>
      </c>
      <c r="W884" s="12" t="str">
        <f t="shared" si="27"/>
        <v/>
      </c>
    </row>
    <row r="885" spans="1:23" x14ac:dyDescent="0.15">
      <c r="A885" s="14" t="str">
        <f t="shared" si="26"/>
        <v>190001</v>
      </c>
      <c r="C885" s="12" t="e">
        <f>INDEX(基础数据!$A$2:$A$1024,MATCH(转配商关联商!X885,基础数据!$D$2:$D$1024,0))</f>
        <v>#N/A</v>
      </c>
      <c r="E885" s="12" t="e">
        <f>INDEX(基础数据!$B$2:$B$1024,MATCH(转配商关联商!X885,基础数据!$D$2:$D$1024,0))</f>
        <v>#N/A</v>
      </c>
      <c r="G885" s="12" t="e">
        <f>INDEX([1]流向迭代数据!E$2:E$65536,MATCH(转配商关联商!W885,[1]流向迭代数据!M$2:M$65536,0))</f>
        <v>#N/A</v>
      </c>
      <c r="N885" s="12" t="e">
        <f>INDEX([1]流向迭代数据!J$2:J$65536,MATCH(L885,[1]流向迭代数据!H$2:H$65536,0))</f>
        <v>#N/A</v>
      </c>
      <c r="P885" s="14"/>
      <c r="T885" s="12" t="e">
        <f>INDEX([1]流向迭代数据!K$2:K$65536,MATCH(L885,[1]流向迭代数据!H$2:H$65536,0))</f>
        <v>#N/A</v>
      </c>
      <c r="W885" s="12" t="str">
        <f t="shared" si="27"/>
        <v/>
      </c>
    </row>
    <row r="886" spans="1:23" x14ac:dyDescent="0.15">
      <c r="A886" s="14" t="str">
        <f t="shared" si="26"/>
        <v>190001</v>
      </c>
      <c r="C886" s="12" t="e">
        <f>INDEX(基础数据!$A$2:$A$1024,MATCH(转配商关联商!X886,基础数据!$D$2:$D$1024,0))</f>
        <v>#N/A</v>
      </c>
      <c r="E886" s="12" t="e">
        <f>INDEX(基础数据!$B$2:$B$1024,MATCH(转配商关联商!X886,基础数据!$D$2:$D$1024,0))</f>
        <v>#N/A</v>
      </c>
      <c r="G886" s="12" t="e">
        <f>INDEX([1]流向迭代数据!E$2:E$65536,MATCH(转配商关联商!W886,[1]流向迭代数据!M$2:M$65536,0))</f>
        <v>#N/A</v>
      </c>
      <c r="N886" s="12" t="e">
        <f>INDEX([1]流向迭代数据!J$2:J$65536,MATCH(L886,[1]流向迭代数据!H$2:H$65536,0))</f>
        <v>#N/A</v>
      </c>
      <c r="P886" s="14"/>
      <c r="T886" s="12" t="e">
        <f>INDEX([1]流向迭代数据!K$2:K$65536,MATCH(L886,[1]流向迭代数据!H$2:H$65536,0))</f>
        <v>#N/A</v>
      </c>
      <c r="W886" s="12" t="str">
        <f t="shared" si="27"/>
        <v/>
      </c>
    </row>
    <row r="887" spans="1:23" x14ac:dyDescent="0.15">
      <c r="A887" s="14" t="str">
        <f t="shared" si="26"/>
        <v>190001</v>
      </c>
      <c r="C887" s="12" t="e">
        <f>INDEX(基础数据!$A$2:$A$1024,MATCH(转配商关联商!X887,基础数据!$D$2:$D$1024,0))</f>
        <v>#N/A</v>
      </c>
      <c r="E887" s="12" t="e">
        <f>INDEX(基础数据!$B$2:$B$1024,MATCH(转配商关联商!X887,基础数据!$D$2:$D$1024,0))</f>
        <v>#N/A</v>
      </c>
      <c r="G887" s="12" t="e">
        <f>INDEX([1]流向迭代数据!E$2:E$65536,MATCH(转配商关联商!W887,[1]流向迭代数据!M$2:M$65536,0))</f>
        <v>#N/A</v>
      </c>
      <c r="N887" s="12" t="e">
        <f>INDEX([1]流向迭代数据!J$2:J$65536,MATCH(L887,[1]流向迭代数据!H$2:H$65536,0))</f>
        <v>#N/A</v>
      </c>
      <c r="P887" s="14"/>
      <c r="T887" s="12" t="e">
        <f>INDEX([1]流向迭代数据!K$2:K$65536,MATCH(L887,[1]流向迭代数据!H$2:H$65536,0))</f>
        <v>#N/A</v>
      </c>
      <c r="W887" s="12" t="str">
        <f t="shared" si="27"/>
        <v/>
      </c>
    </row>
    <row r="888" spans="1:23" x14ac:dyDescent="0.15">
      <c r="A888" s="14" t="str">
        <f t="shared" si="26"/>
        <v>190001</v>
      </c>
      <c r="C888" s="12" t="e">
        <f>INDEX(基础数据!$A$2:$A$1024,MATCH(转配商关联商!X888,基础数据!$D$2:$D$1024,0))</f>
        <v>#N/A</v>
      </c>
      <c r="E888" s="12" t="e">
        <f>INDEX(基础数据!$B$2:$B$1024,MATCH(转配商关联商!X888,基础数据!$D$2:$D$1024,0))</f>
        <v>#N/A</v>
      </c>
      <c r="G888" s="12" t="e">
        <f>INDEX([1]流向迭代数据!E$2:E$65536,MATCH(转配商关联商!W888,[1]流向迭代数据!M$2:M$65536,0))</f>
        <v>#N/A</v>
      </c>
      <c r="N888" s="12" t="e">
        <f>INDEX([1]流向迭代数据!J$2:J$65536,MATCH(L888,[1]流向迭代数据!H$2:H$65536,0))</f>
        <v>#N/A</v>
      </c>
      <c r="P888" s="14"/>
      <c r="T888" s="12" t="e">
        <f>INDEX([1]流向迭代数据!K$2:K$65536,MATCH(L888,[1]流向迭代数据!H$2:H$65536,0))</f>
        <v>#N/A</v>
      </c>
      <c r="W888" s="12" t="str">
        <f t="shared" si="27"/>
        <v/>
      </c>
    </row>
    <row r="889" spans="1:23" x14ac:dyDescent="0.15">
      <c r="A889" s="14" t="str">
        <f t="shared" si="26"/>
        <v>190001</v>
      </c>
      <c r="C889" s="12" t="e">
        <f>INDEX(基础数据!$A$2:$A$1024,MATCH(转配商关联商!X889,基础数据!$D$2:$D$1024,0))</f>
        <v>#N/A</v>
      </c>
      <c r="E889" s="12" t="e">
        <f>INDEX(基础数据!$B$2:$B$1024,MATCH(转配商关联商!X889,基础数据!$D$2:$D$1024,0))</f>
        <v>#N/A</v>
      </c>
      <c r="G889" s="12" t="e">
        <f>INDEX([1]流向迭代数据!E$2:E$65536,MATCH(转配商关联商!W889,[1]流向迭代数据!M$2:M$65536,0))</f>
        <v>#N/A</v>
      </c>
      <c r="N889" s="12" t="e">
        <f>INDEX([1]流向迭代数据!J$2:J$65536,MATCH(L889,[1]流向迭代数据!H$2:H$65536,0))</f>
        <v>#N/A</v>
      </c>
      <c r="P889" s="14"/>
      <c r="T889" s="12" t="e">
        <f>INDEX([1]流向迭代数据!K$2:K$65536,MATCH(L889,[1]流向迭代数据!H$2:H$65536,0))</f>
        <v>#N/A</v>
      </c>
      <c r="W889" s="12" t="str">
        <f t="shared" si="27"/>
        <v/>
      </c>
    </row>
    <row r="890" spans="1:23" x14ac:dyDescent="0.15">
      <c r="A890" s="14" t="str">
        <f t="shared" si="26"/>
        <v>190001</v>
      </c>
      <c r="C890" s="12" t="e">
        <f>INDEX(基础数据!$A$2:$A$1024,MATCH(转配商关联商!X890,基础数据!$D$2:$D$1024,0))</f>
        <v>#N/A</v>
      </c>
      <c r="E890" s="12" t="e">
        <f>INDEX(基础数据!$B$2:$B$1024,MATCH(转配商关联商!X890,基础数据!$D$2:$D$1024,0))</f>
        <v>#N/A</v>
      </c>
      <c r="G890" s="12" t="e">
        <f>INDEX([1]流向迭代数据!E$2:E$65536,MATCH(转配商关联商!W890,[1]流向迭代数据!M$2:M$65536,0))</f>
        <v>#N/A</v>
      </c>
      <c r="N890" s="12" t="e">
        <f>INDEX([1]流向迭代数据!J$2:J$65536,MATCH(L890,[1]流向迭代数据!H$2:H$65536,0))</f>
        <v>#N/A</v>
      </c>
      <c r="P890" s="14"/>
      <c r="T890" s="12" t="e">
        <f>INDEX([1]流向迭代数据!K$2:K$65536,MATCH(L890,[1]流向迭代数据!H$2:H$65536,0))</f>
        <v>#N/A</v>
      </c>
      <c r="W890" s="12" t="str">
        <f t="shared" si="27"/>
        <v/>
      </c>
    </row>
    <row r="891" spans="1:23" x14ac:dyDescent="0.15">
      <c r="A891" s="14" t="str">
        <f t="shared" si="26"/>
        <v>190001</v>
      </c>
      <c r="C891" s="12" t="e">
        <f>INDEX(基础数据!$A$2:$A$1024,MATCH(转配商关联商!X891,基础数据!$D$2:$D$1024,0))</f>
        <v>#N/A</v>
      </c>
      <c r="E891" s="12" t="e">
        <f>INDEX(基础数据!$B$2:$B$1024,MATCH(转配商关联商!X891,基础数据!$D$2:$D$1024,0))</f>
        <v>#N/A</v>
      </c>
      <c r="G891" s="12" t="e">
        <f>INDEX([1]流向迭代数据!E$2:E$65536,MATCH(转配商关联商!W891,[1]流向迭代数据!M$2:M$65536,0))</f>
        <v>#N/A</v>
      </c>
      <c r="N891" s="12" t="e">
        <f>INDEX([1]流向迭代数据!J$2:J$65536,MATCH(L891,[1]流向迭代数据!H$2:H$65536,0))</f>
        <v>#N/A</v>
      </c>
      <c r="P891" s="14"/>
      <c r="T891" s="12" t="e">
        <f>INDEX([1]流向迭代数据!K$2:K$65536,MATCH(L891,[1]流向迭代数据!H$2:H$65536,0))</f>
        <v>#N/A</v>
      </c>
      <c r="W891" s="12" t="str">
        <f t="shared" si="27"/>
        <v/>
      </c>
    </row>
    <row r="892" spans="1:23" x14ac:dyDescent="0.15">
      <c r="A892" s="14" t="str">
        <f t="shared" si="26"/>
        <v>190001</v>
      </c>
      <c r="C892" s="12" t="e">
        <f>INDEX(基础数据!$A$2:$A$1024,MATCH(转配商关联商!X892,基础数据!$D$2:$D$1024,0))</f>
        <v>#N/A</v>
      </c>
      <c r="E892" s="12" t="e">
        <f>INDEX(基础数据!$B$2:$B$1024,MATCH(转配商关联商!X892,基础数据!$D$2:$D$1024,0))</f>
        <v>#N/A</v>
      </c>
      <c r="G892" s="12" t="e">
        <f>INDEX([1]流向迭代数据!E$2:E$65536,MATCH(转配商关联商!W892,[1]流向迭代数据!M$2:M$65536,0))</f>
        <v>#N/A</v>
      </c>
      <c r="N892" s="12" t="e">
        <f>INDEX([1]流向迭代数据!J$2:J$65536,MATCH(L892,[1]流向迭代数据!H$2:H$65536,0))</f>
        <v>#N/A</v>
      </c>
      <c r="P892" s="14"/>
      <c r="T892" s="12" t="e">
        <f>INDEX([1]流向迭代数据!K$2:K$65536,MATCH(L892,[1]流向迭代数据!H$2:H$65536,0))</f>
        <v>#N/A</v>
      </c>
      <c r="W892" s="12" t="str">
        <f t="shared" si="27"/>
        <v/>
      </c>
    </row>
    <row r="893" spans="1:23" x14ac:dyDescent="0.15">
      <c r="A893" s="14" t="str">
        <f t="shared" si="26"/>
        <v>190001</v>
      </c>
      <c r="C893" s="12" t="e">
        <f>INDEX(基础数据!$A$2:$A$1024,MATCH(转配商关联商!X893,基础数据!$D$2:$D$1024,0))</f>
        <v>#N/A</v>
      </c>
      <c r="E893" s="12" t="e">
        <f>INDEX(基础数据!$B$2:$B$1024,MATCH(转配商关联商!X893,基础数据!$D$2:$D$1024,0))</f>
        <v>#N/A</v>
      </c>
      <c r="G893" s="12" t="e">
        <f>INDEX([1]流向迭代数据!E$2:E$65536,MATCH(转配商关联商!W893,[1]流向迭代数据!M$2:M$65536,0))</f>
        <v>#N/A</v>
      </c>
      <c r="N893" s="12" t="e">
        <f>INDEX([1]流向迭代数据!J$2:J$65536,MATCH(L893,[1]流向迭代数据!H$2:H$65536,0))</f>
        <v>#N/A</v>
      </c>
      <c r="P893" s="14"/>
      <c r="T893" s="12" t="e">
        <f>INDEX([1]流向迭代数据!K$2:K$65536,MATCH(L893,[1]流向迭代数据!H$2:H$65536,0))</f>
        <v>#N/A</v>
      </c>
      <c r="W893" s="12" t="str">
        <f t="shared" si="27"/>
        <v/>
      </c>
    </row>
    <row r="894" spans="1:23" x14ac:dyDescent="0.15">
      <c r="A894" s="14" t="str">
        <f t="shared" si="26"/>
        <v>190001</v>
      </c>
      <c r="C894" s="12" t="e">
        <f>INDEX(基础数据!$A$2:$A$1024,MATCH(转配商关联商!X894,基础数据!$D$2:$D$1024,0))</f>
        <v>#N/A</v>
      </c>
      <c r="E894" s="12" t="e">
        <f>INDEX(基础数据!$B$2:$B$1024,MATCH(转配商关联商!X894,基础数据!$D$2:$D$1024,0))</f>
        <v>#N/A</v>
      </c>
      <c r="G894" s="12" t="e">
        <f>INDEX([1]流向迭代数据!E$2:E$65536,MATCH(转配商关联商!W894,[1]流向迭代数据!M$2:M$65536,0))</f>
        <v>#N/A</v>
      </c>
      <c r="N894" s="12" t="e">
        <f>INDEX([1]流向迭代数据!J$2:J$65536,MATCH(L894,[1]流向迭代数据!H$2:H$65536,0))</f>
        <v>#N/A</v>
      </c>
      <c r="P894" s="14"/>
      <c r="T894" s="12" t="e">
        <f>INDEX([1]流向迭代数据!K$2:K$65536,MATCH(L894,[1]流向迭代数据!H$2:H$65536,0))</f>
        <v>#N/A</v>
      </c>
      <c r="W894" s="12" t="str">
        <f t="shared" si="27"/>
        <v/>
      </c>
    </row>
    <row r="895" spans="1:23" x14ac:dyDescent="0.15">
      <c r="A895" s="14" t="str">
        <f t="shared" si="26"/>
        <v>190001</v>
      </c>
      <c r="C895" s="12" t="e">
        <f>INDEX(基础数据!$A$2:$A$1024,MATCH(转配商关联商!X895,基础数据!$D$2:$D$1024,0))</f>
        <v>#N/A</v>
      </c>
      <c r="E895" s="12" t="e">
        <f>INDEX(基础数据!$B$2:$B$1024,MATCH(转配商关联商!X895,基础数据!$D$2:$D$1024,0))</f>
        <v>#N/A</v>
      </c>
      <c r="G895" s="12" t="e">
        <f>INDEX([1]流向迭代数据!E$2:E$65536,MATCH(转配商关联商!W895,[1]流向迭代数据!M$2:M$65536,0))</f>
        <v>#N/A</v>
      </c>
      <c r="N895" s="12" t="e">
        <f>INDEX([1]流向迭代数据!J$2:J$65536,MATCH(L895,[1]流向迭代数据!H$2:H$65536,0))</f>
        <v>#N/A</v>
      </c>
      <c r="P895" s="14"/>
      <c r="T895" s="12" t="e">
        <f>INDEX([1]流向迭代数据!K$2:K$65536,MATCH(L895,[1]流向迭代数据!H$2:H$65536,0))</f>
        <v>#N/A</v>
      </c>
      <c r="W895" s="12" t="str">
        <f t="shared" si="27"/>
        <v/>
      </c>
    </row>
    <row r="896" spans="1:23" x14ac:dyDescent="0.15">
      <c r="A896" s="14" t="str">
        <f t="shared" si="26"/>
        <v>190001</v>
      </c>
      <c r="C896" s="12" t="e">
        <f>INDEX(基础数据!$A$2:$A$1024,MATCH(转配商关联商!X896,基础数据!$D$2:$D$1024,0))</f>
        <v>#N/A</v>
      </c>
      <c r="E896" s="12" t="e">
        <f>INDEX(基础数据!$B$2:$B$1024,MATCH(转配商关联商!X896,基础数据!$D$2:$D$1024,0))</f>
        <v>#N/A</v>
      </c>
      <c r="G896" s="12" t="e">
        <f>INDEX([1]流向迭代数据!E$2:E$65536,MATCH(转配商关联商!W896,[1]流向迭代数据!M$2:M$65536,0))</f>
        <v>#N/A</v>
      </c>
      <c r="N896" s="12" t="e">
        <f>INDEX([1]流向迭代数据!J$2:J$65536,MATCH(L896,[1]流向迭代数据!H$2:H$65536,0))</f>
        <v>#N/A</v>
      </c>
      <c r="P896" s="14"/>
      <c r="T896" s="12" t="e">
        <f>INDEX([1]流向迭代数据!K$2:K$65536,MATCH(L896,[1]流向迭代数据!H$2:H$65536,0))</f>
        <v>#N/A</v>
      </c>
      <c r="W896" s="12" t="str">
        <f t="shared" si="27"/>
        <v/>
      </c>
    </row>
    <row r="897" spans="1:23" x14ac:dyDescent="0.15">
      <c r="A897" s="14" t="str">
        <f t="shared" si="26"/>
        <v>190001</v>
      </c>
      <c r="C897" s="12" t="e">
        <f>INDEX(基础数据!$A$2:$A$1024,MATCH(转配商关联商!X897,基础数据!$D$2:$D$1024,0))</f>
        <v>#N/A</v>
      </c>
      <c r="E897" s="12" t="e">
        <f>INDEX(基础数据!$B$2:$B$1024,MATCH(转配商关联商!X897,基础数据!$D$2:$D$1024,0))</f>
        <v>#N/A</v>
      </c>
      <c r="G897" s="12" t="e">
        <f>INDEX([1]流向迭代数据!E$2:E$65536,MATCH(转配商关联商!W897,[1]流向迭代数据!M$2:M$65536,0))</f>
        <v>#N/A</v>
      </c>
      <c r="N897" s="12" t="e">
        <f>INDEX([1]流向迭代数据!J$2:J$65536,MATCH(L897,[1]流向迭代数据!H$2:H$65536,0))</f>
        <v>#N/A</v>
      </c>
      <c r="P897" s="14"/>
      <c r="T897" s="12" t="e">
        <f>INDEX([1]流向迭代数据!K$2:K$65536,MATCH(L897,[1]流向迭代数据!H$2:H$65536,0))</f>
        <v>#N/A</v>
      </c>
      <c r="W897" s="12" t="str">
        <f t="shared" si="27"/>
        <v/>
      </c>
    </row>
    <row r="898" spans="1:23" x14ac:dyDescent="0.15">
      <c r="A898" s="14" t="str">
        <f t="shared" si="26"/>
        <v>190001</v>
      </c>
      <c r="C898" s="12" t="e">
        <f>INDEX(基础数据!$A$2:$A$1024,MATCH(转配商关联商!X898,基础数据!$D$2:$D$1024,0))</f>
        <v>#N/A</v>
      </c>
      <c r="E898" s="12" t="e">
        <f>INDEX(基础数据!$B$2:$B$1024,MATCH(转配商关联商!X898,基础数据!$D$2:$D$1024,0))</f>
        <v>#N/A</v>
      </c>
      <c r="G898" s="12" t="e">
        <f>INDEX([1]流向迭代数据!E$2:E$65536,MATCH(转配商关联商!W898,[1]流向迭代数据!M$2:M$65536,0))</f>
        <v>#N/A</v>
      </c>
      <c r="N898" s="12" t="e">
        <f>INDEX([1]流向迭代数据!J$2:J$65536,MATCH(L898,[1]流向迭代数据!H$2:H$65536,0))</f>
        <v>#N/A</v>
      </c>
      <c r="P898" s="14"/>
      <c r="T898" s="12" t="e">
        <f>INDEX([1]流向迭代数据!K$2:K$65536,MATCH(L898,[1]流向迭代数据!H$2:H$65536,0))</f>
        <v>#N/A</v>
      </c>
      <c r="W898" s="12" t="str">
        <f t="shared" si="27"/>
        <v/>
      </c>
    </row>
    <row r="899" spans="1:23" x14ac:dyDescent="0.15">
      <c r="A899" s="14" t="str">
        <f t="shared" ref="A899:A962" si="28">IF(MONTH(P899)&lt;10,YEAR(P899)&amp;"0"&amp;MONTH(P899),YEAR(P899)&amp;MONTH(P899))</f>
        <v>190001</v>
      </c>
      <c r="C899" s="12" t="e">
        <f>INDEX(基础数据!$A$2:$A$1024,MATCH(转配商关联商!X899,基础数据!$D$2:$D$1024,0))</f>
        <v>#N/A</v>
      </c>
      <c r="E899" s="12" t="e">
        <f>INDEX(基础数据!$B$2:$B$1024,MATCH(转配商关联商!X899,基础数据!$D$2:$D$1024,0))</f>
        <v>#N/A</v>
      </c>
      <c r="G899" s="12" t="e">
        <f>INDEX([1]流向迭代数据!E$2:E$65536,MATCH(转配商关联商!W899,[1]流向迭代数据!M$2:M$65536,0))</f>
        <v>#N/A</v>
      </c>
      <c r="N899" s="12" t="e">
        <f>INDEX([1]流向迭代数据!J$2:J$65536,MATCH(L899,[1]流向迭代数据!H$2:H$65536,0))</f>
        <v>#N/A</v>
      </c>
      <c r="P899" s="14"/>
      <c r="T899" s="12" t="e">
        <f>INDEX([1]流向迭代数据!K$2:K$65536,MATCH(L899,[1]流向迭代数据!H$2:H$65536,0))</f>
        <v>#N/A</v>
      </c>
      <c r="W899" s="12" t="str">
        <f t="shared" ref="W899:W962" si="29">H899&amp;I899</f>
        <v/>
      </c>
    </row>
    <row r="900" spans="1:23" x14ac:dyDescent="0.15">
      <c r="A900" s="14" t="str">
        <f t="shared" si="28"/>
        <v>190001</v>
      </c>
      <c r="C900" s="12" t="e">
        <f>INDEX(基础数据!$A$2:$A$1024,MATCH(转配商关联商!X900,基础数据!$D$2:$D$1024,0))</f>
        <v>#N/A</v>
      </c>
      <c r="E900" s="12" t="e">
        <f>INDEX(基础数据!$B$2:$B$1024,MATCH(转配商关联商!X900,基础数据!$D$2:$D$1024,0))</f>
        <v>#N/A</v>
      </c>
      <c r="G900" s="12" t="e">
        <f>INDEX([1]流向迭代数据!E$2:E$65536,MATCH(转配商关联商!W900,[1]流向迭代数据!M$2:M$65536,0))</f>
        <v>#N/A</v>
      </c>
      <c r="N900" s="12" t="e">
        <f>INDEX([1]流向迭代数据!J$2:J$65536,MATCH(L900,[1]流向迭代数据!H$2:H$65536,0))</f>
        <v>#N/A</v>
      </c>
      <c r="P900" s="14"/>
      <c r="T900" s="12" t="e">
        <f>INDEX([1]流向迭代数据!K$2:K$65536,MATCH(L900,[1]流向迭代数据!H$2:H$65536,0))</f>
        <v>#N/A</v>
      </c>
      <c r="W900" s="12" t="str">
        <f t="shared" si="29"/>
        <v/>
      </c>
    </row>
    <row r="901" spans="1:23" x14ac:dyDescent="0.15">
      <c r="A901" s="14" t="str">
        <f t="shared" si="28"/>
        <v>190001</v>
      </c>
      <c r="C901" s="12" t="e">
        <f>INDEX(基础数据!$A$2:$A$1024,MATCH(转配商关联商!X901,基础数据!$D$2:$D$1024,0))</f>
        <v>#N/A</v>
      </c>
      <c r="E901" s="12" t="e">
        <f>INDEX(基础数据!$B$2:$B$1024,MATCH(转配商关联商!X901,基础数据!$D$2:$D$1024,0))</f>
        <v>#N/A</v>
      </c>
      <c r="G901" s="12" t="e">
        <f>INDEX([1]流向迭代数据!E$2:E$65536,MATCH(转配商关联商!W901,[1]流向迭代数据!M$2:M$65536,0))</f>
        <v>#N/A</v>
      </c>
      <c r="N901" s="12" t="e">
        <f>INDEX([1]流向迭代数据!J$2:J$65536,MATCH(L901,[1]流向迭代数据!H$2:H$65536,0))</f>
        <v>#N/A</v>
      </c>
      <c r="P901" s="14"/>
      <c r="T901" s="12" t="e">
        <f>INDEX([1]流向迭代数据!K$2:K$65536,MATCH(L901,[1]流向迭代数据!H$2:H$65536,0))</f>
        <v>#N/A</v>
      </c>
      <c r="W901" s="12" t="str">
        <f t="shared" si="29"/>
        <v/>
      </c>
    </row>
    <row r="902" spans="1:23" x14ac:dyDescent="0.15">
      <c r="A902" s="14" t="str">
        <f t="shared" si="28"/>
        <v>190001</v>
      </c>
      <c r="C902" s="12" t="e">
        <f>INDEX(基础数据!$A$2:$A$1024,MATCH(转配商关联商!X902,基础数据!$D$2:$D$1024,0))</f>
        <v>#N/A</v>
      </c>
      <c r="E902" s="12" t="e">
        <f>INDEX(基础数据!$B$2:$B$1024,MATCH(转配商关联商!X902,基础数据!$D$2:$D$1024,0))</f>
        <v>#N/A</v>
      </c>
      <c r="G902" s="12" t="e">
        <f>INDEX([1]流向迭代数据!E$2:E$65536,MATCH(转配商关联商!W902,[1]流向迭代数据!M$2:M$65536,0))</f>
        <v>#N/A</v>
      </c>
      <c r="N902" s="12" t="e">
        <f>INDEX([1]流向迭代数据!J$2:J$65536,MATCH(L902,[1]流向迭代数据!H$2:H$65536,0))</f>
        <v>#N/A</v>
      </c>
      <c r="P902" s="14"/>
      <c r="T902" s="12" t="e">
        <f>INDEX([1]流向迭代数据!K$2:K$65536,MATCH(L902,[1]流向迭代数据!H$2:H$65536,0))</f>
        <v>#N/A</v>
      </c>
      <c r="W902" s="12" t="str">
        <f t="shared" si="29"/>
        <v/>
      </c>
    </row>
    <row r="903" spans="1:23" x14ac:dyDescent="0.15">
      <c r="A903" s="14" t="str">
        <f t="shared" si="28"/>
        <v>190001</v>
      </c>
      <c r="C903" s="12" t="e">
        <f>INDEX(基础数据!$A$2:$A$1024,MATCH(转配商关联商!X903,基础数据!$D$2:$D$1024,0))</f>
        <v>#N/A</v>
      </c>
      <c r="E903" s="12" t="e">
        <f>INDEX(基础数据!$B$2:$B$1024,MATCH(转配商关联商!X903,基础数据!$D$2:$D$1024,0))</f>
        <v>#N/A</v>
      </c>
      <c r="G903" s="12" t="e">
        <f>INDEX([1]流向迭代数据!E$2:E$65536,MATCH(转配商关联商!W903,[1]流向迭代数据!M$2:M$65536,0))</f>
        <v>#N/A</v>
      </c>
      <c r="N903" s="12" t="e">
        <f>INDEX([1]流向迭代数据!J$2:J$65536,MATCH(L903,[1]流向迭代数据!H$2:H$65536,0))</f>
        <v>#N/A</v>
      </c>
      <c r="P903" s="14"/>
      <c r="T903" s="12" t="e">
        <f>INDEX([1]流向迭代数据!K$2:K$65536,MATCH(L903,[1]流向迭代数据!H$2:H$65536,0))</f>
        <v>#N/A</v>
      </c>
      <c r="W903" s="12" t="str">
        <f t="shared" si="29"/>
        <v/>
      </c>
    </row>
    <row r="904" spans="1:23" x14ac:dyDescent="0.15">
      <c r="A904" s="14" t="str">
        <f t="shared" si="28"/>
        <v>190001</v>
      </c>
      <c r="C904" s="12" t="e">
        <f>INDEX(基础数据!$A$2:$A$1024,MATCH(转配商关联商!X904,基础数据!$D$2:$D$1024,0))</f>
        <v>#N/A</v>
      </c>
      <c r="E904" s="12" t="e">
        <f>INDEX(基础数据!$B$2:$B$1024,MATCH(转配商关联商!X904,基础数据!$D$2:$D$1024,0))</f>
        <v>#N/A</v>
      </c>
      <c r="G904" s="12" t="e">
        <f>INDEX([1]流向迭代数据!E$2:E$65536,MATCH(转配商关联商!W904,[1]流向迭代数据!M$2:M$65536,0))</f>
        <v>#N/A</v>
      </c>
      <c r="N904" s="12" t="e">
        <f>INDEX([1]流向迭代数据!J$2:J$65536,MATCH(L904,[1]流向迭代数据!H$2:H$65536,0))</f>
        <v>#N/A</v>
      </c>
      <c r="P904" s="14"/>
      <c r="T904" s="12" t="e">
        <f>INDEX([1]流向迭代数据!K$2:K$65536,MATCH(L904,[1]流向迭代数据!H$2:H$65536,0))</f>
        <v>#N/A</v>
      </c>
      <c r="W904" s="12" t="str">
        <f t="shared" si="29"/>
        <v/>
      </c>
    </row>
    <row r="905" spans="1:23" x14ac:dyDescent="0.15">
      <c r="A905" s="14" t="str">
        <f t="shared" si="28"/>
        <v>190001</v>
      </c>
      <c r="C905" s="12" t="e">
        <f>INDEX(基础数据!$A$2:$A$1024,MATCH(转配商关联商!X905,基础数据!$D$2:$D$1024,0))</f>
        <v>#N/A</v>
      </c>
      <c r="E905" s="12" t="e">
        <f>INDEX(基础数据!$B$2:$B$1024,MATCH(转配商关联商!X905,基础数据!$D$2:$D$1024,0))</f>
        <v>#N/A</v>
      </c>
      <c r="G905" s="12" t="e">
        <f>INDEX([1]流向迭代数据!E$2:E$65536,MATCH(转配商关联商!W905,[1]流向迭代数据!M$2:M$65536,0))</f>
        <v>#N/A</v>
      </c>
      <c r="N905" s="12" t="e">
        <f>INDEX([1]流向迭代数据!J$2:J$65536,MATCH(L905,[1]流向迭代数据!H$2:H$65536,0))</f>
        <v>#N/A</v>
      </c>
      <c r="P905" s="14"/>
      <c r="T905" s="12" t="e">
        <f>INDEX([1]流向迭代数据!K$2:K$65536,MATCH(L905,[1]流向迭代数据!H$2:H$65536,0))</f>
        <v>#N/A</v>
      </c>
      <c r="W905" s="12" t="str">
        <f t="shared" si="29"/>
        <v/>
      </c>
    </row>
    <row r="906" spans="1:23" x14ac:dyDescent="0.15">
      <c r="A906" s="14" t="str">
        <f t="shared" si="28"/>
        <v>190001</v>
      </c>
      <c r="C906" s="12" t="e">
        <f>INDEX(基础数据!$A$2:$A$1024,MATCH(转配商关联商!X906,基础数据!$D$2:$D$1024,0))</f>
        <v>#N/A</v>
      </c>
      <c r="E906" s="12" t="e">
        <f>INDEX(基础数据!$B$2:$B$1024,MATCH(转配商关联商!X906,基础数据!$D$2:$D$1024,0))</f>
        <v>#N/A</v>
      </c>
      <c r="G906" s="12" t="e">
        <f>INDEX([1]流向迭代数据!E$2:E$65536,MATCH(转配商关联商!W906,[1]流向迭代数据!M$2:M$65536,0))</f>
        <v>#N/A</v>
      </c>
      <c r="N906" s="12" t="e">
        <f>INDEX([1]流向迭代数据!J$2:J$65536,MATCH(L906,[1]流向迭代数据!H$2:H$65536,0))</f>
        <v>#N/A</v>
      </c>
      <c r="P906" s="14"/>
      <c r="T906" s="12" t="e">
        <f>INDEX([1]流向迭代数据!K$2:K$65536,MATCH(L906,[1]流向迭代数据!H$2:H$65536,0))</f>
        <v>#N/A</v>
      </c>
      <c r="W906" s="12" t="str">
        <f t="shared" si="29"/>
        <v/>
      </c>
    </row>
    <row r="907" spans="1:23" x14ac:dyDescent="0.15">
      <c r="A907" s="14" t="str">
        <f t="shared" si="28"/>
        <v>190001</v>
      </c>
      <c r="C907" s="12" t="e">
        <f>INDEX(基础数据!$A$2:$A$1024,MATCH(转配商关联商!X907,基础数据!$D$2:$D$1024,0))</f>
        <v>#N/A</v>
      </c>
      <c r="E907" s="12" t="e">
        <f>INDEX(基础数据!$B$2:$B$1024,MATCH(转配商关联商!X907,基础数据!$D$2:$D$1024,0))</f>
        <v>#N/A</v>
      </c>
      <c r="G907" s="12" t="e">
        <f>INDEX([1]流向迭代数据!E$2:E$65536,MATCH(转配商关联商!W907,[1]流向迭代数据!M$2:M$65536,0))</f>
        <v>#N/A</v>
      </c>
      <c r="N907" s="12" t="e">
        <f>INDEX([1]流向迭代数据!J$2:J$65536,MATCH(L907,[1]流向迭代数据!H$2:H$65536,0))</f>
        <v>#N/A</v>
      </c>
      <c r="P907" s="14"/>
      <c r="T907" s="12" t="e">
        <f>INDEX([1]流向迭代数据!K$2:K$65536,MATCH(L907,[1]流向迭代数据!H$2:H$65536,0))</f>
        <v>#N/A</v>
      </c>
      <c r="W907" s="12" t="str">
        <f t="shared" si="29"/>
        <v/>
      </c>
    </row>
    <row r="908" spans="1:23" x14ac:dyDescent="0.15">
      <c r="A908" s="14" t="str">
        <f t="shared" si="28"/>
        <v>190001</v>
      </c>
      <c r="C908" s="12" t="e">
        <f>INDEX(基础数据!$A$2:$A$1024,MATCH(转配商关联商!X908,基础数据!$D$2:$D$1024,0))</f>
        <v>#N/A</v>
      </c>
      <c r="E908" s="12" t="e">
        <f>INDEX(基础数据!$B$2:$B$1024,MATCH(转配商关联商!X908,基础数据!$D$2:$D$1024,0))</f>
        <v>#N/A</v>
      </c>
      <c r="G908" s="12" t="e">
        <f>INDEX([1]流向迭代数据!E$2:E$65536,MATCH(转配商关联商!W908,[1]流向迭代数据!M$2:M$65536,0))</f>
        <v>#N/A</v>
      </c>
      <c r="N908" s="12" t="e">
        <f>INDEX([1]流向迭代数据!J$2:J$65536,MATCH(L908,[1]流向迭代数据!H$2:H$65536,0))</f>
        <v>#N/A</v>
      </c>
      <c r="P908" s="14"/>
      <c r="T908" s="12" t="e">
        <f>INDEX([1]流向迭代数据!K$2:K$65536,MATCH(L908,[1]流向迭代数据!H$2:H$65536,0))</f>
        <v>#N/A</v>
      </c>
      <c r="W908" s="12" t="str">
        <f t="shared" si="29"/>
        <v/>
      </c>
    </row>
    <row r="909" spans="1:23" x14ac:dyDescent="0.15">
      <c r="A909" s="14" t="str">
        <f t="shared" si="28"/>
        <v>190001</v>
      </c>
      <c r="C909" s="12" t="e">
        <f>INDEX(基础数据!$A$2:$A$1024,MATCH(转配商关联商!X909,基础数据!$D$2:$D$1024,0))</f>
        <v>#N/A</v>
      </c>
      <c r="E909" s="12" t="e">
        <f>INDEX(基础数据!$B$2:$B$1024,MATCH(转配商关联商!X909,基础数据!$D$2:$D$1024,0))</f>
        <v>#N/A</v>
      </c>
      <c r="G909" s="12" t="e">
        <f>INDEX([1]流向迭代数据!E$2:E$65536,MATCH(转配商关联商!W909,[1]流向迭代数据!M$2:M$65536,0))</f>
        <v>#N/A</v>
      </c>
      <c r="N909" s="12" t="e">
        <f>INDEX([1]流向迭代数据!J$2:J$65536,MATCH(L909,[1]流向迭代数据!H$2:H$65536,0))</f>
        <v>#N/A</v>
      </c>
      <c r="P909" s="14"/>
      <c r="T909" s="12" t="e">
        <f>INDEX([1]流向迭代数据!K$2:K$65536,MATCH(L909,[1]流向迭代数据!H$2:H$65536,0))</f>
        <v>#N/A</v>
      </c>
      <c r="W909" s="12" t="str">
        <f t="shared" si="29"/>
        <v/>
      </c>
    </row>
    <row r="910" spans="1:23" x14ac:dyDescent="0.15">
      <c r="A910" s="14" t="str">
        <f t="shared" si="28"/>
        <v>190001</v>
      </c>
      <c r="C910" s="12" t="e">
        <f>INDEX(基础数据!$A$2:$A$1024,MATCH(转配商关联商!X910,基础数据!$D$2:$D$1024,0))</f>
        <v>#N/A</v>
      </c>
      <c r="E910" s="12" t="e">
        <f>INDEX(基础数据!$B$2:$B$1024,MATCH(转配商关联商!X910,基础数据!$D$2:$D$1024,0))</f>
        <v>#N/A</v>
      </c>
      <c r="G910" s="12" t="e">
        <f>INDEX([1]流向迭代数据!E$2:E$65536,MATCH(转配商关联商!W910,[1]流向迭代数据!M$2:M$65536,0))</f>
        <v>#N/A</v>
      </c>
      <c r="N910" s="12" t="e">
        <f>INDEX([1]流向迭代数据!J$2:J$65536,MATCH(L910,[1]流向迭代数据!H$2:H$65536,0))</f>
        <v>#N/A</v>
      </c>
      <c r="P910" s="14"/>
      <c r="T910" s="12" t="e">
        <f>INDEX([1]流向迭代数据!K$2:K$65536,MATCH(L910,[1]流向迭代数据!H$2:H$65536,0))</f>
        <v>#N/A</v>
      </c>
      <c r="W910" s="12" t="str">
        <f t="shared" si="29"/>
        <v/>
      </c>
    </row>
    <row r="911" spans="1:23" x14ac:dyDescent="0.15">
      <c r="A911" s="14" t="str">
        <f t="shared" si="28"/>
        <v>190001</v>
      </c>
      <c r="C911" s="12" t="e">
        <f>INDEX(基础数据!$A$2:$A$1024,MATCH(转配商关联商!X911,基础数据!$D$2:$D$1024,0))</f>
        <v>#N/A</v>
      </c>
      <c r="E911" s="12" t="e">
        <f>INDEX(基础数据!$B$2:$B$1024,MATCH(转配商关联商!X911,基础数据!$D$2:$D$1024,0))</f>
        <v>#N/A</v>
      </c>
      <c r="G911" s="12" t="e">
        <f>INDEX([1]流向迭代数据!E$2:E$65536,MATCH(转配商关联商!W911,[1]流向迭代数据!M$2:M$65536,0))</f>
        <v>#N/A</v>
      </c>
      <c r="N911" s="12" t="e">
        <f>INDEX([1]流向迭代数据!J$2:J$65536,MATCH(L911,[1]流向迭代数据!H$2:H$65536,0))</f>
        <v>#N/A</v>
      </c>
      <c r="P911" s="14"/>
      <c r="T911" s="12" t="e">
        <f>INDEX([1]流向迭代数据!K$2:K$65536,MATCH(L911,[1]流向迭代数据!H$2:H$65536,0))</f>
        <v>#N/A</v>
      </c>
      <c r="W911" s="12" t="str">
        <f t="shared" si="29"/>
        <v/>
      </c>
    </row>
    <row r="912" spans="1:23" x14ac:dyDescent="0.15">
      <c r="A912" s="14" t="str">
        <f t="shared" si="28"/>
        <v>190001</v>
      </c>
      <c r="C912" s="12" t="e">
        <f>INDEX(基础数据!$A$2:$A$1024,MATCH(转配商关联商!X912,基础数据!$D$2:$D$1024,0))</f>
        <v>#N/A</v>
      </c>
      <c r="E912" s="12" t="e">
        <f>INDEX(基础数据!$B$2:$B$1024,MATCH(转配商关联商!X912,基础数据!$D$2:$D$1024,0))</f>
        <v>#N/A</v>
      </c>
      <c r="G912" s="12" t="e">
        <f>INDEX([1]流向迭代数据!E$2:E$65536,MATCH(转配商关联商!W912,[1]流向迭代数据!M$2:M$65536,0))</f>
        <v>#N/A</v>
      </c>
      <c r="N912" s="12" t="e">
        <f>INDEX([1]流向迭代数据!J$2:J$65536,MATCH(L912,[1]流向迭代数据!H$2:H$65536,0))</f>
        <v>#N/A</v>
      </c>
      <c r="P912" s="14"/>
      <c r="T912" s="12" t="e">
        <f>INDEX([1]流向迭代数据!K$2:K$65536,MATCH(L912,[1]流向迭代数据!H$2:H$65536,0))</f>
        <v>#N/A</v>
      </c>
      <c r="W912" s="12" t="str">
        <f t="shared" si="29"/>
        <v/>
      </c>
    </row>
    <row r="913" spans="1:23" x14ac:dyDescent="0.15">
      <c r="A913" s="14" t="str">
        <f t="shared" si="28"/>
        <v>190001</v>
      </c>
      <c r="C913" s="12" t="e">
        <f>INDEX(基础数据!$A$2:$A$1024,MATCH(转配商关联商!X913,基础数据!$D$2:$D$1024,0))</f>
        <v>#N/A</v>
      </c>
      <c r="E913" s="12" t="e">
        <f>INDEX(基础数据!$B$2:$B$1024,MATCH(转配商关联商!X913,基础数据!$D$2:$D$1024,0))</f>
        <v>#N/A</v>
      </c>
      <c r="G913" s="12" t="e">
        <f>INDEX([1]流向迭代数据!E$2:E$65536,MATCH(转配商关联商!W913,[1]流向迭代数据!M$2:M$65536,0))</f>
        <v>#N/A</v>
      </c>
      <c r="N913" s="12" t="e">
        <f>INDEX([1]流向迭代数据!J$2:J$65536,MATCH(L913,[1]流向迭代数据!H$2:H$65536,0))</f>
        <v>#N/A</v>
      </c>
      <c r="P913" s="14"/>
      <c r="T913" s="12" t="e">
        <f>INDEX([1]流向迭代数据!K$2:K$65536,MATCH(L913,[1]流向迭代数据!H$2:H$65536,0))</f>
        <v>#N/A</v>
      </c>
      <c r="W913" s="12" t="str">
        <f t="shared" si="29"/>
        <v/>
      </c>
    </row>
    <row r="914" spans="1:23" x14ac:dyDescent="0.15">
      <c r="A914" s="14" t="str">
        <f t="shared" si="28"/>
        <v>190001</v>
      </c>
      <c r="C914" s="12" t="e">
        <f>INDEX(基础数据!$A$2:$A$1024,MATCH(转配商关联商!X914,基础数据!$D$2:$D$1024,0))</f>
        <v>#N/A</v>
      </c>
      <c r="E914" s="12" t="e">
        <f>INDEX(基础数据!$B$2:$B$1024,MATCH(转配商关联商!X914,基础数据!$D$2:$D$1024,0))</f>
        <v>#N/A</v>
      </c>
      <c r="G914" s="12" t="e">
        <f>INDEX([1]流向迭代数据!E$2:E$65536,MATCH(转配商关联商!W914,[1]流向迭代数据!M$2:M$65536,0))</f>
        <v>#N/A</v>
      </c>
      <c r="N914" s="12" t="e">
        <f>INDEX([1]流向迭代数据!J$2:J$65536,MATCH(L914,[1]流向迭代数据!H$2:H$65536,0))</f>
        <v>#N/A</v>
      </c>
      <c r="P914" s="14"/>
      <c r="T914" s="12" t="e">
        <f>INDEX([1]流向迭代数据!K$2:K$65536,MATCH(L914,[1]流向迭代数据!H$2:H$65536,0))</f>
        <v>#N/A</v>
      </c>
      <c r="W914" s="12" t="str">
        <f t="shared" si="29"/>
        <v/>
      </c>
    </row>
    <row r="915" spans="1:23" x14ac:dyDescent="0.15">
      <c r="A915" s="14" t="str">
        <f t="shared" si="28"/>
        <v>190001</v>
      </c>
      <c r="C915" s="12" t="e">
        <f>INDEX(基础数据!$A$2:$A$1024,MATCH(转配商关联商!X915,基础数据!$D$2:$D$1024,0))</f>
        <v>#N/A</v>
      </c>
      <c r="E915" s="12" t="e">
        <f>INDEX(基础数据!$B$2:$B$1024,MATCH(转配商关联商!X915,基础数据!$D$2:$D$1024,0))</f>
        <v>#N/A</v>
      </c>
      <c r="G915" s="12" t="e">
        <f>INDEX([1]流向迭代数据!E$2:E$65536,MATCH(转配商关联商!W915,[1]流向迭代数据!M$2:M$65536,0))</f>
        <v>#N/A</v>
      </c>
      <c r="N915" s="12" t="e">
        <f>INDEX([1]流向迭代数据!J$2:J$65536,MATCH(L915,[1]流向迭代数据!H$2:H$65536,0))</f>
        <v>#N/A</v>
      </c>
      <c r="P915" s="14"/>
      <c r="T915" s="12" t="e">
        <f>INDEX([1]流向迭代数据!K$2:K$65536,MATCH(L915,[1]流向迭代数据!H$2:H$65536,0))</f>
        <v>#N/A</v>
      </c>
      <c r="W915" s="12" t="str">
        <f t="shared" si="29"/>
        <v/>
      </c>
    </row>
    <row r="916" spans="1:23" x14ac:dyDescent="0.15">
      <c r="A916" s="14" t="str">
        <f t="shared" si="28"/>
        <v>190001</v>
      </c>
      <c r="C916" s="12" t="e">
        <f>INDEX(基础数据!$A$2:$A$1024,MATCH(转配商关联商!X916,基础数据!$D$2:$D$1024,0))</f>
        <v>#N/A</v>
      </c>
      <c r="E916" s="12" t="e">
        <f>INDEX(基础数据!$B$2:$B$1024,MATCH(转配商关联商!X916,基础数据!$D$2:$D$1024,0))</f>
        <v>#N/A</v>
      </c>
      <c r="G916" s="12" t="e">
        <f>INDEX([1]流向迭代数据!E$2:E$65536,MATCH(转配商关联商!W916,[1]流向迭代数据!M$2:M$65536,0))</f>
        <v>#N/A</v>
      </c>
      <c r="N916" s="12" t="e">
        <f>INDEX([1]流向迭代数据!J$2:J$65536,MATCH(L916,[1]流向迭代数据!H$2:H$65536,0))</f>
        <v>#N/A</v>
      </c>
      <c r="P916" s="14"/>
      <c r="T916" s="12" t="e">
        <f>INDEX([1]流向迭代数据!K$2:K$65536,MATCH(L916,[1]流向迭代数据!H$2:H$65536,0))</f>
        <v>#N/A</v>
      </c>
      <c r="W916" s="12" t="str">
        <f t="shared" si="29"/>
        <v/>
      </c>
    </row>
    <row r="917" spans="1:23" x14ac:dyDescent="0.15">
      <c r="A917" s="14" t="str">
        <f t="shared" si="28"/>
        <v>190001</v>
      </c>
      <c r="C917" s="12" t="e">
        <f>INDEX(基础数据!$A$2:$A$1024,MATCH(转配商关联商!X917,基础数据!$D$2:$D$1024,0))</f>
        <v>#N/A</v>
      </c>
      <c r="E917" s="12" t="e">
        <f>INDEX(基础数据!$B$2:$B$1024,MATCH(转配商关联商!X917,基础数据!$D$2:$D$1024,0))</f>
        <v>#N/A</v>
      </c>
      <c r="G917" s="12" t="e">
        <f>INDEX([1]流向迭代数据!E$2:E$65536,MATCH(转配商关联商!W917,[1]流向迭代数据!M$2:M$65536,0))</f>
        <v>#N/A</v>
      </c>
      <c r="N917" s="12" t="e">
        <f>INDEX([1]流向迭代数据!J$2:J$65536,MATCH(L917,[1]流向迭代数据!H$2:H$65536,0))</f>
        <v>#N/A</v>
      </c>
      <c r="P917" s="14"/>
      <c r="T917" s="12" t="e">
        <f>INDEX([1]流向迭代数据!K$2:K$65536,MATCH(L917,[1]流向迭代数据!H$2:H$65536,0))</f>
        <v>#N/A</v>
      </c>
      <c r="W917" s="12" t="str">
        <f t="shared" si="29"/>
        <v/>
      </c>
    </row>
    <row r="918" spans="1:23" x14ac:dyDescent="0.15">
      <c r="A918" s="14" t="str">
        <f t="shared" si="28"/>
        <v>190001</v>
      </c>
      <c r="C918" s="12" t="e">
        <f>INDEX(基础数据!$A$2:$A$1024,MATCH(转配商关联商!X918,基础数据!$D$2:$D$1024,0))</f>
        <v>#N/A</v>
      </c>
      <c r="E918" s="12" t="e">
        <f>INDEX(基础数据!$B$2:$B$1024,MATCH(转配商关联商!X918,基础数据!$D$2:$D$1024,0))</f>
        <v>#N/A</v>
      </c>
      <c r="G918" s="12" t="e">
        <f>INDEX([1]流向迭代数据!E$2:E$65536,MATCH(转配商关联商!W918,[1]流向迭代数据!M$2:M$65536,0))</f>
        <v>#N/A</v>
      </c>
      <c r="N918" s="12" t="e">
        <f>INDEX([1]流向迭代数据!J$2:J$65536,MATCH(L918,[1]流向迭代数据!H$2:H$65536,0))</f>
        <v>#N/A</v>
      </c>
      <c r="P918" s="14"/>
      <c r="T918" s="12" t="e">
        <f>INDEX([1]流向迭代数据!K$2:K$65536,MATCH(L918,[1]流向迭代数据!H$2:H$65536,0))</f>
        <v>#N/A</v>
      </c>
      <c r="W918" s="12" t="str">
        <f t="shared" si="29"/>
        <v/>
      </c>
    </row>
    <row r="919" spans="1:23" x14ac:dyDescent="0.15">
      <c r="A919" s="14" t="str">
        <f t="shared" si="28"/>
        <v>190001</v>
      </c>
      <c r="C919" s="12" t="e">
        <f>INDEX(基础数据!$A$2:$A$1024,MATCH(转配商关联商!X919,基础数据!$D$2:$D$1024,0))</f>
        <v>#N/A</v>
      </c>
      <c r="E919" s="12" t="e">
        <f>INDEX(基础数据!$B$2:$B$1024,MATCH(转配商关联商!X919,基础数据!$D$2:$D$1024,0))</f>
        <v>#N/A</v>
      </c>
      <c r="G919" s="12" t="e">
        <f>INDEX([1]流向迭代数据!E$2:E$65536,MATCH(转配商关联商!W919,[1]流向迭代数据!M$2:M$65536,0))</f>
        <v>#N/A</v>
      </c>
      <c r="N919" s="12" t="e">
        <f>INDEX([1]流向迭代数据!J$2:J$65536,MATCH(L919,[1]流向迭代数据!H$2:H$65536,0))</f>
        <v>#N/A</v>
      </c>
      <c r="P919" s="14"/>
      <c r="T919" s="12" t="e">
        <f>INDEX([1]流向迭代数据!K$2:K$65536,MATCH(L919,[1]流向迭代数据!H$2:H$65536,0))</f>
        <v>#N/A</v>
      </c>
      <c r="W919" s="12" t="str">
        <f t="shared" si="29"/>
        <v/>
      </c>
    </row>
    <row r="920" spans="1:23" x14ac:dyDescent="0.15">
      <c r="A920" s="14" t="str">
        <f t="shared" si="28"/>
        <v>190001</v>
      </c>
      <c r="C920" s="12" t="e">
        <f>INDEX(基础数据!$A$2:$A$1024,MATCH(转配商关联商!X920,基础数据!$D$2:$D$1024,0))</f>
        <v>#N/A</v>
      </c>
      <c r="E920" s="12" t="e">
        <f>INDEX(基础数据!$B$2:$B$1024,MATCH(转配商关联商!X920,基础数据!$D$2:$D$1024,0))</f>
        <v>#N/A</v>
      </c>
      <c r="G920" s="12" t="e">
        <f>INDEX([1]流向迭代数据!E$2:E$65536,MATCH(转配商关联商!W920,[1]流向迭代数据!M$2:M$65536,0))</f>
        <v>#N/A</v>
      </c>
      <c r="N920" s="12" t="e">
        <f>INDEX([1]流向迭代数据!J$2:J$65536,MATCH(L920,[1]流向迭代数据!H$2:H$65536,0))</f>
        <v>#N/A</v>
      </c>
      <c r="P920" s="14"/>
      <c r="T920" s="12" t="e">
        <f>INDEX([1]流向迭代数据!K$2:K$65536,MATCH(L920,[1]流向迭代数据!H$2:H$65536,0))</f>
        <v>#N/A</v>
      </c>
      <c r="W920" s="12" t="str">
        <f t="shared" si="29"/>
        <v/>
      </c>
    </row>
    <row r="921" spans="1:23" x14ac:dyDescent="0.15">
      <c r="A921" s="14" t="str">
        <f t="shared" si="28"/>
        <v>190001</v>
      </c>
      <c r="C921" s="12" t="e">
        <f>INDEX(基础数据!$A$2:$A$1024,MATCH(转配商关联商!X921,基础数据!$D$2:$D$1024,0))</f>
        <v>#N/A</v>
      </c>
      <c r="E921" s="12" t="e">
        <f>INDEX(基础数据!$B$2:$B$1024,MATCH(转配商关联商!X921,基础数据!$D$2:$D$1024,0))</f>
        <v>#N/A</v>
      </c>
      <c r="G921" s="12" t="e">
        <f>INDEX([1]流向迭代数据!E$2:E$65536,MATCH(转配商关联商!W921,[1]流向迭代数据!M$2:M$65536,0))</f>
        <v>#N/A</v>
      </c>
      <c r="N921" s="12" t="e">
        <f>INDEX([1]流向迭代数据!J$2:J$65536,MATCH(L921,[1]流向迭代数据!H$2:H$65536,0))</f>
        <v>#N/A</v>
      </c>
      <c r="P921" s="14"/>
      <c r="T921" s="12" t="e">
        <f>INDEX([1]流向迭代数据!K$2:K$65536,MATCH(L921,[1]流向迭代数据!H$2:H$65536,0))</f>
        <v>#N/A</v>
      </c>
      <c r="W921" s="12" t="str">
        <f t="shared" si="29"/>
        <v/>
      </c>
    </row>
    <row r="922" spans="1:23" x14ac:dyDescent="0.15">
      <c r="A922" s="14" t="str">
        <f t="shared" si="28"/>
        <v>190001</v>
      </c>
      <c r="C922" s="12" t="e">
        <f>INDEX(基础数据!$A$2:$A$1024,MATCH(转配商关联商!X922,基础数据!$D$2:$D$1024,0))</f>
        <v>#N/A</v>
      </c>
      <c r="E922" s="12" t="e">
        <f>INDEX(基础数据!$B$2:$B$1024,MATCH(转配商关联商!X922,基础数据!$D$2:$D$1024,0))</f>
        <v>#N/A</v>
      </c>
      <c r="G922" s="12" t="e">
        <f>INDEX([1]流向迭代数据!E$2:E$65536,MATCH(转配商关联商!W922,[1]流向迭代数据!M$2:M$65536,0))</f>
        <v>#N/A</v>
      </c>
      <c r="N922" s="12" t="e">
        <f>INDEX([1]流向迭代数据!J$2:J$65536,MATCH(L922,[1]流向迭代数据!H$2:H$65536,0))</f>
        <v>#N/A</v>
      </c>
      <c r="P922" s="14"/>
      <c r="T922" s="12" t="e">
        <f>INDEX([1]流向迭代数据!K$2:K$65536,MATCH(L922,[1]流向迭代数据!H$2:H$65536,0))</f>
        <v>#N/A</v>
      </c>
      <c r="W922" s="12" t="str">
        <f t="shared" si="29"/>
        <v/>
      </c>
    </row>
    <row r="923" spans="1:23" x14ac:dyDescent="0.15">
      <c r="A923" s="14" t="str">
        <f t="shared" si="28"/>
        <v>190001</v>
      </c>
      <c r="C923" s="12" t="e">
        <f>INDEX(基础数据!$A$2:$A$1024,MATCH(转配商关联商!X923,基础数据!$D$2:$D$1024,0))</f>
        <v>#N/A</v>
      </c>
      <c r="E923" s="12" t="e">
        <f>INDEX(基础数据!$B$2:$B$1024,MATCH(转配商关联商!X923,基础数据!$D$2:$D$1024,0))</f>
        <v>#N/A</v>
      </c>
      <c r="G923" s="12" t="e">
        <f>INDEX([1]流向迭代数据!E$2:E$65536,MATCH(转配商关联商!W923,[1]流向迭代数据!M$2:M$65536,0))</f>
        <v>#N/A</v>
      </c>
      <c r="N923" s="12" t="e">
        <f>INDEX([1]流向迭代数据!J$2:J$65536,MATCH(L923,[1]流向迭代数据!H$2:H$65536,0))</f>
        <v>#N/A</v>
      </c>
      <c r="P923" s="14"/>
      <c r="T923" s="12" t="e">
        <f>INDEX([1]流向迭代数据!K$2:K$65536,MATCH(L923,[1]流向迭代数据!H$2:H$65536,0))</f>
        <v>#N/A</v>
      </c>
      <c r="W923" s="12" t="str">
        <f t="shared" si="29"/>
        <v/>
      </c>
    </row>
    <row r="924" spans="1:23" x14ac:dyDescent="0.15">
      <c r="A924" s="14" t="str">
        <f t="shared" si="28"/>
        <v>190001</v>
      </c>
      <c r="C924" s="12" t="e">
        <f>INDEX(基础数据!$A$2:$A$1024,MATCH(转配商关联商!X924,基础数据!$D$2:$D$1024,0))</f>
        <v>#N/A</v>
      </c>
      <c r="E924" s="12" t="e">
        <f>INDEX(基础数据!$B$2:$B$1024,MATCH(转配商关联商!X924,基础数据!$D$2:$D$1024,0))</f>
        <v>#N/A</v>
      </c>
      <c r="G924" s="12" t="e">
        <f>INDEX([1]流向迭代数据!E$2:E$65536,MATCH(转配商关联商!W924,[1]流向迭代数据!M$2:M$65536,0))</f>
        <v>#N/A</v>
      </c>
      <c r="N924" s="12" t="e">
        <f>INDEX([1]流向迭代数据!J$2:J$65536,MATCH(L924,[1]流向迭代数据!H$2:H$65536,0))</f>
        <v>#N/A</v>
      </c>
      <c r="P924" s="14"/>
      <c r="T924" s="12" t="e">
        <f>INDEX([1]流向迭代数据!K$2:K$65536,MATCH(L924,[1]流向迭代数据!H$2:H$65536,0))</f>
        <v>#N/A</v>
      </c>
      <c r="W924" s="12" t="str">
        <f t="shared" si="29"/>
        <v/>
      </c>
    </row>
    <row r="925" spans="1:23" x14ac:dyDescent="0.15">
      <c r="A925" s="14" t="str">
        <f t="shared" si="28"/>
        <v>190001</v>
      </c>
      <c r="C925" s="12" t="e">
        <f>INDEX(基础数据!$A$2:$A$1024,MATCH(转配商关联商!X925,基础数据!$D$2:$D$1024,0))</f>
        <v>#N/A</v>
      </c>
      <c r="E925" s="12" t="e">
        <f>INDEX(基础数据!$B$2:$B$1024,MATCH(转配商关联商!X925,基础数据!$D$2:$D$1024,0))</f>
        <v>#N/A</v>
      </c>
      <c r="G925" s="12" t="e">
        <f>INDEX([1]流向迭代数据!E$2:E$65536,MATCH(转配商关联商!W925,[1]流向迭代数据!M$2:M$65536,0))</f>
        <v>#N/A</v>
      </c>
      <c r="N925" s="12" t="e">
        <f>INDEX([1]流向迭代数据!J$2:J$65536,MATCH(L925,[1]流向迭代数据!H$2:H$65536,0))</f>
        <v>#N/A</v>
      </c>
      <c r="P925" s="14"/>
      <c r="T925" s="12" t="e">
        <f>INDEX([1]流向迭代数据!K$2:K$65536,MATCH(L925,[1]流向迭代数据!H$2:H$65536,0))</f>
        <v>#N/A</v>
      </c>
      <c r="W925" s="12" t="str">
        <f t="shared" si="29"/>
        <v/>
      </c>
    </row>
    <row r="926" spans="1:23" x14ac:dyDescent="0.15">
      <c r="A926" s="14" t="str">
        <f t="shared" si="28"/>
        <v>190001</v>
      </c>
      <c r="C926" s="12" t="e">
        <f>INDEX(基础数据!$A$2:$A$1024,MATCH(转配商关联商!X926,基础数据!$D$2:$D$1024,0))</f>
        <v>#N/A</v>
      </c>
      <c r="E926" s="12" t="e">
        <f>INDEX(基础数据!$B$2:$B$1024,MATCH(转配商关联商!X926,基础数据!$D$2:$D$1024,0))</f>
        <v>#N/A</v>
      </c>
      <c r="G926" s="12" t="e">
        <f>INDEX([1]流向迭代数据!E$2:E$65536,MATCH(转配商关联商!W926,[1]流向迭代数据!M$2:M$65536,0))</f>
        <v>#N/A</v>
      </c>
      <c r="N926" s="12" t="e">
        <f>INDEX([1]流向迭代数据!J$2:J$65536,MATCH(L926,[1]流向迭代数据!H$2:H$65536,0))</f>
        <v>#N/A</v>
      </c>
      <c r="P926" s="14"/>
      <c r="T926" s="12" t="e">
        <f>INDEX([1]流向迭代数据!K$2:K$65536,MATCH(L926,[1]流向迭代数据!H$2:H$65536,0))</f>
        <v>#N/A</v>
      </c>
      <c r="W926" s="12" t="str">
        <f t="shared" si="29"/>
        <v/>
      </c>
    </row>
    <row r="927" spans="1:23" x14ac:dyDescent="0.15">
      <c r="A927" s="14" t="str">
        <f t="shared" si="28"/>
        <v>190001</v>
      </c>
      <c r="C927" s="12" t="e">
        <f>INDEX(基础数据!$A$2:$A$1024,MATCH(转配商关联商!X927,基础数据!$D$2:$D$1024,0))</f>
        <v>#N/A</v>
      </c>
      <c r="E927" s="12" t="e">
        <f>INDEX(基础数据!$B$2:$B$1024,MATCH(转配商关联商!X927,基础数据!$D$2:$D$1024,0))</f>
        <v>#N/A</v>
      </c>
      <c r="G927" s="12" t="e">
        <f>INDEX([1]流向迭代数据!E$2:E$65536,MATCH(转配商关联商!W927,[1]流向迭代数据!M$2:M$65536,0))</f>
        <v>#N/A</v>
      </c>
      <c r="N927" s="12" t="e">
        <f>INDEX([1]流向迭代数据!J$2:J$65536,MATCH(L927,[1]流向迭代数据!H$2:H$65536,0))</f>
        <v>#N/A</v>
      </c>
      <c r="P927" s="14"/>
      <c r="T927" s="12" t="e">
        <f>INDEX([1]流向迭代数据!K$2:K$65536,MATCH(L927,[1]流向迭代数据!H$2:H$65536,0))</f>
        <v>#N/A</v>
      </c>
      <c r="W927" s="12" t="str">
        <f t="shared" si="29"/>
        <v/>
      </c>
    </row>
    <row r="928" spans="1:23" x14ac:dyDescent="0.15">
      <c r="A928" s="14" t="str">
        <f t="shared" si="28"/>
        <v>190001</v>
      </c>
      <c r="C928" s="12" t="e">
        <f>INDEX(基础数据!$A$2:$A$1024,MATCH(转配商关联商!X928,基础数据!$D$2:$D$1024,0))</f>
        <v>#N/A</v>
      </c>
      <c r="E928" s="12" t="e">
        <f>INDEX(基础数据!$B$2:$B$1024,MATCH(转配商关联商!X928,基础数据!$D$2:$D$1024,0))</f>
        <v>#N/A</v>
      </c>
      <c r="G928" s="12" t="e">
        <f>INDEX([1]流向迭代数据!E$2:E$65536,MATCH(转配商关联商!W928,[1]流向迭代数据!M$2:M$65536,0))</f>
        <v>#N/A</v>
      </c>
      <c r="N928" s="12" t="e">
        <f>INDEX([1]流向迭代数据!J$2:J$65536,MATCH(L928,[1]流向迭代数据!H$2:H$65536,0))</f>
        <v>#N/A</v>
      </c>
      <c r="P928" s="14"/>
      <c r="T928" s="12" t="e">
        <f>INDEX([1]流向迭代数据!K$2:K$65536,MATCH(L928,[1]流向迭代数据!H$2:H$65536,0))</f>
        <v>#N/A</v>
      </c>
      <c r="W928" s="12" t="str">
        <f t="shared" si="29"/>
        <v/>
      </c>
    </row>
    <row r="929" spans="1:23" x14ac:dyDescent="0.15">
      <c r="A929" s="14" t="str">
        <f t="shared" si="28"/>
        <v>190001</v>
      </c>
      <c r="C929" s="12" t="e">
        <f>INDEX(基础数据!$A$2:$A$1024,MATCH(转配商关联商!X929,基础数据!$D$2:$D$1024,0))</f>
        <v>#N/A</v>
      </c>
      <c r="E929" s="12" t="e">
        <f>INDEX(基础数据!$B$2:$B$1024,MATCH(转配商关联商!X929,基础数据!$D$2:$D$1024,0))</f>
        <v>#N/A</v>
      </c>
      <c r="G929" s="12" t="e">
        <f>INDEX([1]流向迭代数据!E$2:E$65536,MATCH(转配商关联商!W929,[1]流向迭代数据!M$2:M$65536,0))</f>
        <v>#N/A</v>
      </c>
      <c r="N929" s="12" t="e">
        <f>INDEX([1]流向迭代数据!J$2:J$65536,MATCH(L929,[1]流向迭代数据!H$2:H$65536,0))</f>
        <v>#N/A</v>
      </c>
      <c r="P929" s="14"/>
      <c r="T929" s="12" t="e">
        <f>INDEX([1]流向迭代数据!K$2:K$65536,MATCH(L929,[1]流向迭代数据!H$2:H$65536,0))</f>
        <v>#N/A</v>
      </c>
      <c r="W929" s="12" t="str">
        <f t="shared" si="29"/>
        <v/>
      </c>
    </row>
    <row r="930" spans="1:23" x14ac:dyDescent="0.15">
      <c r="A930" s="14" t="str">
        <f t="shared" si="28"/>
        <v>190001</v>
      </c>
      <c r="C930" s="12" t="e">
        <f>INDEX(基础数据!$A$2:$A$1024,MATCH(转配商关联商!X930,基础数据!$D$2:$D$1024,0))</f>
        <v>#N/A</v>
      </c>
      <c r="E930" s="12" t="e">
        <f>INDEX(基础数据!$B$2:$B$1024,MATCH(转配商关联商!X930,基础数据!$D$2:$D$1024,0))</f>
        <v>#N/A</v>
      </c>
      <c r="G930" s="12" t="e">
        <f>INDEX([1]流向迭代数据!E$2:E$65536,MATCH(转配商关联商!W930,[1]流向迭代数据!M$2:M$65536,0))</f>
        <v>#N/A</v>
      </c>
      <c r="N930" s="12" t="e">
        <f>INDEX([1]流向迭代数据!J$2:J$65536,MATCH(L930,[1]流向迭代数据!H$2:H$65536,0))</f>
        <v>#N/A</v>
      </c>
      <c r="P930" s="14"/>
      <c r="T930" s="12" t="e">
        <f>INDEX([1]流向迭代数据!K$2:K$65536,MATCH(L930,[1]流向迭代数据!H$2:H$65536,0))</f>
        <v>#N/A</v>
      </c>
      <c r="W930" s="12" t="str">
        <f t="shared" si="29"/>
        <v/>
      </c>
    </row>
    <row r="931" spans="1:23" x14ac:dyDescent="0.15">
      <c r="A931" s="14" t="str">
        <f t="shared" si="28"/>
        <v>190001</v>
      </c>
      <c r="C931" s="12" t="e">
        <f>INDEX(基础数据!$A$2:$A$1024,MATCH(转配商关联商!X931,基础数据!$D$2:$D$1024,0))</f>
        <v>#N/A</v>
      </c>
      <c r="E931" s="12" t="e">
        <f>INDEX(基础数据!$B$2:$B$1024,MATCH(转配商关联商!X931,基础数据!$D$2:$D$1024,0))</f>
        <v>#N/A</v>
      </c>
      <c r="G931" s="12" t="e">
        <f>INDEX([1]流向迭代数据!E$2:E$65536,MATCH(转配商关联商!W931,[1]流向迭代数据!M$2:M$65536,0))</f>
        <v>#N/A</v>
      </c>
      <c r="N931" s="12" t="e">
        <f>INDEX([1]流向迭代数据!J$2:J$65536,MATCH(L931,[1]流向迭代数据!H$2:H$65536,0))</f>
        <v>#N/A</v>
      </c>
      <c r="P931" s="14"/>
      <c r="T931" s="12" t="e">
        <f>INDEX([1]流向迭代数据!K$2:K$65536,MATCH(L931,[1]流向迭代数据!H$2:H$65536,0))</f>
        <v>#N/A</v>
      </c>
      <c r="W931" s="12" t="str">
        <f t="shared" si="29"/>
        <v/>
      </c>
    </row>
    <row r="932" spans="1:23" x14ac:dyDescent="0.15">
      <c r="A932" s="14" t="str">
        <f t="shared" si="28"/>
        <v>190001</v>
      </c>
      <c r="C932" s="12" t="e">
        <f>INDEX(基础数据!$A$2:$A$1024,MATCH(转配商关联商!X932,基础数据!$D$2:$D$1024,0))</f>
        <v>#N/A</v>
      </c>
      <c r="E932" s="12" t="e">
        <f>INDEX(基础数据!$B$2:$B$1024,MATCH(转配商关联商!X932,基础数据!$D$2:$D$1024,0))</f>
        <v>#N/A</v>
      </c>
      <c r="G932" s="12" t="e">
        <f>INDEX([1]流向迭代数据!E$2:E$65536,MATCH(转配商关联商!W932,[1]流向迭代数据!M$2:M$65536,0))</f>
        <v>#N/A</v>
      </c>
      <c r="N932" s="12" t="e">
        <f>INDEX([1]流向迭代数据!J$2:J$65536,MATCH(L932,[1]流向迭代数据!H$2:H$65536,0))</f>
        <v>#N/A</v>
      </c>
      <c r="P932" s="14"/>
      <c r="T932" s="12" t="e">
        <f>INDEX([1]流向迭代数据!K$2:K$65536,MATCH(L932,[1]流向迭代数据!H$2:H$65536,0))</f>
        <v>#N/A</v>
      </c>
      <c r="W932" s="12" t="str">
        <f t="shared" si="29"/>
        <v/>
      </c>
    </row>
    <row r="933" spans="1:23" x14ac:dyDescent="0.15">
      <c r="A933" s="14" t="str">
        <f t="shared" si="28"/>
        <v>190001</v>
      </c>
      <c r="C933" s="12" t="e">
        <f>INDEX(基础数据!$A$2:$A$1024,MATCH(转配商关联商!X933,基础数据!$D$2:$D$1024,0))</f>
        <v>#N/A</v>
      </c>
      <c r="E933" s="12" t="e">
        <f>INDEX(基础数据!$B$2:$B$1024,MATCH(转配商关联商!X933,基础数据!$D$2:$D$1024,0))</f>
        <v>#N/A</v>
      </c>
      <c r="G933" s="12" t="e">
        <f>INDEX([1]流向迭代数据!E$2:E$65536,MATCH(转配商关联商!W933,[1]流向迭代数据!M$2:M$65536,0))</f>
        <v>#N/A</v>
      </c>
      <c r="N933" s="12" t="e">
        <f>INDEX([1]流向迭代数据!J$2:J$65536,MATCH(L933,[1]流向迭代数据!H$2:H$65536,0))</f>
        <v>#N/A</v>
      </c>
      <c r="P933" s="14"/>
      <c r="T933" s="12" t="e">
        <f>INDEX([1]流向迭代数据!K$2:K$65536,MATCH(L933,[1]流向迭代数据!H$2:H$65536,0))</f>
        <v>#N/A</v>
      </c>
      <c r="W933" s="12" t="str">
        <f t="shared" si="29"/>
        <v/>
      </c>
    </row>
    <row r="934" spans="1:23" x14ac:dyDescent="0.15">
      <c r="A934" s="14" t="str">
        <f t="shared" si="28"/>
        <v>190001</v>
      </c>
      <c r="C934" s="12" t="e">
        <f>INDEX(基础数据!$A$2:$A$1024,MATCH(转配商关联商!X934,基础数据!$D$2:$D$1024,0))</f>
        <v>#N/A</v>
      </c>
      <c r="E934" s="12" t="e">
        <f>INDEX(基础数据!$B$2:$B$1024,MATCH(转配商关联商!X934,基础数据!$D$2:$D$1024,0))</f>
        <v>#N/A</v>
      </c>
      <c r="G934" s="12" t="e">
        <f>INDEX([1]流向迭代数据!E$2:E$65536,MATCH(转配商关联商!W934,[1]流向迭代数据!M$2:M$65536,0))</f>
        <v>#N/A</v>
      </c>
      <c r="N934" s="12" t="e">
        <f>INDEX([1]流向迭代数据!J$2:J$65536,MATCH(L934,[1]流向迭代数据!H$2:H$65536,0))</f>
        <v>#N/A</v>
      </c>
      <c r="P934" s="14"/>
      <c r="T934" s="12" t="e">
        <f>INDEX([1]流向迭代数据!K$2:K$65536,MATCH(L934,[1]流向迭代数据!H$2:H$65536,0))</f>
        <v>#N/A</v>
      </c>
      <c r="W934" s="12" t="str">
        <f t="shared" si="29"/>
        <v/>
      </c>
    </row>
    <row r="935" spans="1:23" x14ac:dyDescent="0.15">
      <c r="A935" s="14" t="str">
        <f t="shared" si="28"/>
        <v>190001</v>
      </c>
      <c r="C935" s="12" t="e">
        <f>INDEX(基础数据!$A$2:$A$1024,MATCH(转配商关联商!X935,基础数据!$D$2:$D$1024,0))</f>
        <v>#N/A</v>
      </c>
      <c r="E935" s="12" t="e">
        <f>INDEX(基础数据!$B$2:$B$1024,MATCH(转配商关联商!X935,基础数据!$D$2:$D$1024,0))</f>
        <v>#N/A</v>
      </c>
      <c r="G935" s="12" t="e">
        <f>INDEX([1]流向迭代数据!E$2:E$65536,MATCH(转配商关联商!W935,[1]流向迭代数据!M$2:M$65536,0))</f>
        <v>#N/A</v>
      </c>
      <c r="N935" s="12" t="e">
        <f>INDEX([1]流向迭代数据!J$2:J$65536,MATCH(L935,[1]流向迭代数据!H$2:H$65536,0))</f>
        <v>#N/A</v>
      </c>
      <c r="P935" s="14"/>
      <c r="T935" s="12" t="e">
        <f>INDEX([1]流向迭代数据!K$2:K$65536,MATCH(L935,[1]流向迭代数据!H$2:H$65536,0))</f>
        <v>#N/A</v>
      </c>
      <c r="W935" s="12" t="str">
        <f t="shared" si="29"/>
        <v/>
      </c>
    </row>
    <row r="936" spans="1:23" x14ac:dyDescent="0.15">
      <c r="A936" s="14" t="str">
        <f t="shared" si="28"/>
        <v>190001</v>
      </c>
      <c r="C936" s="12" t="e">
        <f>INDEX(基础数据!$A$2:$A$1024,MATCH(转配商关联商!X936,基础数据!$D$2:$D$1024,0))</f>
        <v>#N/A</v>
      </c>
      <c r="E936" s="12" t="e">
        <f>INDEX(基础数据!$B$2:$B$1024,MATCH(转配商关联商!X936,基础数据!$D$2:$D$1024,0))</f>
        <v>#N/A</v>
      </c>
      <c r="G936" s="12" t="e">
        <f>INDEX([1]流向迭代数据!E$2:E$65536,MATCH(转配商关联商!W936,[1]流向迭代数据!M$2:M$65536,0))</f>
        <v>#N/A</v>
      </c>
      <c r="N936" s="12" t="e">
        <f>INDEX([1]流向迭代数据!J$2:J$65536,MATCH(L936,[1]流向迭代数据!H$2:H$65536,0))</f>
        <v>#N/A</v>
      </c>
      <c r="P936" s="14"/>
      <c r="T936" s="12" t="e">
        <f>INDEX([1]流向迭代数据!K$2:K$65536,MATCH(L936,[1]流向迭代数据!H$2:H$65536,0))</f>
        <v>#N/A</v>
      </c>
      <c r="W936" s="12" t="str">
        <f t="shared" si="29"/>
        <v/>
      </c>
    </row>
    <row r="937" spans="1:23" x14ac:dyDescent="0.15">
      <c r="A937" s="14" t="str">
        <f t="shared" si="28"/>
        <v>190001</v>
      </c>
      <c r="C937" s="12" t="e">
        <f>INDEX(基础数据!$A$2:$A$1024,MATCH(转配商关联商!X937,基础数据!$D$2:$D$1024,0))</f>
        <v>#N/A</v>
      </c>
      <c r="E937" s="12" t="e">
        <f>INDEX(基础数据!$B$2:$B$1024,MATCH(转配商关联商!X937,基础数据!$D$2:$D$1024,0))</f>
        <v>#N/A</v>
      </c>
      <c r="G937" s="12" t="e">
        <f>INDEX([1]流向迭代数据!E$2:E$65536,MATCH(转配商关联商!W937,[1]流向迭代数据!M$2:M$65536,0))</f>
        <v>#N/A</v>
      </c>
      <c r="N937" s="12" t="e">
        <f>INDEX([1]流向迭代数据!J$2:J$65536,MATCH(L937,[1]流向迭代数据!H$2:H$65536,0))</f>
        <v>#N/A</v>
      </c>
      <c r="P937" s="14"/>
      <c r="T937" s="12" t="e">
        <f>INDEX([1]流向迭代数据!K$2:K$65536,MATCH(L937,[1]流向迭代数据!H$2:H$65536,0))</f>
        <v>#N/A</v>
      </c>
      <c r="W937" s="12" t="str">
        <f t="shared" si="29"/>
        <v/>
      </c>
    </row>
    <row r="938" spans="1:23" x14ac:dyDescent="0.15">
      <c r="A938" s="14" t="str">
        <f t="shared" si="28"/>
        <v>190001</v>
      </c>
      <c r="C938" s="12" t="e">
        <f>INDEX(基础数据!$A$2:$A$1024,MATCH(转配商关联商!X938,基础数据!$D$2:$D$1024,0))</f>
        <v>#N/A</v>
      </c>
      <c r="E938" s="12" t="e">
        <f>INDEX(基础数据!$B$2:$B$1024,MATCH(转配商关联商!X938,基础数据!$D$2:$D$1024,0))</f>
        <v>#N/A</v>
      </c>
      <c r="G938" s="12" t="e">
        <f>INDEX([1]流向迭代数据!E$2:E$65536,MATCH(转配商关联商!W938,[1]流向迭代数据!M$2:M$65536,0))</f>
        <v>#N/A</v>
      </c>
      <c r="N938" s="12" t="e">
        <f>INDEX([1]流向迭代数据!J$2:J$65536,MATCH(L938,[1]流向迭代数据!H$2:H$65536,0))</f>
        <v>#N/A</v>
      </c>
      <c r="P938" s="14"/>
      <c r="T938" s="12" t="e">
        <f>INDEX([1]流向迭代数据!K$2:K$65536,MATCH(L938,[1]流向迭代数据!H$2:H$65536,0))</f>
        <v>#N/A</v>
      </c>
      <c r="W938" s="12" t="str">
        <f t="shared" si="29"/>
        <v/>
      </c>
    </row>
    <row r="939" spans="1:23" x14ac:dyDescent="0.15">
      <c r="A939" s="14" t="str">
        <f t="shared" si="28"/>
        <v>190001</v>
      </c>
      <c r="C939" s="12" t="e">
        <f>INDEX(基础数据!$A$2:$A$1024,MATCH(转配商关联商!X939,基础数据!$D$2:$D$1024,0))</f>
        <v>#N/A</v>
      </c>
      <c r="E939" s="12" t="e">
        <f>INDEX(基础数据!$B$2:$B$1024,MATCH(转配商关联商!X939,基础数据!$D$2:$D$1024,0))</f>
        <v>#N/A</v>
      </c>
      <c r="G939" s="12" t="e">
        <f>INDEX([1]流向迭代数据!E$2:E$65536,MATCH(转配商关联商!W939,[1]流向迭代数据!M$2:M$65536,0))</f>
        <v>#N/A</v>
      </c>
      <c r="N939" s="12" t="e">
        <f>INDEX([1]流向迭代数据!J$2:J$65536,MATCH(L939,[1]流向迭代数据!H$2:H$65536,0))</f>
        <v>#N/A</v>
      </c>
      <c r="P939" s="14"/>
      <c r="T939" s="12" t="e">
        <f>INDEX([1]流向迭代数据!K$2:K$65536,MATCH(L939,[1]流向迭代数据!H$2:H$65536,0))</f>
        <v>#N/A</v>
      </c>
      <c r="W939" s="12" t="str">
        <f t="shared" si="29"/>
        <v/>
      </c>
    </row>
    <row r="940" spans="1:23" x14ac:dyDescent="0.15">
      <c r="A940" s="14" t="str">
        <f t="shared" si="28"/>
        <v>190001</v>
      </c>
      <c r="C940" s="12" t="e">
        <f>INDEX(基础数据!$A$2:$A$1024,MATCH(转配商关联商!X940,基础数据!$D$2:$D$1024,0))</f>
        <v>#N/A</v>
      </c>
      <c r="E940" s="12" t="e">
        <f>INDEX(基础数据!$B$2:$B$1024,MATCH(转配商关联商!X940,基础数据!$D$2:$D$1024,0))</f>
        <v>#N/A</v>
      </c>
      <c r="G940" s="12" t="e">
        <f>INDEX([1]流向迭代数据!E$2:E$65536,MATCH(转配商关联商!W940,[1]流向迭代数据!M$2:M$65536,0))</f>
        <v>#N/A</v>
      </c>
      <c r="N940" s="12" t="e">
        <f>INDEX([1]流向迭代数据!J$2:J$65536,MATCH(L940,[1]流向迭代数据!H$2:H$65536,0))</f>
        <v>#N/A</v>
      </c>
      <c r="P940" s="14"/>
      <c r="T940" s="12" t="e">
        <f>INDEX([1]流向迭代数据!K$2:K$65536,MATCH(L940,[1]流向迭代数据!H$2:H$65536,0))</f>
        <v>#N/A</v>
      </c>
      <c r="W940" s="12" t="str">
        <f t="shared" si="29"/>
        <v/>
      </c>
    </row>
    <row r="941" spans="1:23" x14ac:dyDescent="0.15">
      <c r="A941" s="14" t="str">
        <f t="shared" si="28"/>
        <v>190001</v>
      </c>
      <c r="C941" s="12" t="e">
        <f>INDEX(基础数据!$A$2:$A$1024,MATCH(转配商关联商!X941,基础数据!$D$2:$D$1024,0))</f>
        <v>#N/A</v>
      </c>
      <c r="E941" s="12" t="e">
        <f>INDEX(基础数据!$B$2:$B$1024,MATCH(转配商关联商!X941,基础数据!$D$2:$D$1024,0))</f>
        <v>#N/A</v>
      </c>
      <c r="G941" s="12" t="e">
        <f>INDEX([1]流向迭代数据!E$2:E$65536,MATCH(转配商关联商!W941,[1]流向迭代数据!M$2:M$65536,0))</f>
        <v>#N/A</v>
      </c>
      <c r="N941" s="12" t="e">
        <f>INDEX([1]流向迭代数据!J$2:J$65536,MATCH(L941,[1]流向迭代数据!H$2:H$65536,0))</f>
        <v>#N/A</v>
      </c>
      <c r="P941" s="14"/>
      <c r="T941" s="12" t="e">
        <f>INDEX([1]流向迭代数据!K$2:K$65536,MATCH(L941,[1]流向迭代数据!H$2:H$65536,0))</f>
        <v>#N/A</v>
      </c>
      <c r="W941" s="12" t="str">
        <f t="shared" si="29"/>
        <v/>
      </c>
    </row>
    <row r="942" spans="1:23" x14ac:dyDescent="0.15">
      <c r="A942" s="14" t="str">
        <f t="shared" si="28"/>
        <v>190001</v>
      </c>
      <c r="C942" s="12" t="e">
        <f>INDEX(基础数据!$A$2:$A$1024,MATCH(转配商关联商!X942,基础数据!$D$2:$D$1024,0))</f>
        <v>#N/A</v>
      </c>
      <c r="E942" s="12" t="e">
        <f>INDEX(基础数据!$B$2:$B$1024,MATCH(转配商关联商!X942,基础数据!$D$2:$D$1024,0))</f>
        <v>#N/A</v>
      </c>
      <c r="G942" s="12" t="e">
        <f>INDEX([1]流向迭代数据!E$2:E$65536,MATCH(转配商关联商!W942,[1]流向迭代数据!M$2:M$65536,0))</f>
        <v>#N/A</v>
      </c>
      <c r="N942" s="12" t="e">
        <f>INDEX([1]流向迭代数据!J$2:J$65536,MATCH(L942,[1]流向迭代数据!H$2:H$65536,0))</f>
        <v>#N/A</v>
      </c>
      <c r="P942" s="14"/>
      <c r="T942" s="12" t="e">
        <f>INDEX([1]流向迭代数据!K$2:K$65536,MATCH(L942,[1]流向迭代数据!H$2:H$65536,0))</f>
        <v>#N/A</v>
      </c>
      <c r="W942" s="12" t="str">
        <f t="shared" si="29"/>
        <v/>
      </c>
    </row>
    <row r="943" spans="1:23" x14ac:dyDescent="0.15">
      <c r="A943" s="14" t="str">
        <f t="shared" si="28"/>
        <v>190001</v>
      </c>
      <c r="C943" s="12" t="e">
        <f>INDEX(基础数据!$A$2:$A$1024,MATCH(转配商关联商!X943,基础数据!$D$2:$D$1024,0))</f>
        <v>#N/A</v>
      </c>
      <c r="E943" s="12" t="e">
        <f>INDEX(基础数据!$B$2:$B$1024,MATCH(转配商关联商!X943,基础数据!$D$2:$D$1024,0))</f>
        <v>#N/A</v>
      </c>
      <c r="G943" s="12" t="e">
        <f>INDEX([1]流向迭代数据!E$2:E$65536,MATCH(转配商关联商!W943,[1]流向迭代数据!M$2:M$65536,0))</f>
        <v>#N/A</v>
      </c>
      <c r="N943" s="12" t="e">
        <f>INDEX([1]流向迭代数据!J$2:J$65536,MATCH(L943,[1]流向迭代数据!H$2:H$65536,0))</f>
        <v>#N/A</v>
      </c>
      <c r="P943" s="14"/>
      <c r="T943" s="12" t="e">
        <f>INDEX([1]流向迭代数据!K$2:K$65536,MATCH(L943,[1]流向迭代数据!H$2:H$65536,0))</f>
        <v>#N/A</v>
      </c>
      <c r="W943" s="12" t="str">
        <f t="shared" si="29"/>
        <v/>
      </c>
    </row>
    <row r="944" spans="1:23" x14ac:dyDescent="0.15">
      <c r="A944" s="14" t="str">
        <f t="shared" si="28"/>
        <v>190001</v>
      </c>
      <c r="C944" s="12" t="e">
        <f>INDEX(基础数据!$A$2:$A$1024,MATCH(转配商关联商!X944,基础数据!$D$2:$D$1024,0))</f>
        <v>#N/A</v>
      </c>
      <c r="E944" s="12" t="e">
        <f>INDEX(基础数据!$B$2:$B$1024,MATCH(转配商关联商!X944,基础数据!$D$2:$D$1024,0))</f>
        <v>#N/A</v>
      </c>
      <c r="G944" s="12" t="e">
        <f>INDEX([1]流向迭代数据!E$2:E$65536,MATCH(转配商关联商!W944,[1]流向迭代数据!M$2:M$65536,0))</f>
        <v>#N/A</v>
      </c>
      <c r="N944" s="12" t="e">
        <f>INDEX([1]流向迭代数据!J$2:J$65536,MATCH(L944,[1]流向迭代数据!H$2:H$65536,0))</f>
        <v>#N/A</v>
      </c>
      <c r="P944" s="14"/>
      <c r="T944" s="12" t="e">
        <f>INDEX([1]流向迭代数据!K$2:K$65536,MATCH(L944,[1]流向迭代数据!H$2:H$65536,0))</f>
        <v>#N/A</v>
      </c>
      <c r="W944" s="12" t="str">
        <f t="shared" si="29"/>
        <v/>
      </c>
    </row>
    <row r="945" spans="1:23" x14ac:dyDescent="0.15">
      <c r="A945" s="14" t="str">
        <f t="shared" si="28"/>
        <v>190001</v>
      </c>
      <c r="C945" s="12" t="e">
        <f>INDEX(基础数据!$A$2:$A$1024,MATCH(转配商关联商!X945,基础数据!$D$2:$D$1024,0))</f>
        <v>#N/A</v>
      </c>
      <c r="E945" s="12" t="e">
        <f>INDEX(基础数据!$B$2:$B$1024,MATCH(转配商关联商!X945,基础数据!$D$2:$D$1024,0))</f>
        <v>#N/A</v>
      </c>
      <c r="G945" s="12" t="e">
        <f>INDEX([1]流向迭代数据!E$2:E$65536,MATCH(转配商关联商!W945,[1]流向迭代数据!M$2:M$65536,0))</f>
        <v>#N/A</v>
      </c>
      <c r="N945" s="12" t="e">
        <f>INDEX([1]流向迭代数据!J$2:J$65536,MATCH(L945,[1]流向迭代数据!H$2:H$65536,0))</f>
        <v>#N/A</v>
      </c>
      <c r="P945" s="14"/>
      <c r="T945" s="12" t="e">
        <f>INDEX([1]流向迭代数据!K$2:K$65536,MATCH(L945,[1]流向迭代数据!H$2:H$65536,0))</f>
        <v>#N/A</v>
      </c>
      <c r="W945" s="12" t="str">
        <f t="shared" si="29"/>
        <v/>
      </c>
    </row>
    <row r="946" spans="1:23" x14ac:dyDescent="0.15">
      <c r="A946" s="14" t="str">
        <f t="shared" si="28"/>
        <v>190001</v>
      </c>
      <c r="C946" s="12" t="e">
        <f>INDEX(基础数据!$A$2:$A$1024,MATCH(转配商关联商!X946,基础数据!$D$2:$D$1024,0))</f>
        <v>#N/A</v>
      </c>
      <c r="E946" s="12" t="e">
        <f>INDEX(基础数据!$B$2:$B$1024,MATCH(转配商关联商!X946,基础数据!$D$2:$D$1024,0))</f>
        <v>#N/A</v>
      </c>
      <c r="G946" s="12" t="e">
        <f>INDEX([1]流向迭代数据!E$2:E$65536,MATCH(转配商关联商!W946,[1]流向迭代数据!M$2:M$65536,0))</f>
        <v>#N/A</v>
      </c>
      <c r="N946" s="12" t="e">
        <f>INDEX([1]流向迭代数据!J$2:J$65536,MATCH(L946,[1]流向迭代数据!H$2:H$65536,0))</f>
        <v>#N/A</v>
      </c>
      <c r="P946" s="14"/>
      <c r="T946" s="12" t="e">
        <f>INDEX([1]流向迭代数据!K$2:K$65536,MATCH(L946,[1]流向迭代数据!H$2:H$65536,0))</f>
        <v>#N/A</v>
      </c>
      <c r="W946" s="12" t="str">
        <f t="shared" si="29"/>
        <v/>
      </c>
    </row>
    <row r="947" spans="1:23" x14ac:dyDescent="0.15">
      <c r="A947" s="14" t="str">
        <f t="shared" si="28"/>
        <v>190001</v>
      </c>
      <c r="C947" s="12" t="e">
        <f>INDEX(基础数据!$A$2:$A$1024,MATCH(转配商关联商!X947,基础数据!$D$2:$D$1024,0))</f>
        <v>#N/A</v>
      </c>
      <c r="E947" s="12" t="e">
        <f>INDEX(基础数据!$B$2:$B$1024,MATCH(转配商关联商!X947,基础数据!$D$2:$D$1024,0))</f>
        <v>#N/A</v>
      </c>
      <c r="G947" s="12" t="e">
        <f>INDEX([1]流向迭代数据!E$2:E$65536,MATCH(转配商关联商!W947,[1]流向迭代数据!M$2:M$65536,0))</f>
        <v>#N/A</v>
      </c>
      <c r="N947" s="12" t="e">
        <f>INDEX([1]流向迭代数据!J$2:J$65536,MATCH(L947,[1]流向迭代数据!H$2:H$65536,0))</f>
        <v>#N/A</v>
      </c>
      <c r="P947" s="14"/>
      <c r="T947" s="12" t="e">
        <f>INDEX([1]流向迭代数据!K$2:K$65536,MATCH(L947,[1]流向迭代数据!H$2:H$65536,0))</f>
        <v>#N/A</v>
      </c>
      <c r="W947" s="12" t="str">
        <f t="shared" si="29"/>
        <v/>
      </c>
    </row>
    <row r="948" spans="1:23" x14ac:dyDescent="0.15">
      <c r="A948" s="14" t="str">
        <f t="shared" si="28"/>
        <v>190001</v>
      </c>
      <c r="C948" s="12" t="e">
        <f>INDEX(基础数据!$A$2:$A$1024,MATCH(转配商关联商!X948,基础数据!$D$2:$D$1024,0))</f>
        <v>#N/A</v>
      </c>
      <c r="E948" s="12" t="e">
        <f>INDEX(基础数据!$B$2:$B$1024,MATCH(转配商关联商!X948,基础数据!$D$2:$D$1024,0))</f>
        <v>#N/A</v>
      </c>
      <c r="G948" s="12" t="e">
        <f>INDEX([1]流向迭代数据!E$2:E$65536,MATCH(转配商关联商!W948,[1]流向迭代数据!M$2:M$65536,0))</f>
        <v>#N/A</v>
      </c>
      <c r="N948" s="12" t="e">
        <f>INDEX([1]流向迭代数据!J$2:J$65536,MATCH(L948,[1]流向迭代数据!H$2:H$65536,0))</f>
        <v>#N/A</v>
      </c>
      <c r="P948" s="14"/>
      <c r="T948" s="12" t="e">
        <f>INDEX([1]流向迭代数据!K$2:K$65536,MATCH(L948,[1]流向迭代数据!H$2:H$65536,0))</f>
        <v>#N/A</v>
      </c>
      <c r="W948" s="12" t="str">
        <f t="shared" si="29"/>
        <v/>
      </c>
    </row>
    <row r="949" spans="1:23" x14ac:dyDescent="0.15">
      <c r="A949" s="14" t="str">
        <f t="shared" si="28"/>
        <v>190001</v>
      </c>
      <c r="C949" s="12" t="e">
        <f>INDEX(基础数据!$A$2:$A$1024,MATCH(转配商关联商!X949,基础数据!$D$2:$D$1024,0))</f>
        <v>#N/A</v>
      </c>
      <c r="E949" s="12" t="e">
        <f>INDEX(基础数据!$B$2:$B$1024,MATCH(转配商关联商!X949,基础数据!$D$2:$D$1024,0))</f>
        <v>#N/A</v>
      </c>
      <c r="G949" s="12" t="e">
        <f>INDEX([1]流向迭代数据!E$2:E$65536,MATCH(转配商关联商!W949,[1]流向迭代数据!M$2:M$65536,0))</f>
        <v>#N/A</v>
      </c>
      <c r="N949" s="12" t="e">
        <f>INDEX([1]流向迭代数据!J$2:J$65536,MATCH(L949,[1]流向迭代数据!H$2:H$65536,0))</f>
        <v>#N/A</v>
      </c>
      <c r="P949" s="14"/>
      <c r="T949" s="12" t="e">
        <f>INDEX([1]流向迭代数据!K$2:K$65536,MATCH(L949,[1]流向迭代数据!H$2:H$65536,0))</f>
        <v>#N/A</v>
      </c>
      <c r="W949" s="12" t="str">
        <f t="shared" si="29"/>
        <v/>
      </c>
    </row>
    <row r="950" spans="1:23" x14ac:dyDescent="0.15">
      <c r="A950" s="14" t="str">
        <f t="shared" si="28"/>
        <v>190001</v>
      </c>
      <c r="C950" s="12" t="e">
        <f>INDEX(基础数据!$A$2:$A$1024,MATCH(转配商关联商!X950,基础数据!$D$2:$D$1024,0))</f>
        <v>#N/A</v>
      </c>
      <c r="E950" s="12" t="e">
        <f>INDEX(基础数据!$B$2:$B$1024,MATCH(转配商关联商!X950,基础数据!$D$2:$D$1024,0))</f>
        <v>#N/A</v>
      </c>
      <c r="G950" s="12" t="e">
        <f>INDEX([1]流向迭代数据!E$2:E$65536,MATCH(转配商关联商!W950,[1]流向迭代数据!M$2:M$65536,0))</f>
        <v>#N/A</v>
      </c>
      <c r="N950" s="12" t="e">
        <f>INDEX([1]流向迭代数据!J$2:J$65536,MATCH(L950,[1]流向迭代数据!H$2:H$65536,0))</f>
        <v>#N/A</v>
      </c>
      <c r="P950" s="14"/>
      <c r="T950" s="12" t="e">
        <f>INDEX([1]流向迭代数据!K$2:K$65536,MATCH(L950,[1]流向迭代数据!H$2:H$65536,0))</f>
        <v>#N/A</v>
      </c>
      <c r="W950" s="12" t="str">
        <f t="shared" si="29"/>
        <v/>
      </c>
    </row>
    <row r="951" spans="1:23" x14ac:dyDescent="0.15">
      <c r="A951" s="14" t="str">
        <f t="shared" si="28"/>
        <v>190001</v>
      </c>
      <c r="C951" s="12" t="e">
        <f>INDEX(基础数据!$A$2:$A$1024,MATCH(转配商关联商!X951,基础数据!$D$2:$D$1024,0))</f>
        <v>#N/A</v>
      </c>
      <c r="E951" s="12" t="e">
        <f>INDEX(基础数据!$B$2:$B$1024,MATCH(转配商关联商!X951,基础数据!$D$2:$D$1024,0))</f>
        <v>#N/A</v>
      </c>
      <c r="G951" s="12" t="e">
        <f>INDEX([1]流向迭代数据!E$2:E$65536,MATCH(转配商关联商!W951,[1]流向迭代数据!M$2:M$65536,0))</f>
        <v>#N/A</v>
      </c>
      <c r="N951" s="12" t="e">
        <f>INDEX([1]流向迭代数据!J$2:J$65536,MATCH(L951,[1]流向迭代数据!H$2:H$65536,0))</f>
        <v>#N/A</v>
      </c>
      <c r="P951" s="14"/>
      <c r="T951" s="12" t="e">
        <f>INDEX([1]流向迭代数据!K$2:K$65536,MATCH(L951,[1]流向迭代数据!H$2:H$65536,0))</f>
        <v>#N/A</v>
      </c>
      <c r="W951" s="12" t="str">
        <f t="shared" si="29"/>
        <v/>
      </c>
    </row>
    <row r="952" spans="1:23" x14ac:dyDescent="0.15">
      <c r="A952" s="14" t="str">
        <f t="shared" si="28"/>
        <v>190001</v>
      </c>
      <c r="C952" s="12" t="e">
        <f>INDEX(基础数据!$A$2:$A$1024,MATCH(转配商关联商!X952,基础数据!$D$2:$D$1024,0))</f>
        <v>#N/A</v>
      </c>
      <c r="E952" s="12" t="e">
        <f>INDEX(基础数据!$B$2:$B$1024,MATCH(转配商关联商!X952,基础数据!$D$2:$D$1024,0))</f>
        <v>#N/A</v>
      </c>
      <c r="G952" s="12" t="e">
        <f>INDEX([1]流向迭代数据!E$2:E$65536,MATCH(转配商关联商!W952,[1]流向迭代数据!M$2:M$65536,0))</f>
        <v>#N/A</v>
      </c>
      <c r="N952" s="12" t="e">
        <f>INDEX([1]流向迭代数据!J$2:J$65536,MATCH(L952,[1]流向迭代数据!H$2:H$65536,0))</f>
        <v>#N/A</v>
      </c>
      <c r="P952" s="14"/>
      <c r="T952" s="12" t="e">
        <f>INDEX([1]流向迭代数据!K$2:K$65536,MATCH(L952,[1]流向迭代数据!H$2:H$65536,0))</f>
        <v>#N/A</v>
      </c>
      <c r="W952" s="12" t="str">
        <f t="shared" si="29"/>
        <v/>
      </c>
    </row>
    <row r="953" spans="1:23" x14ac:dyDescent="0.15">
      <c r="A953" s="14" t="str">
        <f t="shared" si="28"/>
        <v>190001</v>
      </c>
      <c r="C953" s="12" t="e">
        <f>INDEX(基础数据!$A$2:$A$1024,MATCH(转配商关联商!X953,基础数据!$D$2:$D$1024,0))</f>
        <v>#N/A</v>
      </c>
      <c r="E953" s="12" t="e">
        <f>INDEX(基础数据!$B$2:$B$1024,MATCH(转配商关联商!X953,基础数据!$D$2:$D$1024,0))</f>
        <v>#N/A</v>
      </c>
      <c r="G953" s="12" t="e">
        <f>INDEX([1]流向迭代数据!E$2:E$65536,MATCH(转配商关联商!W953,[1]流向迭代数据!M$2:M$65536,0))</f>
        <v>#N/A</v>
      </c>
      <c r="N953" s="12" t="e">
        <f>INDEX([1]流向迭代数据!J$2:J$65536,MATCH(L953,[1]流向迭代数据!H$2:H$65536,0))</f>
        <v>#N/A</v>
      </c>
      <c r="P953" s="14"/>
      <c r="T953" s="12" t="e">
        <f>INDEX([1]流向迭代数据!K$2:K$65536,MATCH(L953,[1]流向迭代数据!H$2:H$65536,0))</f>
        <v>#N/A</v>
      </c>
      <c r="W953" s="12" t="str">
        <f t="shared" si="29"/>
        <v/>
      </c>
    </row>
    <row r="954" spans="1:23" x14ac:dyDescent="0.15">
      <c r="A954" s="14" t="str">
        <f t="shared" si="28"/>
        <v>190001</v>
      </c>
      <c r="C954" s="12" t="e">
        <f>INDEX(基础数据!$A$2:$A$1024,MATCH(转配商关联商!X954,基础数据!$D$2:$D$1024,0))</f>
        <v>#N/A</v>
      </c>
      <c r="E954" s="12" t="e">
        <f>INDEX(基础数据!$B$2:$B$1024,MATCH(转配商关联商!X954,基础数据!$D$2:$D$1024,0))</f>
        <v>#N/A</v>
      </c>
      <c r="G954" s="12" t="e">
        <f>INDEX([1]流向迭代数据!E$2:E$65536,MATCH(转配商关联商!W954,[1]流向迭代数据!M$2:M$65536,0))</f>
        <v>#N/A</v>
      </c>
      <c r="N954" s="12" t="e">
        <f>INDEX([1]流向迭代数据!J$2:J$65536,MATCH(L954,[1]流向迭代数据!H$2:H$65536,0))</f>
        <v>#N/A</v>
      </c>
      <c r="P954" s="14"/>
      <c r="T954" s="12" t="e">
        <f>INDEX([1]流向迭代数据!K$2:K$65536,MATCH(L954,[1]流向迭代数据!H$2:H$65536,0))</f>
        <v>#N/A</v>
      </c>
      <c r="W954" s="12" t="str">
        <f t="shared" si="29"/>
        <v/>
      </c>
    </row>
    <row r="955" spans="1:23" x14ac:dyDescent="0.15">
      <c r="A955" s="14" t="str">
        <f t="shared" si="28"/>
        <v>190001</v>
      </c>
      <c r="C955" s="12" t="e">
        <f>INDEX(基础数据!$A$2:$A$1024,MATCH(转配商关联商!X955,基础数据!$D$2:$D$1024,0))</f>
        <v>#N/A</v>
      </c>
      <c r="E955" s="12" t="e">
        <f>INDEX(基础数据!$B$2:$B$1024,MATCH(转配商关联商!X955,基础数据!$D$2:$D$1024,0))</f>
        <v>#N/A</v>
      </c>
      <c r="G955" s="12" t="e">
        <f>INDEX([1]流向迭代数据!E$2:E$65536,MATCH(转配商关联商!W955,[1]流向迭代数据!M$2:M$65536,0))</f>
        <v>#N/A</v>
      </c>
      <c r="N955" s="12" t="e">
        <f>INDEX([1]流向迭代数据!J$2:J$65536,MATCH(L955,[1]流向迭代数据!H$2:H$65536,0))</f>
        <v>#N/A</v>
      </c>
      <c r="P955" s="14"/>
      <c r="T955" s="12" t="e">
        <f>INDEX([1]流向迭代数据!K$2:K$65536,MATCH(L955,[1]流向迭代数据!H$2:H$65536,0))</f>
        <v>#N/A</v>
      </c>
      <c r="W955" s="12" t="str">
        <f t="shared" si="29"/>
        <v/>
      </c>
    </row>
    <row r="956" spans="1:23" x14ac:dyDescent="0.15">
      <c r="A956" s="14" t="str">
        <f t="shared" si="28"/>
        <v>190001</v>
      </c>
      <c r="C956" s="12" t="e">
        <f>INDEX(基础数据!$A$2:$A$1024,MATCH(转配商关联商!X956,基础数据!$D$2:$D$1024,0))</f>
        <v>#N/A</v>
      </c>
      <c r="E956" s="12" t="e">
        <f>INDEX(基础数据!$B$2:$B$1024,MATCH(转配商关联商!X956,基础数据!$D$2:$D$1024,0))</f>
        <v>#N/A</v>
      </c>
      <c r="G956" s="12" t="e">
        <f>INDEX([1]流向迭代数据!E$2:E$65536,MATCH(转配商关联商!W956,[1]流向迭代数据!M$2:M$65536,0))</f>
        <v>#N/A</v>
      </c>
      <c r="N956" s="12" t="e">
        <f>INDEX([1]流向迭代数据!J$2:J$65536,MATCH(L956,[1]流向迭代数据!H$2:H$65536,0))</f>
        <v>#N/A</v>
      </c>
      <c r="P956" s="14"/>
      <c r="T956" s="12" t="e">
        <f>INDEX([1]流向迭代数据!K$2:K$65536,MATCH(L956,[1]流向迭代数据!H$2:H$65536,0))</f>
        <v>#N/A</v>
      </c>
      <c r="W956" s="12" t="str">
        <f t="shared" si="29"/>
        <v/>
      </c>
    </row>
    <row r="957" spans="1:23" x14ac:dyDescent="0.15">
      <c r="A957" s="14" t="str">
        <f t="shared" si="28"/>
        <v>190001</v>
      </c>
      <c r="C957" s="12" t="e">
        <f>INDEX(基础数据!$A$2:$A$1024,MATCH(转配商关联商!X957,基础数据!$D$2:$D$1024,0))</f>
        <v>#N/A</v>
      </c>
      <c r="E957" s="12" t="e">
        <f>INDEX(基础数据!$B$2:$B$1024,MATCH(转配商关联商!X957,基础数据!$D$2:$D$1024,0))</f>
        <v>#N/A</v>
      </c>
      <c r="G957" s="12" t="e">
        <f>INDEX([1]流向迭代数据!E$2:E$65536,MATCH(转配商关联商!W957,[1]流向迭代数据!M$2:M$65536,0))</f>
        <v>#N/A</v>
      </c>
      <c r="N957" s="12" t="e">
        <f>INDEX([1]流向迭代数据!J$2:J$65536,MATCH(L957,[1]流向迭代数据!H$2:H$65536,0))</f>
        <v>#N/A</v>
      </c>
      <c r="P957" s="14"/>
      <c r="T957" s="12" t="e">
        <f>INDEX([1]流向迭代数据!K$2:K$65536,MATCH(L957,[1]流向迭代数据!H$2:H$65536,0))</f>
        <v>#N/A</v>
      </c>
      <c r="W957" s="12" t="str">
        <f t="shared" si="29"/>
        <v/>
      </c>
    </row>
    <row r="958" spans="1:23" x14ac:dyDescent="0.15">
      <c r="A958" s="14" t="str">
        <f t="shared" si="28"/>
        <v>190001</v>
      </c>
      <c r="C958" s="12" t="e">
        <f>INDEX(基础数据!$A$2:$A$1024,MATCH(转配商关联商!X958,基础数据!$D$2:$D$1024,0))</f>
        <v>#N/A</v>
      </c>
      <c r="E958" s="12" t="e">
        <f>INDEX(基础数据!$B$2:$B$1024,MATCH(转配商关联商!X958,基础数据!$D$2:$D$1024,0))</f>
        <v>#N/A</v>
      </c>
      <c r="G958" s="12" t="e">
        <f>INDEX([1]流向迭代数据!E$2:E$65536,MATCH(转配商关联商!W958,[1]流向迭代数据!M$2:M$65536,0))</f>
        <v>#N/A</v>
      </c>
      <c r="N958" s="12" t="e">
        <f>INDEX([1]流向迭代数据!J$2:J$65536,MATCH(L958,[1]流向迭代数据!H$2:H$65536,0))</f>
        <v>#N/A</v>
      </c>
      <c r="P958" s="14"/>
      <c r="T958" s="12" t="e">
        <f>INDEX([1]流向迭代数据!K$2:K$65536,MATCH(L958,[1]流向迭代数据!H$2:H$65536,0))</f>
        <v>#N/A</v>
      </c>
      <c r="W958" s="12" t="str">
        <f t="shared" si="29"/>
        <v/>
      </c>
    </row>
    <row r="959" spans="1:23" x14ac:dyDescent="0.15">
      <c r="A959" s="14" t="str">
        <f t="shared" si="28"/>
        <v>190001</v>
      </c>
      <c r="C959" s="12" t="e">
        <f>INDEX(基础数据!$A$2:$A$1024,MATCH(转配商关联商!X959,基础数据!$D$2:$D$1024,0))</f>
        <v>#N/A</v>
      </c>
      <c r="E959" s="12" t="e">
        <f>INDEX(基础数据!$B$2:$B$1024,MATCH(转配商关联商!X959,基础数据!$D$2:$D$1024,0))</f>
        <v>#N/A</v>
      </c>
      <c r="G959" s="12" t="e">
        <f>INDEX([1]流向迭代数据!E$2:E$65536,MATCH(转配商关联商!W959,[1]流向迭代数据!M$2:M$65536,0))</f>
        <v>#N/A</v>
      </c>
      <c r="N959" s="12" t="e">
        <f>INDEX([1]流向迭代数据!J$2:J$65536,MATCH(L959,[1]流向迭代数据!H$2:H$65536,0))</f>
        <v>#N/A</v>
      </c>
      <c r="P959" s="14"/>
      <c r="T959" s="12" t="e">
        <f>INDEX([1]流向迭代数据!K$2:K$65536,MATCH(L959,[1]流向迭代数据!H$2:H$65536,0))</f>
        <v>#N/A</v>
      </c>
      <c r="W959" s="12" t="str">
        <f t="shared" si="29"/>
        <v/>
      </c>
    </row>
    <row r="960" spans="1:23" x14ac:dyDescent="0.15">
      <c r="A960" s="14" t="str">
        <f t="shared" si="28"/>
        <v>190001</v>
      </c>
      <c r="C960" s="12" t="e">
        <f>INDEX(基础数据!$A$2:$A$1024,MATCH(转配商关联商!X960,基础数据!$D$2:$D$1024,0))</f>
        <v>#N/A</v>
      </c>
      <c r="E960" s="12" t="e">
        <f>INDEX(基础数据!$B$2:$B$1024,MATCH(转配商关联商!X960,基础数据!$D$2:$D$1024,0))</f>
        <v>#N/A</v>
      </c>
      <c r="G960" s="12" t="e">
        <f>INDEX([1]流向迭代数据!E$2:E$65536,MATCH(转配商关联商!W960,[1]流向迭代数据!M$2:M$65536,0))</f>
        <v>#N/A</v>
      </c>
      <c r="N960" s="12" t="e">
        <f>INDEX([1]流向迭代数据!J$2:J$65536,MATCH(L960,[1]流向迭代数据!H$2:H$65536,0))</f>
        <v>#N/A</v>
      </c>
      <c r="P960" s="14"/>
      <c r="T960" s="12" t="e">
        <f>INDEX([1]流向迭代数据!K$2:K$65536,MATCH(L960,[1]流向迭代数据!H$2:H$65536,0))</f>
        <v>#N/A</v>
      </c>
      <c r="W960" s="12" t="str">
        <f t="shared" si="29"/>
        <v/>
      </c>
    </row>
    <row r="961" spans="1:23" x14ac:dyDescent="0.15">
      <c r="A961" s="14" t="str">
        <f t="shared" si="28"/>
        <v>190001</v>
      </c>
      <c r="C961" s="12" t="e">
        <f>INDEX(基础数据!$A$2:$A$1024,MATCH(转配商关联商!X961,基础数据!$D$2:$D$1024,0))</f>
        <v>#N/A</v>
      </c>
      <c r="E961" s="12" t="e">
        <f>INDEX(基础数据!$B$2:$B$1024,MATCH(转配商关联商!X961,基础数据!$D$2:$D$1024,0))</f>
        <v>#N/A</v>
      </c>
      <c r="G961" s="12" t="e">
        <f>INDEX([1]流向迭代数据!E$2:E$65536,MATCH(转配商关联商!W961,[1]流向迭代数据!M$2:M$65536,0))</f>
        <v>#N/A</v>
      </c>
      <c r="N961" s="12" t="e">
        <f>INDEX([1]流向迭代数据!J$2:J$65536,MATCH(L961,[1]流向迭代数据!H$2:H$65536,0))</f>
        <v>#N/A</v>
      </c>
      <c r="P961" s="14"/>
      <c r="T961" s="12" t="e">
        <f>INDEX([1]流向迭代数据!K$2:K$65536,MATCH(L961,[1]流向迭代数据!H$2:H$65536,0))</f>
        <v>#N/A</v>
      </c>
      <c r="W961" s="12" t="str">
        <f t="shared" si="29"/>
        <v/>
      </c>
    </row>
    <row r="962" spans="1:23" x14ac:dyDescent="0.15">
      <c r="A962" s="14" t="str">
        <f t="shared" si="28"/>
        <v>190001</v>
      </c>
      <c r="C962" s="12" t="e">
        <f>INDEX(基础数据!$A$2:$A$1024,MATCH(转配商关联商!X962,基础数据!$D$2:$D$1024,0))</f>
        <v>#N/A</v>
      </c>
      <c r="E962" s="12" t="e">
        <f>INDEX(基础数据!$B$2:$B$1024,MATCH(转配商关联商!X962,基础数据!$D$2:$D$1024,0))</f>
        <v>#N/A</v>
      </c>
      <c r="G962" s="12" t="e">
        <f>INDEX([1]流向迭代数据!E$2:E$65536,MATCH(转配商关联商!W962,[1]流向迭代数据!M$2:M$65536,0))</f>
        <v>#N/A</v>
      </c>
      <c r="N962" s="12" t="e">
        <f>INDEX([1]流向迭代数据!J$2:J$65536,MATCH(L962,[1]流向迭代数据!H$2:H$65536,0))</f>
        <v>#N/A</v>
      </c>
      <c r="P962" s="14"/>
      <c r="T962" s="12" t="e">
        <f>INDEX([1]流向迭代数据!K$2:K$65536,MATCH(L962,[1]流向迭代数据!H$2:H$65536,0))</f>
        <v>#N/A</v>
      </c>
      <c r="W962" s="12" t="str">
        <f t="shared" si="29"/>
        <v/>
      </c>
    </row>
    <row r="963" spans="1:23" x14ac:dyDescent="0.15">
      <c r="A963" s="14" t="str">
        <f t="shared" ref="A963:A1026" si="30">IF(MONTH(P963)&lt;10,YEAR(P963)&amp;"0"&amp;MONTH(P963),YEAR(P963)&amp;MONTH(P963))</f>
        <v>190001</v>
      </c>
      <c r="C963" s="12" t="e">
        <f>INDEX(基础数据!$A$2:$A$1024,MATCH(转配商关联商!X963,基础数据!$D$2:$D$1024,0))</f>
        <v>#N/A</v>
      </c>
      <c r="E963" s="12" t="e">
        <f>INDEX(基础数据!$B$2:$B$1024,MATCH(转配商关联商!X963,基础数据!$D$2:$D$1024,0))</f>
        <v>#N/A</v>
      </c>
      <c r="G963" s="12" t="e">
        <f>INDEX([1]流向迭代数据!E$2:E$65536,MATCH(转配商关联商!W963,[1]流向迭代数据!M$2:M$65536,0))</f>
        <v>#N/A</v>
      </c>
      <c r="N963" s="12" t="e">
        <f>INDEX([1]流向迭代数据!J$2:J$65536,MATCH(L963,[1]流向迭代数据!H$2:H$65536,0))</f>
        <v>#N/A</v>
      </c>
      <c r="P963" s="14"/>
      <c r="T963" s="12" t="e">
        <f>INDEX([1]流向迭代数据!K$2:K$65536,MATCH(L963,[1]流向迭代数据!H$2:H$65536,0))</f>
        <v>#N/A</v>
      </c>
      <c r="W963" s="12" t="str">
        <f t="shared" ref="W963:W1026" si="31">H963&amp;I963</f>
        <v/>
      </c>
    </row>
    <row r="964" spans="1:23" x14ac:dyDescent="0.15">
      <c r="A964" s="14" t="str">
        <f t="shared" si="30"/>
        <v>190001</v>
      </c>
      <c r="C964" s="12" t="e">
        <f>INDEX(基础数据!$A$2:$A$1024,MATCH(转配商关联商!X964,基础数据!$D$2:$D$1024,0))</f>
        <v>#N/A</v>
      </c>
      <c r="E964" s="12" t="e">
        <f>INDEX(基础数据!$B$2:$B$1024,MATCH(转配商关联商!X964,基础数据!$D$2:$D$1024,0))</f>
        <v>#N/A</v>
      </c>
      <c r="G964" s="12" t="e">
        <f>INDEX([1]流向迭代数据!E$2:E$65536,MATCH(转配商关联商!W964,[1]流向迭代数据!M$2:M$65536,0))</f>
        <v>#N/A</v>
      </c>
      <c r="N964" s="12" t="e">
        <f>INDEX([1]流向迭代数据!J$2:J$65536,MATCH(L964,[1]流向迭代数据!H$2:H$65536,0))</f>
        <v>#N/A</v>
      </c>
      <c r="P964" s="14"/>
      <c r="T964" s="12" t="e">
        <f>INDEX([1]流向迭代数据!K$2:K$65536,MATCH(L964,[1]流向迭代数据!H$2:H$65536,0))</f>
        <v>#N/A</v>
      </c>
      <c r="W964" s="12" t="str">
        <f t="shared" si="31"/>
        <v/>
      </c>
    </row>
    <row r="965" spans="1:23" x14ac:dyDescent="0.15">
      <c r="A965" s="14" t="str">
        <f t="shared" si="30"/>
        <v>190001</v>
      </c>
      <c r="C965" s="12" t="e">
        <f>INDEX(基础数据!$A$2:$A$1024,MATCH(转配商关联商!X965,基础数据!$D$2:$D$1024,0))</f>
        <v>#N/A</v>
      </c>
      <c r="E965" s="12" t="e">
        <f>INDEX(基础数据!$B$2:$B$1024,MATCH(转配商关联商!X965,基础数据!$D$2:$D$1024,0))</f>
        <v>#N/A</v>
      </c>
      <c r="G965" s="12" t="e">
        <f>INDEX([1]流向迭代数据!E$2:E$65536,MATCH(转配商关联商!W965,[1]流向迭代数据!M$2:M$65536,0))</f>
        <v>#N/A</v>
      </c>
      <c r="N965" s="12" t="e">
        <f>INDEX([1]流向迭代数据!J$2:J$65536,MATCH(L965,[1]流向迭代数据!H$2:H$65536,0))</f>
        <v>#N/A</v>
      </c>
      <c r="P965" s="14"/>
      <c r="T965" s="12" t="e">
        <f>INDEX([1]流向迭代数据!K$2:K$65536,MATCH(L965,[1]流向迭代数据!H$2:H$65536,0))</f>
        <v>#N/A</v>
      </c>
      <c r="W965" s="12" t="str">
        <f t="shared" si="31"/>
        <v/>
      </c>
    </row>
    <row r="966" spans="1:23" x14ac:dyDescent="0.15">
      <c r="A966" s="14" t="str">
        <f t="shared" si="30"/>
        <v>190001</v>
      </c>
      <c r="C966" s="12" t="e">
        <f>INDEX(基础数据!$A$2:$A$1024,MATCH(转配商关联商!X966,基础数据!$D$2:$D$1024,0))</f>
        <v>#N/A</v>
      </c>
      <c r="E966" s="12" t="e">
        <f>INDEX(基础数据!$B$2:$B$1024,MATCH(转配商关联商!X966,基础数据!$D$2:$D$1024,0))</f>
        <v>#N/A</v>
      </c>
      <c r="G966" s="12" t="e">
        <f>INDEX([1]流向迭代数据!E$2:E$65536,MATCH(转配商关联商!W966,[1]流向迭代数据!M$2:M$65536,0))</f>
        <v>#N/A</v>
      </c>
      <c r="N966" s="12" t="e">
        <f>INDEX([1]流向迭代数据!J$2:J$65536,MATCH(L966,[1]流向迭代数据!H$2:H$65536,0))</f>
        <v>#N/A</v>
      </c>
      <c r="P966" s="14"/>
      <c r="T966" s="12" t="e">
        <f>INDEX([1]流向迭代数据!K$2:K$65536,MATCH(L966,[1]流向迭代数据!H$2:H$65536,0))</f>
        <v>#N/A</v>
      </c>
      <c r="W966" s="12" t="str">
        <f t="shared" si="31"/>
        <v/>
      </c>
    </row>
    <row r="967" spans="1:23" x14ac:dyDescent="0.15">
      <c r="A967" s="14" t="str">
        <f t="shared" si="30"/>
        <v>190001</v>
      </c>
      <c r="C967" s="12" t="e">
        <f>INDEX(基础数据!$A$2:$A$1024,MATCH(转配商关联商!X967,基础数据!$D$2:$D$1024,0))</f>
        <v>#N/A</v>
      </c>
      <c r="E967" s="12" t="e">
        <f>INDEX(基础数据!$B$2:$B$1024,MATCH(转配商关联商!X967,基础数据!$D$2:$D$1024,0))</f>
        <v>#N/A</v>
      </c>
      <c r="G967" s="12" t="e">
        <f>INDEX([1]流向迭代数据!E$2:E$65536,MATCH(转配商关联商!W967,[1]流向迭代数据!M$2:M$65536,0))</f>
        <v>#N/A</v>
      </c>
      <c r="N967" s="12" t="e">
        <f>INDEX([1]流向迭代数据!J$2:J$65536,MATCH(L967,[1]流向迭代数据!H$2:H$65536,0))</f>
        <v>#N/A</v>
      </c>
      <c r="P967" s="14"/>
      <c r="T967" s="12" t="e">
        <f>INDEX([1]流向迭代数据!K$2:K$65536,MATCH(L967,[1]流向迭代数据!H$2:H$65536,0))</f>
        <v>#N/A</v>
      </c>
      <c r="W967" s="12" t="str">
        <f t="shared" si="31"/>
        <v/>
      </c>
    </row>
    <row r="968" spans="1:23" x14ac:dyDescent="0.15">
      <c r="A968" s="14" t="str">
        <f t="shared" si="30"/>
        <v>190001</v>
      </c>
      <c r="C968" s="12" t="e">
        <f>INDEX(基础数据!$A$2:$A$1024,MATCH(转配商关联商!X968,基础数据!$D$2:$D$1024,0))</f>
        <v>#N/A</v>
      </c>
      <c r="E968" s="12" t="e">
        <f>INDEX(基础数据!$B$2:$B$1024,MATCH(转配商关联商!X968,基础数据!$D$2:$D$1024,0))</f>
        <v>#N/A</v>
      </c>
      <c r="G968" s="12" t="e">
        <f>INDEX([1]流向迭代数据!E$2:E$65536,MATCH(转配商关联商!W968,[1]流向迭代数据!M$2:M$65536,0))</f>
        <v>#N/A</v>
      </c>
      <c r="N968" s="12" t="e">
        <f>INDEX([1]流向迭代数据!J$2:J$65536,MATCH(L968,[1]流向迭代数据!H$2:H$65536,0))</f>
        <v>#N/A</v>
      </c>
      <c r="P968" s="14"/>
      <c r="T968" s="12" t="e">
        <f>INDEX([1]流向迭代数据!K$2:K$65536,MATCH(L968,[1]流向迭代数据!H$2:H$65536,0))</f>
        <v>#N/A</v>
      </c>
      <c r="W968" s="12" t="str">
        <f t="shared" si="31"/>
        <v/>
      </c>
    </row>
    <row r="969" spans="1:23" x14ac:dyDescent="0.15">
      <c r="A969" s="14" t="str">
        <f t="shared" si="30"/>
        <v>190001</v>
      </c>
      <c r="C969" s="12" t="e">
        <f>INDEX(基础数据!$A$2:$A$1024,MATCH(转配商关联商!X969,基础数据!$D$2:$D$1024,0))</f>
        <v>#N/A</v>
      </c>
      <c r="E969" s="12" t="e">
        <f>INDEX(基础数据!$B$2:$B$1024,MATCH(转配商关联商!X969,基础数据!$D$2:$D$1024,0))</f>
        <v>#N/A</v>
      </c>
      <c r="G969" s="12" t="e">
        <f>INDEX([1]流向迭代数据!E$2:E$65536,MATCH(转配商关联商!W969,[1]流向迭代数据!M$2:M$65536,0))</f>
        <v>#N/A</v>
      </c>
      <c r="N969" s="12" t="e">
        <f>INDEX([1]流向迭代数据!J$2:J$65536,MATCH(L969,[1]流向迭代数据!H$2:H$65536,0))</f>
        <v>#N/A</v>
      </c>
      <c r="P969" s="14"/>
      <c r="T969" s="12" t="e">
        <f>INDEX([1]流向迭代数据!K$2:K$65536,MATCH(L969,[1]流向迭代数据!H$2:H$65536,0))</f>
        <v>#N/A</v>
      </c>
      <c r="W969" s="12" t="str">
        <f t="shared" si="31"/>
        <v/>
      </c>
    </row>
    <row r="970" spans="1:23" x14ac:dyDescent="0.15">
      <c r="A970" s="14" t="str">
        <f t="shared" si="30"/>
        <v>190001</v>
      </c>
      <c r="C970" s="12" t="e">
        <f>INDEX(基础数据!$A$2:$A$1024,MATCH(转配商关联商!X970,基础数据!$D$2:$D$1024,0))</f>
        <v>#N/A</v>
      </c>
      <c r="E970" s="12" t="e">
        <f>INDEX(基础数据!$B$2:$B$1024,MATCH(转配商关联商!X970,基础数据!$D$2:$D$1024,0))</f>
        <v>#N/A</v>
      </c>
      <c r="G970" s="12" t="e">
        <f>INDEX([1]流向迭代数据!E$2:E$65536,MATCH(转配商关联商!W970,[1]流向迭代数据!M$2:M$65536,0))</f>
        <v>#N/A</v>
      </c>
      <c r="N970" s="12" t="e">
        <f>INDEX([1]流向迭代数据!J$2:J$65536,MATCH(L970,[1]流向迭代数据!H$2:H$65536,0))</f>
        <v>#N/A</v>
      </c>
      <c r="P970" s="14"/>
      <c r="T970" s="12" t="e">
        <f>INDEX([1]流向迭代数据!K$2:K$65536,MATCH(L970,[1]流向迭代数据!H$2:H$65536,0))</f>
        <v>#N/A</v>
      </c>
      <c r="W970" s="12" t="str">
        <f t="shared" si="31"/>
        <v/>
      </c>
    </row>
    <row r="971" spans="1:23" x14ac:dyDescent="0.15">
      <c r="A971" s="14" t="str">
        <f t="shared" si="30"/>
        <v>190001</v>
      </c>
      <c r="C971" s="12" t="e">
        <f>INDEX(基础数据!$A$2:$A$1024,MATCH(转配商关联商!X971,基础数据!$D$2:$D$1024,0))</f>
        <v>#N/A</v>
      </c>
      <c r="E971" s="12" t="e">
        <f>INDEX(基础数据!$B$2:$B$1024,MATCH(转配商关联商!X971,基础数据!$D$2:$D$1024,0))</f>
        <v>#N/A</v>
      </c>
      <c r="G971" s="12" t="e">
        <f>INDEX([1]流向迭代数据!E$2:E$65536,MATCH(转配商关联商!W971,[1]流向迭代数据!M$2:M$65536,0))</f>
        <v>#N/A</v>
      </c>
      <c r="N971" s="12" t="e">
        <f>INDEX([1]流向迭代数据!J$2:J$65536,MATCH(L971,[1]流向迭代数据!H$2:H$65536,0))</f>
        <v>#N/A</v>
      </c>
      <c r="P971" s="14"/>
      <c r="T971" s="12" t="e">
        <f>INDEX([1]流向迭代数据!K$2:K$65536,MATCH(L971,[1]流向迭代数据!H$2:H$65536,0))</f>
        <v>#N/A</v>
      </c>
      <c r="W971" s="12" t="str">
        <f t="shared" si="31"/>
        <v/>
      </c>
    </row>
    <row r="972" spans="1:23" x14ac:dyDescent="0.15">
      <c r="A972" s="14" t="str">
        <f t="shared" si="30"/>
        <v>190001</v>
      </c>
      <c r="C972" s="12" t="e">
        <f>INDEX(基础数据!$A$2:$A$1024,MATCH(转配商关联商!X972,基础数据!$D$2:$D$1024,0))</f>
        <v>#N/A</v>
      </c>
      <c r="E972" s="12" t="e">
        <f>INDEX(基础数据!$B$2:$B$1024,MATCH(转配商关联商!X972,基础数据!$D$2:$D$1024,0))</f>
        <v>#N/A</v>
      </c>
      <c r="G972" s="12" t="e">
        <f>INDEX([1]流向迭代数据!E$2:E$65536,MATCH(转配商关联商!W972,[1]流向迭代数据!M$2:M$65536,0))</f>
        <v>#N/A</v>
      </c>
      <c r="N972" s="12" t="e">
        <f>INDEX([1]流向迭代数据!J$2:J$65536,MATCH(L972,[1]流向迭代数据!H$2:H$65536,0))</f>
        <v>#N/A</v>
      </c>
      <c r="P972" s="14"/>
      <c r="T972" s="12" t="e">
        <f>INDEX([1]流向迭代数据!K$2:K$65536,MATCH(L972,[1]流向迭代数据!H$2:H$65536,0))</f>
        <v>#N/A</v>
      </c>
      <c r="W972" s="12" t="str">
        <f t="shared" si="31"/>
        <v/>
      </c>
    </row>
    <row r="973" spans="1:23" x14ac:dyDescent="0.15">
      <c r="A973" s="14" t="str">
        <f t="shared" si="30"/>
        <v>190001</v>
      </c>
      <c r="C973" s="12" t="e">
        <f>INDEX(基础数据!$A$2:$A$1024,MATCH(转配商关联商!X973,基础数据!$D$2:$D$1024,0))</f>
        <v>#N/A</v>
      </c>
      <c r="E973" s="12" t="e">
        <f>INDEX(基础数据!$B$2:$B$1024,MATCH(转配商关联商!X973,基础数据!$D$2:$D$1024,0))</f>
        <v>#N/A</v>
      </c>
      <c r="G973" s="12" t="e">
        <f>INDEX([1]流向迭代数据!E$2:E$65536,MATCH(转配商关联商!W973,[1]流向迭代数据!M$2:M$65536,0))</f>
        <v>#N/A</v>
      </c>
      <c r="N973" s="12" t="e">
        <f>INDEX([1]流向迭代数据!J$2:J$65536,MATCH(L973,[1]流向迭代数据!H$2:H$65536,0))</f>
        <v>#N/A</v>
      </c>
      <c r="P973" s="14"/>
      <c r="T973" s="12" t="e">
        <f>INDEX([1]流向迭代数据!K$2:K$65536,MATCH(L973,[1]流向迭代数据!H$2:H$65536,0))</f>
        <v>#N/A</v>
      </c>
      <c r="W973" s="12" t="str">
        <f t="shared" si="31"/>
        <v/>
      </c>
    </row>
    <row r="974" spans="1:23" x14ac:dyDescent="0.15">
      <c r="A974" s="14" t="str">
        <f t="shared" si="30"/>
        <v>190001</v>
      </c>
      <c r="C974" s="12" t="e">
        <f>INDEX(基础数据!$A$2:$A$1024,MATCH(转配商关联商!X974,基础数据!$D$2:$D$1024,0))</f>
        <v>#N/A</v>
      </c>
      <c r="E974" s="12" t="e">
        <f>INDEX(基础数据!$B$2:$B$1024,MATCH(转配商关联商!X974,基础数据!$D$2:$D$1024,0))</f>
        <v>#N/A</v>
      </c>
      <c r="G974" s="12" t="e">
        <f>INDEX([1]流向迭代数据!E$2:E$65536,MATCH(转配商关联商!W974,[1]流向迭代数据!M$2:M$65536,0))</f>
        <v>#N/A</v>
      </c>
      <c r="N974" s="12" t="e">
        <f>INDEX([1]流向迭代数据!J$2:J$65536,MATCH(L974,[1]流向迭代数据!H$2:H$65536,0))</f>
        <v>#N/A</v>
      </c>
      <c r="P974" s="14"/>
      <c r="T974" s="12" t="e">
        <f>INDEX([1]流向迭代数据!K$2:K$65536,MATCH(L974,[1]流向迭代数据!H$2:H$65536,0))</f>
        <v>#N/A</v>
      </c>
      <c r="W974" s="12" t="str">
        <f t="shared" si="31"/>
        <v/>
      </c>
    </row>
    <row r="975" spans="1:23" x14ac:dyDescent="0.15">
      <c r="A975" s="14" t="str">
        <f t="shared" si="30"/>
        <v>190001</v>
      </c>
      <c r="C975" s="12" t="e">
        <f>INDEX(基础数据!$A$2:$A$1024,MATCH(转配商关联商!X975,基础数据!$D$2:$D$1024,0))</f>
        <v>#N/A</v>
      </c>
      <c r="E975" s="12" t="e">
        <f>INDEX(基础数据!$B$2:$B$1024,MATCH(转配商关联商!X975,基础数据!$D$2:$D$1024,0))</f>
        <v>#N/A</v>
      </c>
      <c r="G975" s="12" t="e">
        <f>INDEX([1]流向迭代数据!E$2:E$65536,MATCH(转配商关联商!W975,[1]流向迭代数据!M$2:M$65536,0))</f>
        <v>#N/A</v>
      </c>
      <c r="N975" s="12" t="e">
        <f>INDEX([1]流向迭代数据!J$2:J$65536,MATCH(L975,[1]流向迭代数据!H$2:H$65536,0))</f>
        <v>#N/A</v>
      </c>
      <c r="P975" s="14"/>
      <c r="T975" s="12" t="e">
        <f>INDEX([1]流向迭代数据!K$2:K$65536,MATCH(L975,[1]流向迭代数据!H$2:H$65536,0))</f>
        <v>#N/A</v>
      </c>
      <c r="W975" s="12" t="str">
        <f t="shared" si="31"/>
        <v/>
      </c>
    </row>
    <row r="976" spans="1:23" x14ac:dyDescent="0.15">
      <c r="A976" s="14" t="str">
        <f t="shared" si="30"/>
        <v>190001</v>
      </c>
      <c r="C976" s="12" t="e">
        <f>INDEX(基础数据!$A$2:$A$1024,MATCH(转配商关联商!X976,基础数据!$D$2:$D$1024,0))</f>
        <v>#N/A</v>
      </c>
      <c r="E976" s="12" t="e">
        <f>INDEX(基础数据!$B$2:$B$1024,MATCH(转配商关联商!X976,基础数据!$D$2:$D$1024,0))</f>
        <v>#N/A</v>
      </c>
      <c r="G976" s="12" t="e">
        <f>INDEX([1]流向迭代数据!E$2:E$65536,MATCH(转配商关联商!W976,[1]流向迭代数据!M$2:M$65536,0))</f>
        <v>#N/A</v>
      </c>
      <c r="N976" s="12" t="e">
        <f>INDEX([1]流向迭代数据!J$2:J$65536,MATCH(L976,[1]流向迭代数据!H$2:H$65536,0))</f>
        <v>#N/A</v>
      </c>
      <c r="P976" s="14"/>
      <c r="T976" s="12" t="e">
        <f>INDEX([1]流向迭代数据!K$2:K$65536,MATCH(L976,[1]流向迭代数据!H$2:H$65536,0))</f>
        <v>#N/A</v>
      </c>
      <c r="W976" s="12" t="str">
        <f t="shared" si="31"/>
        <v/>
      </c>
    </row>
    <row r="977" spans="1:23" x14ac:dyDescent="0.15">
      <c r="A977" s="14" t="str">
        <f t="shared" si="30"/>
        <v>190001</v>
      </c>
      <c r="C977" s="12" t="e">
        <f>INDEX(基础数据!$A$2:$A$1024,MATCH(转配商关联商!X977,基础数据!$D$2:$D$1024,0))</f>
        <v>#N/A</v>
      </c>
      <c r="E977" s="12" t="e">
        <f>INDEX(基础数据!$B$2:$B$1024,MATCH(转配商关联商!X977,基础数据!$D$2:$D$1024,0))</f>
        <v>#N/A</v>
      </c>
      <c r="G977" s="12" t="e">
        <f>INDEX([1]流向迭代数据!E$2:E$65536,MATCH(转配商关联商!W977,[1]流向迭代数据!M$2:M$65536,0))</f>
        <v>#N/A</v>
      </c>
      <c r="N977" s="12" t="e">
        <f>INDEX([1]流向迭代数据!J$2:J$65536,MATCH(L977,[1]流向迭代数据!H$2:H$65536,0))</f>
        <v>#N/A</v>
      </c>
      <c r="P977" s="14"/>
      <c r="T977" s="12" t="e">
        <f>INDEX([1]流向迭代数据!K$2:K$65536,MATCH(L977,[1]流向迭代数据!H$2:H$65536,0))</f>
        <v>#N/A</v>
      </c>
      <c r="W977" s="12" t="str">
        <f t="shared" si="31"/>
        <v/>
      </c>
    </row>
    <row r="978" spans="1:23" x14ac:dyDescent="0.15">
      <c r="A978" s="14" t="str">
        <f t="shared" si="30"/>
        <v>190001</v>
      </c>
      <c r="C978" s="12" t="e">
        <f>INDEX(基础数据!$A$2:$A$1024,MATCH(转配商关联商!X978,基础数据!$D$2:$D$1024,0))</f>
        <v>#N/A</v>
      </c>
      <c r="E978" s="12" t="e">
        <f>INDEX(基础数据!$B$2:$B$1024,MATCH(转配商关联商!X978,基础数据!$D$2:$D$1024,0))</f>
        <v>#N/A</v>
      </c>
      <c r="G978" s="12" t="e">
        <f>INDEX([1]流向迭代数据!E$2:E$65536,MATCH(转配商关联商!W978,[1]流向迭代数据!M$2:M$65536,0))</f>
        <v>#N/A</v>
      </c>
      <c r="N978" s="12" t="e">
        <f>INDEX([1]流向迭代数据!J$2:J$65536,MATCH(L978,[1]流向迭代数据!H$2:H$65536,0))</f>
        <v>#N/A</v>
      </c>
      <c r="P978" s="14"/>
      <c r="T978" s="12" t="e">
        <f>INDEX([1]流向迭代数据!K$2:K$65536,MATCH(L978,[1]流向迭代数据!H$2:H$65536,0))</f>
        <v>#N/A</v>
      </c>
      <c r="W978" s="12" t="str">
        <f t="shared" si="31"/>
        <v/>
      </c>
    </row>
    <row r="979" spans="1:23" x14ac:dyDescent="0.15">
      <c r="A979" s="14" t="str">
        <f t="shared" si="30"/>
        <v>190001</v>
      </c>
      <c r="C979" s="12" t="e">
        <f>INDEX(基础数据!$A$2:$A$1024,MATCH(转配商关联商!X979,基础数据!$D$2:$D$1024,0))</f>
        <v>#N/A</v>
      </c>
      <c r="E979" s="12" t="e">
        <f>INDEX(基础数据!$B$2:$B$1024,MATCH(转配商关联商!X979,基础数据!$D$2:$D$1024,0))</f>
        <v>#N/A</v>
      </c>
      <c r="G979" s="12" t="e">
        <f>INDEX([1]流向迭代数据!E$2:E$65536,MATCH(转配商关联商!W979,[1]流向迭代数据!M$2:M$65536,0))</f>
        <v>#N/A</v>
      </c>
      <c r="N979" s="12" t="e">
        <f>INDEX([1]流向迭代数据!J$2:J$65536,MATCH(L979,[1]流向迭代数据!H$2:H$65536,0))</f>
        <v>#N/A</v>
      </c>
      <c r="P979" s="14"/>
      <c r="T979" s="12" t="e">
        <f>INDEX([1]流向迭代数据!K$2:K$65536,MATCH(L979,[1]流向迭代数据!H$2:H$65536,0))</f>
        <v>#N/A</v>
      </c>
      <c r="W979" s="12" t="str">
        <f t="shared" si="31"/>
        <v/>
      </c>
    </row>
    <row r="980" spans="1:23" x14ac:dyDescent="0.15">
      <c r="A980" s="14" t="str">
        <f t="shared" si="30"/>
        <v>190001</v>
      </c>
      <c r="C980" s="12" t="e">
        <f>INDEX(基础数据!$A$2:$A$1024,MATCH(转配商关联商!X980,基础数据!$D$2:$D$1024,0))</f>
        <v>#N/A</v>
      </c>
      <c r="E980" s="12" t="e">
        <f>INDEX(基础数据!$B$2:$B$1024,MATCH(转配商关联商!X980,基础数据!$D$2:$D$1024,0))</f>
        <v>#N/A</v>
      </c>
      <c r="G980" s="12" t="e">
        <f>INDEX([1]流向迭代数据!E$2:E$65536,MATCH(转配商关联商!W980,[1]流向迭代数据!M$2:M$65536,0))</f>
        <v>#N/A</v>
      </c>
      <c r="N980" s="12" t="e">
        <f>INDEX([1]流向迭代数据!J$2:J$65536,MATCH(L980,[1]流向迭代数据!H$2:H$65536,0))</f>
        <v>#N/A</v>
      </c>
      <c r="P980" s="14"/>
      <c r="T980" s="12" t="e">
        <f>INDEX([1]流向迭代数据!K$2:K$65536,MATCH(L980,[1]流向迭代数据!H$2:H$65536,0))</f>
        <v>#N/A</v>
      </c>
      <c r="W980" s="12" t="str">
        <f t="shared" si="31"/>
        <v/>
      </c>
    </row>
    <row r="981" spans="1:23" x14ac:dyDescent="0.15">
      <c r="A981" s="14" t="str">
        <f t="shared" si="30"/>
        <v>190001</v>
      </c>
      <c r="C981" s="12" t="e">
        <f>INDEX(基础数据!$A$2:$A$1024,MATCH(转配商关联商!X981,基础数据!$D$2:$D$1024,0))</f>
        <v>#N/A</v>
      </c>
      <c r="E981" s="12" t="e">
        <f>INDEX(基础数据!$B$2:$B$1024,MATCH(转配商关联商!X981,基础数据!$D$2:$D$1024,0))</f>
        <v>#N/A</v>
      </c>
      <c r="G981" s="12" t="e">
        <f>INDEX([1]流向迭代数据!E$2:E$65536,MATCH(转配商关联商!W981,[1]流向迭代数据!M$2:M$65536,0))</f>
        <v>#N/A</v>
      </c>
      <c r="N981" s="12" t="e">
        <f>INDEX([1]流向迭代数据!J$2:J$65536,MATCH(L981,[1]流向迭代数据!H$2:H$65536,0))</f>
        <v>#N/A</v>
      </c>
      <c r="P981" s="14"/>
      <c r="T981" s="12" t="e">
        <f>INDEX([1]流向迭代数据!K$2:K$65536,MATCH(L981,[1]流向迭代数据!H$2:H$65536,0))</f>
        <v>#N/A</v>
      </c>
      <c r="W981" s="12" t="str">
        <f t="shared" si="31"/>
        <v/>
      </c>
    </row>
    <row r="982" spans="1:23" x14ac:dyDescent="0.15">
      <c r="A982" s="14" t="str">
        <f t="shared" si="30"/>
        <v>190001</v>
      </c>
      <c r="C982" s="12" t="e">
        <f>INDEX(基础数据!$A$2:$A$1024,MATCH(转配商关联商!X982,基础数据!$D$2:$D$1024,0))</f>
        <v>#N/A</v>
      </c>
      <c r="E982" s="12" t="e">
        <f>INDEX(基础数据!$B$2:$B$1024,MATCH(转配商关联商!X982,基础数据!$D$2:$D$1024,0))</f>
        <v>#N/A</v>
      </c>
      <c r="G982" s="12" t="e">
        <f>INDEX([1]流向迭代数据!E$2:E$65536,MATCH(转配商关联商!W982,[1]流向迭代数据!M$2:M$65536,0))</f>
        <v>#N/A</v>
      </c>
      <c r="N982" s="12" t="e">
        <f>INDEX([1]流向迭代数据!J$2:J$65536,MATCH(L982,[1]流向迭代数据!H$2:H$65536,0))</f>
        <v>#N/A</v>
      </c>
      <c r="P982" s="14"/>
      <c r="T982" s="12" t="e">
        <f>INDEX([1]流向迭代数据!K$2:K$65536,MATCH(L982,[1]流向迭代数据!H$2:H$65536,0))</f>
        <v>#N/A</v>
      </c>
      <c r="W982" s="12" t="str">
        <f t="shared" si="31"/>
        <v/>
      </c>
    </row>
    <row r="983" spans="1:23" x14ac:dyDescent="0.15">
      <c r="A983" s="14" t="str">
        <f t="shared" si="30"/>
        <v>190001</v>
      </c>
      <c r="C983" s="12" t="e">
        <f>INDEX(基础数据!$A$2:$A$1024,MATCH(转配商关联商!X983,基础数据!$D$2:$D$1024,0))</f>
        <v>#N/A</v>
      </c>
      <c r="E983" s="12" t="e">
        <f>INDEX(基础数据!$B$2:$B$1024,MATCH(转配商关联商!X983,基础数据!$D$2:$D$1024,0))</f>
        <v>#N/A</v>
      </c>
      <c r="G983" s="12" t="e">
        <f>INDEX([1]流向迭代数据!E$2:E$65536,MATCH(转配商关联商!W983,[1]流向迭代数据!M$2:M$65536,0))</f>
        <v>#N/A</v>
      </c>
      <c r="N983" s="12" t="e">
        <f>INDEX([1]流向迭代数据!J$2:J$65536,MATCH(L983,[1]流向迭代数据!H$2:H$65536,0))</f>
        <v>#N/A</v>
      </c>
      <c r="P983" s="14"/>
      <c r="T983" s="12" t="e">
        <f>INDEX([1]流向迭代数据!K$2:K$65536,MATCH(L983,[1]流向迭代数据!H$2:H$65536,0))</f>
        <v>#N/A</v>
      </c>
      <c r="W983" s="12" t="str">
        <f t="shared" si="31"/>
        <v/>
      </c>
    </row>
    <row r="984" spans="1:23" x14ac:dyDescent="0.15">
      <c r="A984" s="14" t="str">
        <f t="shared" si="30"/>
        <v>190001</v>
      </c>
      <c r="C984" s="12" t="e">
        <f>INDEX(基础数据!$A$2:$A$1024,MATCH(转配商关联商!X984,基础数据!$D$2:$D$1024,0))</f>
        <v>#N/A</v>
      </c>
      <c r="E984" s="12" t="e">
        <f>INDEX(基础数据!$B$2:$B$1024,MATCH(转配商关联商!X984,基础数据!$D$2:$D$1024,0))</f>
        <v>#N/A</v>
      </c>
      <c r="G984" s="12" t="e">
        <f>INDEX([1]流向迭代数据!E$2:E$65536,MATCH(转配商关联商!W984,[1]流向迭代数据!M$2:M$65536,0))</f>
        <v>#N/A</v>
      </c>
      <c r="N984" s="12" t="e">
        <f>INDEX([1]流向迭代数据!J$2:J$65536,MATCH(L984,[1]流向迭代数据!H$2:H$65536,0))</f>
        <v>#N/A</v>
      </c>
      <c r="P984" s="14"/>
      <c r="T984" s="12" t="e">
        <f>INDEX([1]流向迭代数据!K$2:K$65536,MATCH(L984,[1]流向迭代数据!H$2:H$65536,0))</f>
        <v>#N/A</v>
      </c>
      <c r="W984" s="12" t="str">
        <f t="shared" si="31"/>
        <v/>
      </c>
    </row>
    <row r="985" spans="1:23" x14ac:dyDescent="0.15">
      <c r="A985" s="14" t="str">
        <f t="shared" si="30"/>
        <v>190001</v>
      </c>
      <c r="C985" s="12" t="e">
        <f>INDEX(基础数据!$A$2:$A$1024,MATCH(转配商关联商!X985,基础数据!$D$2:$D$1024,0))</f>
        <v>#N/A</v>
      </c>
      <c r="E985" s="12" t="e">
        <f>INDEX(基础数据!$B$2:$B$1024,MATCH(转配商关联商!X985,基础数据!$D$2:$D$1024,0))</f>
        <v>#N/A</v>
      </c>
      <c r="G985" s="12" t="e">
        <f>INDEX([1]流向迭代数据!E$2:E$65536,MATCH(转配商关联商!W985,[1]流向迭代数据!M$2:M$65536,0))</f>
        <v>#N/A</v>
      </c>
      <c r="N985" s="12" t="e">
        <f>INDEX([1]流向迭代数据!J$2:J$65536,MATCH(L985,[1]流向迭代数据!H$2:H$65536,0))</f>
        <v>#N/A</v>
      </c>
      <c r="P985" s="14"/>
      <c r="T985" s="12" t="e">
        <f>INDEX([1]流向迭代数据!K$2:K$65536,MATCH(L985,[1]流向迭代数据!H$2:H$65536,0))</f>
        <v>#N/A</v>
      </c>
      <c r="W985" s="12" t="str">
        <f t="shared" si="31"/>
        <v/>
      </c>
    </row>
    <row r="986" spans="1:23" x14ac:dyDescent="0.15">
      <c r="A986" s="14" t="str">
        <f t="shared" si="30"/>
        <v>190001</v>
      </c>
      <c r="C986" s="12" t="e">
        <f>INDEX(基础数据!$A$2:$A$1024,MATCH(转配商关联商!X986,基础数据!$D$2:$D$1024,0))</f>
        <v>#N/A</v>
      </c>
      <c r="E986" s="12" t="e">
        <f>INDEX(基础数据!$B$2:$B$1024,MATCH(转配商关联商!X986,基础数据!$D$2:$D$1024,0))</f>
        <v>#N/A</v>
      </c>
      <c r="G986" s="12" t="e">
        <f>INDEX([1]流向迭代数据!E$2:E$65536,MATCH(转配商关联商!W986,[1]流向迭代数据!M$2:M$65536,0))</f>
        <v>#N/A</v>
      </c>
      <c r="N986" s="12" t="e">
        <f>INDEX([1]流向迭代数据!J$2:J$65536,MATCH(L986,[1]流向迭代数据!H$2:H$65536,0))</f>
        <v>#N/A</v>
      </c>
      <c r="P986" s="14"/>
      <c r="T986" s="12" t="e">
        <f>INDEX([1]流向迭代数据!K$2:K$65536,MATCH(L986,[1]流向迭代数据!H$2:H$65536,0))</f>
        <v>#N/A</v>
      </c>
      <c r="W986" s="12" t="str">
        <f t="shared" si="31"/>
        <v/>
      </c>
    </row>
    <row r="987" spans="1:23" x14ac:dyDescent="0.15">
      <c r="A987" s="14" t="str">
        <f t="shared" si="30"/>
        <v>190001</v>
      </c>
      <c r="C987" s="12" t="e">
        <f>INDEX(基础数据!$A$2:$A$1024,MATCH(转配商关联商!X987,基础数据!$D$2:$D$1024,0))</f>
        <v>#N/A</v>
      </c>
      <c r="E987" s="12" t="e">
        <f>INDEX(基础数据!$B$2:$B$1024,MATCH(转配商关联商!X987,基础数据!$D$2:$D$1024,0))</f>
        <v>#N/A</v>
      </c>
      <c r="G987" s="12" t="e">
        <f>INDEX([1]流向迭代数据!E$2:E$65536,MATCH(转配商关联商!W987,[1]流向迭代数据!M$2:M$65536,0))</f>
        <v>#N/A</v>
      </c>
      <c r="N987" s="12" t="e">
        <f>INDEX([1]流向迭代数据!J$2:J$65536,MATCH(L987,[1]流向迭代数据!H$2:H$65536,0))</f>
        <v>#N/A</v>
      </c>
      <c r="P987" s="14"/>
      <c r="T987" s="12" t="e">
        <f>INDEX([1]流向迭代数据!K$2:K$65536,MATCH(L987,[1]流向迭代数据!H$2:H$65536,0))</f>
        <v>#N/A</v>
      </c>
      <c r="W987" s="12" t="str">
        <f t="shared" si="31"/>
        <v/>
      </c>
    </row>
    <row r="988" spans="1:23" x14ac:dyDescent="0.15">
      <c r="A988" s="14" t="str">
        <f t="shared" si="30"/>
        <v>190001</v>
      </c>
      <c r="C988" s="12" t="e">
        <f>INDEX(基础数据!$A$2:$A$1024,MATCH(转配商关联商!X988,基础数据!$D$2:$D$1024,0))</f>
        <v>#N/A</v>
      </c>
      <c r="E988" s="12" t="e">
        <f>INDEX(基础数据!$B$2:$B$1024,MATCH(转配商关联商!X988,基础数据!$D$2:$D$1024,0))</f>
        <v>#N/A</v>
      </c>
      <c r="G988" s="12" t="e">
        <f>INDEX([1]流向迭代数据!E$2:E$65536,MATCH(转配商关联商!W988,[1]流向迭代数据!M$2:M$65536,0))</f>
        <v>#N/A</v>
      </c>
      <c r="N988" s="12" t="e">
        <f>INDEX([1]流向迭代数据!J$2:J$65536,MATCH(L988,[1]流向迭代数据!H$2:H$65536,0))</f>
        <v>#N/A</v>
      </c>
      <c r="P988" s="14"/>
      <c r="T988" s="12" t="e">
        <f>INDEX([1]流向迭代数据!K$2:K$65536,MATCH(L988,[1]流向迭代数据!H$2:H$65536,0))</f>
        <v>#N/A</v>
      </c>
      <c r="W988" s="12" t="str">
        <f t="shared" si="31"/>
        <v/>
      </c>
    </row>
    <row r="989" spans="1:23" x14ac:dyDescent="0.15">
      <c r="A989" s="14" t="str">
        <f t="shared" si="30"/>
        <v>190001</v>
      </c>
      <c r="C989" s="12" t="e">
        <f>INDEX(基础数据!$A$2:$A$1024,MATCH(转配商关联商!X989,基础数据!$D$2:$D$1024,0))</f>
        <v>#N/A</v>
      </c>
      <c r="E989" s="12" t="e">
        <f>INDEX(基础数据!$B$2:$B$1024,MATCH(转配商关联商!X989,基础数据!$D$2:$D$1024,0))</f>
        <v>#N/A</v>
      </c>
      <c r="G989" s="12" t="e">
        <f>INDEX([1]流向迭代数据!E$2:E$65536,MATCH(转配商关联商!W989,[1]流向迭代数据!M$2:M$65536,0))</f>
        <v>#N/A</v>
      </c>
      <c r="N989" s="12" t="e">
        <f>INDEX([1]流向迭代数据!J$2:J$65536,MATCH(L989,[1]流向迭代数据!H$2:H$65536,0))</f>
        <v>#N/A</v>
      </c>
      <c r="P989" s="14"/>
      <c r="T989" s="12" t="e">
        <f>INDEX([1]流向迭代数据!K$2:K$65536,MATCH(L989,[1]流向迭代数据!H$2:H$65536,0))</f>
        <v>#N/A</v>
      </c>
      <c r="W989" s="12" t="str">
        <f t="shared" si="31"/>
        <v/>
      </c>
    </row>
    <row r="990" spans="1:23" x14ac:dyDescent="0.15">
      <c r="A990" s="14" t="str">
        <f t="shared" si="30"/>
        <v>190001</v>
      </c>
      <c r="C990" s="12" t="e">
        <f>INDEX(基础数据!$A$2:$A$1024,MATCH(转配商关联商!X990,基础数据!$D$2:$D$1024,0))</f>
        <v>#N/A</v>
      </c>
      <c r="E990" s="12" t="e">
        <f>INDEX(基础数据!$B$2:$B$1024,MATCH(转配商关联商!X990,基础数据!$D$2:$D$1024,0))</f>
        <v>#N/A</v>
      </c>
      <c r="G990" s="12" t="e">
        <f>INDEX([1]流向迭代数据!E$2:E$65536,MATCH(转配商关联商!W990,[1]流向迭代数据!M$2:M$65536,0))</f>
        <v>#N/A</v>
      </c>
      <c r="N990" s="12" t="e">
        <f>INDEX([1]流向迭代数据!J$2:J$65536,MATCH(L990,[1]流向迭代数据!H$2:H$65536,0))</f>
        <v>#N/A</v>
      </c>
      <c r="P990" s="14"/>
      <c r="T990" s="12" t="e">
        <f>INDEX([1]流向迭代数据!K$2:K$65536,MATCH(L990,[1]流向迭代数据!H$2:H$65536,0))</f>
        <v>#N/A</v>
      </c>
      <c r="W990" s="12" t="str">
        <f t="shared" si="31"/>
        <v/>
      </c>
    </row>
    <row r="991" spans="1:23" x14ac:dyDescent="0.15">
      <c r="A991" s="14" t="str">
        <f t="shared" si="30"/>
        <v>190001</v>
      </c>
      <c r="C991" s="12" t="e">
        <f>INDEX(基础数据!$A$2:$A$1024,MATCH(转配商关联商!X991,基础数据!$D$2:$D$1024,0))</f>
        <v>#N/A</v>
      </c>
      <c r="E991" s="12" t="e">
        <f>INDEX(基础数据!$B$2:$B$1024,MATCH(转配商关联商!X991,基础数据!$D$2:$D$1024,0))</f>
        <v>#N/A</v>
      </c>
      <c r="G991" s="12" t="e">
        <f>INDEX([1]流向迭代数据!E$2:E$65536,MATCH(转配商关联商!W991,[1]流向迭代数据!M$2:M$65536,0))</f>
        <v>#N/A</v>
      </c>
      <c r="N991" s="12" t="e">
        <f>INDEX([1]流向迭代数据!J$2:J$65536,MATCH(L991,[1]流向迭代数据!H$2:H$65536,0))</f>
        <v>#N/A</v>
      </c>
      <c r="P991" s="14"/>
      <c r="T991" s="12" t="e">
        <f>INDEX([1]流向迭代数据!K$2:K$65536,MATCH(L991,[1]流向迭代数据!H$2:H$65536,0))</f>
        <v>#N/A</v>
      </c>
      <c r="W991" s="12" t="str">
        <f t="shared" si="31"/>
        <v/>
      </c>
    </row>
    <row r="992" spans="1:23" x14ac:dyDescent="0.15">
      <c r="A992" s="14" t="str">
        <f t="shared" si="30"/>
        <v>190001</v>
      </c>
      <c r="C992" s="12" t="e">
        <f>INDEX(基础数据!$A$2:$A$1024,MATCH(转配商关联商!X992,基础数据!$D$2:$D$1024,0))</f>
        <v>#N/A</v>
      </c>
      <c r="E992" s="12" t="e">
        <f>INDEX(基础数据!$B$2:$B$1024,MATCH(转配商关联商!X992,基础数据!$D$2:$D$1024,0))</f>
        <v>#N/A</v>
      </c>
      <c r="G992" s="12" t="e">
        <f>INDEX([1]流向迭代数据!E$2:E$65536,MATCH(转配商关联商!W992,[1]流向迭代数据!M$2:M$65536,0))</f>
        <v>#N/A</v>
      </c>
      <c r="N992" s="12" t="e">
        <f>INDEX([1]流向迭代数据!J$2:J$65536,MATCH(L992,[1]流向迭代数据!H$2:H$65536,0))</f>
        <v>#N/A</v>
      </c>
      <c r="P992" s="14"/>
      <c r="T992" s="12" t="e">
        <f>INDEX([1]流向迭代数据!K$2:K$65536,MATCH(L992,[1]流向迭代数据!H$2:H$65536,0))</f>
        <v>#N/A</v>
      </c>
      <c r="W992" s="12" t="str">
        <f t="shared" si="31"/>
        <v/>
      </c>
    </row>
    <row r="993" spans="1:23" x14ac:dyDescent="0.15">
      <c r="A993" s="14" t="str">
        <f t="shared" si="30"/>
        <v>190001</v>
      </c>
      <c r="C993" s="12" t="e">
        <f>INDEX(基础数据!$A$2:$A$1024,MATCH(转配商关联商!X993,基础数据!$D$2:$D$1024,0))</f>
        <v>#N/A</v>
      </c>
      <c r="E993" s="12" t="e">
        <f>INDEX(基础数据!$B$2:$B$1024,MATCH(转配商关联商!X993,基础数据!$D$2:$D$1024,0))</f>
        <v>#N/A</v>
      </c>
      <c r="G993" s="12" t="e">
        <f>INDEX([1]流向迭代数据!E$2:E$65536,MATCH(转配商关联商!W993,[1]流向迭代数据!M$2:M$65536,0))</f>
        <v>#N/A</v>
      </c>
      <c r="N993" s="12" t="e">
        <f>INDEX([1]流向迭代数据!J$2:J$65536,MATCH(L993,[1]流向迭代数据!H$2:H$65536,0))</f>
        <v>#N/A</v>
      </c>
      <c r="P993" s="14"/>
      <c r="T993" s="12" t="e">
        <f>INDEX([1]流向迭代数据!K$2:K$65536,MATCH(L993,[1]流向迭代数据!H$2:H$65536,0))</f>
        <v>#N/A</v>
      </c>
      <c r="W993" s="12" t="str">
        <f t="shared" si="31"/>
        <v/>
      </c>
    </row>
    <row r="994" spans="1:23" x14ac:dyDescent="0.15">
      <c r="A994" s="14" t="str">
        <f t="shared" si="30"/>
        <v>190001</v>
      </c>
      <c r="C994" s="12" t="e">
        <f>INDEX(基础数据!$A$2:$A$1024,MATCH(转配商关联商!X994,基础数据!$D$2:$D$1024,0))</f>
        <v>#N/A</v>
      </c>
      <c r="E994" s="12" t="e">
        <f>INDEX(基础数据!$B$2:$B$1024,MATCH(转配商关联商!X994,基础数据!$D$2:$D$1024,0))</f>
        <v>#N/A</v>
      </c>
      <c r="G994" s="12" t="e">
        <f>INDEX([1]流向迭代数据!E$2:E$65536,MATCH(转配商关联商!W994,[1]流向迭代数据!M$2:M$65536,0))</f>
        <v>#N/A</v>
      </c>
      <c r="N994" s="12" t="e">
        <f>INDEX([1]流向迭代数据!J$2:J$65536,MATCH(L994,[1]流向迭代数据!H$2:H$65536,0))</f>
        <v>#N/A</v>
      </c>
      <c r="P994" s="14"/>
      <c r="T994" s="12" t="e">
        <f>INDEX([1]流向迭代数据!K$2:K$65536,MATCH(L994,[1]流向迭代数据!H$2:H$65536,0))</f>
        <v>#N/A</v>
      </c>
      <c r="W994" s="12" t="str">
        <f t="shared" si="31"/>
        <v/>
      </c>
    </row>
    <row r="995" spans="1:23" x14ac:dyDescent="0.15">
      <c r="A995" s="14" t="str">
        <f t="shared" si="30"/>
        <v>190001</v>
      </c>
      <c r="C995" s="12" t="e">
        <f>INDEX(基础数据!$A$2:$A$1024,MATCH(转配商关联商!X995,基础数据!$D$2:$D$1024,0))</f>
        <v>#N/A</v>
      </c>
      <c r="E995" s="12" t="e">
        <f>INDEX(基础数据!$B$2:$B$1024,MATCH(转配商关联商!X995,基础数据!$D$2:$D$1024,0))</f>
        <v>#N/A</v>
      </c>
      <c r="G995" s="12" t="e">
        <f>INDEX([1]流向迭代数据!E$2:E$65536,MATCH(转配商关联商!W995,[1]流向迭代数据!M$2:M$65536,0))</f>
        <v>#N/A</v>
      </c>
      <c r="N995" s="12" t="e">
        <f>INDEX([1]流向迭代数据!J$2:J$65536,MATCH(L995,[1]流向迭代数据!H$2:H$65536,0))</f>
        <v>#N/A</v>
      </c>
      <c r="P995" s="14"/>
      <c r="T995" s="12" t="e">
        <f>INDEX([1]流向迭代数据!K$2:K$65536,MATCH(L995,[1]流向迭代数据!H$2:H$65536,0))</f>
        <v>#N/A</v>
      </c>
      <c r="W995" s="12" t="str">
        <f t="shared" si="31"/>
        <v/>
      </c>
    </row>
    <row r="996" spans="1:23" x14ac:dyDescent="0.15">
      <c r="A996" s="14" t="str">
        <f t="shared" si="30"/>
        <v>190001</v>
      </c>
      <c r="C996" s="12" t="e">
        <f>INDEX(基础数据!$A$2:$A$1024,MATCH(转配商关联商!X996,基础数据!$D$2:$D$1024,0))</f>
        <v>#N/A</v>
      </c>
      <c r="E996" s="12" t="e">
        <f>INDEX(基础数据!$B$2:$B$1024,MATCH(转配商关联商!X996,基础数据!$D$2:$D$1024,0))</f>
        <v>#N/A</v>
      </c>
      <c r="G996" s="12" t="e">
        <f>INDEX([1]流向迭代数据!E$2:E$65536,MATCH(转配商关联商!W996,[1]流向迭代数据!M$2:M$65536,0))</f>
        <v>#N/A</v>
      </c>
      <c r="N996" s="12" t="e">
        <f>INDEX([1]流向迭代数据!J$2:J$65536,MATCH(L996,[1]流向迭代数据!H$2:H$65536,0))</f>
        <v>#N/A</v>
      </c>
      <c r="P996" s="14"/>
      <c r="T996" s="12" t="e">
        <f>INDEX([1]流向迭代数据!K$2:K$65536,MATCH(L996,[1]流向迭代数据!H$2:H$65536,0))</f>
        <v>#N/A</v>
      </c>
      <c r="W996" s="12" t="str">
        <f t="shared" si="31"/>
        <v/>
      </c>
    </row>
    <row r="997" spans="1:23" x14ac:dyDescent="0.15">
      <c r="A997" s="14" t="str">
        <f t="shared" si="30"/>
        <v>190001</v>
      </c>
      <c r="C997" s="12" t="e">
        <f>INDEX(基础数据!$A$2:$A$1024,MATCH(转配商关联商!X997,基础数据!$D$2:$D$1024,0))</f>
        <v>#N/A</v>
      </c>
      <c r="E997" s="12" t="e">
        <f>INDEX(基础数据!$B$2:$B$1024,MATCH(转配商关联商!X997,基础数据!$D$2:$D$1024,0))</f>
        <v>#N/A</v>
      </c>
      <c r="G997" s="12" t="e">
        <f>INDEX([1]流向迭代数据!E$2:E$65536,MATCH(转配商关联商!W997,[1]流向迭代数据!M$2:M$65536,0))</f>
        <v>#N/A</v>
      </c>
      <c r="N997" s="12" t="e">
        <f>INDEX([1]流向迭代数据!J$2:J$65536,MATCH(L997,[1]流向迭代数据!H$2:H$65536,0))</f>
        <v>#N/A</v>
      </c>
      <c r="P997" s="14"/>
      <c r="T997" s="12" t="e">
        <f>INDEX([1]流向迭代数据!K$2:K$65536,MATCH(L997,[1]流向迭代数据!H$2:H$65536,0))</f>
        <v>#N/A</v>
      </c>
      <c r="W997" s="12" t="str">
        <f t="shared" si="31"/>
        <v/>
      </c>
    </row>
    <row r="998" spans="1:23" x14ac:dyDescent="0.15">
      <c r="A998" s="14" t="str">
        <f t="shared" si="30"/>
        <v>190001</v>
      </c>
      <c r="C998" s="12" t="e">
        <f>INDEX(基础数据!$A$2:$A$1024,MATCH(转配商关联商!X998,基础数据!$D$2:$D$1024,0))</f>
        <v>#N/A</v>
      </c>
      <c r="E998" s="12" t="e">
        <f>INDEX(基础数据!$B$2:$B$1024,MATCH(转配商关联商!X998,基础数据!$D$2:$D$1024,0))</f>
        <v>#N/A</v>
      </c>
      <c r="G998" s="12" t="e">
        <f>INDEX([1]流向迭代数据!E$2:E$65536,MATCH(转配商关联商!W998,[1]流向迭代数据!M$2:M$65536,0))</f>
        <v>#N/A</v>
      </c>
      <c r="N998" s="12" t="e">
        <f>INDEX([1]流向迭代数据!J$2:J$65536,MATCH(L998,[1]流向迭代数据!H$2:H$65536,0))</f>
        <v>#N/A</v>
      </c>
      <c r="P998" s="14"/>
      <c r="T998" s="12" t="e">
        <f>INDEX([1]流向迭代数据!K$2:K$65536,MATCH(L998,[1]流向迭代数据!H$2:H$65536,0))</f>
        <v>#N/A</v>
      </c>
      <c r="W998" s="12" t="str">
        <f t="shared" si="31"/>
        <v/>
      </c>
    </row>
    <row r="999" spans="1:23" x14ac:dyDescent="0.15">
      <c r="A999" s="14" t="str">
        <f t="shared" si="30"/>
        <v>190001</v>
      </c>
      <c r="C999" s="12" t="e">
        <f>INDEX(基础数据!$A$2:$A$1024,MATCH(转配商关联商!X999,基础数据!$D$2:$D$1024,0))</f>
        <v>#N/A</v>
      </c>
      <c r="E999" s="12" t="e">
        <f>INDEX(基础数据!$B$2:$B$1024,MATCH(转配商关联商!X999,基础数据!$D$2:$D$1024,0))</f>
        <v>#N/A</v>
      </c>
      <c r="G999" s="12" t="e">
        <f>INDEX([1]流向迭代数据!E$2:E$65536,MATCH(转配商关联商!W999,[1]流向迭代数据!M$2:M$65536,0))</f>
        <v>#N/A</v>
      </c>
      <c r="N999" s="12" t="e">
        <f>INDEX([1]流向迭代数据!J$2:J$65536,MATCH(L999,[1]流向迭代数据!H$2:H$65536,0))</f>
        <v>#N/A</v>
      </c>
      <c r="P999" s="14"/>
      <c r="T999" s="12" t="e">
        <f>INDEX([1]流向迭代数据!K$2:K$65536,MATCH(L999,[1]流向迭代数据!H$2:H$65536,0))</f>
        <v>#N/A</v>
      </c>
      <c r="W999" s="12" t="str">
        <f t="shared" si="31"/>
        <v/>
      </c>
    </row>
    <row r="1000" spans="1:23" x14ac:dyDescent="0.15">
      <c r="A1000" s="14" t="str">
        <f t="shared" si="30"/>
        <v>190001</v>
      </c>
      <c r="C1000" s="12" t="e">
        <f>INDEX(基础数据!$A$2:$A$1024,MATCH(转配商关联商!X1000,基础数据!$D$2:$D$1024,0))</f>
        <v>#N/A</v>
      </c>
      <c r="E1000" s="12" t="e">
        <f>INDEX(基础数据!$B$2:$B$1024,MATCH(转配商关联商!X1000,基础数据!$D$2:$D$1024,0))</f>
        <v>#N/A</v>
      </c>
      <c r="G1000" s="12" t="e">
        <f>INDEX([1]流向迭代数据!E$2:E$65536,MATCH(转配商关联商!W1000,[1]流向迭代数据!M$2:M$65536,0))</f>
        <v>#N/A</v>
      </c>
      <c r="N1000" s="12" t="e">
        <f>INDEX([1]流向迭代数据!J$2:J$65536,MATCH(L1000,[1]流向迭代数据!H$2:H$65536,0))</f>
        <v>#N/A</v>
      </c>
      <c r="P1000" s="14"/>
      <c r="T1000" s="12" t="e">
        <f>INDEX([1]流向迭代数据!K$2:K$65536,MATCH(L1000,[1]流向迭代数据!H$2:H$65536,0))</f>
        <v>#N/A</v>
      </c>
      <c r="W1000" s="12" t="str">
        <f t="shared" si="31"/>
        <v/>
      </c>
    </row>
    <row r="1001" spans="1:23" x14ac:dyDescent="0.15">
      <c r="A1001" s="14" t="str">
        <f t="shared" si="30"/>
        <v>190001</v>
      </c>
      <c r="C1001" s="12" t="e">
        <f>INDEX(基础数据!$A$2:$A$1024,MATCH(转配商关联商!X1001,基础数据!$D$2:$D$1024,0))</f>
        <v>#N/A</v>
      </c>
      <c r="E1001" s="12" t="e">
        <f>INDEX(基础数据!$B$2:$B$1024,MATCH(转配商关联商!X1001,基础数据!$D$2:$D$1024,0))</f>
        <v>#N/A</v>
      </c>
      <c r="G1001" s="12" t="e">
        <f>INDEX([1]流向迭代数据!E$2:E$65536,MATCH(转配商关联商!W1001,[1]流向迭代数据!M$2:M$65536,0))</f>
        <v>#N/A</v>
      </c>
      <c r="N1001" s="12" t="e">
        <f>INDEX([1]流向迭代数据!J$2:J$65536,MATCH(L1001,[1]流向迭代数据!H$2:H$65536,0))</f>
        <v>#N/A</v>
      </c>
      <c r="P1001" s="14"/>
      <c r="T1001" s="12" t="e">
        <f>INDEX([1]流向迭代数据!K$2:K$65536,MATCH(L1001,[1]流向迭代数据!H$2:H$65536,0))</f>
        <v>#N/A</v>
      </c>
      <c r="W1001" s="12" t="str">
        <f t="shared" si="31"/>
        <v/>
      </c>
    </row>
    <row r="1002" spans="1:23" x14ac:dyDescent="0.15">
      <c r="A1002" s="14" t="str">
        <f t="shared" si="30"/>
        <v>190001</v>
      </c>
      <c r="C1002" s="12" t="e">
        <f>INDEX(基础数据!$A$2:$A$1024,MATCH(转配商关联商!X1002,基础数据!$D$2:$D$1024,0))</f>
        <v>#N/A</v>
      </c>
      <c r="E1002" s="12" t="e">
        <f>INDEX(基础数据!$B$2:$B$1024,MATCH(转配商关联商!X1002,基础数据!$D$2:$D$1024,0))</f>
        <v>#N/A</v>
      </c>
      <c r="G1002" s="12" t="e">
        <f>INDEX([1]流向迭代数据!E$2:E$65536,MATCH(转配商关联商!W1002,[1]流向迭代数据!M$2:M$65536,0))</f>
        <v>#N/A</v>
      </c>
      <c r="N1002" s="12" t="e">
        <f>INDEX([1]流向迭代数据!J$2:J$65536,MATCH(L1002,[1]流向迭代数据!H$2:H$65536,0))</f>
        <v>#N/A</v>
      </c>
      <c r="P1002" s="14"/>
      <c r="T1002" s="12" t="e">
        <f>INDEX([1]流向迭代数据!K$2:K$65536,MATCH(L1002,[1]流向迭代数据!H$2:H$65536,0))</f>
        <v>#N/A</v>
      </c>
      <c r="W1002" s="12" t="str">
        <f t="shared" si="31"/>
        <v/>
      </c>
    </row>
    <row r="1003" spans="1:23" x14ac:dyDescent="0.15">
      <c r="A1003" s="14" t="str">
        <f t="shared" si="30"/>
        <v>190001</v>
      </c>
      <c r="C1003" s="12" t="e">
        <f>INDEX(基础数据!$A$2:$A$1024,MATCH(转配商关联商!X1003,基础数据!$D$2:$D$1024,0))</f>
        <v>#N/A</v>
      </c>
      <c r="E1003" s="12" t="e">
        <f>INDEX(基础数据!$B$2:$B$1024,MATCH(转配商关联商!X1003,基础数据!$D$2:$D$1024,0))</f>
        <v>#N/A</v>
      </c>
      <c r="G1003" s="12" t="e">
        <f>INDEX([1]流向迭代数据!E$2:E$65536,MATCH(转配商关联商!W1003,[1]流向迭代数据!M$2:M$65536,0))</f>
        <v>#N/A</v>
      </c>
      <c r="N1003" s="12" t="e">
        <f>INDEX([1]流向迭代数据!J$2:J$65536,MATCH(L1003,[1]流向迭代数据!H$2:H$65536,0))</f>
        <v>#N/A</v>
      </c>
      <c r="P1003" s="14"/>
      <c r="T1003" s="12" t="e">
        <f>INDEX([1]流向迭代数据!K$2:K$65536,MATCH(L1003,[1]流向迭代数据!H$2:H$65536,0))</f>
        <v>#N/A</v>
      </c>
      <c r="W1003" s="12" t="str">
        <f t="shared" si="31"/>
        <v/>
      </c>
    </row>
    <row r="1004" spans="1:23" x14ac:dyDescent="0.15">
      <c r="A1004" s="14" t="str">
        <f t="shared" si="30"/>
        <v>190001</v>
      </c>
      <c r="C1004" s="12" t="e">
        <f>INDEX(基础数据!$A$2:$A$1024,MATCH(转配商关联商!X1004,基础数据!$D$2:$D$1024,0))</f>
        <v>#N/A</v>
      </c>
      <c r="E1004" s="12" t="e">
        <f>INDEX(基础数据!$B$2:$B$1024,MATCH(转配商关联商!X1004,基础数据!$D$2:$D$1024,0))</f>
        <v>#N/A</v>
      </c>
      <c r="G1004" s="12" t="e">
        <f>INDEX([1]流向迭代数据!E$2:E$65536,MATCH(转配商关联商!W1004,[1]流向迭代数据!M$2:M$65536,0))</f>
        <v>#N/A</v>
      </c>
      <c r="N1004" s="12" t="e">
        <f>INDEX([1]流向迭代数据!J$2:J$65536,MATCH(L1004,[1]流向迭代数据!H$2:H$65536,0))</f>
        <v>#N/A</v>
      </c>
      <c r="P1004" s="14"/>
      <c r="T1004" s="12" t="e">
        <f>INDEX([1]流向迭代数据!K$2:K$65536,MATCH(L1004,[1]流向迭代数据!H$2:H$65536,0))</f>
        <v>#N/A</v>
      </c>
      <c r="W1004" s="12" t="str">
        <f t="shared" si="31"/>
        <v/>
      </c>
    </row>
    <row r="1005" spans="1:23" x14ac:dyDescent="0.15">
      <c r="A1005" s="14" t="str">
        <f t="shared" si="30"/>
        <v>190001</v>
      </c>
      <c r="C1005" s="12" t="e">
        <f>INDEX(基础数据!$A$2:$A$1024,MATCH(转配商关联商!X1005,基础数据!$D$2:$D$1024,0))</f>
        <v>#N/A</v>
      </c>
      <c r="E1005" s="12" t="e">
        <f>INDEX(基础数据!$B$2:$B$1024,MATCH(转配商关联商!X1005,基础数据!$D$2:$D$1024,0))</f>
        <v>#N/A</v>
      </c>
      <c r="G1005" s="12" t="e">
        <f>INDEX([1]流向迭代数据!E$2:E$65536,MATCH(转配商关联商!W1005,[1]流向迭代数据!M$2:M$65536,0))</f>
        <v>#N/A</v>
      </c>
      <c r="N1005" s="12" t="e">
        <f>INDEX([1]流向迭代数据!J$2:J$65536,MATCH(L1005,[1]流向迭代数据!H$2:H$65536,0))</f>
        <v>#N/A</v>
      </c>
      <c r="P1005" s="14"/>
      <c r="T1005" s="12" t="e">
        <f>INDEX([1]流向迭代数据!K$2:K$65536,MATCH(L1005,[1]流向迭代数据!H$2:H$65536,0))</f>
        <v>#N/A</v>
      </c>
      <c r="W1005" s="12" t="str">
        <f t="shared" si="31"/>
        <v/>
      </c>
    </row>
    <row r="1006" spans="1:23" x14ac:dyDescent="0.15">
      <c r="A1006" s="14" t="str">
        <f t="shared" si="30"/>
        <v>190001</v>
      </c>
      <c r="C1006" s="12" t="e">
        <f>INDEX(基础数据!$A$2:$A$1024,MATCH(转配商关联商!X1006,基础数据!$D$2:$D$1024,0))</f>
        <v>#N/A</v>
      </c>
      <c r="E1006" s="12" t="e">
        <f>INDEX(基础数据!$B$2:$B$1024,MATCH(转配商关联商!X1006,基础数据!$D$2:$D$1024,0))</f>
        <v>#N/A</v>
      </c>
      <c r="G1006" s="12" t="e">
        <f>INDEX([1]流向迭代数据!E$2:E$65536,MATCH(转配商关联商!W1006,[1]流向迭代数据!M$2:M$65536,0))</f>
        <v>#N/A</v>
      </c>
      <c r="N1006" s="12" t="e">
        <f>INDEX([1]流向迭代数据!J$2:J$65536,MATCH(L1006,[1]流向迭代数据!H$2:H$65536,0))</f>
        <v>#N/A</v>
      </c>
      <c r="P1006" s="14"/>
      <c r="T1006" s="12" t="e">
        <f>INDEX([1]流向迭代数据!K$2:K$65536,MATCH(L1006,[1]流向迭代数据!H$2:H$65536,0))</f>
        <v>#N/A</v>
      </c>
      <c r="W1006" s="12" t="str">
        <f t="shared" si="31"/>
        <v/>
      </c>
    </row>
    <row r="1007" spans="1:23" x14ac:dyDescent="0.15">
      <c r="A1007" s="14" t="str">
        <f t="shared" si="30"/>
        <v>190001</v>
      </c>
      <c r="C1007" s="12" t="e">
        <f>INDEX(基础数据!$A$2:$A$1024,MATCH(转配商关联商!X1007,基础数据!$D$2:$D$1024,0))</f>
        <v>#N/A</v>
      </c>
      <c r="E1007" s="12" t="e">
        <f>INDEX(基础数据!$B$2:$B$1024,MATCH(转配商关联商!X1007,基础数据!$D$2:$D$1024,0))</f>
        <v>#N/A</v>
      </c>
      <c r="G1007" s="12" t="e">
        <f>INDEX([1]流向迭代数据!E$2:E$65536,MATCH(转配商关联商!W1007,[1]流向迭代数据!M$2:M$65536,0))</f>
        <v>#N/A</v>
      </c>
      <c r="N1007" s="12" t="e">
        <f>INDEX([1]流向迭代数据!J$2:J$65536,MATCH(L1007,[1]流向迭代数据!H$2:H$65536,0))</f>
        <v>#N/A</v>
      </c>
      <c r="P1007" s="14"/>
      <c r="T1007" s="12" t="e">
        <f>INDEX([1]流向迭代数据!K$2:K$65536,MATCH(L1007,[1]流向迭代数据!H$2:H$65536,0))</f>
        <v>#N/A</v>
      </c>
      <c r="W1007" s="12" t="str">
        <f t="shared" si="31"/>
        <v/>
      </c>
    </row>
    <row r="1008" spans="1:23" x14ac:dyDescent="0.15">
      <c r="A1008" s="14" t="str">
        <f t="shared" si="30"/>
        <v>190001</v>
      </c>
      <c r="C1008" s="12" t="e">
        <f>INDEX(基础数据!$A$2:$A$1024,MATCH(转配商关联商!X1008,基础数据!$D$2:$D$1024,0))</f>
        <v>#N/A</v>
      </c>
      <c r="E1008" s="12" t="e">
        <f>INDEX(基础数据!$B$2:$B$1024,MATCH(转配商关联商!X1008,基础数据!$D$2:$D$1024,0))</f>
        <v>#N/A</v>
      </c>
      <c r="G1008" s="12" t="e">
        <f>INDEX([1]流向迭代数据!E$2:E$65536,MATCH(转配商关联商!W1008,[1]流向迭代数据!M$2:M$65536,0))</f>
        <v>#N/A</v>
      </c>
      <c r="N1008" s="12" t="e">
        <f>INDEX([1]流向迭代数据!J$2:J$65536,MATCH(L1008,[1]流向迭代数据!H$2:H$65536,0))</f>
        <v>#N/A</v>
      </c>
      <c r="P1008" s="14"/>
      <c r="T1008" s="12" t="e">
        <f>INDEX([1]流向迭代数据!K$2:K$65536,MATCH(L1008,[1]流向迭代数据!H$2:H$65536,0))</f>
        <v>#N/A</v>
      </c>
      <c r="W1008" s="12" t="str">
        <f t="shared" si="31"/>
        <v/>
      </c>
    </row>
    <row r="1009" spans="1:23" x14ac:dyDescent="0.15">
      <c r="A1009" s="14" t="str">
        <f t="shared" si="30"/>
        <v>190001</v>
      </c>
      <c r="C1009" s="12" t="e">
        <f>INDEX(基础数据!$A$2:$A$1024,MATCH(转配商关联商!X1009,基础数据!$D$2:$D$1024,0))</f>
        <v>#N/A</v>
      </c>
      <c r="E1009" s="12" t="e">
        <f>INDEX(基础数据!$B$2:$B$1024,MATCH(转配商关联商!X1009,基础数据!$D$2:$D$1024,0))</f>
        <v>#N/A</v>
      </c>
      <c r="G1009" s="12" t="e">
        <f>INDEX([1]流向迭代数据!E$2:E$65536,MATCH(转配商关联商!W1009,[1]流向迭代数据!M$2:M$65536,0))</f>
        <v>#N/A</v>
      </c>
      <c r="N1009" s="12" t="e">
        <f>INDEX([1]流向迭代数据!J$2:J$65536,MATCH(L1009,[1]流向迭代数据!H$2:H$65536,0))</f>
        <v>#N/A</v>
      </c>
      <c r="P1009" s="14"/>
      <c r="T1009" s="12" t="e">
        <f>INDEX([1]流向迭代数据!K$2:K$65536,MATCH(L1009,[1]流向迭代数据!H$2:H$65536,0))</f>
        <v>#N/A</v>
      </c>
      <c r="W1009" s="12" t="str">
        <f t="shared" si="31"/>
        <v/>
      </c>
    </row>
    <row r="1010" spans="1:23" x14ac:dyDescent="0.15">
      <c r="A1010" s="14" t="str">
        <f t="shared" si="30"/>
        <v>190001</v>
      </c>
      <c r="C1010" s="12" t="e">
        <f>INDEX(基础数据!$A$2:$A$1024,MATCH(转配商关联商!X1010,基础数据!$D$2:$D$1024,0))</f>
        <v>#N/A</v>
      </c>
      <c r="E1010" s="12" t="e">
        <f>INDEX(基础数据!$B$2:$B$1024,MATCH(转配商关联商!X1010,基础数据!$D$2:$D$1024,0))</f>
        <v>#N/A</v>
      </c>
      <c r="G1010" s="12" t="e">
        <f>INDEX([1]流向迭代数据!E$2:E$65536,MATCH(转配商关联商!W1010,[1]流向迭代数据!M$2:M$65536,0))</f>
        <v>#N/A</v>
      </c>
      <c r="N1010" s="12" t="e">
        <f>INDEX([1]流向迭代数据!J$2:J$65536,MATCH(L1010,[1]流向迭代数据!H$2:H$65536,0))</f>
        <v>#N/A</v>
      </c>
      <c r="P1010" s="14"/>
      <c r="T1010" s="12" t="e">
        <f>INDEX([1]流向迭代数据!K$2:K$65536,MATCH(L1010,[1]流向迭代数据!H$2:H$65536,0))</f>
        <v>#N/A</v>
      </c>
      <c r="W1010" s="12" t="str">
        <f t="shared" si="31"/>
        <v/>
      </c>
    </row>
    <row r="1011" spans="1:23" x14ac:dyDescent="0.15">
      <c r="A1011" s="14" t="str">
        <f t="shared" si="30"/>
        <v>190001</v>
      </c>
      <c r="C1011" s="12" t="e">
        <f>INDEX(基础数据!$A$2:$A$1024,MATCH(转配商关联商!X1011,基础数据!$D$2:$D$1024,0))</f>
        <v>#N/A</v>
      </c>
      <c r="E1011" s="12" t="e">
        <f>INDEX(基础数据!$B$2:$B$1024,MATCH(转配商关联商!X1011,基础数据!$D$2:$D$1024,0))</f>
        <v>#N/A</v>
      </c>
      <c r="G1011" s="12" t="e">
        <f>INDEX([1]流向迭代数据!E$2:E$65536,MATCH(转配商关联商!W1011,[1]流向迭代数据!M$2:M$65536,0))</f>
        <v>#N/A</v>
      </c>
      <c r="N1011" s="12" t="e">
        <f>INDEX([1]流向迭代数据!J$2:J$65536,MATCH(L1011,[1]流向迭代数据!H$2:H$65536,0))</f>
        <v>#N/A</v>
      </c>
      <c r="P1011" s="14"/>
      <c r="T1011" s="12" t="e">
        <f>INDEX([1]流向迭代数据!K$2:K$65536,MATCH(L1011,[1]流向迭代数据!H$2:H$65536,0))</f>
        <v>#N/A</v>
      </c>
      <c r="W1011" s="12" t="str">
        <f t="shared" si="31"/>
        <v/>
      </c>
    </row>
    <row r="1012" spans="1:23" x14ac:dyDescent="0.15">
      <c r="A1012" s="14" t="str">
        <f t="shared" si="30"/>
        <v>190001</v>
      </c>
      <c r="C1012" s="12" t="e">
        <f>INDEX(基础数据!$A$2:$A$1024,MATCH(转配商关联商!X1012,基础数据!$D$2:$D$1024,0))</f>
        <v>#N/A</v>
      </c>
      <c r="E1012" s="12" t="e">
        <f>INDEX(基础数据!$B$2:$B$1024,MATCH(转配商关联商!X1012,基础数据!$D$2:$D$1024,0))</f>
        <v>#N/A</v>
      </c>
      <c r="G1012" s="12" t="e">
        <f>INDEX([1]流向迭代数据!E$2:E$65536,MATCH(转配商关联商!W1012,[1]流向迭代数据!M$2:M$65536,0))</f>
        <v>#N/A</v>
      </c>
      <c r="N1012" s="12" t="e">
        <f>INDEX([1]流向迭代数据!J$2:J$65536,MATCH(L1012,[1]流向迭代数据!H$2:H$65536,0))</f>
        <v>#N/A</v>
      </c>
      <c r="P1012" s="14"/>
      <c r="T1012" s="12" t="e">
        <f>INDEX([1]流向迭代数据!K$2:K$65536,MATCH(L1012,[1]流向迭代数据!H$2:H$65536,0))</f>
        <v>#N/A</v>
      </c>
      <c r="W1012" s="12" t="str">
        <f t="shared" si="31"/>
        <v/>
      </c>
    </row>
    <row r="1013" spans="1:23" x14ac:dyDescent="0.15">
      <c r="A1013" s="14" t="str">
        <f t="shared" si="30"/>
        <v>190001</v>
      </c>
      <c r="C1013" s="12" t="e">
        <f>INDEX(基础数据!$A$2:$A$1024,MATCH(转配商关联商!X1013,基础数据!$D$2:$D$1024,0))</f>
        <v>#N/A</v>
      </c>
      <c r="E1013" s="12" t="e">
        <f>INDEX(基础数据!$B$2:$B$1024,MATCH(转配商关联商!X1013,基础数据!$D$2:$D$1024,0))</f>
        <v>#N/A</v>
      </c>
      <c r="G1013" s="12" t="e">
        <f>INDEX([1]流向迭代数据!E$2:E$65536,MATCH(转配商关联商!W1013,[1]流向迭代数据!M$2:M$65536,0))</f>
        <v>#N/A</v>
      </c>
      <c r="N1013" s="12" t="e">
        <f>INDEX([1]流向迭代数据!J$2:J$65536,MATCH(L1013,[1]流向迭代数据!H$2:H$65536,0))</f>
        <v>#N/A</v>
      </c>
      <c r="P1013" s="14"/>
      <c r="T1013" s="12" t="e">
        <f>INDEX([1]流向迭代数据!K$2:K$65536,MATCH(L1013,[1]流向迭代数据!H$2:H$65536,0))</f>
        <v>#N/A</v>
      </c>
      <c r="W1013" s="12" t="str">
        <f t="shared" si="31"/>
        <v/>
      </c>
    </row>
    <row r="1014" spans="1:23" x14ac:dyDescent="0.15">
      <c r="A1014" s="14" t="str">
        <f t="shared" si="30"/>
        <v>190001</v>
      </c>
      <c r="C1014" s="12" t="e">
        <f>INDEX(基础数据!$A$2:$A$1024,MATCH(转配商关联商!X1014,基础数据!$D$2:$D$1024,0))</f>
        <v>#N/A</v>
      </c>
      <c r="E1014" s="12" t="e">
        <f>INDEX(基础数据!$B$2:$B$1024,MATCH(转配商关联商!X1014,基础数据!$D$2:$D$1024,0))</f>
        <v>#N/A</v>
      </c>
      <c r="G1014" s="12" t="e">
        <f>INDEX([1]流向迭代数据!E$2:E$65536,MATCH(转配商关联商!W1014,[1]流向迭代数据!M$2:M$65536,0))</f>
        <v>#N/A</v>
      </c>
      <c r="N1014" s="12" t="e">
        <f>INDEX([1]流向迭代数据!J$2:J$65536,MATCH(L1014,[1]流向迭代数据!H$2:H$65536,0))</f>
        <v>#N/A</v>
      </c>
      <c r="P1014" s="14"/>
      <c r="T1014" s="12" t="e">
        <f>INDEX([1]流向迭代数据!K$2:K$65536,MATCH(L1014,[1]流向迭代数据!H$2:H$65536,0))</f>
        <v>#N/A</v>
      </c>
      <c r="W1014" s="12" t="str">
        <f t="shared" si="31"/>
        <v/>
      </c>
    </row>
    <row r="1015" spans="1:23" x14ac:dyDescent="0.15">
      <c r="A1015" s="14" t="str">
        <f t="shared" si="30"/>
        <v>190001</v>
      </c>
      <c r="C1015" s="12" t="e">
        <f>INDEX(基础数据!$A$2:$A$1024,MATCH(转配商关联商!X1015,基础数据!$D$2:$D$1024,0))</f>
        <v>#N/A</v>
      </c>
      <c r="E1015" s="12" t="e">
        <f>INDEX(基础数据!$B$2:$B$1024,MATCH(转配商关联商!X1015,基础数据!$D$2:$D$1024,0))</f>
        <v>#N/A</v>
      </c>
      <c r="G1015" s="12" t="e">
        <f>INDEX([1]流向迭代数据!E$2:E$65536,MATCH(转配商关联商!W1015,[1]流向迭代数据!M$2:M$65536,0))</f>
        <v>#N/A</v>
      </c>
      <c r="N1015" s="12" t="e">
        <f>INDEX([1]流向迭代数据!J$2:J$65536,MATCH(L1015,[1]流向迭代数据!H$2:H$65536,0))</f>
        <v>#N/A</v>
      </c>
      <c r="P1015" s="14"/>
      <c r="T1015" s="12" t="e">
        <f>INDEX([1]流向迭代数据!K$2:K$65536,MATCH(L1015,[1]流向迭代数据!H$2:H$65536,0))</f>
        <v>#N/A</v>
      </c>
      <c r="W1015" s="12" t="str">
        <f t="shared" si="31"/>
        <v/>
      </c>
    </row>
    <row r="1016" spans="1:23" x14ac:dyDescent="0.15">
      <c r="A1016" s="14" t="str">
        <f t="shared" si="30"/>
        <v>190001</v>
      </c>
      <c r="C1016" s="12" t="e">
        <f>INDEX(基础数据!$A$2:$A$1024,MATCH(转配商关联商!X1016,基础数据!$D$2:$D$1024,0))</f>
        <v>#N/A</v>
      </c>
      <c r="E1016" s="12" t="e">
        <f>INDEX(基础数据!$B$2:$B$1024,MATCH(转配商关联商!X1016,基础数据!$D$2:$D$1024,0))</f>
        <v>#N/A</v>
      </c>
      <c r="G1016" s="12" t="e">
        <f>INDEX([1]流向迭代数据!E$2:E$65536,MATCH(转配商关联商!W1016,[1]流向迭代数据!M$2:M$65536,0))</f>
        <v>#N/A</v>
      </c>
      <c r="N1016" s="12" t="e">
        <f>INDEX([1]流向迭代数据!J$2:J$65536,MATCH(L1016,[1]流向迭代数据!H$2:H$65536,0))</f>
        <v>#N/A</v>
      </c>
      <c r="P1016" s="14"/>
      <c r="T1016" s="12" t="e">
        <f>INDEX([1]流向迭代数据!K$2:K$65536,MATCH(L1016,[1]流向迭代数据!H$2:H$65536,0))</f>
        <v>#N/A</v>
      </c>
      <c r="W1016" s="12" t="str">
        <f t="shared" si="31"/>
        <v/>
      </c>
    </row>
    <row r="1017" spans="1:23" x14ac:dyDescent="0.15">
      <c r="A1017" s="14" t="str">
        <f t="shared" si="30"/>
        <v>190001</v>
      </c>
      <c r="C1017" s="12" t="e">
        <f>INDEX(基础数据!$A$2:$A$1024,MATCH(转配商关联商!X1017,基础数据!$D$2:$D$1024,0))</f>
        <v>#N/A</v>
      </c>
      <c r="E1017" s="12" t="e">
        <f>INDEX(基础数据!$B$2:$B$1024,MATCH(转配商关联商!X1017,基础数据!$D$2:$D$1024,0))</f>
        <v>#N/A</v>
      </c>
      <c r="G1017" s="12" t="e">
        <f>INDEX([1]流向迭代数据!E$2:E$65536,MATCH(转配商关联商!W1017,[1]流向迭代数据!M$2:M$65536,0))</f>
        <v>#N/A</v>
      </c>
      <c r="N1017" s="12" t="e">
        <f>INDEX([1]流向迭代数据!J$2:J$65536,MATCH(L1017,[1]流向迭代数据!H$2:H$65536,0))</f>
        <v>#N/A</v>
      </c>
      <c r="P1017" s="14"/>
      <c r="T1017" s="12" t="e">
        <f>INDEX([1]流向迭代数据!K$2:K$65536,MATCH(L1017,[1]流向迭代数据!H$2:H$65536,0))</f>
        <v>#N/A</v>
      </c>
      <c r="W1017" s="12" t="str">
        <f t="shared" si="31"/>
        <v/>
      </c>
    </row>
    <row r="1018" spans="1:23" x14ac:dyDescent="0.15">
      <c r="A1018" s="14" t="str">
        <f t="shared" si="30"/>
        <v>190001</v>
      </c>
      <c r="C1018" s="12" t="e">
        <f>INDEX(基础数据!$A$2:$A$1024,MATCH(转配商关联商!X1018,基础数据!$D$2:$D$1024,0))</f>
        <v>#N/A</v>
      </c>
      <c r="E1018" s="12" t="e">
        <f>INDEX(基础数据!$B$2:$B$1024,MATCH(转配商关联商!X1018,基础数据!$D$2:$D$1024,0))</f>
        <v>#N/A</v>
      </c>
      <c r="G1018" s="12" t="e">
        <f>INDEX([1]流向迭代数据!E$2:E$65536,MATCH(转配商关联商!W1018,[1]流向迭代数据!M$2:M$65536,0))</f>
        <v>#N/A</v>
      </c>
      <c r="N1018" s="12" t="e">
        <f>INDEX([1]流向迭代数据!J$2:J$65536,MATCH(L1018,[1]流向迭代数据!H$2:H$65536,0))</f>
        <v>#N/A</v>
      </c>
      <c r="P1018" s="14"/>
      <c r="T1018" s="12" t="e">
        <f>INDEX([1]流向迭代数据!K$2:K$65536,MATCH(L1018,[1]流向迭代数据!H$2:H$65536,0))</f>
        <v>#N/A</v>
      </c>
      <c r="W1018" s="12" t="str">
        <f t="shared" si="31"/>
        <v/>
      </c>
    </row>
    <row r="1019" spans="1:23" x14ac:dyDescent="0.15">
      <c r="A1019" s="14" t="str">
        <f t="shared" si="30"/>
        <v>190001</v>
      </c>
      <c r="C1019" s="12" t="e">
        <f>INDEX(基础数据!$A$2:$A$1024,MATCH(转配商关联商!X1019,基础数据!$D$2:$D$1024,0))</f>
        <v>#N/A</v>
      </c>
      <c r="E1019" s="12" t="e">
        <f>INDEX(基础数据!$B$2:$B$1024,MATCH(转配商关联商!X1019,基础数据!$D$2:$D$1024,0))</f>
        <v>#N/A</v>
      </c>
      <c r="G1019" s="12" t="e">
        <f>INDEX([1]流向迭代数据!E$2:E$65536,MATCH(转配商关联商!W1019,[1]流向迭代数据!M$2:M$65536,0))</f>
        <v>#N/A</v>
      </c>
      <c r="N1019" s="12" t="e">
        <f>INDEX([1]流向迭代数据!J$2:J$65536,MATCH(L1019,[1]流向迭代数据!H$2:H$65536,0))</f>
        <v>#N/A</v>
      </c>
      <c r="P1019" s="14"/>
      <c r="T1019" s="12" t="e">
        <f>INDEX([1]流向迭代数据!K$2:K$65536,MATCH(L1019,[1]流向迭代数据!H$2:H$65536,0))</f>
        <v>#N/A</v>
      </c>
      <c r="W1019" s="12" t="str">
        <f t="shared" si="31"/>
        <v/>
      </c>
    </row>
    <row r="1020" spans="1:23" x14ac:dyDescent="0.15">
      <c r="A1020" s="14" t="str">
        <f t="shared" si="30"/>
        <v>190001</v>
      </c>
      <c r="C1020" s="12" t="e">
        <f>INDEX(基础数据!$A$2:$A$1024,MATCH(转配商关联商!X1020,基础数据!$D$2:$D$1024,0))</f>
        <v>#N/A</v>
      </c>
      <c r="E1020" s="12" t="e">
        <f>INDEX(基础数据!$B$2:$B$1024,MATCH(转配商关联商!X1020,基础数据!$D$2:$D$1024,0))</f>
        <v>#N/A</v>
      </c>
      <c r="G1020" s="12" t="e">
        <f>INDEX([1]流向迭代数据!E$2:E$65536,MATCH(转配商关联商!W1020,[1]流向迭代数据!M$2:M$65536,0))</f>
        <v>#N/A</v>
      </c>
      <c r="N1020" s="12" t="e">
        <f>INDEX([1]流向迭代数据!J$2:J$65536,MATCH(L1020,[1]流向迭代数据!H$2:H$65536,0))</f>
        <v>#N/A</v>
      </c>
      <c r="P1020" s="14"/>
      <c r="T1020" s="12" t="e">
        <f>INDEX([1]流向迭代数据!K$2:K$65536,MATCH(L1020,[1]流向迭代数据!H$2:H$65536,0))</f>
        <v>#N/A</v>
      </c>
      <c r="W1020" s="12" t="str">
        <f t="shared" si="31"/>
        <v/>
      </c>
    </row>
    <row r="1021" spans="1:23" x14ac:dyDescent="0.15">
      <c r="A1021" s="14" t="str">
        <f t="shared" si="30"/>
        <v>190001</v>
      </c>
      <c r="C1021" s="12" t="e">
        <f>INDEX(基础数据!$A$2:$A$1024,MATCH(转配商关联商!X1021,基础数据!$D$2:$D$1024,0))</f>
        <v>#N/A</v>
      </c>
      <c r="E1021" s="12" t="e">
        <f>INDEX(基础数据!$B$2:$B$1024,MATCH(转配商关联商!X1021,基础数据!$D$2:$D$1024,0))</f>
        <v>#N/A</v>
      </c>
      <c r="G1021" s="12" t="e">
        <f>INDEX([1]流向迭代数据!E$2:E$65536,MATCH(转配商关联商!W1021,[1]流向迭代数据!M$2:M$65536,0))</f>
        <v>#N/A</v>
      </c>
      <c r="N1021" s="12" t="e">
        <f>INDEX([1]流向迭代数据!J$2:J$65536,MATCH(L1021,[1]流向迭代数据!H$2:H$65536,0))</f>
        <v>#N/A</v>
      </c>
      <c r="P1021" s="14"/>
      <c r="T1021" s="12" t="e">
        <f>INDEX([1]流向迭代数据!K$2:K$65536,MATCH(L1021,[1]流向迭代数据!H$2:H$65536,0))</f>
        <v>#N/A</v>
      </c>
      <c r="W1021" s="12" t="str">
        <f t="shared" si="31"/>
        <v/>
      </c>
    </row>
    <row r="1022" spans="1:23" x14ac:dyDescent="0.15">
      <c r="A1022" s="14" t="str">
        <f t="shared" si="30"/>
        <v>190001</v>
      </c>
      <c r="C1022" s="12" t="e">
        <f>INDEX(基础数据!$A$2:$A$1024,MATCH(转配商关联商!X1022,基础数据!$D$2:$D$1024,0))</f>
        <v>#N/A</v>
      </c>
      <c r="E1022" s="12" t="e">
        <f>INDEX(基础数据!$B$2:$B$1024,MATCH(转配商关联商!X1022,基础数据!$D$2:$D$1024,0))</f>
        <v>#N/A</v>
      </c>
      <c r="G1022" s="12" t="e">
        <f>INDEX([1]流向迭代数据!E$2:E$65536,MATCH(转配商关联商!W1022,[1]流向迭代数据!M$2:M$65536,0))</f>
        <v>#N/A</v>
      </c>
      <c r="N1022" s="12" t="e">
        <f>INDEX([1]流向迭代数据!J$2:J$65536,MATCH(L1022,[1]流向迭代数据!H$2:H$65536,0))</f>
        <v>#N/A</v>
      </c>
      <c r="P1022" s="14"/>
      <c r="T1022" s="12" t="e">
        <f>INDEX([1]流向迭代数据!K$2:K$65536,MATCH(L1022,[1]流向迭代数据!H$2:H$65536,0))</f>
        <v>#N/A</v>
      </c>
      <c r="W1022" s="12" t="str">
        <f t="shared" si="31"/>
        <v/>
      </c>
    </row>
    <row r="1023" spans="1:23" x14ac:dyDescent="0.15">
      <c r="A1023" s="14" t="str">
        <f t="shared" si="30"/>
        <v>190001</v>
      </c>
      <c r="C1023" s="12" t="e">
        <f>INDEX(基础数据!$A$2:$A$1024,MATCH(转配商关联商!X1023,基础数据!$D$2:$D$1024,0))</f>
        <v>#N/A</v>
      </c>
      <c r="E1023" s="12" t="e">
        <f>INDEX(基础数据!$B$2:$B$1024,MATCH(转配商关联商!X1023,基础数据!$D$2:$D$1024,0))</f>
        <v>#N/A</v>
      </c>
      <c r="G1023" s="12" t="e">
        <f>INDEX([1]流向迭代数据!E$2:E$65536,MATCH(转配商关联商!W1023,[1]流向迭代数据!M$2:M$65536,0))</f>
        <v>#N/A</v>
      </c>
      <c r="N1023" s="12" t="e">
        <f>INDEX([1]流向迭代数据!J$2:J$65536,MATCH(L1023,[1]流向迭代数据!H$2:H$65536,0))</f>
        <v>#N/A</v>
      </c>
      <c r="P1023" s="14"/>
      <c r="T1023" s="12" t="e">
        <f>INDEX([1]流向迭代数据!K$2:K$65536,MATCH(L1023,[1]流向迭代数据!H$2:H$65536,0))</f>
        <v>#N/A</v>
      </c>
      <c r="W1023" s="12" t="str">
        <f t="shared" si="31"/>
        <v/>
      </c>
    </row>
    <row r="1024" spans="1:23" x14ac:dyDescent="0.15">
      <c r="A1024" s="14" t="str">
        <f t="shared" si="30"/>
        <v>190001</v>
      </c>
      <c r="C1024" s="12" t="e">
        <f>INDEX(基础数据!$A$2:$A$1024,MATCH(转配商关联商!X1024,基础数据!$D$2:$D$1024,0))</f>
        <v>#N/A</v>
      </c>
      <c r="E1024" s="12" t="e">
        <f>INDEX(基础数据!$B$2:$B$1024,MATCH(转配商关联商!X1024,基础数据!$D$2:$D$1024,0))</f>
        <v>#N/A</v>
      </c>
      <c r="G1024" s="12" t="e">
        <f>INDEX([1]流向迭代数据!E$2:E$65536,MATCH(转配商关联商!W1024,[1]流向迭代数据!M$2:M$65536,0))</f>
        <v>#N/A</v>
      </c>
      <c r="N1024" s="12" t="e">
        <f>INDEX([1]流向迭代数据!J$2:J$65536,MATCH(L1024,[1]流向迭代数据!H$2:H$65536,0))</f>
        <v>#N/A</v>
      </c>
      <c r="P1024" s="14"/>
      <c r="T1024" s="12" t="e">
        <f>INDEX([1]流向迭代数据!K$2:K$65536,MATCH(L1024,[1]流向迭代数据!H$2:H$65536,0))</f>
        <v>#N/A</v>
      </c>
      <c r="W1024" s="12" t="str">
        <f t="shared" si="31"/>
        <v/>
      </c>
    </row>
    <row r="1025" spans="1:23" x14ac:dyDescent="0.15">
      <c r="A1025" s="14" t="str">
        <f t="shared" si="30"/>
        <v>190001</v>
      </c>
      <c r="C1025" s="12" t="e">
        <f>INDEX(基础数据!$A$2:$A$1024,MATCH(转配商关联商!X1025,基础数据!$D$2:$D$1024,0))</f>
        <v>#N/A</v>
      </c>
      <c r="E1025" s="12" t="e">
        <f>INDEX(基础数据!$B$2:$B$1024,MATCH(转配商关联商!X1025,基础数据!$D$2:$D$1024,0))</f>
        <v>#N/A</v>
      </c>
      <c r="G1025" s="12" t="e">
        <f>INDEX([1]流向迭代数据!E$2:E$65536,MATCH(转配商关联商!W1025,[1]流向迭代数据!M$2:M$65536,0))</f>
        <v>#N/A</v>
      </c>
      <c r="N1025" s="12" t="e">
        <f>INDEX([1]流向迭代数据!J$2:J$65536,MATCH(L1025,[1]流向迭代数据!H$2:H$65536,0))</f>
        <v>#N/A</v>
      </c>
      <c r="P1025" s="14"/>
      <c r="T1025" s="12" t="e">
        <f>INDEX([1]流向迭代数据!K$2:K$65536,MATCH(L1025,[1]流向迭代数据!H$2:H$65536,0))</f>
        <v>#N/A</v>
      </c>
      <c r="W1025" s="12" t="str">
        <f t="shared" si="31"/>
        <v/>
      </c>
    </row>
    <row r="1026" spans="1:23" x14ac:dyDescent="0.15">
      <c r="A1026" s="14" t="str">
        <f t="shared" si="30"/>
        <v>190001</v>
      </c>
      <c r="C1026" s="12" t="e">
        <f>INDEX(基础数据!$A$2:$A$1024,MATCH(转配商关联商!X1026,基础数据!$D$2:$D$1024,0))</f>
        <v>#N/A</v>
      </c>
      <c r="E1026" s="12" t="e">
        <f>INDEX(基础数据!$B$2:$B$1024,MATCH(转配商关联商!X1026,基础数据!$D$2:$D$1024,0))</f>
        <v>#N/A</v>
      </c>
      <c r="G1026" s="12" t="e">
        <f>INDEX([1]流向迭代数据!E$2:E$65536,MATCH(转配商关联商!W1026,[1]流向迭代数据!M$2:M$65536,0))</f>
        <v>#N/A</v>
      </c>
      <c r="N1026" s="12" t="e">
        <f>INDEX([1]流向迭代数据!J$2:J$65536,MATCH(L1026,[1]流向迭代数据!H$2:H$65536,0))</f>
        <v>#N/A</v>
      </c>
      <c r="P1026" s="14"/>
      <c r="T1026" s="12" t="e">
        <f>INDEX([1]流向迭代数据!K$2:K$65536,MATCH(L1026,[1]流向迭代数据!H$2:H$65536,0))</f>
        <v>#N/A</v>
      </c>
      <c r="W1026" s="12" t="str">
        <f t="shared" si="31"/>
        <v/>
      </c>
    </row>
    <row r="1027" spans="1:23" x14ac:dyDescent="0.15">
      <c r="A1027" s="14" t="str">
        <f t="shared" ref="A1027:A1090" si="32">IF(MONTH(P1027)&lt;10,YEAR(P1027)&amp;"0"&amp;MONTH(P1027),YEAR(P1027)&amp;MONTH(P1027))</f>
        <v>190001</v>
      </c>
      <c r="C1027" s="12" t="e">
        <f>INDEX(基础数据!$A$2:$A$1024,MATCH(转配商关联商!X1027,基础数据!$D$2:$D$1024,0))</f>
        <v>#N/A</v>
      </c>
      <c r="E1027" s="12" t="e">
        <f>INDEX(基础数据!$B$2:$B$1024,MATCH(转配商关联商!X1027,基础数据!$D$2:$D$1024,0))</f>
        <v>#N/A</v>
      </c>
      <c r="G1027" s="12" t="e">
        <f>INDEX([1]流向迭代数据!E$2:E$65536,MATCH(转配商关联商!W1027,[1]流向迭代数据!M$2:M$65536,0))</f>
        <v>#N/A</v>
      </c>
      <c r="N1027" s="12" t="e">
        <f>INDEX([1]流向迭代数据!J$2:J$65536,MATCH(L1027,[1]流向迭代数据!H$2:H$65536,0))</f>
        <v>#N/A</v>
      </c>
      <c r="P1027" s="14"/>
      <c r="T1027" s="12" t="e">
        <f>INDEX([1]流向迭代数据!K$2:K$65536,MATCH(L1027,[1]流向迭代数据!H$2:H$65536,0))</f>
        <v>#N/A</v>
      </c>
      <c r="W1027" s="12" t="str">
        <f t="shared" ref="W1027:W1090" si="33">H1027&amp;I1027</f>
        <v/>
      </c>
    </row>
    <row r="1028" spans="1:23" x14ac:dyDescent="0.15">
      <c r="A1028" s="14" t="str">
        <f t="shared" si="32"/>
        <v>190001</v>
      </c>
      <c r="C1028" s="12" t="e">
        <f>INDEX(基础数据!$A$2:$A$1024,MATCH(转配商关联商!X1028,基础数据!$D$2:$D$1024,0))</f>
        <v>#N/A</v>
      </c>
      <c r="E1028" s="12" t="e">
        <f>INDEX(基础数据!$B$2:$B$1024,MATCH(转配商关联商!X1028,基础数据!$D$2:$D$1024,0))</f>
        <v>#N/A</v>
      </c>
      <c r="G1028" s="12" t="e">
        <f>INDEX([1]流向迭代数据!E$2:E$65536,MATCH(转配商关联商!W1028,[1]流向迭代数据!M$2:M$65536,0))</f>
        <v>#N/A</v>
      </c>
      <c r="N1028" s="12" t="e">
        <f>INDEX([1]流向迭代数据!J$2:J$65536,MATCH(L1028,[1]流向迭代数据!H$2:H$65536,0))</f>
        <v>#N/A</v>
      </c>
      <c r="P1028" s="14"/>
      <c r="T1028" s="12" t="e">
        <f>INDEX([1]流向迭代数据!K$2:K$65536,MATCH(L1028,[1]流向迭代数据!H$2:H$65536,0))</f>
        <v>#N/A</v>
      </c>
      <c r="W1028" s="12" t="str">
        <f t="shared" si="33"/>
        <v/>
      </c>
    </row>
    <row r="1029" spans="1:23" x14ac:dyDescent="0.15">
      <c r="A1029" s="14" t="str">
        <f t="shared" si="32"/>
        <v>190001</v>
      </c>
      <c r="C1029" s="12" t="e">
        <f>INDEX(基础数据!$A$2:$A$1024,MATCH(转配商关联商!X1029,基础数据!$D$2:$D$1024,0))</f>
        <v>#N/A</v>
      </c>
      <c r="E1029" s="12" t="e">
        <f>INDEX(基础数据!$B$2:$B$1024,MATCH(转配商关联商!X1029,基础数据!$D$2:$D$1024,0))</f>
        <v>#N/A</v>
      </c>
      <c r="G1029" s="12" t="e">
        <f>INDEX([1]流向迭代数据!E$2:E$65536,MATCH(转配商关联商!W1029,[1]流向迭代数据!M$2:M$65536,0))</f>
        <v>#N/A</v>
      </c>
      <c r="N1029" s="12" t="e">
        <f>INDEX([1]流向迭代数据!J$2:J$65536,MATCH(L1029,[1]流向迭代数据!H$2:H$65536,0))</f>
        <v>#N/A</v>
      </c>
      <c r="P1029" s="14"/>
      <c r="T1029" s="12" t="e">
        <f>INDEX([1]流向迭代数据!K$2:K$65536,MATCH(L1029,[1]流向迭代数据!H$2:H$65536,0))</f>
        <v>#N/A</v>
      </c>
      <c r="W1029" s="12" t="str">
        <f t="shared" si="33"/>
        <v/>
      </c>
    </row>
    <row r="1030" spans="1:23" x14ac:dyDescent="0.15">
      <c r="A1030" s="14" t="str">
        <f t="shared" si="32"/>
        <v>190001</v>
      </c>
      <c r="C1030" s="12" t="e">
        <f>INDEX(基础数据!$A$2:$A$1024,MATCH(转配商关联商!X1030,基础数据!$D$2:$D$1024,0))</f>
        <v>#N/A</v>
      </c>
      <c r="E1030" s="12" t="e">
        <f>INDEX(基础数据!$B$2:$B$1024,MATCH(转配商关联商!X1030,基础数据!$D$2:$D$1024,0))</f>
        <v>#N/A</v>
      </c>
      <c r="G1030" s="12" t="e">
        <f>INDEX([1]流向迭代数据!E$2:E$65536,MATCH(转配商关联商!W1030,[1]流向迭代数据!M$2:M$65536,0))</f>
        <v>#N/A</v>
      </c>
      <c r="N1030" s="12" t="e">
        <f>INDEX([1]流向迭代数据!J$2:J$65536,MATCH(L1030,[1]流向迭代数据!H$2:H$65536,0))</f>
        <v>#N/A</v>
      </c>
      <c r="P1030" s="14"/>
      <c r="T1030" s="12" t="e">
        <f>INDEX([1]流向迭代数据!K$2:K$65536,MATCH(L1030,[1]流向迭代数据!H$2:H$65536,0))</f>
        <v>#N/A</v>
      </c>
      <c r="W1030" s="12" t="str">
        <f t="shared" si="33"/>
        <v/>
      </c>
    </row>
    <row r="1031" spans="1:23" x14ac:dyDescent="0.15">
      <c r="A1031" s="14" t="str">
        <f t="shared" si="32"/>
        <v>190001</v>
      </c>
      <c r="C1031" s="12" t="e">
        <f>INDEX(基础数据!$A$2:$A$1024,MATCH(转配商关联商!X1031,基础数据!$D$2:$D$1024,0))</f>
        <v>#N/A</v>
      </c>
      <c r="E1031" s="12" t="e">
        <f>INDEX(基础数据!$B$2:$B$1024,MATCH(转配商关联商!X1031,基础数据!$D$2:$D$1024,0))</f>
        <v>#N/A</v>
      </c>
      <c r="G1031" s="12" t="e">
        <f>INDEX([1]流向迭代数据!E$2:E$65536,MATCH(转配商关联商!W1031,[1]流向迭代数据!M$2:M$65536,0))</f>
        <v>#N/A</v>
      </c>
      <c r="N1031" s="12" t="e">
        <f>INDEX([1]流向迭代数据!J$2:J$65536,MATCH(L1031,[1]流向迭代数据!H$2:H$65536,0))</f>
        <v>#N/A</v>
      </c>
      <c r="P1031" s="14"/>
      <c r="T1031" s="12" t="e">
        <f>INDEX([1]流向迭代数据!K$2:K$65536,MATCH(L1031,[1]流向迭代数据!H$2:H$65536,0))</f>
        <v>#N/A</v>
      </c>
      <c r="W1031" s="12" t="str">
        <f t="shared" si="33"/>
        <v/>
      </c>
    </row>
    <row r="1032" spans="1:23" x14ac:dyDescent="0.15">
      <c r="A1032" s="14" t="str">
        <f t="shared" si="32"/>
        <v>190001</v>
      </c>
      <c r="C1032" s="12" t="e">
        <f>INDEX(基础数据!$A$2:$A$1024,MATCH(转配商关联商!X1032,基础数据!$D$2:$D$1024,0))</f>
        <v>#N/A</v>
      </c>
      <c r="E1032" s="12" t="e">
        <f>INDEX(基础数据!$B$2:$B$1024,MATCH(转配商关联商!X1032,基础数据!$D$2:$D$1024,0))</f>
        <v>#N/A</v>
      </c>
      <c r="G1032" s="12" t="e">
        <f>INDEX([1]流向迭代数据!E$2:E$65536,MATCH(转配商关联商!W1032,[1]流向迭代数据!M$2:M$65536,0))</f>
        <v>#N/A</v>
      </c>
      <c r="N1032" s="12" t="e">
        <f>INDEX([1]流向迭代数据!J$2:J$65536,MATCH(L1032,[1]流向迭代数据!H$2:H$65536,0))</f>
        <v>#N/A</v>
      </c>
      <c r="P1032" s="14"/>
      <c r="T1032" s="12" t="e">
        <f>INDEX([1]流向迭代数据!K$2:K$65536,MATCH(L1032,[1]流向迭代数据!H$2:H$65536,0))</f>
        <v>#N/A</v>
      </c>
      <c r="W1032" s="12" t="str">
        <f t="shared" si="33"/>
        <v/>
      </c>
    </row>
    <row r="1033" spans="1:23" x14ac:dyDescent="0.15">
      <c r="A1033" s="14" t="str">
        <f t="shared" si="32"/>
        <v>190001</v>
      </c>
      <c r="C1033" s="12" t="e">
        <f>INDEX(基础数据!$A$2:$A$1024,MATCH(转配商关联商!X1033,基础数据!$D$2:$D$1024,0))</f>
        <v>#N/A</v>
      </c>
      <c r="E1033" s="12" t="e">
        <f>INDEX(基础数据!$B$2:$B$1024,MATCH(转配商关联商!X1033,基础数据!$D$2:$D$1024,0))</f>
        <v>#N/A</v>
      </c>
      <c r="G1033" s="12" t="e">
        <f>INDEX([1]流向迭代数据!E$2:E$65536,MATCH(转配商关联商!W1033,[1]流向迭代数据!M$2:M$65536,0))</f>
        <v>#N/A</v>
      </c>
      <c r="N1033" s="12" t="e">
        <f>INDEX([1]流向迭代数据!J$2:J$65536,MATCH(L1033,[1]流向迭代数据!H$2:H$65536,0))</f>
        <v>#N/A</v>
      </c>
      <c r="P1033" s="14"/>
      <c r="T1033" s="12" t="e">
        <f>INDEX([1]流向迭代数据!K$2:K$65536,MATCH(L1033,[1]流向迭代数据!H$2:H$65536,0))</f>
        <v>#N/A</v>
      </c>
      <c r="W1033" s="12" t="str">
        <f t="shared" si="33"/>
        <v/>
      </c>
    </row>
    <row r="1034" spans="1:23" x14ac:dyDescent="0.15">
      <c r="A1034" s="14" t="str">
        <f t="shared" si="32"/>
        <v>190001</v>
      </c>
      <c r="C1034" s="12" t="e">
        <f>INDEX(基础数据!$A$2:$A$1024,MATCH(转配商关联商!X1034,基础数据!$D$2:$D$1024,0))</f>
        <v>#N/A</v>
      </c>
      <c r="E1034" s="12" t="e">
        <f>INDEX(基础数据!$B$2:$B$1024,MATCH(转配商关联商!X1034,基础数据!$D$2:$D$1024,0))</f>
        <v>#N/A</v>
      </c>
      <c r="G1034" s="12" t="e">
        <f>INDEX([1]流向迭代数据!E$2:E$65536,MATCH(转配商关联商!W1034,[1]流向迭代数据!M$2:M$65536,0))</f>
        <v>#N/A</v>
      </c>
      <c r="N1034" s="12" t="e">
        <f>INDEX([1]流向迭代数据!J$2:J$65536,MATCH(L1034,[1]流向迭代数据!H$2:H$65536,0))</f>
        <v>#N/A</v>
      </c>
      <c r="P1034" s="14"/>
      <c r="T1034" s="12" t="e">
        <f>INDEX([1]流向迭代数据!K$2:K$65536,MATCH(L1034,[1]流向迭代数据!H$2:H$65536,0))</f>
        <v>#N/A</v>
      </c>
      <c r="W1034" s="12" t="str">
        <f t="shared" si="33"/>
        <v/>
      </c>
    </row>
    <row r="1035" spans="1:23" x14ac:dyDescent="0.15">
      <c r="A1035" s="14" t="str">
        <f t="shared" si="32"/>
        <v>190001</v>
      </c>
      <c r="C1035" s="12" t="e">
        <f>INDEX(基础数据!$A$2:$A$1024,MATCH(转配商关联商!X1035,基础数据!$D$2:$D$1024,0))</f>
        <v>#N/A</v>
      </c>
      <c r="E1035" s="12" t="e">
        <f>INDEX(基础数据!$B$2:$B$1024,MATCH(转配商关联商!X1035,基础数据!$D$2:$D$1024,0))</f>
        <v>#N/A</v>
      </c>
      <c r="G1035" s="12" t="e">
        <f>INDEX([1]流向迭代数据!E$2:E$65536,MATCH(转配商关联商!W1035,[1]流向迭代数据!M$2:M$65536,0))</f>
        <v>#N/A</v>
      </c>
      <c r="N1035" s="12" t="e">
        <f>INDEX([1]流向迭代数据!J$2:J$65536,MATCH(L1035,[1]流向迭代数据!H$2:H$65536,0))</f>
        <v>#N/A</v>
      </c>
      <c r="P1035" s="14"/>
      <c r="T1035" s="12" t="e">
        <f>INDEX([1]流向迭代数据!K$2:K$65536,MATCH(L1035,[1]流向迭代数据!H$2:H$65536,0))</f>
        <v>#N/A</v>
      </c>
      <c r="W1035" s="12" t="str">
        <f t="shared" si="33"/>
        <v/>
      </c>
    </row>
    <row r="1036" spans="1:23" x14ac:dyDescent="0.15">
      <c r="A1036" s="14" t="str">
        <f t="shared" si="32"/>
        <v>190001</v>
      </c>
      <c r="C1036" s="12" t="e">
        <f>INDEX(基础数据!$A$2:$A$1024,MATCH(转配商关联商!X1036,基础数据!$D$2:$D$1024,0))</f>
        <v>#N/A</v>
      </c>
      <c r="E1036" s="12" t="e">
        <f>INDEX(基础数据!$B$2:$B$1024,MATCH(转配商关联商!X1036,基础数据!$D$2:$D$1024,0))</f>
        <v>#N/A</v>
      </c>
      <c r="G1036" s="12" t="e">
        <f>INDEX([1]流向迭代数据!E$2:E$65536,MATCH(转配商关联商!W1036,[1]流向迭代数据!M$2:M$65536,0))</f>
        <v>#N/A</v>
      </c>
      <c r="N1036" s="12" t="e">
        <f>INDEX([1]流向迭代数据!J$2:J$65536,MATCH(L1036,[1]流向迭代数据!H$2:H$65536,0))</f>
        <v>#N/A</v>
      </c>
      <c r="P1036" s="14"/>
      <c r="T1036" s="12" t="e">
        <f>INDEX([1]流向迭代数据!K$2:K$65536,MATCH(L1036,[1]流向迭代数据!H$2:H$65536,0))</f>
        <v>#N/A</v>
      </c>
      <c r="W1036" s="12" t="str">
        <f t="shared" si="33"/>
        <v/>
      </c>
    </row>
    <row r="1037" spans="1:23" x14ac:dyDescent="0.15">
      <c r="A1037" s="14" t="str">
        <f t="shared" si="32"/>
        <v>190001</v>
      </c>
      <c r="C1037" s="12" t="e">
        <f>INDEX(基础数据!$A$2:$A$1024,MATCH(转配商关联商!X1037,基础数据!$D$2:$D$1024,0))</f>
        <v>#N/A</v>
      </c>
      <c r="E1037" s="12" t="e">
        <f>INDEX(基础数据!$B$2:$B$1024,MATCH(转配商关联商!X1037,基础数据!$D$2:$D$1024,0))</f>
        <v>#N/A</v>
      </c>
      <c r="G1037" s="12" t="e">
        <f>INDEX([1]流向迭代数据!E$2:E$65536,MATCH(转配商关联商!W1037,[1]流向迭代数据!M$2:M$65536,0))</f>
        <v>#N/A</v>
      </c>
      <c r="N1037" s="12" t="e">
        <f>INDEX([1]流向迭代数据!J$2:J$65536,MATCH(L1037,[1]流向迭代数据!H$2:H$65536,0))</f>
        <v>#N/A</v>
      </c>
      <c r="P1037" s="14"/>
      <c r="T1037" s="12" t="e">
        <f>INDEX([1]流向迭代数据!K$2:K$65536,MATCH(L1037,[1]流向迭代数据!H$2:H$65536,0))</f>
        <v>#N/A</v>
      </c>
      <c r="W1037" s="12" t="str">
        <f t="shared" si="33"/>
        <v/>
      </c>
    </row>
    <row r="1038" spans="1:23" x14ac:dyDescent="0.15">
      <c r="A1038" s="14" t="str">
        <f t="shared" si="32"/>
        <v>190001</v>
      </c>
      <c r="C1038" s="12" t="e">
        <f>INDEX(基础数据!$A$2:$A$1024,MATCH(转配商关联商!X1038,基础数据!$D$2:$D$1024,0))</f>
        <v>#N/A</v>
      </c>
      <c r="E1038" s="12" t="e">
        <f>INDEX(基础数据!$B$2:$B$1024,MATCH(转配商关联商!X1038,基础数据!$D$2:$D$1024,0))</f>
        <v>#N/A</v>
      </c>
      <c r="G1038" s="12" t="e">
        <f>INDEX([1]流向迭代数据!E$2:E$65536,MATCH(转配商关联商!W1038,[1]流向迭代数据!M$2:M$65536,0))</f>
        <v>#N/A</v>
      </c>
      <c r="N1038" s="12" t="e">
        <f>INDEX([1]流向迭代数据!J$2:J$65536,MATCH(L1038,[1]流向迭代数据!H$2:H$65536,0))</f>
        <v>#N/A</v>
      </c>
      <c r="P1038" s="14"/>
      <c r="T1038" s="12" t="e">
        <f>INDEX([1]流向迭代数据!K$2:K$65536,MATCH(L1038,[1]流向迭代数据!H$2:H$65536,0))</f>
        <v>#N/A</v>
      </c>
      <c r="W1038" s="12" t="str">
        <f t="shared" si="33"/>
        <v/>
      </c>
    </row>
    <row r="1039" spans="1:23" x14ac:dyDescent="0.15">
      <c r="A1039" s="14" t="str">
        <f t="shared" si="32"/>
        <v>190001</v>
      </c>
      <c r="C1039" s="12" t="e">
        <f>INDEX(基础数据!$A$2:$A$1024,MATCH(转配商关联商!X1039,基础数据!$D$2:$D$1024,0))</f>
        <v>#N/A</v>
      </c>
      <c r="E1039" s="12" t="e">
        <f>INDEX(基础数据!$B$2:$B$1024,MATCH(转配商关联商!X1039,基础数据!$D$2:$D$1024,0))</f>
        <v>#N/A</v>
      </c>
      <c r="G1039" s="12" t="e">
        <f>INDEX([1]流向迭代数据!E$2:E$65536,MATCH(转配商关联商!W1039,[1]流向迭代数据!M$2:M$65536,0))</f>
        <v>#N/A</v>
      </c>
      <c r="N1039" s="12" t="e">
        <f>INDEX([1]流向迭代数据!J$2:J$65536,MATCH(L1039,[1]流向迭代数据!H$2:H$65536,0))</f>
        <v>#N/A</v>
      </c>
      <c r="P1039" s="14"/>
      <c r="T1039" s="12" t="e">
        <f>INDEX([1]流向迭代数据!K$2:K$65536,MATCH(L1039,[1]流向迭代数据!H$2:H$65536,0))</f>
        <v>#N/A</v>
      </c>
      <c r="W1039" s="12" t="str">
        <f t="shared" si="33"/>
        <v/>
      </c>
    </row>
    <row r="1040" spans="1:23" x14ac:dyDescent="0.15">
      <c r="A1040" s="14" t="str">
        <f t="shared" si="32"/>
        <v>190001</v>
      </c>
      <c r="C1040" s="12" t="e">
        <f>INDEX(基础数据!$A$2:$A$1024,MATCH(转配商关联商!X1040,基础数据!$D$2:$D$1024,0))</f>
        <v>#N/A</v>
      </c>
      <c r="E1040" s="12" t="e">
        <f>INDEX(基础数据!$B$2:$B$1024,MATCH(转配商关联商!X1040,基础数据!$D$2:$D$1024,0))</f>
        <v>#N/A</v>
      </c>
      <c r="G1040" s="12" t="e">
        <f>INDEX([1]流向迭代数据!E$2:E$65536,MATCH(转配商关联商!W1040,[1]流向迭代数据!M$2:M$65536,0))</f>
        <v>#N/A</v>
      </c>
      <c r="N1040" s="12" t="e">
        <f>INDEX([1]流向迭代数据!J$2:J$65536,MATCH(L1040,[1]流向迭代数据!H$2:H$65536,0))</f>
        <v>#N/A</v>
      </c>
      <c r="P1040" s="14"/>
      <c r="T1040" s="12" t="e">
        <f>INDEX([1]流向迭代数据!K$2:K$65536,MATCH(L1040,[1]流向迭代数据!H$2:H$65536,0))</f>
        <v>#N/A</v>
      </c>
      <c r="W1040" s="12" t="str">
        <f t="shared" si="33"/>
        <v/>
      </c>
    </row>
    <row r="1041" spans="1:23" x14ac:dyDescent="0.15">
      <c r="A1041" s="14" t="str">
        <f t="shared" si="32"/>
        <v>190001</v>
      </c>
      <c r="C1041" s="12" t="e">
        <f>INDEX(基础数据!$A$2:$A$1024,MATCH(转配商关联商!X1041,基础数据!$D$2:$D$1024,0))</f>
        <v>#N/A</v>
      </c>
      <c r="E1041" s="12" t="e">
        <f>INDEX(基础数据!$B$2:$B$1024,MATCH(转配商关联商!X1041,基础数据!$D$2:$D$1024,0))</f>
        <v>#N/A</v>
      </c>
      <c r="G1041" s="12" t="e">
        <f>INDEX([1]流向迭代数据!E$2:E$65536,MATCH(转配商关联商!W1041,[1]流向迭代数据!M$2:M$65536,0))</f>
        <v>#N/A</v>
      </c>
      <c r="N1041" s="12" t="e">
        <f>INDEX([1]流向迭代数据!J$2:J$65536,MATCH(L1041,[1]流向迭代数据!H$2:H$65536,0))</f>
        <v>#N/A</v>
      </c>
      <c r="P1041" s="14"/>
      <c r="T1041" s="12" t="e">
        <f>INDEX([1]流向迭代数据!K$2:K$65536,MATCH(L1041,[1]流向迭代数据!H$2:H$65536,0))</f>
        <v>#N/A</v>
      </c>
      <c r="W1041" s="12" t="str">
        <f t="shared" si="33"/>
        <v/>
      </c>
    </row>
    <row r="1042" spans="1:23" x14ac:dyDescent="0.15">
      <c r="A1042" s="14" t="str">
        <f t="shared" si="32"/>
        <v>190001</v>
      </c>
      <c r="C1042" s="12" t="e">
        <f>INDEX(基础数据!$A$2:$A$1024,MATCH(转配商关联商!X1042,基础数据!$D$2:$D$1024,0))</f>
        <v>#N/A</v>
      </c>
      <c r="E1042" s="12" t="e">
        <f>INDEX(基础数据!$B$2:$B$1024,MATCH(转配商关联商!X1042,基础数据!$D$2:$D$1024,0))</f>
        <v>#N/A</v>
      </c>
      <c r="G1042" s="12" t="e">
        <f>INDEX([1]流向迭代数据!E$2:E$65536,MATCH(转配商关联商!W1042,[1]流向迭代数据!M$2:M$65536,0))</f>
        <v>#N/A</v>
      </c>
      <c r="N1042" s="12" t="e">
        <f>INDEX([1]流向迭代数据!J$2:J$65536,MATCH(L1042,[1]流向迭代数据!H$2:H$65536,0))</f>
        <v>#N/A</v>
      </c>
      <c r="P1042" s="14"/>
      <c r="T1042" s="12" t="e">
        <f>INDEX([1]流向迭代数据!K$2:K$65536,MATCH(L1042,[1]流向迭代数据!H$2:H$65536,0))</f>
        <v>#N/A</v>
      </c>
      <c r="W1042" s="12" t="str">
        <f t="shared" si="33"/>
        <v/>
      </c>
    </row>
    <row r="1043" spans="1:23" x14ac:dyDescent="0.15">
      <c r="A1043" s="14" t="str">
        <f t="shared" si="32"/>
        <v>190001</v>
      </c>
      <c r="C1043" s="12" t="e">
        <f>INDEX(基础数据!$A$2:$A$1024,MATCH(转配商关联商!X1043,基础数据!$D$2:$D$1024,0))</f>
        <v>#N/A</v>
      </c>
      <c r="E1043" s="12" t="e">
        <f>INDEX(基础数据!$B$2:$B$1024,MATCH(转配商关联商!X1043,基础数据!$D$2:$D$1024,0))</f>
        <v>#N/A</v>
      </c>
      <c r="G1043" s="12" t="e">
        <f>INDEX([1]流向迭代数据!E$2:E$65536,MATCH(转配商关联商!W1043,[1]流向迭代数据!M$2:M$65536,0))</f>
        <v>#N/A</v>
      </c>
      <c r="N1043" s="12" t="e">
        <f>INDEX([1]流向迭代数据!J$2:J$65536,MATCH(L1043,[1]流向迭代数据!H$2:H$65536,0))</f>
        <v>#N/A</v>
      </c>
      <c r="P1043" s="14"/>
      <c r="T1043" s="12" t="e">
        <f>INDEX([1]流向迭代数据!K$2:K$65536,MATCH(L1043,[1]流向迭代数据!H$2:H$65536,0))</f>
        <v>#N/A</v>
      </c>
      <c r="W1043" s="12" t="str">
        <f t="shared" si="33"/>
        <v/>
      </c>
    </row>
    <row r="1044" spans="1:23" x14ac:dyDescent="0.15">
      <c r="A1044" s="14" t="str">
        <f t="shared" si="32"/>
        <v>190001</v>
      </c>
      <c r="C1044" s="12" t="e">
        <f>INDEX(基础数据!$A$2:$A$1024,MATCH(转配商关联商!X1044,基础数据!$D$2:$D$1024,0))</f>
        <v>#N/A</v>
      </c>
      <c r="E1044" s="12" t="e">
        <f>INDEX(基础数据!$B$2:$B$1024,MATCH(转配商关联商!X1044,基础数据!$D$2:$D$1024,0))</f>
        <v>#N/A</v>
      </c>
      <c r="G1044" s="12" t="e">
        <f>INDEX([1]流向迭代数据!E$2:E$65536,MATCH(转配商关联商!W1044,[1]流向迭代数据!M$2:M$65536,0))</f>
        <v>#N/A</v>
      </c>
      <c r="N1044" s="12" t="e">
        <f>INDEX([1]流向迭代数据!J$2:J$65536,MATCH(L1044,[1]流向迭代数据!H$2:H$65536,0))</f>
        <v>#N/A</v>
      </c>
      <c r="P1044" s="14"/>
      <c r="T1044" s="12" t="e">
        <f>INDEX([1]流向迭代数据!K$2:K$65536,MATCH(L1044,[1]流向迭代数据!H$2:H$65536,0))</f>
        <v>#N/A</v>
      </c>
      <c r="W1044" s="12" t="str">
        <f t="shared" si="33"/>
        <v/>
      </c>
    </row>
    <row r="1045" spans="1:23" x14ac:dyDescent="0.15">
      <c r="A1045" s="14" t="str">
        <f t="shared" si="32"/>
        <v>190001</v>
      </c>
      <c r="C1045" s="12" t="e">
        <f>INDEX(基础数据!$A$2:$A$1024,MATCH(转配商关联商!X1045,基础数据!$D$2:$D$1024,0))</f>
        <v>#N/A</v>
      </c>
      <c r="E1045" s="12" t="e">
        <f>INDEX(基础数据!$B$2:$B$1024,MATCH(转配商关联商!X1045,基础数据!$D$2:$D$1024,0))</f>
        <v>#N/A</v>
      </c>
      <c r="G1045" s="12" t="e">
        <f>INDEX([1]流向迭代数据!E$2:E$65536,MATCH(转配商关联商!W1045,[1]流向迭代数据!M$2:M$65536,0))</f>
        <v>#N/A</v>
      </c>
      <c r="N1045" s="12" t="e">
        <f>INDEX([1]流向迭代数据!J$2:J$65536,MATCH(L1045,[1]流向迭代数据!H$2:H$65536,0))</f>
        <v>#N/A</v>
      </c>
      <c r="P1045" s="14"/>
      <c r="T1045" s="12" t="e">
        <f>INDEX([1]流向迭代数据!K$2:K$65536,MATCH(L1045,[1]流向迭代数据!H$2:H$65536,0))</f>
        <v>#N/A</v>
      </c>
      <c r="W1045" s="12" t="str">
        <f t="shared" si="33"/>
        <v/>
      </c>
    </row>
    <row r="1046" spans="1:23" x14ac:dyDescent="0.15">
      <c r="A1046" s="14" t="str">
        <f t="shared" si="32"/>
        <v>190001</v>
      </c>
      <c r="C1046" s="12" t="e">
        <f>INDEX(基础数据!$A$2:$A$1024,MATCH(转配商关联商!X1046,基础数据!$D$2:$D$1024,0))</f>
        <v>#N/A</v>
      </c>
      <c r="E1046" s="12" t="e">
        <f>INDEX(基础数据!$B$2:$B$1024,MATCH(转配商关联商!X1046,基础数据!$D$2:$D$1024,0))</f>
        <v>#N/A</v>
      </c>
      <c r="G1046" s="12" t="e">
        <f>INDEX([1]流向迭代数据!E$2:E$65536,MATCH(转配商关联商!W1046,[1]流向迭代数据!M$2:M$65536,0))</f>
        <v>#N/A</v>
      </c>
      <c r="N1046" s="12" t="e">
        <f>INDEX([1]流向迭代数据!J$2:J$65536,MATCH(L1046,[1]流向迭代数据!H$2:H$65536,0))</f>
        <v>#N/A</v>
      </c>
      <c r="P1046" s="14"/>
      <c r="T1046" s="12" t="e">
        <f>INDEX([1]流向迭代数据!K$2:K$65536,MATCH(L1046,[1]流向迭代数据!H$2:H$65536,0))</f>
        <v>#N/A</v>
      </c>
      <c r="W1046" s="12" t="str">
        <f t="shared" si="33"/>
        <v/>
      </c>
    </row>
    <row r="1047" spans="1:23" x14ac:dyDescent="0.15">
      <c r="A1047" s="14" t="str">
        <f t="shared" si="32"/>
        <v>190001</v>
      </c>
      <c r="C1047" s="12" t="e">
        <f>INDEX(基础数据!$A$2:$A$1024,MATCH(转配商关联商!X1047,基础数据!$D$2:$D$1024,0))</f>
        <v>#N/A</v>
      </c>
      <c r="E1047" s="12" t="e">
        <f>INDEX(基础数据!$B$2:$B$1024,MATCH(转配商关联商!X1047,基础数据!$D$2:$D$1024,0))</f>
        <v>#N/A</v>
      </c>
      <c r="G1047" s="12" t="e">
        <f>INDEX([1]流向迭代数据!E$2:E$65536,MATCH(转配商关联商!W1047,[1]流向迭代数据!M$2:M$65536,0))</f>
        <v>#N/A</v>
      </c>
      <c r="N1047" s="12" t="e">
        <f>INDEX([1]流向迭代数据!J$2:J$65536,MATCH(L1047,[1]流向迭代数据!H$2:H$65536,0))</f>
        <v>#N/A</v>
      </c>
      <c r="P1047" s="14"/>
      <c r="T1047" s="12" t="e">
        <f>INDEX([1]流向迭代数据!K$2:K$65536,MATCH(L1047,[1]流向迭代数据!H$2:H$65536,0))</f>
        <v>#N/A</v>
      </c>
      <c r="W1047" s="12" t="str">
        <f t="shared" si="33"/>
        <v/>
      </c>
    </row>
    <row r="1048" spans="1:23" x14ac:dyDescent="0.15">
      <c r="A1048" s="14" t="str">
        <f t="shared" si="32"/>
        <v>190001</v>
      </c>
      <c r="C1048" s="12" t="e">
        <f>INDEX(基础数据!$A$2:$A$1024,MATCH(转配商关联商!X1048,基础数据!$D$2:$D$1024,0))</f>
        <v>#N/A</v>
      </c>
      <c r="E1048" s="12" t="e">
        <f>INDEX(基础数据!$B$2:$B$1024,MATCH(转配商关联商!X1048,基础数据!$D$2:$D$1024,0))</f>
        <v>#N/A</v>
      </c>
      <c r="G1048" s="12" t="e">
        <f>INDEX([1]流向迭代数据!E$2:E$65536,MATCH(转配商关联商!W1048,[1]流向迭代数据!M$2:M$65536,0))</f>
        <v>#N/A</v>
      </c>
      <c r="N1048" s="12" t="e">
        <f>INDEX([1]流向迭代数据!J$2:J$65536,MATCH(L1048,[1]流向迭代数据!H$2:H$65536,0))</f>
        <v>#N/A</v>
      </c>
      <c r="P1048" s="14"/>
      <c r="T1048" s="12" t="e">
        <f>INDEX([1]流向迭代数据!K$2:K$65536,MATCH(L1048,[1]流向迭代数据!H$2:H$65536,0))</f>
        <v>#N/A</v>
      </c>
      <c r="W1048" s="12" t="str">
        <f t="shared" si="33"/>
        <v/>
      </c>
    </row>
    <row r="1049" spans="1:23" x14ac:dyDescent="0.15">
      <c r="A1049" s="14" t="str">
        <f t="shared" si="32"/>
        <v>190001</v>
      </c>
      <c r="C1049" s="12" t="e">
        <f>INDEX(基础数据!$A$2:$A$1024,MATCH(转配商关联商!X1049,基础数据!$D$2:$D$1024,0))</f>
        <v>#N/A</v>
      </c>
      <c r="E1049" s="12" t="e">
        <f>INDEX(基础数据!$B$2:$B$1024,MATCH(转配商关联商!X1049,基础数据!$D$2:$D$1024,0))</f>
        <v>#N/A</v>
      </c>
      <c r="G1049" s="12" t="e">
        <f>INDEX([1]流向迭代数据!E$2:E$65536,MATCH(转配商关联商!W1049,[1]流向迭代数据!M$2:M$65536,0))</f>
        <v>#N/A</v>
      </c>
      <c r="N1049" s="12" t="e">
        <f>INDEX([1]流向迭代数据!J$2:J$65536,MATCH(L1049,[1]流向迭代数据!H$2:H$65536,0))</f>
        <v>#N/A</v>
      </c>
      <c r="P1049" s="14"/>
      <c r="T1049" s="12" t="e">
        <f>INDEX([1]流向迭代数据!K$2:K$65536,MATCH(L1049,[1]流向迭代数据!H$2:H$65536,0))</f>
        <v>#N/A</v>
      </c>
      <c r="W1049" s="12" t="str">
        <f t="shared" si="33"/>
        <v/>
      </c>
    </row>
    <row r="1050" spans="1:23" x14ac:dyDescent="0.15">
      <c r="A1050" s="14" t="str">
        <f t="shared" si="32"/>
        <v>190001</v>
      </c>
      <c r="C1050" s="12" t="e">
        <f>INDEX(基础数据!$A$2:$A$1024,MATCH(转配商关联商!X1050,基础数据!$D$2:$D$1024,0))</f>
        <v>#N/A</v>
      </c>
      <c r="E1050" s="12" t="e">
        <f>INDEX(基础数据!$B$2:$B$1024,MATCH(转配商关联商!X1050,基础数据!$D$2:$D$1024,0))</f>
        <v>#N/A</v>
      </c>
      <c r="G1050" s="12" t="e">
        <f>INDEX([1]流向迭代数据!E$2:E$65536,MATCH(转配商关联商!W1050,[1]流向迭代数据!M$2:M$65536,0))</f>
        <v>#N/A</v>
      </c>
      <c r="N1050" s="12" t="e">
        <f>INDEX([1]流向迭代数据!J$2:J$65536,MATCH(L1050,[1]流向迭代数据!H$2:H$65536,0))</f>
        <v>#N/A</v>
      </c>
      <c r="P1050" s="14"/>
      <c r="T1050" s="12" t="e">
        <f>INDEX([1]流向迭代数据!K$2:K$65536,MATCH(L1050,[1]流向迭代数据!H$2:H$65536,0))</f>
        <v>#N/A</v>
      </c>
      <c r="W1050" s="12" t="str">
        <f t="shared" si="33"/>
        <v/>
      </c>
    </row>
    <row r="1051" spans="1:23" x14ac:dyDescent="0.15">
      <c r="A1051" s="14" t="str">
        <f t="shared" si="32"/>
        <v>190001</v>
      </c>
      <c r="C1051" s="12" t="e">
        <f>INDEX(基础数据!$A$2:$A$1024,MATCH(转配商关联商!X1051,基础数据!$D$2:$D$1024,0))</f>
        <v>#N/A</v>
      </c>
      <c r="E1051" s="12" t="e">
        <f>INDEX(基础数据!$B$2:$B$1024,MATCH(转配商关联商!X1051,基础数据!$D$2:$D$1024,0))</f>
        <v>#N/A</v>
      </c>
      <c r="G1051" s="12" t="e">
        <f>INDEX([1]流向迭代数据!E$2:E$65536,MATCH(转配商关联商!W1051,[1]流向迭代数据!M$2:M$65536,0))</f>
        <v>#N/A</v>
      </c>
      <c r="N1051" s="12" t="e">
        <f>INDEX([1]流向迭代数据!J$2:J$65536,MATCH(L1051,[1]流向迭代数据!H$2:H$65536,0))</f>
        <v>#N/A</v>
      </c>
      <c r="P1051" s="14"/>
      <c r="T1051" s="12" t="e">
        <f>INDEX([1]流向迭代数据!K$2:K$65536,MATCH(L1051,[1]流向迭代数据!H$2:H$65536,0))</f>
        <v>#N/A</v>
      </c>
      <c r="W1051" s="12" t="str">
        <f t="shared" si="33"/>
        <v/>
      </c>
    </row>
    <row r="1052" spans="1:23" x14ac:dyDescent="0.15">
      <c r="A1052" s="14" t="str">
        <f t="shared" si="32"/>
        <v>190001</v>
      </c>
      <c r="C1052" s="12" t="e">
        <f>INDEX(基础数据!$A$2:$A$1024,MATCH(转配商关联商!X1052,基础数据!$D$2:$D$1024,0))</f>
        <v>#N/A</v>
      </c>
      <c r="E1052" s="12" t="e">
        <f>INDEX(基础数据!$B$2:$B$1024,MATCH(转配商关联商!X1052,基础数据!$D$2:$D$1024,0))</f>
        <v>#N/A</v>
      </c>
      <c r="G1052" s="12" t="e">
        <f>INDEX([1]流向迭代数据!E$2:E$65536,MATCH(转配商关联商!W1052,[1]流向迭代数据!M$2:M$65536,0))</f>
        <v>#N/A</v>
      </c>
      <c r="N1052" s="12" t="e">
        <f>INDEX([1]流向迭代数据!J$2:J$65536,MATCH(L1052,[1]流向迭代数据!H$2:H$65536,0))</f>
        <v>#N/A</v>
      </c>
      <c r="P1052" s="14"/>
      <c r="T1052" s="12" t="e">
        <f>INDEX([1]流向迭代数据!K$2:K$65536,MATCH(L1052,[1]流向迭代数据!H$2:H$65536,0))</f>
        <v>#N/A</v>
      </c>
      <c r="W1052" s="12" t="str">
        <f t="shared" si="33"/>
        <v/>
      </c>
    </row>
    <row r="1053" spans="1:23" x14ac:dyDescent="0.15">
      <c r="A1053" s="14" t="str">
        <f t="shared" si="32"/>
        <v>190001</v>
      </c>
      <c r="C1053" s="12" t="e">
        <f>INDEX(基础数据!$A$2:$A$1024,MATCH(转配商关联商!X1053,基础数据!$D$2:$D$1024,0))</f>
        <v>#N/A</v>
      </c>
      <c r="E1053" s="12" t="e">
        <f>INDEX(基础数据!$B$2:$B$1024,MATCH(转配商关联商!X1053,基础数据!$D$2:$D$1024,0))</f>
        <v>#N/A</v>
      </c>
      <c r="G1053" s="12" t="e">
        <f>INDEX([1]流向迭代数据!E$2:E$65536,MATCH(转配商关联商!W1053,[1]流向迭代数据!M$2:M$65536,0))</f>
        <v>#N/A</v>
      </c>
      <c r="N1053" s="12" t="e">
        <f>INDEX([1]流向迭代数据!J$2:J$65536,MATCH(L1053,[1]流向迭代数据!H$2:H$65536,0))</f>
        <v>#N/A</v>
      </c>
      <c r="P1053" s="14"/>
      <c r="T1053" s="12" t="e">
        <f>INDEX([1]流向迭代数据!K$2:K$65536,MATCH(L1053,[1]流向迭代数据!H$2:H$65536,0))</f>
        <v>#N/A</v>
      </c>
      <c r="W1053" s="12" t="str">
        <f t="shared" si="33"/>
        <v/>
      </c>
    </row>
    <row r="1054" spans="1:23" x14ac:dyDescent="0.15">
      <c r="A1054" s="14" t="str">
        <f t="shared" si="32"/>
        <v>190001</v>
      </c>
      <c r="C1054" s="12" t="e">
        <f>INDEX(基础数据!$A$2:$A$1024,MATCH(转配商关联商!X1054,基础数据!$D$2:$D$1024,0))</f>
        <v>#N/A</v>
      </c>
      <c r="E1054" s="12" t="e">
        <f>INDEX(基础数据!$B$2:$B$1024,MATCH(转配商关联商!X1054,基础数据!$D$2:$D$1024,0))</f>
        <v>#N/A</v>
      </c>
      <c r="G1054" s="12" t="e">
        <f>INDEX([1]流向迭代数据!E$2:E$65536,MATCH(转配商关联商!W1054,[1]流向迭代数据!M$2:M$65536,0))</f>
        <v>#N/A</v>
      </c>
      <c r="N1054" s="12" t="e">
        <f>INDEX([1]流向迭代数据!J$2:J$65536,MATCH(L1054,[1]流向迭代数据!H$2:H$65536,0))</f>
        <v>#N/A</v>
      </c>
      <c r="P1054" s="14"/>
      <c r="T1054" s="12" t="e">
        <f>INDEX([1]流向迭代数据!K$2:K$65536,MATCH(L1054,[1]流向迭代数据!H$2:H$65536,0))</f>
        <v>#N/A</v>
      </c>
      <c r="W1054" s="12" t="str">
        <f t="shared" si="33"/>
        <v/>
      </c>
    </row>
    <row r="1055" spans="1:23" x14ac:dyDescent="0.15">
      <c r="A1055" s="14" t="str">
        <f t="shared" si="32"/>
        <v>190001</v>
      </c>
      <c r="C1055" s="12" t="e">
        <f>INDEX(基础数据!$A$2:$A$1024,MATCH(转配商关联商!X1055,基础数据!$D$2:$D$1024,0))</f>
        <v>#N/A</v>
      </c>
      <c r="E1055" s="12" t="e">
        <f>INDEX(基础数据!$B$2:$B$1024,MATCH(转配商关联商!X1055,基础数据!$D$2:$D$1024,0))</f>
        <v>#N/A</v>
      </c>
      <c r="G1055" s="12" t="e">
        <f>INDEX([1]流向迭代数据!E$2:E$65536,MATCH(转配商关联商!W1055,[1]流向迭代数据!M$2:M$65536,0))</f>
        <v>#N/A</v>
      </c>
      <c r="N1055" s="12" t="e">
        <f>INDEX([1]流向迭代数据!J$2:J$65536,MATCH(L1055,[1]流向迭代数据!H$2:H$65536,0))</f>
        <v>#N/A</v>
      </c>
      <c r="P1055" s="14"/>
      <c r="T1055" s="12" t="e">
        <f>INDEX([1]流向迭代数据!K$2:K$65536,MATCH(L1055,[1]流向迭代数据!H$2:H$65536,0))</f>
        <v>#N/A</v>
      </c>
      <c r="W1055" s="12" t="str">
        <f t="shared" si="33"/>
        <v/>
      </c>
    </row>
    <row r="1056" spans="1:23" x14ac:dyDescent="0.15">
      <c r="A1056" s="14" t="str">
        <f t="shared" si="32"/>
        <v>190001</v>
      </c>
      <c r="C1056" s="12" t="e">
        <f>INDEX(基础数据!$A$2:$A$1024,MATCH(转配商关联商!X1056,基础数据!$D$2:$D$1024,0))</f>
        <v>#N/A</v>
      </c>
      <c r="E1056" s="12" t="e">
        <f>INDEX(基础数据!$B$2:$B$1024,MATCH(转配商关联商!X1056,基础数据!$D$2:$D$1024,0))</f>
        <v>#N/A</v>
      </c>
      <c r="G1056" s="12" t="e">
        <f>INDEX([1]流向迭代数据!E$2:E$65536,MATCH(转配商关联商!W1056,[1]流向迭代数据!M$2:M$65536,0))</f>
        <v>#N/A</v>
      </c>
      <c r="N1056" s="12" t="e">
        <f>INDEX([1]流向迭代数据!J$2:J$65536,MATCH(L1056,[1]流向迭代数据!H$2:H$65536,0))</f>
        <v>#N/A</v>
      </c>
      <c r="P1056" s="14"/>
      <c r="T1056" s="12" t="e">
        <f>INDEX([1]流向迭代数据!K$2:K$65536,MATCH(L1056,[1]流向迭代数据!H$2:H$65536,0))</f>
        <v>#N/A</v>
      </c>
      <c r="W1056" s="12" t="str">
        <f t="shared" si="33"/>
        <v/>
      </c>
    </row>
    <row r="1057" spans="1:23" x14ac:dyDescent="0.15">
      <c r="A1057" s="14" t="str">
        <f t="shared" si="32"/>
        <v>190001</v>
      </c>
      <c r="C1057" s="12" t="e">
        <f>INDEX(基础数据!$A$2:$A$1024,MATCH(转配商关联商!X1057,基础数据!$D$2:$D$1024,0))</f>
        <v>#N/A</v>
      </c>
      <c r="E1057" s="12" t="e">
        <f>INDEX(基础数据!$B$2:$B$1024,MATCH(转配商关联商!X1057,基础数据!$D$2:$D$1024,0))</f>
        <v>#N/A</v>
      </c>
      <c r="G1057" s="12" t="e">
        <f>INDEX([1]流向迭代数据!E$2:E$65536,MATCH(转配商关联商!W1057,[1]流向迭代数据!M$2:M$65536,0))</f>
        <v>#N/A</v>
      </c>
      <c r="N1057" s="12" t="e">
        <f>INDEX([1]流向迭代数据!J$2:J$65536,MATCH(L1057,[1]流向迭代数据!H$2:H$65536,0))</f>
        <v>#N/A</v>
      </c>
      <c r="P1057" s="14"/>
      <c r="T1057" s="12" t="e">
        <f>INDEX([1]流向迭代数据!K$2:K$65536,MATCH(L1057,[1]流向迭代数据!H$2:H$65536,0))</f>
        <v>#N/A</v>
      </c>
      <c r="W1057" s="12" t="str">
        <f t="shared" si="33"/>
        <v/>
      </c>
    </row>
    <row r="1058" spans="1:23" x14ac:dyDescent="0.15">
      <c r="A1058" s="14" t="str">
        <f t="shared" si="32"/>
        <v>190001</v>
      </c>
      <c r="C1058" s="12" t="e">
        <f>INDEX(基础数据!$A$2:$A$1024,MATCH(转配商关联商!X1058,基础数据!$D$2:$D$1024,0))</f>
        <v>#N/A</v>
      </c>
      <c r="E1058" s="12" t="e">
        <f>INDEX(基础数据!$B$2:$B$1024,MATCH(转配商关联商!X1058,基础数据!$D$2:$D$1024,0))</f>
        <v>#N/A</v>
      </c>
      <c r="G1058" s="12" t="e">
        <f>INDEX([1]流向迭代数据!E$2:E$65536,MATCH(转配商关联商!W1058,[1]流向迭代数据!M$2:M$65536,0))</f>
        <v>#N/A</v>
      </c>
      <c r="N1058" s="12" t="e">
        <f>INDEX([1]流向迭代数据!J$2:J$65536,MATCH(L1058,[1]流向迭代数据!H$2:H$65536,0))</f>
        <v>#N/A</v>
      </c>
      <c r="P1058" s="14"/>
      <c r="T1058" s="12" t="e">
        <f>INDEX([1]流向迭代数据!K$2:K$65536,MATCH(L1058,[1]流向迭代数据!H$2:H$65536,0))</f>
        <v>#N/A</v>
      </c>
      <c r="W1058" s="12" t="str">
        <f t="shared" si="33"/>
        <v/>
      </c>
    </row>
    <row r="1059" spans="1:23" x14ac:dyDescent="0.15">
      <c r="A1059" s="14" t="str">
        <f t="shared" si="32"/>
        <v>190001</v>
      </c>
      <c r="C1059" s="12" t="e">
        <f>INDEX(基础数据!$A$2:$A$1024,MATCH(转配商关联商!X1059,基础数据!$D$2:$D$1024,0))</f>
        <v>#N/A</v>
      </c>
      <c r="E1059" s="12" t="e">
        <f>INDEX(基础数据!$B$2:$B$1024,MATCH(转配商关联商!X1059,基础数据!$D$2:$D$1024,0))</f>
        <v>#N/A</v>
      </c>
      <c r="G1059" s="12" t="e">
        <f>INDEX([1]流向迭代数据!E$2:E$65536,MATCH(转配商关联商!W1059,[1]流向迭代数据!M$2:M$65536,0))</f>
        <v>#N/A</v>
      </c>
      <c r="N1059" s="12" t="e">
        <f>INDEX([1]流向迭代数据!J$2:J$65536,MATCH(L1059,[1]流向迭代数据!H$2:H$65536,0))</f>
        <v>#N/A</v>
      </c>
      <c r="P1059" s="14"/>
      <c r="T1059" s="12" t="e">
        <f>INDEX([1]流向迭代数据!K$2:K$65536,MATCH(L1059,[1]流向迭代数据!H$2:H$65536,0))</f>
        <v>#N/A</v>
      </c>
      <c r="W1059" s="12" t="str">
        <f t="shared" si="33"/>
        <v/>
      </c>
    </row>
    <row r="1060" spans="1:23" x14ac:dyDescent="0.15">
      <c r="A1060" s="14" t="str">
        <f t="shared" si="32"/>
        <v>190001</v>
      </c>
      <c r="C1060" s="12" t="e">
        <f>INDEX(基础数据!$A$2:$A$1024,MATCH(转配商关联商!X1060,基础数据!$D$2:$D$1024,0))</f>
        <v>#N/A</v>
      </c>
      <c r="E1060" s="12" t="e">
        <f>INDEX(基础数据!$B$2:$B$1024,MATCH(转配商关联商!X1060,基础数据!$D$2:$D$1024,0))</f>
        <v>#N/A</v>
      </c>
      <c r="G1060" s="12" t="e">
        <f>INDEX([1]流向迭代数据!E$2:E$65536,MATCH(转配商关联商!W1060,[1]流向迭代数据!M$2:M$65536,0))</f>
        <v>#N/A</v>
      </c>
      <c r="N1060" s="12" t="e">
        <f>INDEX([1]流向迭代数据!J$2:J$65536,MATCH(L1060,[1]流向迭代数据!H$2:H$65536,0))</f>
        <v>#N/A</v>
      </c>
      <c r="P1060" s="14"/>
      <c r="T1060" s="12" t="e">
        <f>INDEX([1]流向迭代数据!K$2:K$65536,MATCH(L1060,[1]流向迭代数据!H$2:H$65536,0))</f>
        <v>#N/A</v>
      </c>
      <c r="W1060" s="12" t="str">
        <f t="shared" si="33"/>
        <v/>
      </c>
    </row>
    <row r="1061" spans="1:23" x14ac:dyDescent="0.15">
      <c r="A1061" s="14" t="str">
        <f t="shared" si="32"/>
        <v>190001</v>
      </c>
      <c r="C1061" s="12" t="e">
        <f>INDEX(基础数据!$A$2:$A$1024,MATCH(转配商关联商!X1061,基础数据!$D$2:$D$1024,0))</f>
        <v>#N/A</v>
      </c>
      <c r="E1061" s="12" t="e">
        <f>INDEX(基础数据!$B$2:$B$1024,MATCH(转配商关联商!X1061,基础数据!$D$2:$D$1024,0))</f>
        <v>#N/A</v>
      </c>
      <c r="G1061" s="12" t="e">
        <f>INDEX([1]流向迭代数据!E$2:E$65536,MATCH(转配商关联商!W1061,[1]流向迭代数据!M$2:M$65536,0))</f>
        <v>#N/A</v>
      </c>
      <c r="N1061" s="12" t="e">
        <f>INDEX([1]流向迭代数据!J$2:J$65536,MATCH(L1061,[1]流向迭代数据!H$2:H$65536,0))</f>
        <v>#N/A</v>
      </c>
      <c r="P1061" s="14"/>
      <c r="T1061" s="12" t="e">
        <f>INDEX([1]流向迭代数据!K$2:K$65536,MATCH(L1061,[1]流向迭代数据!H$2:H$65536,0))</f>
        <v>#N/A</v>
      </c>
      <c r="W1061" s="12" t="str">
        <f t="shared" si="33"/>
        <v/>
      </c>
    </row>
    <row r="1062" spans="1:23" x14ac:dyDescent="0.15">
      <c r="A1062" s="14" t="str">
        <f t="shared" si="32"/>
        <v>190001</v>
      </c>
      <c r="C1062" s="12" t="e">
        <f>INDEX(基础数据!$A$2:$A$1024,MATCH(转配商关联商!X1062,基础数据!$D$2:$D$1024,0))</f>
        <v>#N/A</v>
      </c>
      <c r="E1062" s="12" t="e">
        <f>INDEX(基础数据!$B$2:$B$1024,MATCH(转配商关联商!X1062,基础数据!$D$2:$D$1024,0))</f>
        <v>#N/A</v>
      </c>
      <c r="G1062" s="12" t="e">
        <f>INDEX([1]流向迭代数据!E$2:E$65536,MATCH(转配商关联商!W1062,[1]流向迭代数据!M$2:M$65536,0))</f>
        <v>#N/A</v>
      </c>
      <c r="N1062" s="12" t="e">
        <f>INDEX([1]流向迭代数据!J$2:J$65536,MATCH(L1062,[1]流向迭代数据!H$2:H$65536,0))</f>
        <v>#N/A</v>
      </c>
      <c r="P1062" s="14"/>
      <c r="T1062" s="12" t="e">
        <f>INDEX([1]流向迭代数据!K$2:K$65536,MATCH(L1062,[1]流向迭代数据!H$2:H$65536,0))</f>
        <v>#N/A</v>
      </c>
      <c r="W1062" s="12" t="str">
        <f t="shared" si="33"/>
        <v/>
      </c>
    </row>
    <row r="1063" spans="1:23" x14ac:dyDescent="0.15">
      <c r="A1063" s="14" t="str">
        <f t="shared" si="32"/>
        <v>190001</v>
      </c>
      <c r="C1063" s="12" t="e">
        <f>INDEX(基础数据!$A$2:$A$1024,MATCH(转配商关联商!X1063,基础数据!$D$2:$D$1024,0))</f>
        <v>#N/A</v>
      </c>
      <c r="E1063" s="12" t="e">
        <f>INDEX(基础数据!$B$2:$B$1024,MATCH(转配商关联商!X1063,基础数据!$D$2:$D$1024,0))</f>
        <v>#N/A</v>
      </c>
      <c r="G1063" s="12" t="e">
        <f>INDEX([1]流向迭代数据!E$2:E$65536,MATCH(转配商关联商!W1063,[1]流向迭代数据!M$2:M$65536,0))</f>
        <v>#N/A</v>
      </c>
      <c r="N1063" s="12" t="e">
        <f>INDEX([1]流向迭代数据!J$2:J$65536,MATCH(L1063,[1]流向迭代数据!H$2:H$65536,0))</f>
        <v>#N/A</v>
      </c>
      <c r="P1063" s="14"/>
      <c r="T1063" s="12" t="e">
        <f>INDEX([1]流向迭代数据!K$2:K$65536,MATCH(L1063,[1]流向迭代数据!H$2:H$65536,0))</f>
        <v>#N/A</v>
      </c>
      <c r="W1063" s="12" t="str">
        <f t="shared" si="33"/>
        <v/>
      </c>
    </row>
    <row r="1064" spans="1:23" x14ac:dyDescent="0.15">
      <c r="A1064" s="14" t="str">
        <f t="shared" si="32"/>
        <v>190001</v>
      </c>
      <c r="C1064" s="12" t="e">
        <f>INDEX(基础数据!$A$2:$A$1024,MATCH(转配商关联商!X1064,基础数据!$D$2:$D$1024,0))</f>
        <v>#N/A</v>
      </c>
      <c r="E1064" s="12" t="e">
        <f>INDEX(基础数据!$B$2:$B$1024,MATCH(转配商关联商!X1064,基础数据!$D$2:$D$1024,0))</f>
        <v>#N/A</v>
      </c>
      <c r="G1064" s="12" t="e">
        <f>INDEX([1]流向迭代数据!E$2:E$65536,MATCH(转配商关联商!W1064,[1]流向迭代数据!M$2:M$65536,0))</f>
        <v>#N/A</v>
      </c>
      <c r="N1064" s="12" t="e">
        <f>INDEX([1]流向迭代数据!J$2:J$65536,MATCH(L1064,[1]流向迭代数据!H$2:H$65536,0))</f>
        <v>#N/A</v>
      </c>
      <c r="P1064" s="14"/>
      <c r="T1064" s="12" t="e">
        <f>INDEX([1]流向迭代数据!K$2:K$65536,MATCH(L1064,[1]流向迭代数据!H$2:H$65536,0))</f>
        <v>#N/A</v>
      </c>
      <c r="W1064" s="12" t="str">
        <f t="shared" si="33"/>
        <v/>
      </c>
    </row>
    <row r="1065" spans="1:23" x14ac:dyDescent="0.15">
      <c r="A1065" s="14" t="str">
        <f t="shared" si="32"/>
        <v>190001</v>
      </c>
      <c r="C1065" s="12" t="e">
        <f>INDEX(基础数据!$A$2:$A$1024,MATCH(转配商关联商!X1065,基础数据!$D$2:$D$1024,0))</f>
        <v>#N/A</v>
      </c>
      <c r="E1065" s="12" t="e">
        <f>INDEX(基础数据!$B$2:$B$1024,MATCH(转配商关联商!X1065,基础数据!$D$2:$D$1024,0))</f>
        <v>#N/A</v>
      </c>
      <c r="G1065" s="12" t="e">
        <f>INDEX([1]流向迭代数据!E$2:E$65536,MATCH(转配商关联商!W1065,[1]流向迭代数据!M$2:M$65536,0))</f>
        <v>#N/A</v>
      </c>
      <c r="N1065" s="12" t="e">
        <f>INDEX([1]流向迭代数据!J$2:J$65536,MATCH(L1065,[1]流向迭代数据!H$2:H$65536,0))</f>
        <v>#N/A</v>
      </c>
      <c r="P1065" s="14"/>
      <c r="T1065" s="12" t="e">
        <f>INDEX([1]流向迭代数据!K$2:K$65536,MATCH(L1065,[1]流向迭代数据!H$2:H$65536,0))</f>
        <v>#N/A</v>
      </c>
      <c r="W1065" s="12" t="str">
        <f t="shared" si="33"/>
        <v/>
      </c>
    </row>
    <row r="1066" spans="1:23" x14ac:dyDescent="0.15">
      <c r="A1066" s="14" t="str">
        <f t="shared" si="32"/>
        <v>190001</v>
      </c>
      <c r="C1066" s="12" t="e">
        <f>INDEX(基础数据!$A$2:$A$1024,MATCH(转配商关联商!X1066,基础数据!$D$2:$D$1024,0))</f>
        <v>#N/A</v>
      </c>
      <c r="E1066" s="12" t="e">
        <f>INDEX(基础数据!$B$2:$B$1024,MATCH(转配商关联商!X1066,基础数据!$D$2:$D$1024,0))</f>
        <v>#N/A</v>
      </c>
      <c r="G1066" s="12" t="e">
        <f>INDEX([1]流向迭代数据!E$2:E$65536,MATCH(转配商关联商!W1066,[1]流向迭代数据!M$2:M$65536,0))</f>
        <v>#N/A</v>
      </c>
      <c r="N1066" s="12" t="e">
        <f>INDEX([1]流向迭代数据!J$2:J$65536,MATCH(L1066,[1]流向迭代数据!H$2:H$65536,0))</f>
        <v>#N/A</v>
      </c>
      <c r="P1066" s="14"/>
      <c r="T1066" s="12" t="e">
        <f>INDEX([1]流向迭代数据!K$2:K$65536,MATCH(L1066,[1]流向迭代数据!H$2:H$65536,0))</f>
        <v>#N/A</v>
      </c>
      <c r="W1066" s="12" t="str">
        <f t="shared" si="33"/>
        <v/>
      </c>
    </row>
    <row r="1067" spans="1:23" x14ac:dyDescent="0.15">
      <c r="A1067" s="14" t="str">
        <f t="shared" si="32"/>
        <v>190001</v>
      </c>
      <c r="C1067" s="12" t="e">
        <f>INDEX(基础数据!$A$2:$A$1024,MATCH(转配商关联商!X1067,基础数据!$D$2:$D$1024,0))</f>
        <v>#N/A</v>
      </c>
      <c r="E1067" s="12" t="e">
        <f>INDEX(基础数据!$B$2:$B$1024,MATCH(转配商关联商!X1067,基础数据!$D$2:$D$1024,0))</f>
        <v>#N/A</v>
      </c>
      <c r="G1067" s="12" t="e">
        <f>INDEX([1]流向迭代数据!E$2:E$65536,MATCH(转配商关联商!W1067,[1]流向迭代数据!M$2:M$65536,0))</f>
        <v>#N/A</v>
      </c>
      <c r="N1067" s="12" t="e">
        <f>INDEX([1]流向迭代数据!J$2:J$65536,MATCH(L1067,[1]流向迭代数据!H$2:H$65536,0))</f>
        <v>#N/A</v>
      </c>
      <c r="P1067" s="14"/>
      <c r="T1067" s="12" t="e">
        <f>INDEX([1]流向迭代数据!K$2:K$65536,MATCH(L1067,[1]流向迭代数据!H$2:H$65536,0))</f>
        <v>#N/A</v>
      </c>
      <c r="W1067" s="12" t="str">
        <f t="shared" si="33"/>
        <v/>
      </c>
    </row>
    <row r="1068" spans="1:23" x14ac:dyDescent="0.15">
      <c r="A1068" s="14" t="str">
        <f t="shared" si="32"/>
        <v>190001</v>
      </c>
      <c r="C1068" s="12" t="e">
        <f>INDEX(基础数据!$A$2:$A$1024,MATCH(转配商关联商!X1068,基础数据!$D$2:$D$1024,0))</f>
        <v>#N/A</v>
      </c>
      <c r="E1068" s="12" t="e">
        <f>INDEX(基础数据!$B$2:$B$1024,MATCH(转配商关联商!X1068,基础数据!$D$2:$D$1024,0))</f>
        <v>#N/A</v>
      </c>
      <c r="G1068" s="12" t="e">
        <f>INDEX([1]流向迭代数据!E$2:E$65536,MATCH(转配商关联商!W1068,[1]流向迭代数据!M$2:M$65536,0))</f>
        <v>#N/A</v>
      </c>
      <c r="N1068" s="12" t="e">
        <f>INDEX([1]流向迭代数据!J$2:J$65536,MATCH(L1068,[1]流向迭代数据!H$2:H$65536,0))</f>
        <v>#N/A</v>
      </c>
      <c r="P1068" s="14"/>
      <c r="T1068" s="12" t="e">
        <f>INDEX([1]流向迭代数据!K$2:K$65536,MATCH(L1068,[1]流向迭代数据!H$2:H$65536,0))</f>
        <v>#N/A</v>
      </c>
      <c r="W1068" s="12" t="str">
        <f t="shared" si="33"/>
        <v/>
      </c>
    </row>
    <row r="1069" spans="1:23" x14ac:dyDescent="0.15">
      <c r="A1069" s="14" t="str">
        <f t="shared" si="32"/>
        <v>190001</v>
      </c>
      <c r="C1069" s="12" t="e">
        <f>INDEX(基础数据!$A$2:$A$1024,MATCH(转配商关联商!X1069,基础数据!$D$2:$D$1024,0))</f>
        <v>#N/A</v>
      </c>
      <c r="E1069" s="12" t="e">
        <f>INDEX(基础数据!$B$2:$B$1024,MATCH(转配商关联商!X1069,基础数据!$D$2:$D$1024,0))</f>
        <v>#N/A</v>
      </c>
      <c r="G1069" s="12" t="e">
        <f>INDEX([1]流向迭代数据!E$2:E$65536,MATCH(转配商关联商!W1069,[1]流向迭代数据!M$2:M$65536,0))</f>
        <v>#N/A</v>
      </c>
      <c r="N1069" s="12" t="e">
        <f>INDEX([1]流向迭代数据!J$2:J$65536,MATCH(L1069,[1]流向迭代数据!H$2:H$65536,0))</f>
        <v>#N/A</v>
      </c>
      <c r="P1069" s="14"/>
      <c r="T1069" s="12" t="e">
        <f>INDEX([1]流向迭代数据!K$2:K$65536,MATCH(L1069,[1]流向迭代数据!H$2:H$65536,0))</f>
        <v>#N/A</v>
      </c>
      <c r="W1069" s="12" t="str">
        <f t="shared" si="33"/>
        <v/>
      </c>
    </row>
    <row r="1070" spans="1:23" x14ac:dyDescent="0.15">
      <c r="A1070" s="14" t="str">
        <f t="shared" si="32"/>
        <v>190001</v>
      </c>
      <c r="C1070" s="12" t="e">
        <f>INDEX(基础数据!$A$2:$A$1024,MATCH(转配商关联商!X1070,基础数据!$D$2:$D$1024,0))</f>
        <v>#N/A</v>
      </c>
      <c r="E1070" s="12" t="e">
        <f>INDEX(基础数据!$B$2:$B$1024,MATCH(转配商关联商!X1070,基础数据!$D$2:$D$1024,0))</f>
        <v>#N/A</v>
      </c>
      <c r="G1070" s="12" t="e">
        <f>INDEX([1]流向迭代数据!E$2:E$65536,MATCH(转配商关联商!W1070,[1]流向迭代数据!M$2:M$65536,0))</f>
        <v>#N/A</v>
      </c>
      <c r="N1070" s="12" t="e">
        <f>INDEX([1]流向迭代数据!J$2:J$65536,MATCH(L1070,[1]流向迭代数据!H$2:H$65536,0))</f>
        <v>#N/A</v>
      </c>
      <c r="P1070" s="14"/>
      <c r="T1070" s="12" t="e">
        <f>INDEX([1]流向迭代数据!K$2:K$65536,MATCH(L1070,[1]流向迭代数据!H$2:H$65536,0))</f>
        <v>#N/A</v>
      </c>
      <c r="W1070" s="12" t="str">
        <f t="shared" si="33"/>
        <v/>
      </c>
    </row>
    <row r="1071" spans="1:23" x14ac:dyDescent="0.15">
      <c r="A1071" s="14" t="str">
        <f t="shared" si="32"/>
        <v>190001</v>
      </c>
      <c r="C1071" s="12" t="e">
        <f>INDEX(基础数据!$A$2:$A$1024,MATCH(转配商关联商!X1071,基础数据!$D$2:$D$1024,0))</f>
        <v>#N/A</v>
      </c>
      <c r="E1071" s="12" t="e">
        <f>INDEX(基础数据!$B$2:$B$1024,MATCH(转配商关联商!X1071,基础数据!$D$2:$D$1024,0))</f>
        <v>#N/A</v>
      </c>
      <c r="G1071" s="12" t="e">
        <f>INDEX([1]流向迭代数据!E$2:E$65536,MATCH(转配商关联商!W1071,[1]流向迭代数据!M$2:M$65536,0))</f>
        <v>#N/A</v>
      </c>
      <c r="N1071" s="12" t="e">
        <f>INDEX([1]流向迭代数据!J$2:J$65536,MATCH(L1071,[1]流向迭代数据!H$2:H$65536,0))</f>
        <v>#N/A</v>
      </c>
      <c r="P1071" s="14"/>
      <c r="T1071" s="12" t="e">
        <f>INDEX([1]流向迭代数据!K$2:K$65536,MATCH(L1071,[1]流向迭代数据!H$2:H$65536,0))</f>
        <v>#N/A</v>
      </c>
      <c r="W1071" s="12" t="str">
        <f t="shared" si="33"/>
        <v/>
      </c>
    </row>
    <row r="1072" spans="1:23" x14ac:dyDescent="0.15">
      <c r="A1072" s="14" t="str">
        <f t="shared" si="32"/>
        <v>190001</v>
      </c>
      <c r="C1072" s="12" t="e">
        <f>INDEX(基础数据!$A$2:$A$1024,MATCH(转配商关联商!X1072,基础数据!$D$2:$D$1024,0))</f>
        <v>#N/A</v>
      </c>
      <c r="E1072" s="12" t="e">
        <f>INDEX(基础数据!$B$2:$B$1024,MATCH(转配商关联商!X1072,基础数据!$D$2:$D$1024,0))</f>
        <v>#N/A</v>
      </c>
      <c r="G1072" s="12" t="e">
        <f>INDEX([1]流向迭代数据!E$2:E$65536,MATCH(转配商关联商!W1072,[1]流向迭代数据!M$2:M$65536,0))</f>
        <v>#N/A</v>
      </c>
      <c r="N1072" s="12" t="e">
        <f>INDEX([1]流向迭代数据!J$2:J$65536,MATCH(L1072,[1]流向迭代数据!H$2:H$65536,0))</f>
        <v>#N/A</v>
      </c>
      <c r="P1072" s="14"/>
      <c r="T1072" s="12" t="e">
        <f>INDEX([1]流向迭代数据!K$2:K$65536,MATCH(L1072,[1]流向迭代数据!H$2:H$65536,0))</f>
        <v>#N/A</v>
      </c>
      <c r="W1072" s="12" t="str">
        <f t="shared" si="33"/>
        <v/>
      </c>
    </row>
    <row r="1073" spans="1:23" x14ac:dyDescent="0.15">
      <c r="A1073" s="14" t="str">
        <f t="shared" si="32"/>
        <v>190001</v>
      </c>
      <c r="C1073" s="12" t="e">
        <f>INDEX(基础数据!$A$2:$A$1024,MATCH(转配商关联商!X1073,基础数据!$D$2:$D$1024,0))</f>
        <v>#N/A</v>
      </c>
      <c r="E1073" s="12" t="e">
        <f>INDEX(基础数据!$B$2:$B$1024,MATCH(转配商关联商!X1073,基础数据!$D$2:$D$1024,0))</f>
        <v>#N/A</v>
      </c>
      <c r="G1073" s="12" t="e">
        <f>INDEX([1]流向迭代数据!E$2:E$65536,MATCH(转配商关联商!W1073,[1]流向迭代数据!M$2:M$65536,0))</f>
        <v>#N/A</v>
      </c>
      <c r="N1073" s="12" t="e">
        <f>INDEX([1]流向迭代数据!J$2:J$65536,MATCH(L1073,[1]流向迭代数据!H$2:H$65536,0))</f>
        <v>#N/A</v>
      </c>
      <c r="P1073" s="14"/>
      <c r="T1073" s="12" t="e">
        <f>INDEX([1]流向迭代数据!K$2:K$65536,MATCH(L1073,[1]流向迭代数据!H$2:H$65536,0))</f>
        <v>#N/A</v>
      </c>
      <c r="W1073" s="12" t="str">
        <f t="shared" si="33"/>
        <v/>
      </c>
    </row>
    <row r="1074" spans="1:23" x14ac:dyDescent="0.15">
      <c r="A1074" s="14" t="str">
        <f t="shared" si="32"/>
        <v>190001</v>
      </c>
      <c r="C1074" s="12" t="e">
        <f>INDEX(基础数据!$A$2:$A$1024,MATCH(转配商关联商!X1074,基础数据!$D$2:$D$1024,0))</f>
        <v>#N/A</v>
      </c>
      <c r="E1074" s="12" t="e">
        <f>INDEX(基础数据!$B$2:$B$1024,MATCH(转配商关联商!X1074,基础数据!$D$2:$D$1024,0))</f>
        <v>#N/A</v>
      </c>
      <c r="G1074" s="12" t="e">
        <f>INDEX([1]流向迭代数据!E$2:E$65536,MATCH(转配商关联商!W1074,[1]流向迭代数据!M$2:M$65536,0))</f>
        <v>#N/A</v>
      </c>
      <c r="N1074" s="12" t="e">
        <f>INDEX([1]流向迭代数据!J$2:J$65536,MATCH(L1074,[1]流向迭代数据!H$2:H$65536,0))</f>
        <v>#N/A</v>
      </c>
      <c r="P1074" s="14"/>
      <c r="T1074" s="12" t="e">
        <f>INDEX([1]流向迭代数据!K$2:K$65536,MATCH(L1074,[1]流向迭代数据!H$2:H$65536,0))</f>
        <v>#N/A</v>
      </c>
      <c r="W1074" s="12" t="str">
        <f t="shared" si="33"/>
        <v/>
      </c>
    </row>
    <row r="1075" spans="1:23" x14ac:dyDescent="0.15">
      <c r="A1075" s="14" t="str">
        <f t="shared" si="32"/>
        <v>190001</v>
      </c>
      <c r="C1075" s="12" t="e">
        <f>INDEX(基础数据!$A$2:$A$1024,MATCH(转配商关联商!X1075,基础数据!$D$2:$D$1024,0))</f>
        <v>#N/A</v>
      </c>
      <c r="E1075" s="12" t="e">
        <f>INDEX(基础数据!$B$2:$B$1024,MATCH(转配商关联商!X1075,基础数据!$D$2:$D$1024,0))</f>
        <v>#N/A</v>
      </c>
      <c r="G1075" s="12" t="e">
        <f>INDEX([1]流向迭代数据!E$2:E$65536,MATCH(转配商关联商!W1075,[1]流向迭代数据!M$2:M$65536,0))</f>
        <v>#N/A</v>
      </c>
      <c r="N1075" s="12" t="e">
        <f>INDEX([1]流向迭代数据!J$2:J$65536,MATCH(L1075,[1]流向迭代数据!H$2:H$65536,0))</f>
        <v>#N/A</v>
      </c>
      <c r="P1075" s="14"/>
      <c r="T1075" s="12" t="e">
        <f>INDEX([1]流向迭代数据!K$2:K$65536,MATCH(L1075,[1]流向迭代数据!H$2:H$65536,0))</f>
        <v>#N/A</v>
      </c>
      <c r="W1075" s="12" t="str">
        <f t="shared" si="33"/>
        <v/>
      </c>
    </row>
    <row r="1076" spans="1:23" x14ac:dyDescent="0.15">
      <c r="A1076" s="14" t="str">
        <f t="shared" si="32"/>
        <v>190001</v>
      </c>
      <c r="C1076" s="12" t="e">
        <f>INDEX(基础数据!$A$2:$A$1024,MATCH(转配商关联商!X1076,基础数据!$D$2:$D$1024,0))</f>
        <v>#N/A</v>
      </c>
      <c r="E1076" s="12" t="e">
        <f>INDEX(基础数据!$B$2:$B$1024,MATCH(转配商关联商!X1076,基础数据!$D$2:$D$1024,0))</f>
        <v>#N/A</v>
      </c>
      <c r="G1076" s="12" t="e">
        <f>INDEX([1]流向迭代数据!E$2:E$65536,MATCH(转配商关联商!W1076,[1]流向迭代数据!M$2:M$65536,0))</f>
        <v>#N/A</v>
      </c>
      <c r="N1076" s="12" t="e">
        <f>INDEX([1]流向迭代数据!J$2:J$65536,MATCH(L1076,[1]流向迭代数据!H$2:H$65536,0))</f>
        <v>#N/A</v>
      </c>
      <c r="P1076" s="14"/>
      <c r="T1076" s="12" t="e">
        <f>INDEX([1]流向迭代数据!K$2:K$65536,MATCH(L1076,[1]流向迭代数据!H$2:H$65536,0))</f>
        <v>#N/A</v>
      </c>
      <c r="W1076" s="12" t="str">
        <f t="shared" si="33"/>
        <v/>
      </c>
    </row>
    <row r="1077" spans="1:23" x14ac:dyDescent="0.15">
      <c r="A1077" s="14" t="str">
        <f t="shared" si="32"/>
        <v>190001</v>
      </c>
      <c r="C1077" s="12" t="e">
        <f>INDEX(基础数据!$A$2:$A$1024,MATCH(转配商关联商!X1077,基础数据!$D$2:$D$1024,0))</f>
        <v>#N/A</v>
      </c>
      <c r="E1077" s="12" t="e">
        <f>INDEX(基础数据!$B$2:$B$1024,MATCH(转配商关联商!X1077,基础数据!$D$2:$D$1024,0))</f>
        <v>#N/A</v>
      </c>
      <c r="G1077" s="12" t="e">
        <f>INDEX([1]流向迭代数据!E$2:E$65536,MATCH(转配商关联商!W1077,[1]流向迭代数据!M$2:M$65536,0))</f>
        <v>#N/A</v>
      </c>
      <c r="N1077" s="12" t="e">
        <f>INDEX([1]流向迭代数据!J$2:J$65536,MATCH(L1077,[1]流向迭代数据!H$2:H$65536,0))</f>
        <v>#N/A</v>
      </c>
      <c r="P1077" s="14"/>
      <c r="T1077" s="12" t="e">
        <f>INDEX([1]流向迭代数据!K$2:K$65536,MATCH(L1077,[1]流向迭代数据!H$2:H$65536,0))</f>
        <v>#N/A</v>
      </c>
      <c r="W1077" s="12" t="str">
        <f t="shared" si="33"/>
        <v/>
      </c>
    </row>
    <row r="1078" spans="1:23" x14ac:dyDescent="0.15">
      <c r="A1078" s="14" t="str">
        <f t="shared" si="32"/>
        <v>190001</v>
      </c>
      <c r="C1078" s="12" t="e">
        <f>INDEX(基础数据!$A$2:$A$1024,MATCH(转配商关联商!X1078,基础数据!$D$2:$D$1024,0))</f>
        <v>#N/A</v>
      </c>
      <c r="E1078" s="12" t="e">
        <f>INDEX(基础数据!$B$2:$B$1024,MATCH(转配商关联商!X1078,基础数据!$D$2:$D$1024,0))</f>
        <v>#N/A</v>
      </c>
      <c r="G1078" s="12" t="e">
        <f>INDEX([1]流向迭代数据!E$2:E$65536,MATCH(转配商关联商!W1078,[1]流向迭代数据!M$2:M$65536,0))</f>
        <v>#N/A</v>
      </c>
      <c r="N1078" s="12" t="e">
        <f>INDEX([1]流向迭代数据!J$2:J$65536,MATCH(L1078,[1]流向迭代数据!H$2:H$65536,0))</f>
        <v>#N/A</v>
      </c>
      <c r="P1078" s="14"/>
      <c r="T1078" s="12" t="e">
        <f>INDEX([1]流向迭代数据!K$2:K$65536,MATCH(L1078,[1]流向迭代数据!H$2:H$65536,0))</f>
        <v>#N/A</v>
      </c>
      <c r="W1078" s="12" t="str">
        <f t="shared" si="33"/>
        <v/>
      </c>
    </row>
    <row r="1079" spans="1:23" x14ac:dyDescent="0.15">
      <c r="A1079" s="14" t="str">
        <f t="shared" si="32"/>
        <v>190001</v>
      </c>
      <c r="C1079" s="12" t="e">
        <f>INDEX(基础数据!$A$2:$A$1024,MATCH(转配商关联商!X1079,基础数据!$D$2:$D$1024,0))</f>
        <v>#N/A</v>
      </c>
      <c r="E1079" s="12" t="e">
        <f>INDEX(基础数据!$B$2:$B$1024,MATCH(转配商关联商!X1079,基础数据!$D$2:$D$1024,0))</f>
        <v>#N/A</v>
      </c>
      <c r="G1079" s="12" t="e">
        <f>INDEX([1]流向迭代数据!E$2:E$65536,MATCH(转配商关联商!W1079,[1]流向迭代数据!M$2:M$65536,0))</f>
        <v>#N/A</v>
      </c>
      <c r="N1079" s="12" t="e">
        <f>INDEX([1]流向迭代数据!J$2:J$65536,MATCH(L1079,[1]流向迭代数据!H$2:H$65536,0))</f>
        <v>#N/A</v>
      </c>
      <c r="P1079" s="14"/>
      <c r="T1079" s="12" t="e">
        <f>INDEX([1]流向迭代数据!K$2:K$65536,MATCH(L1079,[1]流向迭代数据!H$2:H$65536,0))</f>
        <v>#N/A</v>
      </c>
      <c r="W1079" s="12" t="str">
        <f t="shared" si="33"/>
        <v/>
      </c>
    </row>
    <row r="1080" spans="1:23" x14ac:dyDescent="0.15">
      <c r="A1080" s="14" t="str">
        <f t="shared" si="32"/>
        <v>190001</v>
      </c>
      <c r="C1080" s="12" t="e">
        <f>INDEX(基础数据!$A$2:$A$1024,MATCH(转配商关联商!X1080,基础数据!$D$2:$D$1024,0))</f>
        <v>#N/A</v>
      </c>
      <c r="E1080" s="12" t="e">
        <f>INDEX(基础数据!$B$2:$B$1024,MATCH(转配商关联商!X1080,基础数据!$D$2:$D$1024,0))</f>
        <v>#N/A</v>
      </c>
      <c r="G1080" s="12" t="e">
        <f>INDEX([1]流向迭代数据!E$2:E$65536,MATCH(转配商关联商!W1080,[1]流向迭代数据!M$2:M$65536,0))</f>
        <v>#N/A</v>
      </c>
      <c r="N1080" s="12" t="e">
        <f>INDEX([1]流向迭代数据!J$2:J$65536,MATCH(L1080,[1]流向迭代数据!H$2:H$65536,0))</f>
        <v>#N/A</v>
      </c>
      <c r="P1080" s="14"/>
      <c r="T1080" s="12" t="e">
        <f>INDEX([1]流向迭代数据!K$2:K$65536,MATCH(L1080,[1]流向迭代数据!H$2:H$65536,0))</f>
        <v>#N/A</v>
      </c>
      <c r="W1080" s="12" t="str">
        <f t="shared" si="33"/>
        <v/>
      </c>
    </row>
    <row r="1081" spans="1:23" x14ac:dyDescent="0.15">
      <c r="A1081" s="14" t="str">
        <f t="shared" si="32"/>
        <v>190001</v>
      </c>
      <c r="C1081" s="12" t="e">
        <f>INDEX(基础数据!$A$2:$A$1024,MATCH(转配商关联商!X1081,基础数据!$D$2:$D$1024,0))</f>
        <v>#N/A</v>
      </c>
      <c r="E1081" s="12" t="e">
        <f>INDEX(基础数据!$B$2:$B$1024,MATCH(转配商关联商!X1081,基础数据!$D$2:$D$1024,0))</f>
        <v>#N/A</v>
      </c>
      <c r="G1081" s="12" t="e">
        <f>INDEX([1]流向迭代数据!E$2:E$65536,MATCH(转配商关联商!W1081,[1]流向迭代数据!M$2:M$65536,0))</f>
        <v>#N/A</v>
      </c>
      <c r="N1081" s="12" t="e">
        <f>INDEX([1]流向迭代数据!J$2:J$65536,MATCH(L1081,[1]流向迭代数据!H$2:H$65536,0))</f>
        <v>#N/A</v>
      </c>
      <c r="P1081" s="14"/>
      <c r="T1081" s="12" t="e">
        <f>INDEX([1]流向迭代数据!K$2:K$65536,MATCH(L1081,[1]流向迭代数据!H$2:H$65536,0))</f>
        <v>#N/A</v>
      </c>
      <c r="W1081" s="12" t="str">
        <f t="shared" si="33"/>
        <v/>
      </c>
    </row>
    <row r="1082" spans="1:23" x14ac:dyDescent="0.15">
      <c r="A1082" s="14" t="str">
        <f t="shared" si="32"/>
        <v>190001</v>
      </c>
      <c r="C1082" s="12" t="e">
        <f>INDEX(基础数据!$A$2:$A$1024,MATCH(转配商关联商!X1082,基础数据!$D$2:$D$1024,0))</f>
        <v>#N/A</v>
      </c>
      <c r="E1082" s="12" t="e">
        <f>INDEX(基础数据!$B$2:$B$1024,MATCH(转配商关联商!X1082,基础数据!$D$2:$D$1024,0))</f>
        <v>#N/A</v>
      </c>
      <c r="G1082" s="12" t="e">
        <f>INDEX([1]流向迭代数据!E$2:E$65536,MATCH(转配商关联商!W1082,[1]流向迭代数据!M$2:M$65536,0))</f>
        <v>#N/A</v>
      </c>
      <c r="N1082" s="12" t="e">
        <f>INDEX([1]流向迭代数据!J$2:J$65536,MATCH(L1082,[1]流向迭代数据!H$2:H$65536,0))</f>
        <v>#N/A</v>
      </c>
      <c r="P1082" s="14"/>
      <c r="T1082" s="12" t="e">
        <f>INDEX([1]流向迭代数据!K$2:K$65536,MATCH(L1082,[1]流向迭代数据!H$2:H$65536,0))</f>
        <v>#N/A</v>
      </c>
      <c r="W1082" s="12" t="str">
        <f t="shared" si="33"/>
        <v/>
      </c>
    </row>
    <row r="1083" spans="1:23" x14ac:dyDescent="0.15">
      <c r="A1083" s="14" t="str">
        <f t="shared" si="32"/>
        <v>190001</v>
      </c>
      <c r="C1083" s="12" t="e">
        <f>INDEX(基础数据!$A$2:$A$1024,MATCH(转配商关联商!X1083,基础数据!$D$2:$D$1024,0))</f>
        <v>#N/A</v>
      </c>
      <c r="E1083" s="12" t="e">
        <f>INDEX(基础数据!$B$2:$B$1024,MATCH(转配商关联商!X1083,基础数据!$D$2:$D$1024,0))</f>
        <v>#N/A</v>
      </c>
      <c r="G1083" s="12" t="e">
        <f>INDEX([1]流向迭代数据!E$2:E$65536,MATCH(转配商关联商!W1083,[1]流向迭代数据!M$2:M$65536,0))</f>
        <v>#N/A</v>
      </c>
      <c r="N1083" s="12" t="e">
        <f>INDEX([1]流向迭代数据!J$2:J$65536,MATCH(L1083,[1]流向迭代数据!H$2:H$65536,0))</f>
        <v>#N/A</v>
      </c>
      <c r="P1083" s="14"/>
      <c r="T1083" s="12" t="e">
        <f>INDEX([1]流向迭代数据!K$2:K$65536,MATCH(L1083,[1]流向迭代数据!H$2:H$65536,0))</f>
        <v>#N/A</v>
      </c>
      <c r="W1083" s="12" t="str">
        <f t="shared" si="33"/>
        <v/>
      </c>
    </row>
    <row r="1084" spans="1:23" x14ac:dyDescent="0.15">
      <c r="A1084" s="14" t="str">
        <f t="shared" si="32"/>
        <v>190001</v>
      </c>
      <c r="C1084" s="12" t="e">
        <f>INDEX(基础数据!$A$2:$A$1024,MATCH(转配商关联商!X1084,基础数据!$D$2:$D$1024,0))</f>
        <v>#N/A</v>
      </c>
      <c r="E1084" s="12" t="e">
        <f>INDEX(基础数据!$B$2:$B$1024,MATCH(转配商关联商!X1084,基础数据!$D$2:$D$1024,0))</f>
        <v>#N/A</v>
      </c>
      <c r="G1084" s="12" t="e">
        <f>INDEX([1]流向迭代数据!E$2:E$65536,MATCH(转配商关联商!W1084,[1]流向迭代数据!M$2:M$65536,0))</f>
        <v>#N/A</v>
      </c>
      <c r="N1084" s="12" t="e">
        <f>INDEX([1]流向迭代数据!J$2:J$65536,MATCH(L1084,[1]流向迭代数据!H$2:H$65536,0))</f>
        <v>#N/A</v>
      </c>
      <c r="P1084" s="14"/>
      <c r="T1084" s="12" t="e">
        <f>INDEX([1]流向迭代数据!K$2:K$65536,MATCH(L1084,[1]流向迭代数据!H$2:H$65536,0))</f>
        <v>#N/A</v>
      </c>
      <c r="W1084" s="12" t="str">
        <f t="shared" si="33"/>
        <v/>
      </c>
    </row>
    <row r="1085" spans="1:23" x14ac:dyDescent="0.15">
      <c r="A1085" s="14" t="str">
        <f t="shared" si="32"/>
        <v>190001</v>
      </c>
      <c r="C1085" s="12" t="e">
        <f>INDEX(基础数据!$A$2:$A$1024,MATCH(转配商关联商!X1085,基础数据!$D$2:$D$1024,0))</f>
        <v>#N/A</v>
      </c>
      <c r="E1085" s="12" t="e">
        <f>INDEX(基础数据!$B$2:$B$1024,MATCH(转配商关联商!X1085,基础数据!$D$2:$D$1024,0))</f>
        <v>#N/A</v>
      </c>
      <c r="G1085" s="12" t="e">
        <f>INDEX([1]流向迭代数据!E$2:E$65536,MATCH(转配商关联商!W1085,[1]流向迭代数据!M$2:M$65536,0))</f>
        <v>#N/A</v>
      </c>
      <c r="N1085" s="12" t="e">
        <f>INDEX([1]流向迭代数据!J$2:J$65536,MATCH(L1085,[1]流向迭代数据!H$2:H$65536,0))</f>
        <v>#N/A</v>
      </c>
      <c r="P1085" s="14"/>
      <c r="T1085" s="12" t="e">
        <f>INDEX([1]流向迭代数据!K$2:K$65536,MATCH(L1085,[1]流向迭代数据!H$2:H$65536,0))</f>
        <v>#N/A</v>
      </c>
      <c r="W1085" s="12" t="str">
        <f t="shared" si="33"/>
        <v/>
      </c>
    </row>
    <row r="1086" spans="1:23" x14ac:dyDescent="0.15">
      <c r="A1086" s="14" t="str">
        <f t="shared" si="32"/>
        <v>190001</v>
      </c>
      <c r="C1086" s="12" t="e">
        <f>INDEX(基础数据!$A$2:$A$1024,MATCH(转配商关联商!X1086,基础数据!$D$2:$D$1024,0))</f>
        <v>#N/A</v>
      </c>
      <c r="E1086" s="12" t="e">
        <f>INDEX(基础数据!$B$2:$B$1024,MATCH(转配商关联商!X1086,基础数据!$D$2:$D$1024,0))</f>
        <v>#N/A</v>
      </c>
      <c r="G1086" s="12" t="e">
        <f>INDEX([1]流向迭代数据!E$2:E$65536,MATCH(转配商关联商!W1086,[1]流向迭代数据!M$2:M$65536,0))</f>
        <v>#N/A</v>
      </c>
      <c r="N1086" s="12" t="e">
        <f>INDEX([1]流向迭代数据!J$2:J$65536,MATCH(L1086,[1]流向迭代数据!H$2:H$65536,0))</f>
        <v>#N/A</v>
      </c>
      <c r="P1086" s="14"/>
      <c r="T1086" s="12" t="e">
        <f>INDEX([1]流向迭代数据!K$2:K$65536,MATCH(L1086,[1]流向迭代数据!H$2:H$65536,0))</f>
        <v>#N/A</v>
      </c>
      <c r="W1086" s="12" t="str">
        <f t="shared" si="33"/>
        <v/>
      </c>
    </row>
    <row r="1087" spans="1:23" x14ac:dyDescent="0.15">
      <c r="A1087" s="14" t="str">
        <f t="shared" si="32"/>
        <v>190001</v>
      </c>
      <c r="C1087" s="12" t="e">
        <f>INDEX(基础数据!$A$2:$A$1024,MATCH(转配商关联商!X1087,基础数据!$D$2:$D$1024,0))</f>
        <v>#N/A</v>
      </c>
      <c r="E1087" s="12" t="e">
        <f>INDEX(基础数据!$B$2:$B$1024,MATCH(转配商关联商!X1087,基础数据!$D$2:$D$1024,0))</f>
        <v>#N/A</v>
      </c>
      <c r="G1087" s="12" t="e">
        <f>INDEX([1]流向迭代数据!E$2:E$65536,MATCH(转配商关联商!W1087,[1]流向迭代数据!M$2:M$65536,0))</f>
        <v>#N/A</v>
      </c>
      <c r="N1087" s="12" t="e">
        <f>INDEX([1]流向迭代数据!J$2:J$65536,MATCH(L1087,[1]流向迭代数据!H$2:H$65536,0))</f>
        <v>#N/A</v>
      </c>
      <c r="P1087" s="14"/>
      <c r="T1087" s="12" t="e">
        <f>INDEX([1]流向迭代数据!K$2:K$65536,MATCH(L1087,[1]流向迭代数据!H$2:H$65536,0))</f>
        <v>#N/A</v>
      </c>
      <c r="W1087" s="12" t="str">
        <f t="shared" si="33"/>
        <v/>
      </c>
    </row>
    <row r="1088" spans="1:23" x14ac:dyDescent="0.15">
      <c r="A1088" s="14" t="str">
        <f t="shared" si="32"/>
        <v>190001</v>
      </c>
      <c r="C1088" s="12" t="e">
        <f>INDEX(基础数据!$A$2:$A$1024,MATCH(转配商关联商!X1088,基础数据!$D$2:$D$1024,0))</f>
        <v>#N/A</v>
      </c>
      <c r="E1088" s="12" t="e">
        <f>INDEX(基础数据!$B$2:$B$1024,MATCH(转配商关联商!X1088,基础数据!$D$2:$D$1024,0))</f>
        <v>#N/A</v>
      </c>
      <c r="G1088" s="12" t="e">
        <f>INDEX([1]流向迭代数据!E$2:E$65536,MATCH(转配商关联商!W1088,[1]流向迭代数据!M$2:M$65536,0))</f>
        <v>#N/A</v>
      </c>
      <c r="N1088" s="12" t="e">
        <f>INDEX([1]流向迭代数据!J$2:J$65536,MATCH(L1088,[1]流向迭代数据!H$2:H$65536,0))</f>
        <v>#N/A</v>
      </c>
      <c r="P1088" s="14"/>
      <c r="T1088" s="12" t="e">
        <f>INDEX([1]流向迭代数据!K$2:K$65536,MATCH(L1088,[1]流向迭代数据!H$2:H$65536,0))</f>
        <v>#N/A</v>
      </c>
      <c r="W1088" s="12" t="str">
        <f t="shared" si="33"/>
        <v/>
      </c>
    </row>
    <row r="1089" spans="1:23" x14ac:dyDescent="0.15">
      <c r="A1089" s="14" t="str">
        <f t="shared" si="32"/>
        <v>190001</v>
      </c>
      <c r="C1089" s="12" t="e">
        <f>INDEX(基础数据!$A$2:$A$1024,MATCH(转配商关联商!X1089,基础数据!$D$2:$D$1024,0))</f>
        <v>#N/A</v>
      </c>
      <c r="E1089" s="12" t="e">
        <f>INDEX(基础数据!$B$2:$B$1024,MATCH(转配商关联商!X1089,基础数据!$D$2:$D$1024,0))</f>
        <v>#N/A</v>
      </c>
      <c r="G1089" s="12" t="e">
        <f>INDEX([1]流向迭代数据!E$2:E$65536,MATCH(转配商关联商!W1089,[1]流向迭代数据!M$2:M$65536,0))</f>
        <v>#N/A</v>
      </c>
      <c r="N1089" s="12" t="e">
        <f>INDEX([1]流向迭代数据!J$2:J$65536,MATCH(L1089,[1]流向迭代数据!H$2:H$65536,0))</f>
        <v>#N/A</v>
      </c>
      <c r="P1089" s="14"/>
      <c r="T1089" s="12" t="e">
        <f>INDEX([1]流向迭代数据!K$2:K$65536,MATCH(L1089,[1]流向迭代数据!H$2:H$65536,0))</f>
        <v>#N/A</v>
      </c>
      <c r="W1089" s="12" t="str">
        <f t="shared" si="33"/>
        <v/>
      </c>
    </row>
    <row r="1090" spans="1:23" x14ac:dyDescent="0.15">
      <c r="A1090" s="14" t="str">
        <f t="shared" si="32"/>
        <v>190001</v>
      </c>
      <c r="C1090" s="12" t="e">
        <f>INDEX(基础数据!$A$2:$A$1024,MATCH(转配商关联商!X1090,基础数据!$D$2:$D$1024,0))</f>
        <v>#N/A</v>
      </c>
      <c r="E1090" s="12" t="e">
        <f>INDEX(基础数据!$B$2:$B$1024,MATCH(转配商关联商!X1090,基础数据!$D$2:$D$1024,0))</f>
        <v>#N/A</v>
      </c>
      <c r="G1090" s="12" t="e">
        <f>INDEX([1]流向迭代数据!E$2:E$65536,MATCH(转配商关联商!W1090,[1]流向迭代数据!M$2:M$65536,0))</f>
        <v>#N/A</v>
      </c>
      <c r="N1090" s="12" t="e">
        <f>INDEX([1]流向迭代数据!J$2:J$65536,MATCH(L1090,[1]流向迭代数据!H$2:H$65536,0))</f>
        <v>#N/A</v>
      </c>
      <c r="P1090" s="14"/>
      <c r="T1090" s="12" t="e">
        <f>INDEX([1]流向迭代数据!K$2:K$65536,MATCH(L1090,[1]流向迭代数据!H$2:H$65536,0))</f>
        <v>#N/A</v>
      </c>
      <c r="W1090" s="12" t="str">
        <f t="shared" si="33"/>
        <v/>
      </c>
    </row>
    <row r="1091" spans="1:23" x14ac:dyDescent="0.15">
      <c r="A1091" s="14" t="str">
        <f t="shared" ref="A1091:A1122" si="34">IF(MONTH(P1091)&lt;10,YEAR(P1091)&amp;"0"&amp;MONTH(P1091),YEAR(P1091)&amp;MONTH(P1091))</f>
        <v>190001</v>
      </c>
      <c r="C1091" s="12" t="e">
        <f>INDEX(基础数据!$A$2:$A$1024,MATCH(转配商关联商!X1091,基础数据!$D$2:$D$1024,0))</f>
        <v>#N/A</v>
      </c>
      <c r="E1091" s="12" t="e">
        <f>INDEX(基础数据!$B$2:$B$1024,MATCH(转配商关联商!X1091,基础数据!$D$2:$D$1024,0))</f>
        <v>#N/A</v>
      </c>
      <c r="G1091" s="12" t="e">
        <f>INDEX([1]流向迭代数据!E$2:E$65536,MATCH(转配商关联商!W1091,[1]流向迭代数据!M$2:M$65536,0))</f>
        <v>#N/A</v>
      </c>
      <c r="N1091" s="12" t="e">
        <f>INDEX([1]流向迭代数据!J$2:J$65536,MATCH(L1091,[1]流向迭代数据!H$2:H$65536,0))</f>
        <v>#N/A</v>
      </c>
      <c r="P1091" s="14"/>
      <c r="T1091" s="12" t="e">
        <f>INDEX([1]流向迭代数据!K$2:K$65536,MATCH(L1091,[1]流向迭代数据!H$2:H$65536,0))</f>
        <v>#N/A</v>
      </c>
      <c r="W1091" s="12" t="str">
        <f t="shared" ref="W1091:W1122" si="35">H1091&amp;I1091</f>
        <v/>
      </c>
    </row>
    <row r="1092" spans="1:23" x14ac:dyDescent="0.15">
      <c r="A1092" s="14" t="str">
        <f t="shared" si="34"/>
        <v>190001</v>
      </c>
      <c r="C1092" s="12" t="e">
        <f>INDEX(基础数据!$A$2:$A$1024,MATCH(转配商关联商!X1092,基础数据!$D$2:$D$1024,0))</f>
        <v>#N/A</v>
      </c>
      <c r="E1092" s="12" t="e">
        <f>INDEX(基础数据!$B$2:$B$1024,MATCH(转配商关联商!X1092,基础数据!$D$2:$D$1024,0))</f>
        <v>#N/A</v>
      </c>
      <c r="G1092" s="12" t="e">
        <f>INDEX([1]流向迭代数据!E$2:E$65536,MATCH(转配商关联商!W1092,[1]流向迭代数据!M$2:M$65536,0))</f>
        <v>#N/A</v>
      </c>
      <c r="N1092" s="12" t="e">
        <f>INDEX([1]流向迭代数据!J$2:J$65536,MATCH(L1092,[1]流向迭代数据!H$2:H$65536,0))</f>
        <v>#N/A</v>
      </c>
      <c r="P1092" s="14"/>
      <c r="T1092" s="12" t="e">
        <f>INDEX([1]流向迭代数据!K$2:K$65536,MATCH(L1092,[1]流向迭代数据!H$2:H$65536,0))</f>
        <v>#N/A</v>
      </c>
      <c r="W1092" s="12" t="str">
        <f t="shared" si="35"/>
        <v/>
      </c>
    </row>
    <row r="1093" spans="1:23" x14ac:dyDescent="0.15">
      <c r="A1093" s="14" t="str">
        <f t="shared" si="34"/>
        <v>190001</v>
      </c>
      <c r="C1093" s="12" t="e">
        <f>INDEX(基础数据!$A$2:$A$1024,MATCH(转配商关联商!X1093,基础数据!$D$2:$D$1024,0))</f>
        <v>#N/A</v>
      </c>
      <c r="E1093" s="12" t="e">
        <f>INDEX(基础数据!$B$2:$B$1024,MATCH(转配商关联商!X1093,基础数据!$D$2:$D$1024,0))</f>
        <v>#N/A</v>
      </c>
      <c r="G1093" s="12" t="e">
        <f>INDEX([1]流向迭代数据!E$2:E$65536,MATCH(转配商关联商!W1093,[1]流向迭代数据!M$2:M$65536,0))</f>
        <v>#N/A</v>
      </c>
      <c r="N1093" s="12" t="e">
        <f>INDEX([1]流向迭代数据!J$2:J$65536,MATCH(L1093,[1]流向迭代数据!H$2:H$65536,0))</f>
        <v>#N/A</v>
      </c>
      <c r="P1093" s="14"/>
      <c r="T1093" s="12" t="e">
        <f>INDEX([1]流向迭代数据!K$2:K$65536,MATCH(L1093,[1]流向迭代数据!H$2:H$65536,0))</f>
        <v>#N/A</v>
      </c>
      <c r="W1093" s="12" t="str">
        <f t="shared" si="35"/>
        <v/>
      </c>
    </row>
    <row r="1094" spans="1:23" x14ac:dyDescent="0.15">
      <c r="A1094" s="14" t="str">
        <f t="shared" si="34"/>
        <v>190001</v>
      </c>
      <c r="C1094" s="12" t="e">
        <f>INDEX(基础数据!$A$2:$A$1024,MATCH(转配商关联商!X1094,基础数据!$D$2:$D$1024,0))</f>
        <v>#N/A</v>
      </c>
      <c r="E1094" s="12" t="e">
        <f>INDEX(基础数据!$B$2:$B$1024,MATCH(转配商关联商!X1094,基础数据!$D$2:$D$1024,0))</f>
        <v>#N/A</v>
      </c>
      <c r="G1094" s="12" t="e">
        <f>INDEX([1]流向迭代数据!E$2:E$65536,MATCH(转配商关联商!W1094,[1]流向迭代数据!M$2:M$65536,0))</f>
        <v>#N/A</v>
      </c>
      <c r="N1094" s="12" t="e">
        <f>INDEX([1]流向迭代数据!J$2:J$65536,MATCH(L1094,[1]流向迭代数据!H$2:H$65536,0))</f>
        <v>#N/A</v>
      </c>
      <c r="P1094" s="14"/>
      <c r="T1094" s="12" t="e">
        <f>INDEX([1]流向迭代数据!K$2:K$65536,MATCH(L1094,[1]流向迭代数据!H$2:H$65536,0))</f>
        <v>#N/A</v>
      </c>
      <c r="W1094" s="12" t="str">
        <f t="shared" si="35"/>
        <v/>
      </c>
    </row>
    <row r="1095" spans="1:23" x14ac:dyDescent="0.15">
      <c r="A1095" s="14" t="str">
        <f t="shared" si="34"/>
        <v>190001</v>
      </c>
      <c r="C1095" s="12" t="e">
        <f>INDEX(基础数据!$A$2:$A$1024,MATCH(转配商关联商!X1095,基础数据!$D$2:$D$1024,0))</f>
        <v>#N/A</v>
      </c>
      <c r="E1095" s="12" t="e">
        <f>INDEX(基础数据!$B$2:$B$1024,MATCH(转配商关联商!X1095,基础数据!$D$2:$D$1024,0))</f>
        <v>#N/A</v>
      </c>
      <c r="G1095" s="12" t="e">
        <f>INDEX([1]流向迭代数据!E$2:E$65536,MATCH(转配商关联商!W1095,[1]流向迭代数据!M$2:M$65536,0))</f>
        <v>#N/A</v>
      </c>
      <c r="N1095" s="12" t="e">
        <f>INDEX([1]流向迭代数据!J$2:J$65536,MATCH(L1095,[1]流向迭代数据!H$2:H$65536,0))</f>
        <v>#N/A</v>
      </c>
      <c r="P1095" s="14"/>
      <c r="T1095" s="12" t="e">
        <f>INDEX([1]流向迭代数据!K$2:K$65536,MATCH(L1095,[1]流向迭代数据!H$2:H$65536,0))</f>
        <v>#N/A</v>
      </c>
      <c r="W1095" s="12" t="str">
        <f t="shared" si="35"/>
        <v/>
      </c>
    </row>
    <row r="1096" spans="1:23" x14ac:dyDescent="0.15">
      <c r="A1096" s="14" t="str">
        <f t="shared" si="34"/>
        <v>190001</v>
      </c>
      <c r="C1096" s="12" t="e">
        <f>INDEX(基础数据!$A$2:$A$1024,MATCH(转配商关联商!X1096,基础数据!$D$2:$D$1024,0))</f>
        <v>#N/A</v>
      </c>
      <c r="E1096" s="12" t="e">
        <f>INDEX(基础数据!$B$2:$B$1024,MATCH(转配商关联商!X1096,基础数据!$D$2:$D$1024,0))</f>
        <v>#N/A</v>
      </c>
      <c r="G1096" s="12" t="e">
        <f>INDEX([1]流向迭代数据!E$2:E$65536,MATCH(转配商关联商!W1096,[1]流向迭代数据!M$2:M$65536,0))</f>
        <v>#N/A</v>
      </c>
      <c r="N1096" s="12" t="e">
        <f>INDEX([1]流向迭代数据!J$2:J$65536,MATCH(L1096,[1]流向迭代数据!H$2:H$65536,0))</f>
        <v>#N/A</v>
      </c>
      <c r="P1096" s="14"/>
      <c r="T1096" s="12" t="e">
        <f>INDEX([1]流向迭代数据!K$2:K$65536,MATCH(L1096,[1]流向迭代数据!H$2:H$65536,0))</f>
        <v>#N/A</v>
      </c>
      <c r="W1096" s="12" t="str">
        <f t="shared" si="35"/>
        <v/>
      </c>
    </row>
    <row r="1097" spans="1:23" x14ac:dyDescent="0.15">
      <c r="A1097" s="14" t="str">
        <f t="shared" si="34"/>
        <v>190001</v>
      </c>
      <c r="C1097" s="12" t="e">
        <f>INDEX(基础数据!$A$2:$A$1024,MATCH(转配商关联商!X1097,基础数据!$D$2:$D$1024,0))</f>
        <v>#N/A</v>
      </c>
      <c r="E1097" s="12" t="e">
        <f>INDEX(基础数据!$B$2:$B$1024,MATCH(转配商关联商!X1097,基础数据!$D$2:$D$1024,0))</f>
        <v>#N/A</v>
      </c>
      <c r="G1097" s="12" t="e">
        <f>INDEX([1]流向迭代数据!E$2:E$65536,MATCH(转配商关联商!W1097,[1]流向迭代数据!M$2:M$65536,0))</f>
        <v>#N/A</v>
      </c>
      <c r="N1097" s="12" t="e">
        <f>INDEX([1]流向迭代数据!J$2:J$65536,MATCH(L1097,[1]流向迭代数据!H$2:H$65536,0))</f>
        <v>#N/A</v>
      </c>
      <c r="P1097" s="14"/>
      <c r="T1097" s="12" t="e">
        <f>INDEX([1]流向迭代数据!K$2:K$65536,MATCH(L1097,[1]流向迭代数据!H$2:H$65536,0))</f>
        <v>#N/A</v>
      </c>
      <c r="W1097" s="12" t="str">
        <f t="shared" si="35"/>
        <v/>
      </c>
    </row>
    <row r="1098" spans="1:23" x14ac:dyDescent="0.15">
      <c r="A1098" s="14" t="str">
        <f t="shared" si="34"/>
        <v>190001</v>
      </c>
      <c r="C1098" s="12" t="e">
        <f>INDEX(基础数据!$A$2:$A$1024,MATCH(转配商关联商!X1098,基础数据!$D$2:$D$1024,0))</f>
        <v>#N/A</v>
      </c>
      <c r="E1098" s="12" t="e">
        <f>INDEX(基础数据!$B$2:$B$1024,MATCH(转配商关联商!X1098,基础数据!$D$2:$D$1024,0))</f>
        <v>#N/A</v>
      </c>
      <c r="G1098" s="12" t="e">
        <f>INDEX([1]流向迭代数据!E$2:E$65536,MATCH(转配商关联商!W1098,[1]流向迭代数据!M$2:M$65536,0))</f>
        <v>#N/A</v>
      </c>
      <c r="N1098" s="12" t="e">
        <f>INDEX([1]流向迭代数据!J$2:J$65536,MATCH(L1098,[1]流向迭代数据!H$2:H$65536,0))</f>
        <v>#N/A</v>
      </c>
      <c r="P1098" s="14"/>
      <c r="T1098" s="12" t="e">
        <f>INDEX([1]流向迭代数据!K$2:K$65536,MATCH(L1098,[1]流向迭代数据!H$2:H$65536,0))</f>
        <v>#N/A</v>
      </c>
      <c r="W1098" s="12" t="str">
        <f t="shared" si="35"/>
        <v/>
      </c>
    </row>
    <row r="1099" spans="1:23" x14ac:dyDescent="0.15">
      <c r="A1099" s="14" t="str">
        <f t="shared" si="34"/>
        <v>190001</v>
      </c>
      <c r="C1099" s="12" t="e">
        <f>INDEX(基础数据!$A$2:$A$1024,MATCH(转配商关联商!X1099,基础数据!$D$2:$D$1024,0))</f>
        <v>#N/A</v>
      </c>
      <c r="E1099" s="12" t="e">
        <f>INDEX(基础数据!$B$2:$B$1024,MATCH(转配商关联商!X1099,基础数据!$D$2:$D$1024,0))</f>
        <v>#N/A</v>
      </c>
      <c r="G1099" s="12" t="e">
        <f>INDEX([1]流向迭代数据!E$2:E$65536,MATCH(转配商关联商!W1099,[1]流向迭代数据!M$2:M$65536,0))</f>
        <v>#N/A</v>
      </c>
      <c r="N1099" s="12" t="e">
        <f>INDEX([1]流向迭代数据!J$2:J$65536,MATCH(L1099,[1]流向迭代数据!H$2:H$65536,0))</f>
        <v>#N/A</v>
      </c>
      <c r="P1099" s="14"/>
      <c r="T1099" s="12" t="e">
        <f>INDEX([1]流向迭代数据!K$2:K$65536,MATCH(L1099,[1]流向迭代数据!H$2:H$65536,0))</f>
        <v>#N/A</v>
      </c>
      <c r="W1099" s="12" t="str">
        <f t="shared" si="35"/>
        <v/>
      </c>
    </row>
    <row r="1100" spans="1:23" x14ac:dyDescent="0.15">
      <c r="A1100" s="14" t="str">
        <f t="shared" si="34"/>
        <v>190001</v>
      </c>
      <c r="C1100" s="12" t="e">
        <f>INDEX(基础数据!$A$2:$A$1024,MATCH(转配商关联商!X1100,基础数据!$D$2:$D$1024,0))</f>
        <v>#N/A</v>
      </c>
      <c r="E1100" s="12" t="e">
        <f>INDEX(基础数据!$B$2:$B$1024,MATCH(转配商关联商!X1100,基础数据!$D$2:$D$1024,0))</f>
        <v>#N/A</v>
      </c>
      <c r="G1100" s="12" t="e">
        <f>INDEX([1]流向迭代数据!E$2:E$65536,MATCH(转配商关联商!W1100,[1]流向迭代数据!M$2:M$65536,0))</f>
        <v>#N/A</v>
      </c>
      <c r="N1100" s="12" t="e">
        <f>INDEX([1]流向迭代数据!J$2:J$65536,MATCH(L1100,[1]流向迭代数据!H$2:H$65536,0))</f>
        <v>#N/A</v>
      </c>
      <c r="P1100" s="14"/>
      <c r="T1100" s="12" t="e">
        <f>INDEX([1]流向迭代数据!K$2:K$65536,MATCH(L1100,[1]流向迭代数据!H$2:H$65536,0))</f>
        <v>#N/A</v>
      </c>
      <c r="W1100" s="12" t="str">
        <f t="shared" si="35"/>
        <v/>
      </c>
    </row>
    <row r="1101" spans="1:23" x14ac:dyDescent="0.15">
      <c r="A1101" s="14" t="str">
        <f t="shared" si="34"/>
        <v>190001</v>
      </c>
      <c r="C1101" s="12" t="e">
        <f>INDEX(基础数据!$A$2:$A$1024,MATCH(转配商关联商!X1101,基础数据!$D$2:$D$1024,0))</f>
        <v>#N/A</v>
      </c>
      <c r="E1101" s="12" t="e">
        <f>INDEX(基础数据!$B$2:$B$1024,MATCH(转配商关联商!X1101,基础数据!$D$2:$D$1024,0))</f>
        <v>#N/A</v>
      </c>
      <c r="G1101" s="12" t="e">
        <f>INDEX([1]流向迭代数据!E$2:E$65536,MATCH(转配商关联商!W1101,[1]流向迭代数据!M$2:M$65536,0))</f>
        <v>#N/A</v>
      </c>
      <c r="N1101" s="12" t="e">
        <f>INDEX([1]流向迭代数据!J$2:J$65536,MATCH(L1101,[1]流向迭代数据!H$2:H$65536,0))</f>
        <v>#N/A</v>
      </c>
      <c r="P1101" s="14"/>
      <c r="T1101" s="12" t="e">
        <f>INDEX([1]流向迭代数据!K$2:K$65536,MATCH(L1101,[1]流向迭代数据!H$2:H$65536,0))</f>
        <v>#N/A</v>
      </c>
      <c r="W1101" s="12" t="str">
        <f t="shared" si="35"/>
        <v/>
      </c>
    </row>
    <row r="1102" spans="1:23" x14ac:dyDescent="0.15">
      <c r="A1102" s="14" t="str">
        <f t="shared" si="34"/>
        <v>190001</v>
      </c>
      <c r="C1102" s="12" t="e">
        <f>INDEX(基础数据!$A$2:$A$1024,MATCH(转配商关联商!X1102,基础数据!$D$2:$D$1024,0))</f>
        <v>#N/A</v>
      </c>
      <c r="E1102" s="12" t="e">
        <f>INDEX(基础数据!$B$2:$B$1024,MATCH(转配商关联商!X1102,基础数据!$D$2:$D$1024,0))</f>
        <v>#N/A</v>
      </c>
      <c r="G1102" s="12" t="e">
        <f>INDEX([1]流向迭代数据!E$2:E$65536,MATCH(转配商关联商!W1102,[1]流向迭代数据!M$2:M$65536,0))</f>
        <v>#N/A</v>
      </c>
      <c r="N1102" s="12" t="e">
        <f>INDEX([1]流向迭代数据!J$2:J$65536,MATCH(L1102,[1]流向迭代数据!H$2:H$65536,0))</f>
        <v>#N/A</v>
      </c>
      <c r="P1102" s="14"/>
      <c r="T1102" s="12" t="e">
        <f>INDEX([1]流向迭代数据!K$2:K$65536,MATCH(L1102,[1]流向迭代数据!H$2:H$65536,0))</f>
        <v>#N/A</v>
      </c>
      <c r="W1102" s="12" t="str">
        <f t="shared" si="35"/>
        <v/>
      </c>
    </row>
    <row r="1103" spans="1:23" x14ac:dyDescent="0.15">
      <c r="A1103" s="14" t="str">
        <f t="shared" si="34"/>
        <v>190001</v>
      </c>
      <c r="C1103" s="12" t="e">
        <f>INDEX(基础数据!$A$2:$A$1024,MATCH(转配商关联商!X1103,基础数据!$D$2:$D$1024,0))</f>
        <v>#N/A</v>
      </c>
      <c r="E1103" s="12" t="e">
        <f>INDEX(基础数据!$B$2:$B$1024,MATCH(转配商关联商!X1103,基础数据!$D$2:$D$1024,0))</f>
        <v>#N/A</v>
      </c>
      <c r="G1103" s="12" t="e">
        <f>INDEX([1]流向迭代数据!E$2:E$65536,MATCH(转配商关联商!W1103,[1]流向迭代数据!M$2:M$65536,0))</f>
        <v>#N/A</v>
      </c>
      <c r="N1103" s="12" t="e">
        <f>INDEX([1]流向迭代数据!J$2:J$65536,MATCH(L1103,[1]流向迭代数据!H$2:H$65536,0))</f>
        <v>#N/A</v>
      </c>
      <c r="P1103" s="14"/>
      <c r="T1103" s="12" t="e">
        <f>INDEX([1]流向迭代数据!K$2:K$65536,MATCH(L1103,[1]流向迭代数据!H$2:H$65536,0))</f>
        <v>#N/A</v>
      </c>
      <c r="W1103" s="12" t="str">
        <f t="shared" si="35"/>
        <v/>
      </c>
    </row>
    <row r="1104" spans="1:23" x14ac:dyDescent="0.15">
      <c r="A1104" s="14" t="str">
        <f t="shared" si="34"/>
        <v>190001</v>
      </c>
      <c r="C1104" s="12" t="e">
        <f>INDEX(基础数据!$A$2:$A$1024,MATCH(转配商关联商!X1104,基础数据!$D$2:$D$1024,0))</f>
        <v>#N/A</v>
      </c>
      <c r="E1104" s="12" t="e">
        <f>INDEX(基础数据!$B$2:$B$1024,MATCH(转配商关联商!X1104,基础数据!$D$2:$D$1024,0))</f>
        <v>#N/A</v>
      </c>
      <c r="G1104" s="12" t="e">
        <f>INDEX([1]流向迭代数据!E$2:E$65536,MATCH(转配商关联商!W1104,[1]流向迭代数据!M$2:M$65536,0))</f>
        <v>#N/A</v>
      </c>
      <c r="N1104" s="12" t="e">
        <f>INDEX([1]流向迭代数据!J$2:J$65536,MATCH(L1104,[1]流向迭代数据!H$2:H$65536,0))</f>
        <v>#N/A</v>
      </c>
      <c r="P1104" s="14"/>
      <c r="T1104" s="12" t="e">
        <f>INDEX([1]流向迭代数据!K$2:K$65536,MATCH(L1104,[1]流向迭代数据!H$2:H$65536,0))</f>
        <v>#N/A</v>
      </c>
      <c r="W1104" s="12" t="str">
        <f t="shared" si="35"/>
        <v/>
      </c>
    </row>
    <row r="1105" spans="1:23" x14ac:dyDescent="0.15">
      <c r="A1105" s="14" t="str">
        <f t="shared" si="34"/>
        <v>190001</v>
      </c>
      <c r="C1105" s="12" t="e">
        <f>INDEX(基础数据!$A$2:$A$1024,MATCH(转配商关联商!X1105,基础数据!$D$2:$D$1024,0))</f>
        <v>#N/A</v>
      </c>
      <c r="E1105" s="12" t="e">
        <f>INDEX(基础数据!$B$2:$B$1024,MATCH(转配商关联商!X1105,基础数据!$D$2:$D$1024,0))</f>
        <v>#N/A</v>
      </c>
      <c r="G1105" s="12" t="e">
        <f>INDEX([1]流向迭代数据!E$2:E$65536,MATCH(转配商关联商!W1105,[1]流向迭代数据!M$2:M$65536,0))</f>
        <v>#N/A</v>
      </c>
      <c r="N1105" s="12" t="e">
        <f>INDEX([1]流向迭代数据!J$2:J$65536,MATCH(L1105,[1]流向迭代数据!H$2:H$65536,0))</f>
        <v>#N/A</v>
      </c>
      <c r="P1105" s="14"/>
      <c r="T1105" s="12" t="e">
        <f>INDEX([1]流向迭代数据!K$2:K$65536,MATCH(L1105,[1]流向迭代数据!H$2:H$65536,0))</f>
        <v>#N/A</v>
      </c>
      <c r="W1105" s="12" t="str">
        <f t="shared" si="35"/>
        <v/>
      </c>
    </row>
    <row r="1106" spans="1:23" x14ac:dyDescent="0.15">
      <c r="A1106" s="14" t="str">
        <f t="shared" si="34"/>
        <v>190001</v>
      </c>
      <c r="C1106" s="12" t="e">
        <f>INDEX(基础数据!$A$2:$A$1024,MATCH(转配商关联商!X1106,基础数据!$D$2:$D$1024,0))</f>
        <v>#N/A</v>
      </c>
      <c r="E1106" s="12" t="e">
        <f>INDEX(基础数据!$B$2:$B$1024,MATCH(转配商关联商!X1106,基础数据!$D$2:$D$1024,0))</f>
        <v>#N/A</v>
      </c>
      <c r="G1106" s="12" t="e">
        <f>INDEX([1]流向迭代数据!E$2:E$65536,MATCH(转配商关联商!W1106,[1]流向迭代数据!M$2:M$65536,0))</f>
        <v>#N/A</v>
      </c>
      <c r="N1106" s="12" t="e">
        <f>INDEX([1]流向迭代数据!J$2:J$65536,MATCH(L1106,[1]流向迭代数据!H$2:H$65536,0))</f>
        <v>#N/A</v>
      </c>
      <c r="P1106" s="14"/>
      <c r="T1106" s="12" t="e">
        <f>INDEX([1]流向迭代数据!K$2:K$65536,MATCH(L1106,[1]流向迭代数据!H$2:H$65536,0))</f>
        <v>#N/A</v>
      </c>
      <c r="W1106" s="12" t="str">
        <f t="shared" si="35"/>
        <v/>
      </c>
    </row>
    <row r="1107" spans="1:23" x14ac:dyDescent="0.15">
      <c r="A1107" s="14" t="str">
        <f t="shared" si="34"/>
        <v>190001</v>
      </c>
      <c r="C1107" s="12" t="e">
        <f>INDEX(基础数据!$A$2:$A$1024,MATCH(转配商关联商!X1107,基础数据!$D$2:$D$1024,0))</f>
        <v>#N/A</v>
      </c>
      <c r="E1107" s="12" t="e">
        <f>INDEX(基础数据!$B$2:$B$1024,MATCH(转配商关联商!X1107,基础数据!$D$2:$D$1024,0))</f>
        <v>#N/A</v>
      </c>
      <c r="G1107" s="12" t="e">
        <f>INDEX([1]流向迭代数据!E$2:E$65536,MATCH(转配商关联商!W1107,[1]流向迭代数据!M$2:M$65536,0))</f>
        <v>#N/A</v>
      </c>
      <c r="N1107" s="12" t="e">
        <f>INDEX([1]流向迭代数据!J$2:J$65536,MATCH(L1107,[1]流向迭代数据!H$2:H$65536,0))</f>
        <v>#N/A</v>
      </c>
      <c r="P1107" s="14"/>
      <c r="T1107" s="12" t="e">
        <f>INDEX([1]流向迭代数据!K$2:K$65536,MATCH(L1107,[1]流向迭代数据!H$2:H$65536,0))</f>
        <v>#N/A</v>
      </c>
      <c r="W1107" s="12" t="str">
        <f t="shared" si="35"/>
        <v/>
      </c>
    </row>
    <row r="1108" spans="1:23" x14ac:dyDescent="0.15">
      <c r="A1108" s="14" t="str">
        <f t="shared" si="34"/>
        <v>190001</v>
      </c>
      <c r="C1108" s="12" t="e">
        <f>INDEX(基础数据!$A$2:$A$1024,MATCH(转配商关联商!X1108,基础数据!$D$2:$D$1024,0))</f>
        <v>#N/A</v>
      </c>
      <c r="E1108" s="12" t="e">
        <f>INDEX(基础数据!$B$2:$B$1024,MATCH(转配商关联商!X1108,基础数据!$D$2:$D$1024,0))</f>
        <v>#N/A</v>
      </c>
      <c r="G1108" s="12" t="e">
        <f>INDEX([1]流向迭代数据!E$2:E$65536,MATCH(转配商关联商!W1108,[1]流向迭代数据!M$2:M$65536,0))</f>
        <v>#N/A</v>
      </c>
      <c r="N1108" s="12" t="e">
        <f>INDEX([1]流向迭代数据!J$2:J$65536,MATCH(L1108,[1]流向迭代数据!H$2:H$65536,0))</f>
        <v>#N/A</v>
      </c>
      <c r="P1108" s="14"/>
      <c r="T1108" s="12" t="e">
        <f>INDEX([1]流向迭代数据!K$2:K$65536,MATCH(L1108,[1]流向迭代数据!H$2:H$65536,0))</f>
        <v>#N/A</v>
      </c>
      <c r="W1108" s="12" t="str">
        <f t="shared" si="35"/>
        <v/>
      </c>
    </row>
    <row r="1109" spans="1:23" x14ac:dyDescent="0.15">
      <c r="A1109" s="14" t="str">
        <f t="shared" si="34"/>
        <v>190001</v>
      </c>
      <c r="C1109" s="12" t="e">
        <f>INDEX(基础数据!$A$2:$A$1024,MATCH(转配商关联商!X1109,基础数据!$D$2:$D$1024,0))</f>
        <v>#N/A</v>
      </c>
      <c r="E1109" s="12" t="e">
        <f>INDEX(基础数据!$B$2:$B$1024,MATCH(转配商关联商!X1109,基础数据!$D$2:$D$1024,0))</f>
        <v>#N/A</v>
      </c>
      <c r="G1109" s="12" t="e">
        <f>INDEX([1]流向迭代数据!E$2:E$65536,MATCH(转配商关联商!W1109,[1]流向迭代数据!M$2:M$65536,0))</f>
        <v>#N/A</v>
      </c>
      <c r="N1109" s="12" t="e">
        <f>INDEX([1]流向迭代数据!J$2:J$65536,MATCH(L1109,[1]流向迭代数据!H$2:H$65536,0))</f>
        <v>#N/A</v>
      </c>
      <c r="P1109" s="14"/>
      <c r="T1109" s="12" t="e">
        <f>INDEX([1]流向迭代数据!K$2:K$65536,MATCH(L1109,[1]流向迭代数据!H$2:H$65536,0))</f>
        <v>#N/A</v>
      </c>
      <c r="W1109" s="12" t="str">
        <f t="shared" si="35"/>
        <v/>
      </c>
    </row>
    <row r="1110" spans="1:23" x14ac:dyDescent="0.15">
      <c r="A1110" s="14" t="str">
        <f t="shared" si="34"/>
        <v>190001</v>
      </c>
      <c r="C1110" s="12" t="e">
        <f>INDEX(基础数据!$A$2:$A$1024,MATCH(转配商关联商!X1110,基础数据!$D$2:$D$1024,0))</f>
        <v>#N/A</v>
      </c>
      <c r="E1110" s="12" t="e">
        <f>INDEX(基础数据!$B$2:$B$1024,MATCH(转配商关联商!X1110,基础数据!$D$2:$D$1024,0))</f>
        <v>#N/A</v>
      </c>
      <c r="G1110" s="12" t="e">
        <f>INDEX([1]流向迭代数据!E$2:E$65536,MATCH(转配商关联商!W1110,[1]流向迭代数据!M$2:M$65536,0))</f>
        <v>#N/A</v>
      </c>
      <c r="N1110" s="12" t="e">
        <f>INDEX([1]流向迭代数据!J$2:J$65536,MATCH(L1110,[1]流向迭代数据!H$2:H$65536,0))</f>
        <v>#N/A</v>
      </c>
      <c r="P1110" s="14"/>
      <c r="T1110" s="12" t="e">
        <f>INDEX([1]流向迭代数据!K$2:K$65536,MATCH(L1110,[1]流向迭代数据!H$2:H$65536,0))</f>
        <v>#N/A</v>
      </c>
      <c r="W1110" s="12" t="str">
        <f t="shared" si="35"/>
        <v/>
      </c>
    </row>
    <row r="1111" spans="1:23" x14ac:dyDescent="0.15">
      <c r="A1111" s="14" t="str">
        <f t="shared" si="34"/>
        <v>190001</v>
      </c>
      <c r="C1111" s="12" t="e">
        <f>INDEX(基础数据!$A$2:$A$1024,MATCH(转配商关联商!X1111,基础数据!$D$2:$D$1024,0))</f>
        <v>#N/A</v>
      </c>
      <c r="E1111" s="12" t="e">
        <f>INDEX(基础数据!$B$2:$B$1024,MATCH(转配商关联商!X1111,基础数据!$D$2:$D$1024,0))</f>
        <v>#N/A</v>
      </c>
      <c r="G1111" s="12" t="e">
        <f>INDEX([1]流向迭代数据!E$2:E$65536,MATCH(转配商关联商!W1111,[1]流向迭代数据!M$2:M$65536,0))</f>
        <v>#N/A</v>
      </c>
      <c r="N1111" s="12" t="e">
        <f>INDEX([1]流向迭代数据!J$2:J$65536,MATCH(L1111,[1]流向迭代数据!H$2:H$65536,0))</f>
        <v>#N/A</v>
      </c>
      <c r="P1111" s="14"/>
      <c r="T1111" s="12" t="e">
        <f>INDEX([1]流向迭代数据!K$2:K$65536,MATCH(L1111,[1]流向迭代数据!H$2:H$65536,0))</f>
        <v>#N/A</v>
      </c>
      <c r="W1111" s="12" t="str">
        <f t="shared" si="35"/>
        <v/>
      </c>
    </row>
    <row r="1112" spans="1:23" x14ac:dyDescent="0.15">
      <c r="A1112" s="14" t="str">
        <f t="shared" si="34"/>
        <v>190001</v>
      </c>
      <c r="C1112" s="12" t="e">
        <f>INDEX(基础数据!$A$2:$A$1024,MATCH(转配商关联商!X1112,基础数据!$D$2:$D$1024,0))</f>
        <v>#N/A</v>
      </c>
      <c r="E1112" s="12" t="e">
        <f>INDEX(基础数据!$B$2:$B$1024,MATCH(转配商关联商!X1112,基础数据!$D$2:$D$1024,0))</f>
        <v>#N/A</v>
      </c>
      <c r="G1112" s="12" t="e">
        <f>INDEX([1]流向迭代数据!E$2:E$65536,MATCH(转配商关联商!W1112,[1]流向迭代数据!M$2:M$65536,0))</f>
        <v>#N/A</v>
      </c>
      <c r="N1112" s="12" t="e">
        <f>INDEX([1]流向迭代数据!J$2:J$65536,MATCH(L1112,[1]流向迭代数据!H$2:H$65536,0))</f>
        <v>#N/A</v>
      </c>
      <c r="P1112" s="14"/>
      <c r="T1112" s="12" t="e">
        <f>INDEX([1]流向迭代数据!K$2:K$65536,MATCH(L1112,[1]流向迭代数据!H$2:H$65536,0))</f>
        <v>#N/A</v>
      </c>
      <c r="W1112" s="12" t="str">
        <f t="shared" si="35"/>
        <v/>
      </c>
    </row>
    <row r="1113" spans="1:23" x14ac:dyDescent="0.15">
      <c r="A1113" s="14" t="str">
        <f t="shared" si="34"/>
        <v>190001</v>
      </c>
      <c r="C1113" s="12" t="e">
        <f>INDEX(基础数据!$A$2:$A$1024,MATCH(转配商关联商!X1113,基础数据!$D$2:$D$1024,0))</f>
        <v>#N/A</v>
      </c>
      <c r="E1113" s="12" t="e">
        <f>INDEX(基础数据!$B$2:$B$1024,MATCH(转配商关联商!X1113,基础数据!$D$2:$D$1024,0))</f>
        <v>#N/A</v>
      </c>
      <c r="G1113" s="12" t="e">
        <f>INDEX([1]流向迭代数据!E$2:E$65536,MATCH(转配商关联商!W1113,[1]流向迭代数据!M$2:M$65536,0))</f>
        <v>#N/A</v>
      </c>
      <c r="N1113" s="12" t="e">
        <f>INDEX([1]流向迭代数据!J$2:J$65536,MATCH(L1113,[1]流向迭代数据!H$2:H$65536,0))</f>
        <v>#N/A</v>
      </c>
      <c r="P1113" s="14"/>
      <c r="T1113" s="12" t="e">
        <f>INDEX([1]流向迭代数据!K$2:K$65536,MATCH(L1113,[1]流向迭代数据!H$2:H$65536,0))</f>
        <v>#N/A</v>
      </c>
      <c r="W1113" s="12" t="str">
        <f t="shared" si="35"/>
        <v/>
      </c>
    </row>
    <row r="1114" spans="1:23" x14ac:dyDescent="0.15">
      <c r="A1114" s="14" t="str">
        <f t="shared" si="34"/>
        <v>190001</v>
      </c>
      <c r="C1114" s="12" t="e">
        <f>INDEX(基础数据!$A$2:$A$1024,MATCH(转配商关联商!X1114,基础数据!$D$2:$D$1024,0))</f>
        <v>#N/A</v>
      </c>
      <c r="E1114" s="12" t="e">
        <f>INDEX(基础数据!$B$2:$B$1024,MATCH(转配商关联商!X1114,基础数据!$D$2:$D$1024,0))</f>
        <v>#N/A</v>
      </c>
      <c r="G1114" s="12" t="e">
        <f>INDEX([1]流向迭代数据!E$2:E$65536,MATCH(转配商关联商!W1114,[1]流向迭代数据!M$2:M$65536,0))</f>
        <v>#N/A</v>
      </c>
      <c r="N1114" s="12" t="e">
        <f>INDEX([1]流向迭代数据!J$2:J$65536,MATCH(L1114,[1]流向迭代数据!H$2:H$65536,0))</f>
        <v>#N/A</v>
      </c>
      <c r="P1114" s="14"/>
      <c r="T1114" s="12" t="e">
        <f>INDEX([1]流向迭代数据!K$2:K$65536,MATCH(L1114,[1]流向迭代数据!H$2:H$65536,0))</f>
        <v>#N/A</v>
      </c>
      <c r="W1114" s="12" t="str">
        <f t="shared" si="35"/>
        <v/>
      </c>
    </row>
    <row r="1115" spans="1:23" x14ac:dyDescent="0.15">
      <c r="A1115" s="14" t="str">
        <f t="shared" si="34"/>
        <v>190001</v>
      </c>
      <c r="C1115" s="12" t="e">
        <f>INDEX(基础数据!$A$2:$A$1024,MATCH(转配商关联商!X1115,基础数据!$D$2:$D$1024,0))</f>
        <v>#N/A</v>
      </c>
      <c r="E1115" s="12" t="e">
        <f>INDEX(基础数据!$B$2:$B$1024,MATCH(转配商关联商!X1115,基础数据!$D$2:$D$1024,0))</f>
        <v>#N/A</v>
      </c>
      <c r="G1115" s="12" t="e">
        <f>INDEX([1]流向迭代数据!E$2:E$65536,MATCH(转配商关联商!W1115,[1]流向迭代数据!M$2:M$65536,0))</f>
        <v>#N/A</v>
      </c>
      <c r="N1115" s="12" t="e">
        <f>INDEX([1]流向迭代数据!J$2:J$65536,MATCH(L1115,[1]流向迭代数据!H$2:H$65536,0))</f>
        <v>#N/A</v>
      </c>
      <c r="P1115" s="14"/>
      <c r="T1115" s="12" t="e">
        <f>INDEX([1]流向迭代数据!K$2:K$65536,MATCH(L1115,[1]流向迭代数据!H$2:H$65536,0))</f>
        <v>#N/A</v>
      </c>
      <c r="W1115" s="12" t="str">
        <f t="shared" si="35"/>
        <v/>
      </c>
    </row>
    <row r="1116" spans="1:23" x14ac:dyDescent="0.15">
      <c r="A1116" s="14" t="str">
        <f t="shared" si="34"/>
        <v>190001</v>
      </c>
      <c r="C1116" s="12" t="e">
        <f>INDEX(基础数据!$A$2:$A$1024,MATCH(转配商关联商!X1116,基础数据!$D$2:$D$1024,0))</f>
        <v>#N/A</v>
      </c>
      <c r="E1116" s="12" t="e">
        <f>INDEX(基础数据!$B$2:$B$1024,MATCH(转配商关联商!X1116,基础数据!$D$2:$D$1024,0))</f>
        <v>#N/A</v>
      </c>
      <c r="G1116" s="12" t="e">
        <f>INDEX([1]流向迭代数据!E$2:E$65536,MATCH(转配商关联商!W1116,[1]流向迭代数据!M$2:M$65536,0))</f>
        <v>#N/A</v>
      </c>
      <c r="N1116" s="12" t="e">
        <f>INDEX([1]流向迭代数据!J$2:J$65536,MATCH(L1116,[1]流向迭代数据!H$2:H$65536,0))</f>
        <v>#N/A</v>
      </c>
      <c r="P1116" s="14"/>
      <c r="T1116" s="12" t="e">
        <f>INDEX([1]流向迭代数据!K$2:K$65536,MATCH(L1116,[1]流向迭代数据!H$2:H$65536,0))</f>
        <v>#N/A</v>
      </c>
      <c r="W1116" s="12" t="str">
        <f t="shared" si="35"/>
        <v/>
      </c>
    </row>
    <row r="1117" spans="1:23" x14ac:dyDescent="0.15">
      <c r="A1117" s="14" t="str">
        <f t="shared" si="34"/>
        <v>190001</v>
      </c>
      <c r="C1117" s="12" t="e">
        <f>INDEX(基础数据!$A$2:$A$1024,MATCH(转配商关联商!X1117,基础数据!$D$2:$D$1024,0))</f>
        <v>#N/A</v>
      </c>
      <c r="E1117" s="12" t="e">
        <f>INDEX(基础数据!$B$2:$B$1024,MATCH(转配商关联商!X1117,基础数据!$D$2:$D$1024,0))</f>
        <v>#N/A</v>
      </c>
      <c r="G1117" s="12" t="e">
        <f>INDEX([1]流向迭代数据!E$2:E$65536,MATCH(转配商关联商!W1117,[1]流向迭代数据!M$2:M$65536,0))</f>
        <v>#N/A</v>
      </c>
      <c r="N1117" s="12" t="e">
        <f>INDEX([1]流向迭代数据!J$2:J$65536,MATCH(L1117,[1]流向迭代数据!H$2:H$65536,0))</f>
        <v>#N/A</v>
      </c>
      <c r="P1117" s="14"/>
      <c r="T1117" s="12" t="e">
        <f>INDEX([1]流向迭代数据!K$2:K$65536,MATCH(L1117,[1]流向迭代数据!H$2:H$65536,0))</f>
        <v>#N/A</v>
      </c>
      <c r="W1117" s="12" t="str">
        <f t="shared" si="35"/>
        <v/>
      </c>
    </row>
    <row r="1118" spans="1:23" x14ac:dyDescent="0.15">
      <c r="A1118" s="14" t="str">
        <f t="shared" si="34"/>
        <v>190001</v>
      </c>
      <c r="C1118" s="12" t="e">
        <f>INDEX(基础数据!$A$2:$A$1024,MATCH(转配商关联商!X1118,基础数据!$D$2:$D$1024,0))</f>
        <v>#N/A</v>
      </c>
      <c r="E1118" s="12" t="e">
        <f>INDEX(基础数据!$B$2:$B$1024,MATCH(转配商关联商!X1118,基础数据!$D$2:$D$1024,0))</f>
        <v>#N/A</v>
      </c>
      <c r="G1118" s="12" t="e">
        <f>INDEX([1]流向迭代数据!E$2:E$65536,MATCH(转配商关联商!W1118,[1]流向迭代数据!M$2:M$65536,0))</f>
        <v>#N/A</v>
      </c>
      <c r="N1118" s="12" t="e">
        <f>INDEX([1]流向迭代数据!J$2:J$65536,MATCH(L1118,[1]流向迭代数据!H$2:H$65536,0))</f>
        <v>#N/A</v>
      </c>
      <c r="P1118" s="14"/>
      <c r="T1118" s="12" t="e">
        <f>INDEX([1]流向迭代数据!K$2:K$65536,MATCH(L1118,[1]流向迭代数据!H$2:H$65536,0))</f>
        <v>#N/A</v>
      </c>
      <c r="W1118" s="12" t="str">
        <f t="shared" si="35"/>
        <v/>
      </c>
    </row>
    <row r="1119" spans="1:23" x14ac:dyDescent="0.15">
      <c r="A1119" s="14" t="str">
        <f t="shared" si="34"/>
        <v>190001</v>
      </c>
      <c r="C1119" s="12" t="e">
        <f>INDEX(基础数据!$A$2:$A$1024,MATCH(转配商关联商!X1119,基础数据!$D$2:$D$1024,0))</f>
        <v>#N/A</v>
      </c>
      <c r="E1119" s="12" t="e">
        <f>INDEX(基础数据!$B$2:$B$1024,MATCH(转配商关联商!X1119,基础数据!$D$2:$D$1024,0))</f>
        <v>#N/A</v>
      </c>
      <c r="G1119" s="12" t="e">
        <f>INDEX([1]流向迭代数据!E$2:E$65536,MATCH(转配商关联商!W1119,[1]流向迭代数据!M$2:M$65536,0))</f>
        <v>#N/A</v>
      </c>
      <c r="N1119" s="12" t="e">
        <f>INDEX([1]流向迭代数据!J$2:J$65536,MATCH(L1119,[1]流向迭代数据!H$2:H$65536,0))</f>
        <v>#N/A</v>
      </c>
      <c r="P1119" s="14"/>
      <c r="T1119" s="12" t="e">
        <f>INDEX([1]流向迭代数据!K$2:K$65536,MATCH(L1119,[1]流向迭代数据!H$2:H$65536,0))</f>
        <v>#N/A</v>
      </c>
      <c r="W1119" s="12" t="str">
        <f t="shared" si="35"/>
        <v/>
      </c>
    </row>
    <row r="1120" spans="1:23" x14ac:dyDescent="0.15">
      <c r="A1120" s="14" t="str">
        <f t="shared" si="34"/>
        <v>190001</v>
      </c>
      <c r="C1120" s="12" t="e">
        <f>INDEX(基础数据!$A$2:$A$1024,MATCH(转配商关联商!X1120,基础数据!$D$2:$D$1024,0))</f>
        <v>#N/A</v>
      </c>
      <c r="E1120" s="12" t="e">
        <f>INDEX(基础数据!$B$2:$B$1024,MATCH(转配商关联商!X1120,基础数据!$D$2:$D$1024,0))</f>
        <v>#N/A</v>
      </c>
      <c r="G1120" s="12" t="e">
        <f>INDEX([1]流向迭代数据!E$2:E$65536,MATCH(转配商关联商!W1120,[1]流向迭代数据!M$2:M$65536,0))</f>
        <v>#N/A</v>
      </c>
      <c r="N1120" s="12" t="e">
        <f>INDEX([1]流向迭代数据!J$2:J$65536,MATCH(L1120,[1]流向迭代数据!H$2:H$65536,0))</f>
        <v>#N/A</v>
      </c>
      <c r="P1120" s="14"/>
      <c r="T1120" s="12" t="e">
        <f>INDEX([1]流向迭代数据!K$2:K$65536,MATCH(L1120,[1]流向迭代数据!H$2:H$65536,0))</f>
        <v>#N/A</v>
      </c>
      <c r="W1120" s="12" t="str">
        <f t="shared" si="35"/>
        <v/>
      </c>
    </row>
    <row r="1121" spans="1:23" x14ac:dyDescent="0.15">
      <c r="A1121" s="14" t="str">
        <f t="shared" si="34"/>
        <v>190001</v>
      </c>
      <c r="C1121" s="12" t="e">
        <f>INDEX(基础数据!$A$2:$A$1024,MATCH(转配商关联商!X1121,基础数据!$D$2:$D$1024,0))</f>
        <v>#N/A</v>
      </c>
      <c r="E1121" s="12" t="e">
        <f>INDEX(基础数据!$B$2:$B$1024,MATCH(转配商关联商!X1121,基础数据!$D$2:$D$1024,0))</f>
        <v>#N/A</v>
      </c>
      <c r="G1121" s="12" t="e">
        <f>INDEX([1]流向迭代数据!E$2:E$65536,MATCH(转配商关联商!W1121,[1]流向迭代数据!M$2:M$65536,0))</f>
        <v>#N/A</v>
      </c>
      <c r="N1121" s="12" t="e">
        <f>INDEX([1]流向迭代数据!J$2:J$65536,MATCH(L1121,[1]流向迭代数据!H$2:H$65536,0))</f>
        <v>#N/A</v>
      </c>
      <c r="P1121" s="14"/>
      <c r="T1121" s="12" t="e">
        <f>INDEX([1]流向迭代数据!K$2:K$65536,MATCH(L1121,[1]流向迭代数据!H$2:H$65536,0))</f>
        <v>#N/A</v>
      </c>
      <c r="W1121" s="12" t="str">
        <f t="shared" si="35"/>
        <v/>
      </c>
    </row>
    <row r="1122" spans="1:23" x14ac:dyDescent="0.15">
      <c r="A1122" s="14" t="str">
        <f t="shared" si="34"/>
        <v>190001</v>
      </c>
      <c r="C1122" s="12" t="e">
        <f>INDEX(基础数据!$A$2:$A$1024,MATCH(转配商关联商!X1122,基础数据!$D$2:$D$1024,0))</f>
        <v>#N/A</v>
      </c>
      <c r="E1122" s="12" t="e">
        <f>INDEX(基础数据!$B$2:$B$1024,MATCH(转配商关联商!X1122,基础数据!$D$2:$D$1024,0))</f>
        <v>#N/A</v>
      </c>
      <c r="G1122" s="12" t="e">
        <f>INDEX([1]流向迭代数据!E$2:E$65536,MATCH(转配商关联商!W1122,[1]流向迭代数据!M$2:M$65536,0))</f>
        <v>#N/A</v>
      </c>
      <c r="N1122" s="12" t="e">
        <f>INDEX([1]流向迭代数据!J$2:J$65536,MATCH(L1122,[1]流向迭代数据!H$2:H$65536,0))</f>
        <v>#N/A</v>
      </c>
      <c r="T1122" s="12" t="e">
        <f>INDEX([1]流向迭代数据!K$2:K$65536,MATCH(L1122,[1]流向迭代数据!H$2:H$65536,0))</f>
        <v>#N/A</v>
      </c>
      <c r="W1122" s="12" t="str">
        <f t="shared" si="35"/>
        <v/>
      </c>
    </row>
  </sheetData>
  <autoFilter ref="A1:U1" xr:uid="{00000000-0009-0000-0000-000001000000}"/>
  <phoneticPr fontId="57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宏2">
                <anchor>
                  <from>
                    <xdr:col>7</xdr:col>
                    <xdr:colOff>628650</xdr:colOff>
                    <xdr:row>2</xdr:row>
                    <xdr:rowOff>85725</xdr:rowOff>
                  </from>
                  <to>
                    <xdr:col>7</xdr:col>
                    <xdr:colOff>1704975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宏1">
                <anchor moveWithCells="1" sizeWithCells="1">
                  <from>
                    <xdr:col>7</xdr:col>
                    <xdr:colOff>609600</xdr:colOff>
                    <xdr:row>7</xdr:row>
                    <xdr:rowOff>76200</xdr:rowOff>
                  </from>
                  <to>
                    <xdr:col>7</xdr:col>
                    <xdr:colOff>1676400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"/>
  <sheetViews>
    <sheetView topLeftCell="L1" workbookViewId="0">
      <selection activeCell="O14" sqref="O14"/>
    </sheetView>
  </sheetViews>
  <sheetFormatPr defaultColWidth="9" defaultRowHeight="13.5" x14ac:dyDescent="0.15"/>
  <cols>
    <col min="1" max="1" width="19.375" style="12" bestFit="1" customWidth="1"/>
    <col min="2" max="2" width="10.75" style="2" bestFit="1" customWidth="1"/>
    <col min="3" max="4" width="13.75" style="12" bestFit="1" customWidth="1"/>
    <col min="5" max="5" width="17" style="12" bestFit="1" customWidth="1"/>
    <col min="6" max="7" width="8.5" style="2" bestFit="1" customWidth="1"/>
    <col min="8" max="8" width="11.5" style="2" bestFit="1" customWidth="1"/>
    <col min="9" max="9" width="13.75" style="2" bestFit="1" customWidth="1"/>
    <col min="10" max="10" width="17" style="2" bestFit="1" customWidth="1"/>
    <col min="11" max="11" width="13.75" style="14" bestFit="1" customWidth="1"/>
    <col min="12" max="12" width="10.75" style="2" bestFit="1" customWidth="1"/>
    <col min="13" max="13" width="13.75" style="2" bestFit="1" customWidth="1"/>
    <col min="14" max="14" width="10.75" style="2" bestFit="1" customWidth="1"/>
    <col min="15" max="15" width="23.75" style="12" bestFit="1" customWidth="1"/>
    <col min="16" max="16" width="42.125" style="2" bestFit="1" customWidth="1"/>
    <col min="17" max="17" width="10.75" style="12" bestFit="1" customWidth="1"/>
    <col min="18" max="19" width="12.25" style="12" bestFit="1" customWidth="1"/>
    <col min="20" max="21" width="13" style="12" bestFit="1" customWidth="1"/>
  </cols>
  <sheetData>
    <row r="1" spans="1:22" s="1" customFormat="1" ht="44.45" customHeight="1" x14ac:dyDescent="0.15">
      <c r="A1" s="1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5" t="s">
        <v>9</v>
      </c>
      <c r="K1" s="13" t="s">
        <v>10</v>
      </c>
      <c r="L1" s="3" t="s">
        <v>11</v>
      </c>
      <c r="M1" s="3" t="s">
        <v>12</v>
      </c>
      <c r="N1" s="3" t="s">
        <v>13</v>
      </c>
      <c r="O1" s="11" t="s">
        <v>14</v>
      </c>
      <c r="P1" s="3" t="s">
        <v>15</v>
      </c>
      <c r="Q1" s="11" t="s">
        <v>16</v>
      </c>
      <c r="R1" s="11" t="s">
        <v>17</v>
      </c>
      <c r="S1" s="11" t="s">
        <v>18</v>
      </c>
      <c r="T1" s="15" t="s">
        <v>19</v>
      </c>
      <c r="U1" s="15" t="s">
        <v>20</v>
      </c>
      <c r="V1" s="1" t="s">
        <v>1818</v>
      </c>
    </row>
  </sheetData>
  <autoFilter ref="A1:U1" xr:uid="{00000000-0009-0000-0000-000000000000}"/>
  <phoneticPr fontId="57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FD0CE-32DA-4208-8000-78EC6A58BA77}">
  <sheetPr codeName="Sheet3"/>
  <dimension ref="A1:Z330"/>
  <sheetViews>
    <sheetView workbookViewId="0">
      <selection activeCell="M20" sqref="M20"/>
    </sheetView>
  </sheetViews>
  <sheetFormatPr defaultRowHeight="13.5" x14ac:dyDescent="0.15"/>
  <cols>
    <col min="1" max="1" width="17.25" bestFit="1" customWidth="1"/>
    <col min="2" max="2" width="44.25" bestFit="1" customWidth="1"/>
    <col min="3" max="3" width="13" bestFit="1" customWidth="1"/>
    <col min="6" max="6" width="20.5" bestFit="1" customWidth="1"/>
    <col min="7" max="7" width="7.25" customWidth="1"/>
    <col min="8" max="8" width="6.75" customWidth="1"/>
    <col min="9" max="9" width="4.5" customWidth="1"/>
    <col min="10" max="10" width="15.375" customWidth="1"/>
    <col min="11" max="11" width="22.25" customWidth="1"/>
    <col min="12" max="12" width="18.875" customWidth="1"/>
    <col min="13" max="13" width="11.125" bestFit="1" customWidth="1"/>
    <col min="14" max="14" width="5.25" bestFit="1" customWidth="1"/>
  </cols>
  <sheetData>
    <row r="1" spans="1:26" ht="27" x14ac:dyDescent="0.15">
      <c r="A1" s="6" t="s">
        <v>25</v>
      </c>
      <c r="B1" s="6" t="s">
        <v>26</v>
      </c>
      <c r="C1" s="6" t="s">
        <v>25</v>
      </c>
      <c r="D1" s="6"/>
      <c r="F1" t="s">
        <v>244</v>
      </c>
      <c r="G1" t="s">
        <v>1821</v>
      </c>
      <c r="H1" t="s">
        <v>242</v>
      </c>
      <c r="I1" t="s">
        <v>243</v>
      </c>
      <c r="J1" t="s">
        <v>244</v>
      </c>
      <c r="K1" t="s">
        <v>245</v>
      </c>
      <c r="L1" t="s">
        <v>6</v>
      </c>
      <c r="M1" t="s">
        <v>7</v>
      </c>
      <c r="N1" t="s">
        <v>246</v>
      </c>
      <c r="O1" t="s">
        <v>247</v>
      </c>
      <c r="R1" s="8" t="s">
        <v>1047</v>
      </c>
      <c r="S1" s="8" t="s">
        <v>1048</v>
      </c>
      <c r="T1" s="8" t="s">
        <v>1049</v>
      </c>
      <c r="U1" s="8" t="s">
        <v>1048</v>
      </c>
      <c r="W1" s="9" t="s">
        <v>1523</v>
      </c>
      <c r="X1" s="9" t="s">
        <v>1524</v>
      </c>
      <c r="Y1" s="9" t="s">
        <v>1525</v>
      </c>
      <c r="Z1" s="9" t="s">
        <v>1526</v>
      </c>
    </row>
    <row r="2" spans="1:26" x14ac:dyDescent="0.15">
      <c r="A2" s="6" t="s">
        <v>27</v>
      </c>
      <c r="B2" s="6" t="s">
        <v>28</v>
      </c>
      <c r="C2" s="6" t="s">
        <v>27</v>
      </c>
      <c r="D2" s="7" t="s">
        <v>230</v>
      </c>
      <c r="F2" t="s">
        <v>248</v>
      </c>
      <c r="G2">
        <v>2.2000000000000002</v>
      </c>
      <c r="J2" t="s">
        <v>248</v>
      </c>
      <c r="K2" t="s">
        <v>249</v>
      </c>
      <c r="L2" t="s">
        <v>250</v>
      </c>
      <c r="M2" t="s">
        <v>251</v>
      </c>
      <c r="N2" t="s">
        <v>252</v>
      </c>
      <c r="O2">
        <v>800</v>
      </c>
      <c r="P2" t="str">
        <f>K2&amp;L2</f>
        <v>阿莫西林胶囊0.25g*20粒</v>
      </c>
      <c r="R2" s="8" t="s">
        <v>1050</v>
      </c>
      <c r="S2" s="8" t="s">
        <v>1051</v>
      </c>
      <c r="T2" s="8" t="s">
        <v>1052</v>
      </c>
      <c r="U2" s="8" t="s">
        <v>1051</v>
      </c>
      <c r="W2" s="10" t="s">
        <v>1527</v>
      </c>
      <c r="X2" s="10" t="s">
        <v>1528</v>
      </c>
      <c r="Y2" s="10" t="s">
        <v>1529</v>
      </c>
      <c r="Z2" s="10" t="s">
        <v>1530</v>
      </c>
    </row>
    <row r="3" spans="1:26" x14ac:dyDescent="0.15">
      <c r="A3" s="6" t="s">
        <v>29</v>
      </c>
      <c r="B3" s="6" t="s">
        <v>30</v>
      </c>
      <c r="C3" s="6" t="s">
        <v>29</v>
      </c>
      <c r="D3" s="6"/>
      <c r="F3" t="s">
        <v>253</v>
      </c>
      <c r="G3">
        <v>5.5</v>
      </c>
      <c r="J3" t="s">
        <v>253</v>
      </c>
      <c r="K3" t="s">
        <v>249</v>
      </c>
      <c r="L3" t="s">
        <v>254</v>
      </c>
      <c r="M3" t="s">
        <v>251</v>
      </c>
      <c r="N3" t="s">
        <v>252</v>
      </c>
      <c r="O3">
        <v>400</v>
      </c>
      <c r="P3" t="str">
        <f t="shared" ref="P3:P66" si="0">K3&amp;L3</f>
        <v>阿莫西林胶囊0.25g*50粒</v>
      </c>
      <c r="R3" s="8" t="s">
        <v>1050</v>
      </c>
      <c r="S3" s="8" t="s">
        <v>1053</v>
      </c>
      <c r="T3" s="8" t="s">
        <v>1054</v>
      </c>
      <c r="U3" s="8" t="s">
        <v>1053</v>
      </c>
      <c r="W3" s="10" t="s">
        <v>1527</v>
      </c>
      <c r="X3" s="10" t="s">
        <v>1528</v>
      </c>
      <c r="Y3" s="10" t="s">
        <v>1531</v>
      </c>
      <c r="Z3" s="10" t="s">
        <v>1532</v>
      </c>
    </row>
    <row r="4" spans="1:26" x14ac:dyDescent="0.15">
      <c r="A4" s="6" t="s">
        <v>31</v>
      </c>
      <c r="B4" s="6" t="s">
        <v>32</v>
      </c>
      <c r="C4" s="6" t="s">
        <v>31</v>
      </c>
      <c r="D4" s="7" t="s">
        <v>231</v>
      </c>
      <c r="F4" t="s">
        <v>255</v>
      </c>
      <c r="G4">
        <v>2.4500000000000002</v>
      </c>
      <c r="J4" t="s">
        <v>255</v>
      </c>
      <c r="K4" t="s">
        <v>249</v>
      </c>
      <c r="L4" t="s">
        <v>256</v>
      </c>
      <c r="M4" t="s">
        <v>251</v>
      </c>
      <c r="N4" t="s">
        <v>252</v>
      </c>
      <c r="O4">
        <v>500</v>
      </c>
      <c r="P4" t="str">
        <f t="shared" si="0"/>
        <v>阿莫西林胶囊0.5g*10粒</v>
      </c>
      <c r="R4" s="8" t="s">
        <v>1050</v>
      </c>
      <c r="S4" s="8" t="s">
        <v>1055</v>
      </c>
      <c r="T4" s="8" t="s">
        <v>1056</v>
      </c>
      <c r="U4" s="8" t="s">
        <v>1055</v>
      </c>
      <c r="W4" s="10" t="s">
        <v>1527</v>
      </c>
      <c r="X4" s="10" t="s">
        <v>1528</v>
      </c>
      <c r="Y4" s="10" t="s">
        <v>1533</v>
      </c>
      <c r="Z4" s="10" t="s">
        <v>1534</v>
      </c>
    </row>
    <row r="5" spans="1:26" x14ac:dyDescent="0.15">
      <c r="A5" s="6" t="s">
        <v>33</v>
      </c>
      <c r="B5" s="6" t="s">
        <v>34</v>
      </c>
      <c r="C5" s="6" t="s">
        <v>33</v>
      </c>
      <c r="D5" s="6"/>
      <c r="F5" t="s">
        <v>257</v>
      </c>
      <c r="G5">
        <v>5</v>
      </c>
      <c r="J5" t="s">
        <v>257</v>
      </c>
      <c r="K5" t="s">
        <v>249</v>
      </c>
      <c r="L5" t="s">
        <v>258</v>
      </c>
      <c r="M5" t="s">
        <v>251</v>
      </c>
      <c r="N5" t="s">
        <v>252</v>
      </c>
      <c r="O5">
        <v>500</v>
      </c>
      <c r="P5" t="str">
        <f t="shared" si="0"/>
        <v>阿莫西林胶囊0.5g*20粒</v>
      </c>
      <c r="R5" s="8" t="s">
        <v>1050</v>
      </c>
      <c r="S5" s="8" t="s">
        <v>1057</v>
      </c>
      <c r="T5" s="8" t="s">
        <v>1058</v>
      </c>
      <c r="U5" s="8" t="s">
        <v>1057</v>
      </c>
      <c r="W5" s="10" t="s">
        <v>1527</v>
      </c>
      <c r="X5" s="10" t="s">
        <v>1528</v>
      </c>
      <c r="Y5" s="10" t="s">
        <v>1535</v>
      </c>
      <c r="Z5" s="10" t="s">
        <v>1536</v>
      </c>
    </row>
    <row r="6" spans="1:26" x14ac:dyDescent="0.15">
      <c r="A6" s="6" t="s">
        <v>35</v>
      </c>
      <c r="B6" s="6" t="s">
        <v>36</v>
      </c>
      <c r="C6" s="6" t="s">
        <v>35</v>
      </c>
      <c r="D6" s="6"/>
      <c r="F6" t="s">
        <v>259</v>
      </c>
      <c r="G6">
        <v>5.0999999999999996</v>
      </c>
      <c r="J6" t="s">
        <v>259</v>
      </c>
      <c r="K6" t="s">
        <v>249</v>
      </c>
      <c r="L6" t="s">
        <v>260</v>
      </c>
      <c r="M6" t="s">
        <v>251</v>
      </c>
      <c r="N6" t="s">
        <v>252</v>
      </c>
      <c r="O6">
        <v>500</v>
      </c>
      <c r="P6" t="str">
        <f t="shared" si="0"/>
        <v>阿莫西林胶囊0.5g*24s*500盒</v>
      </c>
      <c r="R6" s="8" t="s">
        <v>1050</v>
      </c>
      <c r="S6" s="8" t="s">
        <v>1059</v>
      </c>
      <c r="T6" s="8" t="s">
        <v>1060</v>
      </c>
      <c r="U6" s="8" t="s">
        <v>1059</v>
      </c>
      <c r="W6" s="10" t="s">
        <v>1527</v>
      </c>
      <c r="X6" s="10" t="s">
        <v>1528</v>
      </c>
      <c r="Y6" s="10" t="s">
        <v>1537</v>
      </c>
      <c r="Z6" s="10" t="s">
        <v>1538</v>
      </c>
    </row>
    <row r="7" spans="1:26" x14ac:dyDescent="0.15">
      <c r="A7" s="6" t="s">
        <v>37</v>
      </c>
      <c r="B7" s="6" t="s">
        <v>38</v>
      </c>
      <c r="C7" s="6" t="s">
        <v>37</v>
      </c>
      <c r="D7" s="6"/>
      <c r="F7" t="s">
        <v>261</v>
      </c>
      <c r="G7">
        <v>7.4</v>
      </c>
      <c r="J7" t="s">
        <v>261</v>
      </c>
      <c r="K7" t="s">
        <v>249</v>
      </c>
      <c r="L7" t="s">
        <v>262</v>
      </c>
      <c r="M7" t="s">
        <v>251</v>
      </c>
      <c r="N7" t="s">
        <v>252</v>
      </c>
      <c r="O7">
        <v>300</v>
      </c>
      <c r="P7" t="str">
        <f t="shared" si="0"/>
        <v>阿莫西林胶囊0.5g*30s</v>
      </c>
      <c r="R7" s="8" t="s">
        <v>1050</v>
      </c>
      <c r="S7" s="8" t="s">
        <v>1061</v>
      </c>
      <c r="T7" s="8" t="s">
        <v>1062</v>
      </c>
      <c r="U7" s="8" t="s">
        <v>1061</v>
      </c>
      <c r="W7" s="10" t="s">
        <v>1527</v>
      </c>
      <c r="X7" s="10" t="s">
        <v>1528</v>
      </c>
      <c r="Y7" s="10" t="s">
        <v>1539</v>
      </c>
      <c r="Z7" s="10" t="s">
        <v>1540</v>
      </c>
    </row>
    <row r="8" spans="1:26" x14ac:dyDescent="0.15">
      <c r="A8" s="6" t="s">
        <v>39</v>
      </c>
      <c r="B8" s="6" t="s">
        <v>40</v>
      </c>
      <c r="C8" s="6" t="s">
        <v>39</v>
      </c>
      <c r="D8" s="7" t="s">
        <v>232</v>
      </c>
      <c r="F8" t="s">
        <v>263</v>
      </c>
      <c r="G8">
        <v>8.1</v>
      </c>
      <c r="J8" t="s">
        <v>263</v>
      </c>
      <c r="K8" t="s">
        <v>249</v>
      </c>
      <c r="L8" t="s">
        <v>264</v>
      </c>
      <c r="M8" t="s">
        <v>251</v>
      </c>
      <c r="N8" t="s">
        <v>252</v>
      </c>
      <c r="O8">
        <v>200</v>
      </c>
      <c r="P8" t="str">
        <f t="shared" si="0"/>
        <v>阿莫西林胶囊0.5g*36s</v>
      </c>
      <c r="R8" s="8" t="s">
        <v>1050</v>
      </c>
      <c r="S8" s="8" t="s">
        <v>1063</v>
      </c>
      <c r="T8" s="8" t="s">
        <v>1064</v>
      </c>
      <c r="U8" s="8" t="s">
        <v>1063</v>
      </c>
      <c r="W8" s="10" t="s">
        <v>1527</v>
      </c>
      <c r="X8" s="10" t="s">
        <v>1528</v>
      </c>
      <c r="Y8" s="10" t="s">
        <v>1541</v>
      </c>
      <c r="Z8" s="10" t="s">
        <v>1542</v>
      </c>
    </row>
    <row r="9" spans="1:26" x14ac:dyDescent="0.15">
      <c r="A9" s="6" t="s">
        <v>41</v>
      </c>
      <c r="B9" s="6" t="s">
        <v>42</v>
      </c>
      <c r="C9" s="6" t="s">
        <v>41</v>
      </c>
      <c r="D9" s="6"/>
      <c r="F9" t="s">
        <v>265</v>
      </c>
      <c r="G9">
        <v>2</v>
      </c>
      <c r="J9" t="s">
        <v>265</v>
      </c>
      <c r="K9" t="s">
        <v>249</v>
      </c>
      <c r="L9" t="s">
        <v>266</v>
      </c>
      <c r="M9" t="s">
        <v>267</v>
      </c>
      <c r="N9" t="s">
        <v>268</v>
      </c>
      <c r="O9">
        <v>800</v>
      </c>
      <c r="P9" t="str">
        <f t="shared" si="0"/>
        <v>阿莫西林胶囊0.25*10*2</v>
      </c>
      <c r="R9" s="8" t="s">
        <v>1065</v>
      </c>
      <c r="S9" s="8" t="s">
        <v>1066</v>
      </c>
      <c r="T9" s="8" t="s">
        <v>1067</v>
      </c>
      <c r="U9" s="8" t="s">
        <v>1066</v>
      </c>
      <c r="W9" s="10" t="s">
        <v>1527</v>
      </c>
      <c r="X9" s="10" t="s">
        <v>1543</v>
      </c>
      <c r="Y9" s="10" t="s">
        <v>1544</v>
      </c>
      <c r="Z9" s="10" t="s">
        <v>1545</v>
      </c>
    </row>
    <row r="10" spans="1:26" x14ac:dyDescent="0.15">
      <c r="A10" s="6" t="s">
        <v>43</v>
      </c>
      <c r="B10" s="6" t="s">
        <v>44</v>
      </c>
      <c r="C10" s="6" t="s">
        <v>43</v>
      </c>
      <c r="D10" s="6"/>
      <c r="F10" t="s">
        <v>269</v>
      </c>
      <c r="G10">
        <v>4.9000000000000004</v>
      </c>
      <c r="J10" t="s">
        <v>269</v>
      </c>
      <c r="K10" t="s">
        <v>249</v>
      </c>
      <c r="L10" t="s">
        <v>270</v>
      </c>
      <c r="M10" t="s">
        <v>267</v>
      </c>
      <c r="N10" t="s">
        <v>252</v>
      </c>
      <c r="O10">
        <v>400</v>
      </c>
      <c r="P10" t="str">
        <f t="shared" si="0"/>
        <v>阿莫西林胶囊0.25g*50s</v>
      </c>
      <c r="R10" s="8" t="s">
        <v>1050</v>
      </c>
      <c r="S10" s="8" t="s">
        <v>1068</v>
      </c>
      <c r="T10" s="8" t="s">
        <v>1069</v>
      </c>
      <c r="U10" s="8" t="s">
        <v>1068</v>
      </c>
      <c r="W10" s="10" t="s">
        <v>1527</v>
      </c>
      <c r="X10" s="10" t="s">
        <v>1543</v>
      </c>
      <c r="Y10" s="10" t="s">
        <v>1546</v>
      </c>
      <c r="Z10" s="10" t="s">
        <v>1547</v>
      </c>
    </row>
    <row r="11" spans="1:26" x14ac:dyDescent="0.15">
      <c r="A11" s="6" t="s">
        <v>45</v>
      </c>
      <c r="B11" s="6" t="s">
        <v>46</v>
      </c>
      <c r="C11" s="6" t="s">
        <v>45</v>
      </c>
      <c r="D11" s="6"/>
      <c r="F11" t="s">
        <v>271</v>
      </c>
      <c r="G11">
        <v>2.9</v>
      </c>
      <c r="J11" t="s">
        <v>271</v>
      </c>
      <c r="K11" t="s">
        <v>272</v>
      </c>
      <c r="L11" t="s">
        <v>273</v>
      </c>
      <c r="M11" t="s">
        <v>267</v>
      </c>
      <c r="N11" t="s">
        <v>268</v>
      </c>
      <c r="O11">
        <v>480</v>
      </c>
      <c r="P11" t="str">
        <f t="shared" si="0"/>
        <v>阿莫西林胶囊0.25g×30粒×480盒0.25g×30粒×480盒</v>
      </c>
      <c r="R11" s="8" t="s">
        <v>1050</v>
      </c>
      <c r="S11" s="8" t="s">
        <v>1070</v>
      </c>
      <c r="T11" s="8" t="s">
        <v>1071</v>
      </c>
      <c r="U11" s="8" t="s">
        <v>1070</v>
      </c>
      <c r="W11" s="10" t="s">
        <v>1527</v>
      </c>
      <c r="X11" s="10" t="s">
        <v>1543</v>
      </c>
      <c r="Y11" s="10" t="s">
        <v>1548</v>
      </c>
      <c r="Z11" s="10" t="s">
        <v>1549</v>
      </c>
    </row>
    <row r="12" spans="1:26" x14ac:dyDescent="0.15">
      <c r="A12" s="6" t="s">
        <v>47</v>
      </c>
      <c r="B12" s="6" t="s">
        <v>48</v>
      </c>
      <c r="C12" s="6" t="s">
        <v>47</v>
      </c>
      <c r="D12" s="6"/>
      <c r="F12" t="s">
        <v>274</v>
      </c>
      <c r="G12">
        <v>2</v>
      </c>
      <c r="J12" t="s">
        <v>274</v>
      </c>
      <c r="K12" t="s">
        <v>275</v>
      </c>
      <c r="L12" t="s">
        <v>258</v>
      </c>
      <c r="M12" t="s">
        <v>267</v>
      </c>
      <c r="N12" t="s">
        <v>268</v>
      </c>
      <c r="O12">
        <v>400</v>
      </c>
      <c r="P12" t="str">
        <f t="shared" si="0"/>
        <v>阿莫西林胶囊20粒0.5g×10粒×2板×400盒/8000粒0.5g*20粒</v>
      </c>
      <c r="R12" s="8" t="s">
        <v>1050</v>
      </c>
      <c r="S12" s="8" t="s">
        <v>1072</v>
      </c>
      <c r="T12" s="8" t="s">
        <v>1073</v>
      </c>
      <c r="U12" s="8" t="s">
        <v>1072</v>
      </c>
      <c r="W12" s="10" t="s">
        <v>1527</v>
      </c>
      <c r="X12" s="10" t="s">
        <v>1543</v>
      </c>
      <c r="Y12" s="10" t="s">
        <v>1550</v>
      </c>
      <c r="Z12" s="10" t="s">
        <v>1551</v>
      </c>
    </row>
    <row r="13" spans="1:26" x14ac:dyDescent="0.15">
      <c r="A13" s="6" t="s">
        <v>49</v>
      </c>
      <c r="B13" s="6" t="s">
        <v>50</v>
      </c>
      <c r="C13" s="6" t="s">
        <v>49</v>
      </c>
      <c r="D13" s="6"/>
      <c r="F13" t="s">
        <v>276</v>
      </c>
      <c r="G13">
        <v>3.9</v>
      </c>
      <c r="J13" t="s">
        <v>276</v>
      </c>
      <c r="K13" t="s">
        <v>277</v>
      </c>
      <c r="L13" t="s">
        <v>278</v>
      </c>
      <c r="M13" t="s">
        <v>251</v>
      </c>
      <c r="N13" t="s">
        <v>252</v>
      </c>
      <c r="O13">
        <v>200</v>
      </c>
      <c r="P13" t="str">
        <f t="shared" si="0"/>
        <v>阿莫西林颗粒(益萨林)0.125g*12袋*200盒</v>
      </c>
      <c r="R13" s="8" t="s">
        <v>1065</v>
      </c>
      <c r="S13" s="8" t="s">
        <v>1074</v>
      </c>
      <c r="T13" s="8" t="s">
        <v>1075</v>
      </c>
      <c r="U13" s="8" t="s">
        <v>1074</v>
      </c>
      <c r="W13" s="10" t="s">
        <v>1527</v>
      </c>
      <c r="X13" s="10" t="s">
        <v>1543</v>
      </c>
      <c r="Y13" s="10" t="s">
        <v>1552</v>
      </c>
      <c r="Z13" s="10" t="s">
        <v>1553</v>
      </c>
    </row>
    <row r="14" spans="1:26" x14ac:dyDescent="0.15">
      <c r="A14" s="6" t="s">
        <v>51</v>
      </c>
      <c r="B14" s="6" t="s">
        <v>52</v>
      </c>
      <c r="C14" s="6" t="s">
        <v>51</v>
      </c>
      <c r="D14" s="6"/>
      <c r="F14" t="s">
        <v>279</v>
      </c>
      <c r="G14">
        <v>4.5</v>
      </c>
      <c r="J14" t="s">
        <v>279</v>
      </c>
      <c r="K14" t="s">
        <v>280</v>
      </c>
      <c r="L14" t="s">
        <v>281</v>
      </c>
      <c r="M14" t="s">
        <v>251</v>
      </c>
      <c r="N14" t="s">
        <v>252</v>
      </c>
      <c r="O14">
        <v>300</v>
      </c>
      <c r="P14" t="str">
        <f t="shared" si="0"/>
        <v>阿莫西林克拉维酸钾(7:1)分散片0.2285g*10片</v>
      </c>
      <c r="R14" s="8" t="s">
        <v>1050</v>
      </c>
      <c r="S14" s="8" t="s">
        <v>1076</v>
      </c>
      <c r="T14" s="8" t="s">
        <v>1077</v>
      </c>
      <c r="U14" s="8" t="s">
        <v>1076</v>
      </c>
      <c r="W14" s="10" t="s">
        <v>1527</v>
      </c>
      <c r="X14" s="10" t="s">
        <v>1543</v>
      </c>
      <c r="Y14" s="10" t="s">
        <v>1554</v>
      </c>
      <c r="Z14" s="10" t="s">
        <v>1555</v>
      </c>
    </row>
    <row r="15" spans="1:26" x14ac:dyDescent="0.15">
      <c r="A15" s="6" t="s">
        <v>53</v>
      </c>
      <c r="B15" s="6" t="s">
        <v>54</v>
      </c>
      <c r="C15" s="6" t="s">
        <v>53</v>
      </c>
      <c r="D15" s="6"/>
      <c r="F15" t="s">
        <v>282</v>
      </c>
      <c r="G15">
        <v>6</v>
      </c>
      <c r="J15" t="s">
        <v>282</v>
      </c>
      <c r="K15" t="s">
        <v>280</v>
      </c>
      <c r="L15" t="s">
        <v>283</v>
      </c>
      <c r="M15" t="s">
        <v>251</v>
      </c>
      <c r="N15" t="s">
        <v>252</v>
      </c>
      <c r="O15">
        <v>300</v>
      </c>
      <c r="P15" t="str">
        <f t="shared" si="0"/>
        <v>阿莫西林克拉维酸钾(7:1)分散片0.2285g*12片</v>
      </c>
      <c r="R15" s="8" t="s">
        <v>1050</v>
      </c>
      <c r="S15" s="8" t="s">
        <v>1078</v>
      </c>
      <c r="T15" s="8" t="s">
        <v>1079</v>
      </c>
      <c r="U15" s="8" t="s">
        <v>1078</v>
      </c>
      <c r="W15" s="10" t="s">
        <v>1527</v>
      </c>
      <c r="X15" s="10" t="s">
        <v>1543</v>
      </c>
      <c r="Y15" s="10" t="s">
        <v>1556</v>
      </c>
      <c r="Z15" s="10" t="s">
        <v>1557</v>
      </c>
    </row>
    <row r="16" spans="1:26" x14ac:dyDescent="0.15">
      <c r="A16" s="6" t="s">
        <v>55</v>
      </c>
      <c r="B16" s="6" t="s">
        <v>56</v>
      </c>
      <c r="C16" s="6" t="s">
        <v>55</v>
      </c>
      <c r="D16" s="6"/>
      <c r="F16" t="s">
        <v>284</v>
      </c>
      <c r="G16">
        <v>7</v>
      </c>
      <c r="J16" t="s">
        <v>284</v>
      </c>
      <c r="K16" t="s">
        <v>280</v>
      </c>
      <c r="L16" t="s">
        <v>285</v>
      </c>
      <c r="M16" t="s">
        <v>251</v>
      </c>
      <c r="N16" t="s">
        <v>252</v>
      </c>
      <c r="O16">
        <v>300</v>
      </c>
      <c r="P16" t="str">
        <f t="shared" si="0"/>
        <v>阿莫西林克拉维酸钾(7:1)分散片0.2285g*15片*300盒</v>
      </c>
      <c r="R16" s="8" t="s">
        <v>1050</v>
      </c>
      <c r="S16" s="8" t="s">
        <v>1080</v>
      </c>
      <c r="T16" s="8" t="s">
        <v>1081</v>
      </c>
      <c r="U16" s="8" t="s">
        <v>1080</v>
      </c>
      <c r="W16" s="10" t="s">
        <v>1527</v>
      </c>
      <c r="X16" s="10" t="s">
        <v>1543</v>
      </c>
      <c r="Y16" s="10" t="s">
        <v>1558</v>
      </c>
      <c r="Z16" s="10" t="s">
        <v>1559</v>
      </c>
    </row>
    <row r="17" spans="1:26" x14ac:dyDescent="0.15">
      <c r="A17" s="6" t="s">
        <v>57</v>
      </c>
      <c r="B17" s="6" t="s">
        <v>58</v>
      </c>
      <c r="C17" s="6" t="s">
        <v>57</v>
      </c>
      <c r="D17" s="7" t="s">
        <v>233</v>
      </c>
      <c r="F17" t="s">
        <v>286</v>
      </c>
      <c r="G17">
        <v>8</v>
      </c>
      <c r="J17" t="s">
        <v>286</v>
      </c>
      <c r="K17" t="s">
        <v>280</v>
      </c>
      <c r="L17" t="s">
        <v>287</v>
      </c>
      <c r="M17" t="s">
        <v>251</v>
      </c>
      <c r="N17" t="s">
        <v>252</v>
      </c>
      <c r="O17">
        <v>300</v>
      </c>
      <c r="P17" t="str">
        <f t="shared" si="0"/>
        <v>阿莫西林克拉维酸钾(7:1)分散片0.2285g*18片</v>
      </c>
      <c r="R17" s="8" t="s">
        <v>1050</v>
      </c>
      <c r="S17" s="8" t="s">
        <v>1082</v>
      </c>
      <c r="T17" s="8" t="s">
        <v>1083</v>
      </c>
      <c r="U17" s="8" t="s">
        <v>1082</v>
      </c>
      <c r="W17" s="10" t="s">
        <v>1527</v>
      </c>
      <c r="X17" s="10" t="s">
        <v>1543</v>
      </c>
      <c r="Y17" s="10" t="s">
        <v>1560</v>
      </c>
      <c r="Z17" s="10" t="s">
        <v>1561</v>
      </c>
    </row>
    <row r="18" spans="1:26" x14ac:dyDescent="0.15">
      <c r="A18" s="6" t="s">
        <v>59</v>
      </c>
      <c r="B18" s="6" t="s">
        <v>60</v>
      </c>
      <c r="C18" s="6" t="s">
        <v>59</v>
      </c>
      <c r="D18" s="6"/>
      <c r="F18" t="s">
        <v>288</v>
      </c>
      <c r="G18">
        <v>10.5</v>
      </c>
      <c r="J18" t="s">
        <v>288</v>
      </c>
      <c r="K18" t="s">
        <v>280</v>
      </c>
      <c r="L18" t="s">
        <v>289</v>
      </c>
      <c r="M18" t="s">
        <v>251</v>
      </c>
      <c r="N18" t="s">
        <v>252</v>
      </c>
      <c r="O18">
        <v>300</v>
      </c>
      <c r="P18" t="str">
        <f t="shared" si="0"/>
        <v>阿莫西林克拉维酸钾(7:1)分散片0.2285g*24片</v>
      </c>
      <c r="R18" s="8" t="s">
        <v>1050</v>
      </c>
      <c r="S18" s="8" t="s">
        <v>1084</v>
      </c>
      <c r="T18" s="8" t="s">
        <v>1085</v>
      </c>
      <c r="U18" s="8" t="s">
        <v>1084</v>
      </c>
      <c r="W18" s="10" t="s">
        <v>1527</v>
      </c>
      <c r="X18" s="10" t="s">
        <v>1543</v>
      </c>
      <c r="Y18" s="10" t="s">
        <v>1562</v>
      </c>
      <c r="Z18" s="10" t="s">
        <v>1563</v>
      </c>
    </row>
    <row r="19" spans="1:26" x14ac:dyDescent="0.15">
      <c r="A19" s="6" t="s">
        <v>61</v>
      </c>
      <c r="B19" s="6" t="s">
        <v>62</v>
      </c>
      <c r="C19" s="6" t="s">
        <v>61</v>
      </c>
      <c r="D19" s="6"/>
      <c r="F19" t="s">
        <v>290</v>
      </c>
      <c r="G19">
        <v>4</v>
      </c>
      <c r="J19" t="s">
        <v>290</v>
      </c>
      <c r="K19" t="s">
        <v>280</v>
      </c>
      <c r="L19" t="s">
        <v>291</v>
      </c>
      <c r="M19" t="s">
        <v>251</v>
      </c>
      <c r="N19" t="s">
        <v>252</v>
      </c>
      <c r="O19">
        <v>300</v>
      </c>
      <c r="P19" t="str">
        <f t="shared" si="0"/>
        <v>阿莫西林克拉维酸钾(7:1)分散片0.2285g*8片</v>
      </c>
      <c r="R19" s="8" t="s">
        <v>1065</v>
      </c>
      <c r="S19" s="8" t="s">
        <v>1086</v>
      </c>
      <c r="T19" s="8" t="s">
        <v>1087</v>
      </c>
      <c r="U19" s="8" t="s">
        <v>1086</v>
      </c>
      <c r="W19" s="10" t="s">
        <v>1527</v>
      </c>
      <c r="X19" s="10" t="s">
        <v>1543</v>
      </c>
      <c r="Y19" s="10" t="s">
        <v>1564</v>
      </c>
      <c r="Z19" s="10" t="s">
        <v>1565</v>
      </c>
    </row>
    <row r="20" spans="1:26" x14ac:dyDescent="0.15">
      <c r="A20" s="6" t="s">
        <v>63</v>
      </c>
      <c r="B20" s="6" t="s">
        <v>64</v>
      </c>
      <c r="C20" s="6" t="s">
        <v>63</v>
      </c>
      <c r="D20" s="7" t="s">
        <v>234</v>
      </c>
      <c r="F20" t="s">
        <v>292</v>
      </c>
      <c r="G20">
        <v>2.4</v>
      </c>
      <c r="J20" t="s">
        <v>292</v>
      </c>
      <c r="K20" t="s">
        <v>293</v>
      </c>
      <c r="L20" t="s">
        <v>294</v>
      </c>
      <c r="M20" t="s">
        <v>251</v>
      </c>
      <c r="N20" t="s">
        <v>252</v>
      </c>
      <c r="O20">
        <v>600</v>
      </c>
      <c r="P20" t="str">
        <f t="shared" si="0"/>
        <v>阿莫西林片(益萨林)0.25g*12片</v>
      </c>
      <c r="R20" s="8" t="s">
        <v>1050</v>
      </c>
      <c r="S20" s="8" t="s">
        <v>1088</v>
      </c>
      <c r="T20" s="8" t="s">
        <v>1089</v>
      </c>
      <c r="U20" s="8" t="s">
        <v>1088</v>
      </c>
      <c r="W20" s="10" t="s">
        <v>1527</v>
      </c>
      <c r="X20" s="10" t="s">
        <v>1566</v>
      </c>
      <c r="Y20" s="10" t="s">
        <v>1567</v>
      </c>
      <c r="Z20" s="10" t="s">
        <v>1568</v>
      </c>
    </row>
    <row r="21" spans="1:26" x14ac:dyDescent="0.15">
      <c r="A21" s="6" t="s">
        <v>65</v>
      </c>
      <c r="B21" s="6" t="s">
        <v>66</v>
      </c>
      <c r="C21" s="6" t="s">
        <v>65</v>
      </c>
      <c r="D21" s="6"/>
      <c r="F21" t="s">
        <v>295</v>
      </c>
      <c r="G21">
        <v>3.4</v>
      </c>
      <c r="J21" t="s">
        <v>295</v>
      </c>
      <c r="K21" t="s">
        <v>296</v>
      </c>
      <c r="L21" t="s">
        <v>297</v>
      </c>
      <c r="M21" t="s">
        <v>298</v>
      </c>
      <c r="N21" t="s">
        <v>268</v>
      </c>
      <c r="O21">
        <v>400</v>
      </c>
      <c r="P21" t="str">
        <f t="shared" si="0"/>
        <v>阿奇霉素分散片0.1g*6片</v>
      </c>
      <c r="R21" s="8" t="s">
        <v>1050</v>
      </c>
      <c r="S21" s="8" t="s">
        <v>1090</v>
      </c>
      <c r="T21" s="8" t="s">
        <v>1091</v>
      </c>
      <c r="U21" s="8" t="s">
        <v>1090</v>
      </c>
      <c r="W21" s="10" t="s">
        <v>1527</v>
      </c>
      <c r="X21" s="10" t="s">
        <v>1566</v>
      </c>
      <c r="Y21" s="10" t="s">
        <v>1569</v>
      </c>
      <c r="Z21" s="10" t="s">
        <v>1570</v>
      </c>
    </row>
    <row r="22" spans="1:26" x14ac:dyDescent="0.15">
      <c r="A22" s="6" t="s">
        <v>67</v>
      </c>
      <c r="B22" s="6" t="s">
        <v>68</v>
      </c>
      <c r="C22" s="6" t="s">
        <v>67</v>
      </c>
      <c r="D22" s="6"/>
      <c r="F22" t="s">
        <v>299</v>
      </c>
      <c r="G22">
        <v>3.8</v>
      </c>
      <c r="J22" t="s">
        <v>299</v>
      </c>
      <c r="K22" t="s">
        <v>296</v>
      </c>
      <c r="L22" t="s">
        <v>300</v>
      </c>
      <c r="M22" t="s">
        <v>298</v>
      </c>
      <c r="N22" t="s">
        <v>252</v>
      </c>
      <c r="O22">
        <v>400</v>
      </c>
      <c r="P22" t="str">
        <f t="shared" si="0"/>
        <v>阿奇霉素分散片0.25g×6片×400盒</v>
      </c>
      <c r="R22" s="8" t="s">
        <v>1092</v>
      </c>
      <c r="S22" s="8" t="s">
        <v>1093</v>
      </c>
      <c r="T22" s="8" t="s">
        <v>1094</v>
      </c>
      <c r="U22" s="8" t="s">
        <v>1093</v>
      </c>
      <c r="W22" s="10" t="s">
        <v>1527</v>
      </c>
      <c r="X22" s="10" t="s">
        <v>1566</v>
      </c>
      <c r="Y22" s="10" t="s">
        <v>1571</v>
      </c>
      <c r="Z22" s="10" t="s">
        <v>1572</v>
      </c>
    </row>
    <row r="23" spans="1:26" x14ac:dyDescent="0.15">
      <c r="A23" s="6" t="s">
        <v>69</v>
      </c>
      <c r="B23" s="6" t="s">
        <v>70</v>
      </c>
      <c r="C23" s="6" t="s">
        <v>69</v>
      </c>
      <c r="D23" s="6"/>
      <c r="F23" t="s">
        <v>301</v>
      </c>
      <c r="G23">
        <v>6.8</v>
      </c>
      <c r="J23" t="s">
        <v>301</v>
      </c>
      <c r="K23" t="s">
        <v>302</v>
      </c>
      <c r="L23" t="s">
        <v>303</v>
      </c>
      <c r="M23" t="s">
        <v>304</v>
      </c>
      <c r="N23" t="s">
        <v>268</v>
      </c>
      <c r="O23">
        <v>100</v>
      </c>
      <c r="P23" t="str">
        <f t="shared" si="0"/>
        <v>艾附暖宫丸（OTC）9g×10丸×100盒</v>
      </c>
      <c r="R23" s="8" t="s">
        <v>1092</v>
      </c>
      <c r="S23" s="8" t="s">
        <v>1095</v>
      </c>
      <c r="T23" s="8" t="s">
        <v>1096</v>
      </c>
      <c r="U23" s="8" t="s">
        <v>1095</v>
      </c>
      <c r="W23" s="10" t="s">
        <v>1527</v>
      </c>
      <c r="X23" s="10" t="s">
        <v>1566</v>
      </c>
      <c r="Y23" s="10" t="s">
        <v>1573</v>
      </c>
      <c r="Z23" s="10" t="s">
        <v>1574</v>
      </c>
    </row>
    <row r="24" spans="1:26" x14ac:dyDescent="0.15">
      <c r="A24" s="6" t="s">
        <v>71</v>
      </c>
      <c r="B24" s="6" t="s">
        <v>72</v>
      </c>
      <c r="C24" s="6" t="s">
        <v>71</v>
      </c>
      <c r="D24" s="6"/>
      <c r="F24" t="s">
        <v>305</v>
      </c>
      <c r="G24">
        <v>108</v>
      </c>
      <c r="J24" t="s">
        <v>305</v>
      </c>
      <c r="K24" t="s">
        <v>306</v>
      </c>
      <c r="L24" t="s">
        <v>307</v>
      </c>
      <c r="M24" t="s">
        <v>304</v>
      </c>
      <c r="N24" t="s">
        <v>308</v>
      </c>
      <c r="O24">
        <v>80</v>
      </c>
      <c r="P24" t="str">
        <f t="shared" si="0"/>
        <v>安宫牛黄丸3g×2丸×40盒</v>
      </c>
      <c r="R24" s="8" t="s">
        <v>1097</v>
      </c>
      <c r="S24" s="8" t="s">
        <v>1098</v>
      </c>
      <c r="T24" s="8" t="s">
        <v>1099</v>
      </c>
      <c r="U24" s="8" t="s">
        <v>1098</v>
      </c>
      <c r="W24" s="10" t="s">
        <v>1527</v>
      </c>
      <c r="X24" s="10" t="s">
        <v>1566</v>
      </c>
      <c r="Y24" s="10" t="s">
        <v>1575</v>
      </c>
      <c r="Z24" s="10" t="s">
        <v>1576</v>
      </c>
    </row>
    <row r="25" spans="1:26" x14ac:dyDescent="0.15">
      <c r="A25" s="6" t="s">
        <v>73</v>
      </c>
      <c r="B25" s="6" t="s">
        <v>74</v>
      </c>
      <c r="C25" s="6" t="s">
        <v>73</v>
      </c>
      <c r="D25" s="6"/>
      <c r="F25" t="s">
        <v>309</v>
      </c>
      <c r="G25">
        <v>5.15</v>
      </c>
      <c r="J25" t="s">
        <v>309</v>
      </c>
      <c r="K25" t="s">
        <v>310</v>
      </c>
      <c r="L25" t="s">
        <v>311</v>
      </c>
      <c r="M25" t="s">
        <v>312</v>
      </c>
      <c r="N25" t="s">
        <v>252</v>
      </c>
      <c r="O25">
        <v>160</v>
      </c>
      <c r="P25" t="str">
        <f t="shared" si="0"/>
        <v>氨金黄敏颗粒6g×10袋×160盒</v>
      </c>
      <c r="R25" s="8" t="s">
        <v>1050</v>
      </c>
      <c r="S25" s="8" t="s">
        <v>1100</v>
      </c>
      <c r="T25" s="8" t="s">
        <v>1101</v>
      </c>
      <c r="U25" s="8" t="s">
        <v>1100</v>
      </c>
      <c r="W25" s="10" t="s">
        <v>1527</v>
      </c>
      <c r="X25" s="10" t="s">
        <v>1577</v>
      </c>
      <c r="Y25" s="10" t="s">
        <v>1578</v>
      </c>
      <c r="Z25" s="10" t="s">
        <v>1579</v>
      </c>
    </row>
    <row r="26" spans="1:26" x14ac:dyDescent="0.15">
      <c r="A26" s="6" t="s">
        <v>75</v>
      </c>
      <c r="B26" s="6" t="s">
        <v>76</v>
      </c>
      <c r="C26" s="6" t="s">
        <v>75</v>
      </c>
      <c r="D26" s="6"/>
      <c r="F26" t="s">
        <v>313</v>
      </c>
      <c r="G26">
        <v>1.65</v>
      </c>
      <c r="J26" t="s">
        <v>313</v>
      </c>
      <c r="K26" t="s">
        <v>314</v>
      </c>
      <c r="L26" t="s">
        <v>315</v>
      </c>
      <c r="M26" t="s">
        <v>298</v>
      </c>
      <c r="N26" t="s">
        <v>268</v>
      </c>
      <c r="O26">
        <v>400</v>
      </c>
      <c r="P26" t="str">
        <f t="shared" si="0"/>
        <v>氨咖黄敏胶囊20粒</v>
      </c>
      <c r="R26" s="8" t="s">
        <v>1050</v>
      </c>
      <c r="S26" s="8" t="s">
        <v>1102</v>
      </c>
      <c r="T26" s="8" t="s">
        <v>1103</v>
      </c>
      <c r="U26" s="8" t="s">
        <v>1102</v>
      </c>
      <c r="W26" s="10" t="s">
        <v>1527</v>
      </c>
      <c r="X26" s="10" t="s">
        <v>1577</v>
      </c>
      <c r="Y26" s="10" t="s">
        <v>1580</v>
      </c>
      <c r="Z26" s="10" t="s">
        <v>1581</v>
      </c>
    </row>
    <row r="27" spans="1:26" x14ac:dyDescent="0.15">
      <c r="A27" s="6" t="s">
        <v>77</v>
      </c>
      <c r="B27" s="6" t="s">
        <v>78</v>
      </c>
      <c r="C27" s="6" t="s">
        <v>77</v>
      </c>
      <c r="D27" s="6"/>
      <c r="F27" t="s">
        <v>316</v>
      </c>
      <c r="G27">
        <v>9.5</v>
      </c>
      <c r="J27" t="s">
        <v>316</v>
      </c>
      <c r="K27" t="s">
        <v>317</v>
      </c>
      <c r="L27" t="s">
        <v>303</v>
      </c>
      <c r="M27" t="s">
        <v>304</v>
      </c>
      <c r="N27" t="s">
        <v>268</v>
      </c>
      <c r="O27">
        <v>100</v>
      </c>
      <c r="P27" t="str">
        <f t="shared" si="0"/>
        <v>柏子养心丸9g×10丸×100盒</v>
      </c>
      <c r="R27" s="8" t="s">
        <v>1065</v>
      </c>
      <c r="S27" s="8" t="s">
        <v>1104</v>
      </c>
      <c r="T27" s="8" t="s">
        <v>1105</v>
      </c>
      <c r="U27" s="8" t="s">
        <v>1104</v>
      </c>
      <c r="W27" s="10" t="s">
        <v>1527</v>
      </c>
      <c r="X27" s="10" t="s">
        <v>1577</v>
      </c>
      <c r="Y27" s="10" t="s">
        <v>1582</v>
      </c>
      <c r="Z27" s="10" t="s">
        <v>1583</v>
      </c>
    </row>
    <row r="28" spans="1:26" x14ac:dyDescent="0.15">
      <c r="A28" s="6" t="s">
        <v>79</v>
      </c>
      <c r="B28" s="6" t="s">
        <v>80</v>
      </c>
      <c r="C28" s="6" t="s">
        <v>79</v>
      </c>
      <c r="D28" s="6"/>
      <c r="F28" t="s">
        <v>318</v>
      </c>
      <c r="G28">
        <v>5.29</v>
      </c>
      <c r="J28" t="s">
        <v>318</v>
      </c>
      <c r="K28" t="s">
        <v>319</v>
      </c>
      <c r="L28" t="s">
        <v>303</v>
      </c>
      <c r="M28" t="s">
        <v>304</v>
      </c>
      <c r="N28" t="s">
        <v>268</v>
      </c>
      <c r="O28">
        <v>100</v>
      </c>
      <c r="P28" t="str">
        <f t="shared" si="0"/>
        <v>保和丸(OTC)9g×10丸×100盒</v>
      </c>
      <c r="R28" s="8" t="s">
        <v>1092</v>
      </c>
      <c r="S28" s="8" t="s">
        <v>1106</v>
      </c>
      <c r="T28" s="8" t="s">
        <v>1107</v>
      </c>
      <c r="U28" s="8" t="s">
        <v>1106</v>
      </c>
      <c r="W28" s="10" t="s">
        <v>1527</v>
      </c>
      <c r="X28" s="10" t="s">
        <v>1577</v>
      </c>
      <c r="Y28" s="10" t="s">
        <v>1584</v>
      </c>
      <c r="Z28" s="10" t="s">
        <v>1585</v>
      </c>
    </row>
    <row r="29" spans="1:26" x14ac:dyDescent="0.15">
      <c r="A29" s="6" t="s">
        <v>81</v>
      </c>
      <c r="B29" s="6" t="s">
        <v>82</v>
      </c>
      <c r="C29" s="6" t="s">
        <v>81</v>
      </c>
      <c r="D29" s="6"/>
      <c r="F29" t="s">
        <v>320</v>
      </c>
      <c r="G29">
        <v>8.8000000000000007</v>
      </c>
      <c r="J29" t="s">
        <v>320</v>
      </c>
      <c r="K29" t="s">
        <v>321</v>
      </c>
      <c r="L29" t="s">
        <v>322</v>
      </c>
      <c r="M29" t="s">
        <v>304</v>
      </c>
      <c r="N29" t="s">
        <v>268</v>
      </c>
      <c r="O29">
        <v>300</v>
      </c>
      <c r="P29" t="str">
        <f t="shared" si="0"/>
        <v>布洛芬颗粒0.2*10袋*300盒</v>
      </c>
      <c r="R29" s="8" t="s">
        <v>1050</v>
      </c>
      <c r="S29" s="8" t="s">
        <v>1108</v>
      </c>
      <c r="T29" s="8" t="s">
        <v>1109</v>
      </c>
      <c r="U29" s="8" t="s">
        <v>1108</v>
      </c>
      <c r="W29" s="10" t="s">
        <v>1527</v>
      </c>
      <c r="X29" s="10" t="s">
        <v>1577</v>
      </c>
      <c r="Y29" s="10" t="s">
        <v>1586</v>
      </c>
      <c r="Z29" s="10" t="s">
        <v>1587</v>
      </c>
    </row>
    <row r="30" spans="1:26" x14ac:dyDescent="0.15">
      <c r="A30" s="6" t="s">
        <v>83</v>
      </c>
      <c r="B30" s="6" t="s">
        <v>84</v>
      </c>
      <c r="C30" s="6" t="s">
        <v>83</v>
      </c>
      <c r="D30" s="6"/>
      <c r="F30" t="s">
        <v>323</v>
      </c>
      <c r="G30">
        <v>9.1999999999999993</v>
      </c>
      <c r="J30" t="s">
        <v>323</v>
      </c>
      <c r="K30" t="s">
        <v>321</v>
      </c>
      <c r="L30" t="s">
        <v>324</v>
      </c>
      <c r="M30" t="s">
        <v>304</v>
      </c>
      <c r="N30" t="s">
        <v>268</v>
      </c>
      <c r="O30">
        <v>300</v>
      </c>
      <c r="P30" t="str">
        <f t="shared" si="0"/>
        <v>布洛芬颗粒0.2*12袋*300盒</v>
      </c>
      <c r="R30" s="8" t="s">
        <v>1065</v>
      </c>
      <c r="S30" s="8" t="s">
        <v>1110</v>
      </c>
      <c r="T30" s="8" t="s">
        <v>1111</v>
      </c>
      <c r="U30" s="8" t="s">
        <v>1110</v>
      </c>
      <c r="W30" s="10" t="s">
        <v>1527</v>
      </c>
      <c r="X30" s="10" t="s">
        <v>1577</v>
      </c>
      <c r="Y30" s="10" t="s">
        <v>1588</v>
      </c>
      <c r="Z30" s="10" t="s">
        <v>1589</v>
      </c>
    </row>
    <row r="31" spans="1:26" x14ac:dyDescent="0.15">
      <c r="A31" s="6" t="s">
        <v>85</v>
      </c>
      <c r="B31" s="6" t="s">
        <v>86</v>
      </c>
      <c r="C31" s="6" t="s">
        <v>85</v>
      </c>
      <c r="D31" s="6"/>
      <c r="F31" t="s">
        <v>325</v>
      </c>
      <c r="G31">
        <v>11.4</v>
      </c>
      <c r="J31" t="s">
        <v>325</v>
      </c>
      <c r="K31" t="s">
        <v>321</v>
      </c>
      <c r="L31" t="s">
        <v>326</v>
      </c>
      <c r="M31" t="s">
        <v>304</v>
      </c>
      <c r="N31" t="s">
        <v>268</v>
      </c>
      <c r="O31">
        <v>300</v>
      </c>
      <c r="P31" t="str">
        <f t="shared" si="0"/>
        <v>布洛芬颗粒0.2*20袋*300盒</v>
      </c>
      <c r="R31" s="8" t="s">
        <v>1050</v>
      </c>
      <c r="S31" s="8" t="s">
        <v>1112</v>
      </c>
      <c r="T31" s="8" t="s">
        <v>1113</v>
      </c>
      <c r="U31" s="8" t="s">
        <v>1112</v>
      </c>
      <c r="W31" s="10" t="s">
        <v>1527</v>
      </c>
      <c r="X31" s="10" t="s">
        <v>1577</v>
      </c>
      <c r="Y31" s="10" t="s">
        <v>1590</v>
      </c>
      <c r="Z31" s="10" t="s">
        <v>1591</v>
      </c>
    </row>
    <row r="32" spans="1:26" x14ac:dyDescent="0.15">
      <c r="A32" s="6" t="s">
        <v>87</v>
      </c>
      <c r="B32" s="6" t="s">
        <v>88</v>
      </c>
      <c r="C32" s="6" t="s">
        <v>87</v>
      </c>
      <c r="D32" s="6"/>
      <c r="F32" t="s">
        <v>327</v>
      </c>
      <c r="G32">
        <v>10.5</v>
      </c>
      <c r="J32" t="s">
        <v>327</v>
      </c>
      <c r="K32" t="s">
        <v>328</v>
      </c>
      <c r="L32" t="s">
        <v>329</v>
      </c>
      <c r="M32" t="s">
        <v>330</v>
      </c>
      <c r="N32" t="s">
        <v>252</v>
      </c>
      <c r="O32">
        <v>60</v>
      </c>
      <c r="P32" t="str">
        <f t="shared" si="0"/>
        <v>刺五加脑灵液100ml×60瓶</v>
      </c>
      <c r="R32" s="8" t="s">
        <v>1050</v>
      </c>
      <c r="S32" s="8" t="s">
        <v>1114</v>
      </c>
      <c r="T32" s="8" t="s">
        <v>1115</v>
      </c>
      <c r="U32" s="8" t="s">
        <v>1114</v>
      </c>
      <c r="W32" s="10" t="s">
        <v>1527</v>
      </c>
      <c r="X32" s="10" t="s">
        <v>1577</v>
      </c>
      <c r="Y32" s="10" t="s">
        <v>1592</v>
      </c>
      <c r="Z32" s="10" t="s">
        <v>1593</v>
      </c>
    </row>
    <row r="33" spans="1:26" x14ac:dyDescent="0.15">
      <c r="A33" s="6" t="s">
        <v>89</v>
      </c>
      <c r="B33" s="6" t="s">
        <v>90</v>
      </c>
      <c r="C33" s="6" t="s">
        <v>89</v>
      </c>
      <c r="D33" s="6"/>
      <c r="G33">
        <v>10.5</v>
      </c>
      <c r="K33" t="s">
        <v>328</v>
      </c>
      <c r="L33" t="s">
        <v>331</v>
      </c>
      <c r="M33" t="s">
        <v>330</v>
      </c>
      <c r="N33" t="s">
        <v>268</v>
      </c>
      <c r="P33" t="str">
        <f t="shared" si="0"/>
        <v>刺五加脑灵液12支</v>
      </c>
      <c r="R33" s="8" t="s">
        <v>1050</v>
      </c>
      <c r="S33" s="8" t="s">
        <v>1116</v>
      </c>
      <c r="T33" s="8" t="s">
        <v>1117</v>
      </c>
      <c r="U33" s="8" t="s">
        <v>1116</v>
      </c>
      <c r="W33" s="10" t="s">
        <v>1527</v>
      </c>
      <c r="X33" s="10" t="s">
        <v>1577</v>
      </c>
      <c r="Y33" s="10" t="s">
        <v>1594</v>
      </c>
      <c r="Z33" s="10" t="s">
        <v>1595</v>
      </c>
    </row>
    <row r="34" spans="1:26" x14ac:dyDescent="0.15">
      <c r="A34" s="6" t="s">
        <v>91</v>
      </c>
      <c r="B34" s="6" t="s">
        <v>92</v>
      </c>
      <c r="C34" s="6" t="s">
        <v>91</v>
      </c>
      <c r="D34" s="6"/>
      <c r="F34" t="s">
        <v>332</v>
      </c>
      <c r="G34">
        <v>8</v>
      </c>
      <c r="J34" t="s">
        <v>332</v>
      </c>
      <c r="K34" t="s">
        <v>333</v>
      </c>
      <c r="L34" t="s">
        <v>334</v>
      </c>
      <c r="M34" t="s">
        <v>330</v>
      </c>
      <c r="N34" t="s">
        <v>268</v>
      </c>
      <c r="O34">
        <v>80</v>
      </c>
      <c r="P34" t="str">
        <f t="shared" si="0"/>
        <v>刺五加脑灵液（10ml）10ml×10支×80盒</v>
      </c>
      <c r="R34" s="8" t="s">
        <v>1050</v>
      </c>
      <c r="S34" s="8" t="s">
        <v>1118</v>
      </c>
      <c r="T34" s="8" t="s">
        <v>1119</v>
      </c>
      <c r="U34" s="8" t="s">
        <v>1118</v>
      </c>
      <c r="W34" s="10" t="s">
        <v>1527</v>
      </c>
      <c r="X34" s="10" t="s">
        <v>1596</v>
      </c>
      <c r="Y34" s="10" t="s">
        <v>1597</v>
      </c>
      <c r="Z34" s="10" t="s">
        <v>1598</v>
      </c>
    </row>
    <row r="35" spans="1:26" x14ac:dyDescent="0.15">
      <c r="A35" s="6" t="s">
        <v>93</v>
      </c>
      <c r="B35" s="6" t="s">
        <v>94</v>
      </c>
      <c r="C35" s="6" t="s">
        <v>93</v>
      </c>
      <c r="D35" s="6"/>
      <c r="F35" t="s">
        <v>335</v>
      </c>
      <c r="G35">
        <v>24.5</v>
      </c>
      <c r="H35">
        <v>27.2</v>
      </c>
      <c r="I35">
        <v>68</v>
      </c>
      <c r="J35" t="s">
        <v>335</v>
      </c>
      <c r="K35" t="s">
        <v>336</v>
      </c>
      <c r="L35" t="s">
        <v>337</v>
      </c>
      <c r="M35" t="s">
        <v>338</v>
      </c>
      <c r="N35" t="s">
        <v>268</v>
      </c>
      <c r="O35">
        <v>60</v>
      </c>
      <c r="P35" t="str">
        <f t="shared" si="0"/>
        <v>刺五加王浆口服液10ml×12支×60盒</v>
      </c>
      <c r="R35" s="8" t="s">
        <v>1092</v>
      </c>
      <c r="S35" s="8" t="s">
        <v>1120</v>
      </c>
      <c r="T35" s="8" t="s">
        <v>1121</v>
      </c>
      <c r="U35" s="8" t="s">
        <v>1120</v>
      </c>
      <c r="W35" s="10" t="s">
        <v>1527</v>
      </c>
      <c r="X35" s="10" t="s">
        <v>1596</v>
      </c>
      <c r="Y35" s="10" t="s">
        <v>1599</v>
      </c>
      <c r="Z35" s="10" t="s">
        <v>1600</v>
      </c>
    </row>
    <row r="36" spans="1:26" x14ac:dyDescent="0.15">
      <c r="A36" s="6" t="s">
        <v>95</v>
      </c>
      <c r="B36" s="6" t="s">
        <v>96</v>
      </c>
      <c r="C36" s="6" t="s">
        <v>95</v>
      </c>
      <c r="D36" s="6"/>
      <c r="F36" t="s">
        <v>339</v>
      </c>
      <c r="G36">
        <v>3.51</v>
      </c>
      <c r="J36" t="s">
        <v>339</v>
      </c>
      <c r="K36" t="s">
        <v>340</v>
      </c>
      <c r="L36" t="s">
        <v>303</v>
      </c>
      <c r="M36" t="s">
        <v>304</v>
      </c>
      <c r="N36" t="s">
        <v>268</v>
      </c>
      <c r="O36">
        <v>100</v>
      </c>
      <c r="P36" t="str">
        <f t="shared" si="0"/>
        <v>大山楂丸(OTC)9g×10丸×100盒</v>
      </c>
      <c r="R36" s="8" t="s">
        <v>1065</v>
      </c>
      <c r="S36" s="8" t="s">
        <v>1122</v>
      </c>
      <c r="T36" s="8" t="s">
        <v>1123</v>
      </c>
      <c r="U36" s="8" t="s">
        <v>1122</v>
      </c>
      <c r="W36" s="10" t="s">
        <v>1527</v>
      </c>
      <c r="X36" s="10" t="s">
        <v>1596</v>
      </c>
      <c r="Y36" s="10" t="s">
        <v>1601</v>
      </c>
      <c r="Z36" s="10" t="s">
        <v>1602</v>
      </c>
    </row>
    <row r="37" spans="1:26" x14ac:dyDescent="0.15">
      <c r="A37" s="6" t="s">
        <v>97</v>
      </c>
      <c r="B37" s="6" t="s">
        <v>98</v>
      </c>
      <c r="C37" s="6" t="s">
        <v>97</v>
      </c>
      <c r="D37" s="6"/>
      <c r="F37" t="s">
        <v>341</v>
      </c>
      <c r="G37">
        <v>16.43</v>
      </c>
      <c r="J37" t="s">
        <v>341</v>
      </c>
      <c r="K37" t="s">
        <v>342</v>
      </c>
      <c r="L37" t="s">
        <v>343</v>
      </c>
      <c r="M37" t="s">
        <v>304</v>
      </c>
      <c r="N37" t="s">
        <v>268</v>
      </c>
      <c r="O37">
        <v>60</v>
      </c>
      <c r="P37" t="str">
        <f t="shared" si="0"/>
        <v>丹佛胃尔康颗粒10g*10袋</v>
      </c>
      <c r="R37" s="8" t="s">
        <v>1065</v>
      </c>
      <c r="S37" s="8" t="s">
        <v>1124</v>
      </c>
      <c r="T37" s="8" t="s">
        <v>1125</v>
      </c>
      <c r="U37" s="8" t="s">
        <v>1124</v>
      </c>
      <c r="W37" s="10" t="s">
        <v>1527</v>
      </c>
      <c r="X37" s="10" t="s">
        <v>1596</v>
      </c>
      <c r="Y37" s="10" t="s">
        <v>1603</v>
      </c>
      <c r="Z37" s="10" t="s">
        <v>1604</v>
      </c>
    </row>
    <row r="38" spans="1:26" x14ac:dyDescent="0.15">
      <c r="A38" s="6" t="s">
        <v>99</v>
      </c>
      <c r="B38" s="6" t="s">
        <v>100</v>
      </c>
      <c r="C38" s="6" t="s">
        <v>99</v>
      </c>
      <c r="D38" s="6"/>
      <c r="F38" t="s">
        <v>344</v>
      </c>
      <c r="G38">
        <v>14.5</v>
      </c>
      <c r="J38" t="s">
        <v>344</v>
      </c>
      <c r="K38" t="s">
        <v>342</v>
      </c>
      <c r="L38" t="s">
        <v>345</v>
      </c>
      <c r="M38" t="s">
        <v>304</v>
      </c>
      <c r="N38" t="s">
        <v>268</v>
      </c>
      <c r="O38">
        <v>60</v>
      </c>
      <c r="P38" t="str">
        <f t="shared" si="0"/>
        <v>丹佛胃尔康颗粒10g*8袋</v>
      </c>
      <c r="R38" s="8" t="s">
        <v>1050</v>
      </c>
      <c r="S38" s="8" t="s">
        <v>1126</v>
      </c>
      <c r="T38" s="8" t="s">
        <v>1127</v>
      </c>
      <c r="U38" s="8" t="s">
        <v>1126</v>
      </c>
      <c r="W38" s="10" t="s">
        <v>1527</v>
      </c>
      <c r="X38" s="10" t="s">
        <v>1596</v>
      </c>
      <c r="Y38" s="10" t="s">
        <v>1605</v>
      </c>
      <c r="Z38" s="10" t="s">
        <v>1606</v>
      </c>
    </row>
    <row r="39" spans="1:26" x14ac:dyDescent="0.15">
      <c r="A39" s="6" t="s">
        <v>101</v>
      </c>
      <c r="B39" s="6" t="s">
        <v>102</v>
      </c>
      <c r="C39" s="6" t="s">
        <v>101</v>
      </c>
      <c r="D39" s="6"/>
      <c r="F39" t="s">
        <v>346</v>
      </c>
      <c r="G39">
        <v>16.600000000000001</v>
      </c>
      <c r="J39" t="s">
        <v>346</v>
      </c>
      <c r="K39" t="s">
        <v>347</v>
      </c>
      <c r="L39" t="s">
        <v>348</v>
      </c>
      <c r="M39" t="s">
        <v>304</v>
      </c>
      <c r="N39" t="s">
        <v>268</v>
      </c>
      <c r="O39">
        <v>120</v>
      </c>
      <c r="P39" t="str">
        <f t="shared" si="0"/>
        <v>丹佛胃尔康颗粒(6袋)6袋×10g6袋×10g</v>
      </c>
      <c r="R39" s="8" t="s">
        <v>1050</v>
      </c>
      <c r="S39" s="8" t="s">
        <v>1128</v>
      </c>
      <c r="T39" s="8" t="s">
        <v>1129</v>
      </c>
      <c r="U39" s="8" t="s">
        <v>1128</v>
      </c>
      <c r="W39" s="10" t="s">
        <v>1527</v>
      </c>
      <c r="X39" s="10" t="s">
        <v>1596</v>
      </c>
      <c r="Y39" s="10" t="s">
        <v>1607</v>
      </c>
      <c r="Z39" s="10" t="s">
        <v>1608</v>
      </c>
    </row>
    <row r="40" spans="1:26" x14ac:dyDescent="0.15">
      <c r="A40" s="6" t="s">
        <v>103</v>
      </c>
      <c r="B40" s="6" t="s">
        <v>104</v>
      </c>
      <c r="C40" s="6" t="s">
        <v>103</v>
      </c>
      <c r="D40" s="6"/>
      <c r="F40" t="s">
        <v>349</v>
      </c>
      <c r="G40">
        <v>3</v>
      </c>
      <c r="J40" t="s">
        <v>349</v>
      </c>
      <c r="K40" t="s">
        <v>350</v>
      </c>
      <c r="L40" t="s">
        <v>351</v>
      </c>
      <c r="M40" t="s">
        <v>298</v>
      </c>
      <c r="N40" t="s">
        <v>252</v>
      </c>
      <c r="O40">
        <v>600</v>
      </c>
      <c r="P40" t="str">
        <f t="shared" si="0"/>
        <v>颠茄磺苄啶片（成人10片）0.48g×10片×600盒</v>
      </c>
      <c r="R40" s="8" t="s">
        <v>1050</v>
      </c>
      <c r="S40" s="8" t="s">
        <v>1130</v>
      </c>
      <c r="T40" s="8" t="s">
        <v>1131</v>
      </c>
      <c r="U40" s="8" t="s">
        <v>1130</v>
      </c>
      <c r="W40" s="10" t="s">
        <v>1527</v>
      </c>
      <c r="X40" s="10" t="s">
        <v>1596</v>
      </c>
      <c r="Y40" s="10" t="s">
        <v>1609</v>
      </c>
      <c r="Z40" s="10" t="s">
        <v>1610</v>
      </c>
    </row>
    <row r="41" spans="1:26" x14ac:dyDescent="0.15">
      <c r="A41" s="6" t="s">
        <v>105</v>
      </c>
      <c r="B41" s="6" t="s">
        <v>106</v>
      </c>
      <c r="C41" s="6" t="s">
        <v>105</v>
      </c>
      <c r="D41" s="6"/>
      <c r="F41" t="s">
        <v>352</v>
      </c>
      <c r="G41">
        <v>3.5</v>
      </c>
      <c r="J41" t="s">
        <v>352</v>
      </c>
      <c r="K41" t="s">
        <v>353</v>
      </c>
      <c r="L41" t="s">
        <v>354</v>
      </c>
      <c r="M41" t="s">
        <v>298</v>
      </c>
      <c r="N41" t="s">
        <v>252</v>
      </c>
      <c r="O41">
        <v>400</v>
      </c>
      <c r="P41" t="str">
        <f t="shared" si="0"/>
        <v>颠茄磺苄啶片(成人12片盒装)0.48g×12片×400盒</v>
      </c>
      <c r="R41" s="8" t="s">
        <v>1050</v>
      </c>
      <c r="S41" s="8" t="s">
        <v>1132</v>
      </c>
      <c r="T41" s="8" t="s">
        <v>1133</v>
      </c>
      <c r="U41" s="8" t="s">
        <v>1132</v>
      </c>
      <c r="W41" s="10" t="s">
        <v>1527</v>
      </c>
      <c r="X41" s="10" t="s">
        <v>1596</v>
      </c>
      <c r="Y41" s="10" t="s">
        <v>1611</v>
      </c>
      <c r="Z41" s="10" t="s">
        <v>1612</v>
      </c>
    </row>
    <row r="42" spans="1:26" x14ac:dyDescent="0.15">
      <c r="A42" s="6" t="s">
        <v>107</v>
      </c>
      <c r="B42" s="6" t="s">
        <v>108</v>
      </c>
      <c r="C42" s="6" t="s">
        <v>107</v>
      </c>
      <c r="D42" s="6"/>
      <c r="F42" t="s">
        <v>355</v>
      </c>
      <c r="G42">
        <v>1.96</v>
      </c>
      <c r="J42" t="s">
        <v>355</v>
      </c>
      <c r="K42" t="s">
        <v>356</v>
      </c>
      <c r="L42" t="s">
        <v>357</v>
      </c>
      <c r="M42" t="s">
        <v>298</v>
      </c>
      <c r="N42" t="s">
        <v>252</v>
      </c>
      <c r="O42">
        <v>600</v>
      </c>
      <c r="P42" t="str">
        <f t="shared" si="0"/>
        <v>颠茄磺苄啶片(小儿)0.12g×20片×600盒</v>
      </c>
      <c r="R42" s="8" t="s">
        <v>1065</v>
      </c>
      <c r="S42" s="8" t="s">
        <v>1134</v>
      </c>
      <c r="T42" s="8" t="s">
        <v>1135</v>
      </c>
      <c r="U42" s="8" t="s">
        <v>1134</v>
      </c>
      <c r="W42" s="10" t="s">
        <v>1527</v>
      </c>
      <c r="X42" s="10" t="s">
        <v>1596</v>
      </c>
      <c r="Y42" s="10" t="s">
        <v>1613</v>
      </c>
      <c r="Z42" s="10" t="s">
        <v>1614</v>
      </c>
    </row>
    <row r="43" spans="1:26" x14ac:dyDescent="0.15">
      <c r="A43" s="6" t="s">
        <v>109</v>
      </c>
      <c r="B43" s="6" t="s">
        <v>110</v>
      </c>
      <c r="C43" s="6" t="s">
        <v>109</v>
      </c>
      <c r="D43" s="6"/>
      <c r="F43" t="s">
        <v>358</v>
      </c>
      <c r="G43">
        <v>6.07</v>
      </c>
      <c r="J43" t="s">
        <v>358</v>
      </c>
      <c r="K43" t="s">
        <v>359</v>
      </c>
      <c r="L43" t="s">
        <v>360</v>
      </c>
      <c r="M43" t="s">
        <v>304</v>
      </c>
      <c r="N43" t="s">
        <v>268</v>
      </c>
      <c r="O43">
        <v>100</v>
      </c>
      <c r="P43" t="str">
        <f t="shared" si="0"/>
        <v>跌打丸（OTC）3g×10丸×100盒</v>
      </c>
      <c r="R43" s="8" t="s">
        <v>1050</v>
      </c>
      <c r="S43" s="8" t="s">
        <v>1136</v>
      </c>
      <c r="T43" s="8" t="s">
        <v>1137</v>
      </c>
      <c r="U43" s="8" t="s">
        <v>1136</v>
      </c>
      <c r="W43" s="10" t="s">
        <v>1527</v>
      </c>
      <c r="X43" s="10" t="s">
        <v>1596</v>
      </c>
      <c r="Y43" s="10" t="s">
        <v>1615</v>
      </c>
      <c r="Z43" s="10" t="s">
        <v>1616</v>
      </c>
    </row>
    <row r="44" spans="1:26" x14ac:dyDescent="0.15">
      <c r="A44" s="6" t="s">
        <v>111</v>
      </c>
      <c r="B44" s="6" t="s">
        <v>112</v>
      </c>
      <c r="C44" s="6" t="s">
        <v>111</v>
      </c>
      <c r="D44" s="6"/>
      <c r="F44" t="s">
        <v>361</v>
      </c>
      <c r="G44">
        <v>29</v>
      </c>
      <c r="J44" t="s">
        <v>361</v>
      </c>
      <c r="K44" t="s">
        <v>362</v>
      </c>
      <c r="L44" t="s">
        <v>363</v>
      </c>
      <c r="M44" t="s">
        <v>304</v>
      </c>
      <c r="N44" t="s">
        <v>268</v>
      </c>
      <c r="O44">
        <v>80</v>
      </c>
      <c r="P44" t="str">
        <f t="shared" si="0"/>
        <v>定坤丸12g×10丸×80盒</v>
      </c>
      <c r="R44" s="8" t="s">
        <v>1092</v>
      </c>
      <c r="S44" s="8" t="s">
        <v>1138</v>
      </c>
      <c r="T44" s="8" t="s">
        <v>1139</v>
      </c>
      <c r="U44" s="8" t="s">
        <v>1138</v>
      </c>
      <c r="W44" s="10" t="s">
        <v>1527</v>
      </c>
      <c r="X44" s="10" t="s">
        <v>1617</v>
      </c>
      <c r="Y44" s="10" t="s">
        <v>1618</v>
      </c>
      <c r="Z44" s="10" t="s">
        <v>1619</v>
      </c>
    </row>
    <row r="45" spans="1:26" x14ac:dyDescent="0.15">
      <c r="A45" s="6" t="s">
        <v>113</v>
      </c>
      <c r="B45" s="6" t="s">
        <v>114</v>
      </c>
      <c r="C45" s="6" t="s">
        <v>113</v>
      </c>
      <c r="D45" s="6"/>
      <c r="F45" t="s">
        <v>364</v>
      </c>
      <c r="G45">
        <v>4</v>
      </c>
      <c r="J45" t="s">
        <v>364</v>
      </c>
      <c r="K45" t="s">
        <v>365</v>
      </c>
      <c r="L45" t="s">
        <v>366</v>
      </c>
      <c r="M45" t="s">
        <v>298</v>
      </c>
      <c r="N45" t="s">
        <v>252</v>
      </c>
      <c r="O45">
        <v>300</v>
      </c>
      <c r="P45" t="str">
        <f t="shared" si="0"/>
        <v>厄贝沙坦胶囊75mg×12粒×300盒</v>
      </c>
      <c r="R45" s="8" t="s">
        <v>1050</v>
      </c>
      <c r="S45" s="8" t="s">
        <v>1140</v>
      </c>
      <c r="T45" s="8" t="s">
        <v>1141</v>
      </c>
      <c r="U45" s="8" t="s">
        <v>1140</v>
      </c>
      <c r="W45" s="10" t="s">
        <v>1527</v>
      </c>
      <c r="X45" s="10" t="s">
        <v>1617</v>
      </c>
      <c r="Y45" s="10" t="s">
        <v>1620</v>
      </c>
      <c r="Z45" s="10" t="s">
        <v>1621</v>
      </c>
    </row>
    <row r="46" spans="1:26" x14ac:dyDescent="0.15">
      <c r="A46" s="6" t="s">
        <v>115</v>
      </c>
      <c r="B46" s="6" t="s">
        <v>116</v>
      </c>
      <c r="C46" s="6" t="s">
        <v>115</v>
      </c>
      <c r="D46" s="6"/>
      <c r="F46" t="s">
        <v>367</v>
      </c>
      <c r="G46">
        <v>6</v>
      </c>
      <c r="J46" t="s">
        <v>367</v>
      </c>
      <c r="K46" t="s">
        <v>365</v>
      </c>
      <c r="L46" t="s">
        <v>368</v>
      </c>
      <c r="M46" t="s">
        <v>298</v>
      </c>
      <c r="N46" t="s">
        <v>252</v>
      </c>
      <c r="O46">
        <v>300</v>
      </c>
      <c r="P46" t="str">
        <f t="shared" si="0"/>
        <v>厄贝沙坦胶囊75mg×24粒×300盒</v>
      </c>
      <c r="R46" s="8" t="s">
        <v>1050</v>
      </c>
      <c r="S46" s="8" t="s">
        <v>1142</v>
      </c>
      <c r="T46" s="8" t="s">
        <v>1143</v>
      </c>
      <c r="U46" s="8" t="s">
        <v>1142</v>
      </c>
      <c r="W46" s="10" t="s">
        <v>1527</v>
      </c>
      <c r="X46" s="10" t="s">
        <v>1617</v>
      </c>
      <c r="Y46" s="10" t="s">
        <v>1622</v>
      </c>
      <c r="Z46" s="10" t="s">
        <v>1623</v>
      </c>
    </row>
    <row r="47" spans="1:26" x14ac:dyDescent="0.15">
      <c r="A47" s="6" t="s">
        <v>117</v>
      </c>
      <c r="B47" s="6" t="s">
        <v>118</v>
      </c>
      <c r="C47" s="6" t="s">
        <v>117</v>
      </c>
      <c r="D47" s="6"/>
      <c r="F47" t="s">
        <v>369</v>
      </c>
      <c r="G47">
        <v>6.18</v>
      </c>
      <c r="J47" t="s">
        <v>369</v>
      </c>
      <c r="K47" t="s">
        <v>370</v>
      </c>
      <c r="L47" t="s">
        <v>371</v>
      </c>
      <c r="M47" t="s">
        <v>304</v>
      </c>
      <c r="N47" t="s">
        <v>268</v>
      </c>
      <c r="O47">
        <v>100</v>
      </c>
      <c r="P47" t="str">
        <f t="shared" si="0"/>
        <v>妇宁栓(4粒)1.6g×4枚×100盒</v>
      </c>
      <c r="R47" s="8" t="s">
        <v>1050</v>
      </c>
      <c r="S47" s="8" t="s">
        <v>1144</v>
      </c>
      <c r="T47" s="8" t="s">
        <v>1145</v>
      </c>
      <c r="U47" s="8" t="s">
        <v>1144</v>
      </c>
      <c r="W47" s="10" t="s">
        <v>1527</v>
      </c>
      <c r="X47" s="10" t="s">
        <v>1617</v>
      </c>
      <c r="Y47" s="10" t="s">
        <v>1624</v>
      </c>
      <c r="Z47" s="10" t="s">
        <v>1625</v>
      </c>
    </row>
    <row r="48" spans="1:26" x14ac:dyDescent="0.15">
      <c r="A48" s="6" t="s">
        <v>119</v>
      </c>
      <c r="B48" s="6" t="s">
        <v>120</v>
      </c>
      <c r="C48" s="6" t="s">
        <v>119</v>
      </c>
      <c r="D48" s="6"/>
      <c r="F48" t="s">
        <v>372</v>
      </c>
      <c r="G48">
        <v>10.3</v>
      </c>
      <c r="J48" t="s">
        <v>372</v>
      </c>
      <c r="K48" t="s">
        <v>373</v>
      </c>
      <c r="L48" t="s">
        <v>374</v>
      </c>
      <c r="M48" t="s">
        <v>304</v>
      </c>
      <c r="N48" t="s">
        <v>268</v>
      </c>
      <c r="O48">
        <v>100</v>
      </c>
      <c r="P48" t="str">
        <f t="shared" si="0"/>
        <v>妇宁栓(7粒)1.6g×7枚×100盒</v>
      </c>
      <c r="R48" s="8" t="s">
        <v>1065</v>
      </c>
      <c r="S48" s="8" t="s">
        <v>1146</v>
      </c>
      <c r="T48" s="8" t="s">
        <v>1147</v>
      </c>
      <c r="U48" s="8" t="s">
        <v>1146</v>
      </c>
      <c r="W48" s="10" t="s">
        <v>1527</v>
      </c>
      <c r="X48" s="10" t="s">
        <v>1617</v>
      </c>
      <c r="Y48" s="10" t="s">
        <v>1626</v>
      </c>
      <c r="Z48" s="10" t="s">
        <v>1627</v>
      </c>
    </row>
    <row r="49" spans="1:26" x14ac:dyDescent="0.15">
      <c r="A49" s="6" t="s">
        <v>121</v>
      </c>
      <c r="B49" s="6" t="s">
        <v>122</v>
      </c>
      <c r="C49" s="6" t="s">
        <v>121</v>
      </c>
      <c r="D49" s="6"/>
      <c r="F49" t="s">
        <v>375</v>
      </c>
      <c r="G49">
        <v>11.3</v>
      </c>
      <c r="J49" t="s">
        <v>375</v>
      </c>
      <c r="K49" t="s">
        <v>376</v>
      </c>
      <c r="L49" t="s">
        <v>377</v>
      </c>
      <c r="M49" t="s">
        <v>304</v>
      </c>
      <c r="N49" t="s">
        <v>268</v>
      </c>
      <c r="O49">
        <v>100</v>
      </c>
      <c r="P49" t="str">
        <f t="shared" si="0"/>
        <v>妇宁栓(8粒)1.6g×8枚×100盒</v>
      </c>
      <c r="R49" s="8" t="s">
        <v>1065</v>
      </c>
      <c r="S49" s="8" t="s">
        <v>1148</v>
      </c>
      <c r="T49" s="8" t="s">
        <v>1149</v>
      </c>
      <c r="U49" s="8" t="s">
        <v>1148</v>
      </c>
      <c r="W49" s="10" t="s">
        <v>1527</v>
      </c>
      <c r="X49" s="10" t="s">
        <v>1617</v>
      </c>
      <c r="Y49" s="10" t="s">
        <v>1628</v>
      </c>
      <c r="Z49" s="10" t="s">
        <v>1629</v>
      </c>
    </row>
    <row r="50" spans="1:26" x14ac:dyDescent="0.15">
      <c r="A50" s="6" t="s">
        <v>123</v>
      </c>
      <c r="B50" s="6" t="s">
        <v>124</v>
      </c>
      <c r="C50" s="6" t="s">
        <v>123</v>
      </c>
      <c r="D50" s="6"/>
      <c r="F50" t="s">
        <v>378</v>
      </c>
      <c r="G50">
        <v>11.89</v>
      </c>
      <c r="J50" t="s">
        <v>378</v>
      </c>
      <c r="K50" t="s">
        <v>379</v>
      </c>
      <c r="L50" t="s">
        <v>380</v>
      </c>
      <c r="M50" t="s">
        <v>304</v>
      </c>
      <c r="N50" t="s">
        <v>268</v>
      </c>
      <c r="O50">
        <v>180</v>
      </c>
      <c r="P50" t="str">
        <f t="shared" si="0"/>
        <v>附桂骨痛胶囊0.33g×48粒×180盒</v>
      </c>
      <c r="R50" s="8" t="s">
        <v>1050</v>
      </c>
      <c r="S50" s="8" t="s">
        <v>1150</v>
      </c>
      <c r="T50" s="8" t="s">
        <v>1151</v>
      </c>
      <c r="U50" s="8" t="s">
        <v>1150</v>
      </c>
      <c r="W50" s="10" t="s">
        <v>1527</v>
      </c>
      <c r="X50" s="10" t="s">
        <v>1617</v>
      </c>
      <c r="Y50" s="10" t="s">
        <v>1630</v>
      </c>
      <c r="Z50" s="10" t="s">
        <v>1631</v>
      </c>
    </row>
    <row r="51" spans="1:26" x14ac:dyDescent="0.15">
      <c r="A51" s="6" t="s">
        <v>125</v>
      </c>
      <c r="B51" s="6" t="s">
        <v>126</v>
      </c>
      <c r="C51" s="6" t="s">
        <v>125</v>
      </c>
      <c r="D51" s="6"/>
      <c r="F51" t="s">
        <v>381</v>
      </c>
      <c r="G51">
        <v>9.1999999999999993</v>
      </c>
      <c r="J51" t="s">
        <v>381</v>
      </c>
      <c r="K51" t="s">
        <v>382</v>
      </c>
      <c r="L51" t="s">
        <v>303</v>
      </c>
      <c r="M51" t="s">
        <v>304</v>
      </c>
      <c r="N51" t="s">
        <v>268</v>
      </c>
      <c r="O51">
        <v>100</v>
      </c>
      <c r="P51" t="str">
        <f t="shared" si="0"/>
        <v>附子理中丸(OTC)9g×10丸×100盒</v>
      </c>
      <c r="R51" s="8" t="s">
        <v>1050</v>
      </c>
      <c r="S51" s="8" t="s">
        <v>1152</v>
      </c>
      <c r="T51" s="8" t="s">
        <v>1153</v>
      </c>
      <c r="U51" s="8" t="s">
        <v>1152</v>
      </c>
      <c r="W51" s="10" t="s">
        <v>1527</v>
      </c>
      <c r="X51" s="10" t="s">
        <v>1617</v>
      </c>
      <c r="Y51" s="10" t="s">
        <v>1632</v>
      </c>
      <c r="Z51" s="10" t="s">
        <v>1633</v>
      </c>
    </row>
    <row r="52" spans="1:26" x14ac:dyDescent="0.15">
      <c r="A52" s="6" t="s">
        <v>127</v>
      </c>
      <c r="B52" s="6" t="s">
        <v>128</v>
      </c>
      <c r="C52" s="6" t="s">
        <v>127</v>
      </c>
      <c r="D52" s="6"/>
      <c r="F52" t="s">
        <v>383</v>
      </c>
      <c r="G52">
        <v>2.4</v>
      </c>
      <c r="J52" t="s">
        <v>383</v>
      </c>
      <c r="K52" t="s">
        <v>384</v>
      </c>
      <c r="L52" t="s">
        <v>385</v>
      </c>
      <c r="M52" t="s">
        <v>298</v>
      </c>
      <c r="N52" t="s">
        <v>268</v>
      </c>
      <c r="O52">
        <v>400</v>
      </c>
      <c r="P52" t="str">
        <f t="shared" si="0"/>
        <v>复方氨酚烷胺片12片</v>
      </c>
      <c r="R52" s="8" t="s">
        <v>1050</v>
      </c>
      <c r="S52" s="8" t="s">
        <v>1154</v>
      </c>
      <c r="T52" s="8" t="s">
        <v>1155</v>
      </c>
      <c r="U52" s="8" t="s">
        <v>1154</v>
      </c>
      <c r="W52" s="10" t="s">
        <v>1527</v>
      </c>
      <c r="X52" s="10" t="s">
        <v>1617</v>
      </c>
      <c r="Y52" s="10" t="s">
        <v>1634</v>
      </c>
      <c r="Z52" s="10" t="s">
        <v>1635</v>
      </c>
    </row>
    <row r="53" spans="1:26" x14ac:dyDescent="0.15">
      <c r="A53" s="6" t="s">
        <v>129</v>
      </c>
      <c r="B53" s="6" t="s">
        <v>130</v>
      </c>
      <c r="C53" s="6" t="s">
        <v>129</v>
      </c>
      <c r="D53" s="6"/>
      <c r="F53" t="s">
        <v>386</v>
      </c>
      <c r="G53">
        <v>2</v>
      </c>
      <c r="J53" t="s">
        <v>386</v>
      </c>
      <c r="K53" t="s">
        <v>384</v>
      </c>
      <c r="L53" t="s">
        <v>387</v>
      </c>
      <c r="M53" t="s">
        <v>251</v>
      </c>
      <c r="N53" t="s">
        <v>252</v>
      </c>
      <c r="O53">
        <v>400</v>
      </c>
      <c r="P53" t="str">
        <f t="shared" si="0"/>
        <v>复方氨酚烷胺片12片×400盒</v>
      </c>
      <c r="R53" s="8" t="s">
        <v>1065</v>
      </c>
      <c r="S53" s="8" t="s">
        <v>1156</v>
      </c>
      <c r="T53" s="8" t="s">
        <v>1157</v>
      </c>
      <c r="U53" s="8" t="s">
        <v>1156</v>
      </c>
      <c r="W53" s="10" t="s">
        <v>1527</v>
      </c>
      <c r="X53" s="10" t="s">
        <v>1617</v>
      </c>
      <c r="Y53" s="10" t="s">
        <v>1636</v>
      </c>
      <c r="Z53" s="10" t="s">
        <v>1637</v>
      </c>
    </row>
    <row r="54" spans="1:26" x14ac:dyDescent="0.15">
      <c r="A54" s="6" t="s">
        <v>131</v>
      </c>
      <c r="B54" s="6" t="s">
        <v>132</v>
      </c>
      <c r="C54" s="6" t="s">
        <v>131</v>
      </c>
      <c r="D54" s="6"/>
      <c r="F54" t="s">
        <v>388</v>
      </c>
      <c r="G54">
        <v>1.71</v>
      </c>
      <c r="J54" t="s">
        <v>388</v>
      </c>
      <c r="K54" t="s">
        <v>384</v>
      </c>
      <c r="L54" t="s">
        <v>389</v>
      </c>
      <c r="M54" t="s">
        <v>390</v>
      </c>
      <c r="N54" t="s">
        <v>268</v>
      </c>
      <c r="O54">
        <v>400</v>
      </c>
      <c r="P54" t="str">
        <f t="shared" si="0"/>
        <v>复方氨酚烷胺片12*</v>
      </c>
      <c r="R54" s="8" t="s">
        <v>1050</v>
      </c>
      <c r="S54" s="8" t="s">
        <v>1158</v>
      </c>
      <c r="T54" s="8" t="s">
        <v>1159</v>
      </c>
      <c r="U54" s="8" t="s">
        <v>1158</v>
      </c>
      <c r="W54" s="10" t="s">
        <v>1527</v>
      </c>
      <c r="X54" s="10" t="s">
        <v>1617</v>
      </c>
      <c r="Y54" s="10" t="s">
        <v>1638</v>
      </c>
      <c r="Z54" s="10" t="s">
        <v>1639</v>
      </c>
    </row>
    <row r="55" spans="1:26" x14ac:dyDescent="0.15">
      <c r="A55" s="6" t="s">
        <v>133</v>
      </c>
      <c r="B55" s="6" t="s">
        <v>134</v>
      </c>
      <c r="C55" s="6" t="s">
        <v>133</v>
      </c>
      <c r="D55" s="6"/>
      <c r="F55" t="s">
        <v>391</v>
      </c>
      <c r="G55">
        <v>2.4</v>
      </c>
      <c r="J55" t="s">
        <v>391</v>
      </c>
      <c r="K55" t="s">
        <v>384</v>
      </c>
      <c r="L55" t="s">
        <v>392</v>
      </c>
      <c r="M55" t="s">
        <v>393</v>
      </c>
      <c r="N55" t="s">
        <v>252</v>
      </c>
      <c r="O55">
        <v>300</v>
      </c>
      <c r="P55" t="str">
        <f t="shared" si="0"/>
        <v>复方氨酚烷胺片12片×300盒</v>
      </c>
      <c r="R55" s="8" t="s">
        <v>1092</v>
      </c>
      <c r="S55" s="8" t="s">
        <v>1160</v>
      </c>
      <c r="T55" s="8" t="s">
        <v>1161</v>
      </c>
      <c r="U55" s="8" t="s">
        <v>1160</v>
      </c>
      <c r="W55" s="10" t="s">
        <v>1527</v>
      </c>
      <c r="X55" s="10" t="s">
        <v>1640</v>
      </c>
      <c r="Y55" s="10" t="s">
        <v>1641</v>
      </c>
      <c r="Z55" s="10" t="s">
        <v>1642</v>
      </c>
    </row>
    <row r="56" spans="1:26" x14ac:dyDescent="0.15">
      <c r="A56" s="6" t="s">
        <v>135</v>
      </c>
      <c r="B56" s="6" t="s">
        <v>136</v>
      </c>
      <c r="C56" s="6" t="s">
        <v>135</v>
      </c>
      <c r="D56" s="6"/>
      <c r="F56" t="s">
        <v>394</v>
      </c>
      <c r="G56">
        <v>13</v>
      </c>
      <c r="J56" t="s">
        <v>394</v>
      </c>
      <c r="K56" t="s">
        <v>395</v>
      </c>
      <c r="L56" t="s">
        <v>396</v>
      </c>
      <c r="M56" t="s">
        <v>304</v>
      </c>
      <c r="N56" t="s">
        <v>268</v>
      </c>
      <c r="O56">
        <v>60</v>
      </c>
      <c r="P56" t="str">
        <f t="shared" si="0"/>
        <v>复方金银花颗粒（OTC）10g×10袋×60盒</v>
      </c>
      <c r="R56" s="8" t="s">
        <v>1092</v>
      </c>
      <c r="S56" s="8" t="s">
        <v>1162</v>
      </c>
      <c r="T56" s="8" t="s">
        <v>1163</v>
      </c>
      <c r="U56" s="8" t="s">
        <v>1162</v>
      </c>
      <c r="W56" s="10" t="s">
        <v>1527</v>
      </c>
      <c r="X56" s="10" t="s">
        <v>1640</v>
      </c>
      <c r="Y56" s="10" t="s">
        <v>1643</v>
      </c>
      <c r="Z56" s="10" t="s">
        <v>1644</v>
      </c>
    </row>
    <row r="57" spans="1:26" x14ac:dyDescent="0.15">
      <c r="A57" s="6" t="s">
        <v>137</v>
      </c>
      <c r="B57" s="6" t="s">
        <v>138</v>
      </c>
      <c r="C57" s="6" t="s">
        <v>137</v>
      </c>
      <c r="D57" s="6"/>
      <c r="F57" t="s">
        <v>397</v>
      </c>
      <c r="G57">
        <v>5.3</v>
      </c>
      <c r="J57" t="s">
        <v>397</v>
      </c>
      <c r="K57" t="s">
        <v>398</v>
      </c>
      <c r="L57" t="s">
        <v>399</v>
      </c>
      <c r="M57" t="s">
        <v>393</v>
      </c>
      <c r="N57" t="s">
        <v>268</v>
      </c>
      <c r="O57">
        <v>300</v>
      </c>
      <c r="P57" t="str">
        <f t="shared" si="0"/>
        <v>复方铝酸铋片30片×300盒</v>
      </c>
      <c r="R57" s="8" t="s">
        <v>1050</v>
      </c>
      <c r="S57" s="8" t="s">
        <v>1164</v>
      </c>
      <c r="T57" s="8" t="s">
        <v>1165</v>
      </c>
      <c r="U57" s="8" t="s">
        <v>1164</v>
      </c>
      <c r="W57" s="10" t="s">
        <v>1527</v>
      </c>
      <c r="X57" s="10" t="s">
        <v>1645</v>
      </c>
      <c r="Y57" s="10" t="s">
        <v>1646</v>
      </c>
      <c r="Z57" s="10" t="s">
        <v>1647</v>
      </c>
    </row>
    <row r="58" spans="1:26" x14ac:dyDescent="0.15">
      <c r="A58" s="6" t="s">
        <v>139</v>
      </c>
      <c r="B58" s="6" t="s">
        <v>140</v>
      </c>
      <c r="C58" s="6" t="s">
        <v>139</v>
      </c>
      <c r="D58" s="6"/>
      <c r="F58" t="s">
        <v>400</v>
      </c>
      <c r="G58">
        <v>8.3000000000000007</v>
      </c>
      <c r="J58" t="s">
        <v>400</v>
      </c>
      <c r="K58" t="s">
        <v>398</v>
      </c>
      <c r="L58" t="s">
        <v>401</v>
      </c>
      <c r="M58" t="s">
        <v>393</v>
      </c>
      <c r="N58" t="s">
        <v>252</v>
      </c>
      <c r="O58">
        <v>300</v>
      </c>
      <c r="P58" t="str">
        <f t="shared" si="0"/>
        <v>复方铝酸铋片50片×300盒</v>
      </c>
      <c r="R58" s="8" t="s">
        <v>1050</v>
      </c>
      <c r="S58" s="8" t="s">
        <v>1166</v>
      </c>
      <c r="T58" s="8" t="s">
        <v>1167</v>
      </c>
      <c r="U58" s="8" t="s">
        <v>1166</v>
      </c>
      <c r="W58" s="10" t="s">
        <v>1527</v>
      </c>
      <c r="X58" s="10" t="s">
        <v>1645</v>
      </c>
      <c r="Y58" s="10" t="s">
        <v>1648</v>
      </c>
      <c r="Z58" s="10" t="s">
        <v>1649</v>
      </c>
    </row>
    <row r="59" spans="1:26" x14ac:dyDescent="0.15">
      <c r="A59" s="6" t="s">
        <v>141</v>
      </c>
      <c r="B59" s="6" t="s">
        <v>142</v>
      </c>
      <c r="C59" s="6" t="s">
        <v>141</v>
      </c>
      <c r="D59" s="6"/>
      <c r="F59" t="s">
        <v>402</v>
      </c>
      <c r="G59">
        <v>3</v>
      </c>
      <c r="J59" t="s">
        <v>402</v>
      </c>
      <c r="K59" t="s">
        <v>403</v>
      </c>
      <c r="L59" t="s">
        <v>404</v>
      </c>
      <c r="M59" t="s">
        <v>251</v>
      </c>
      <c r="N59" t="s">
        <v>268</v>
      </c>
      <c r="O59">
        <v>200</v>
      </c>
      <c r="P59" t="str">
        <f t="shared" si="0"/>
        <v>富马酸亚铁颗粒2g*0.2g*6袋</v>
      </c>
      <c r="R59" s="8" t="s">
        <v>1050</v>
      </c>
      <c r="S59" s="8" t="s">
        <v>1168</v>
      </c>
      <c r="T59" s="8" t="s">
        <v>1169</v>
      </c>
      <c r="U59" s="8" t="s">
        <v>1168</v>
      </c>
      <c r="W59" s="10" t="s">
        <v>1527</v>
      </c>
      <c r="X59" s="10" t="s">
        <v>1645</v>
      </c>
      <c r="Y59" s="10" t="s">
        <v>1650</v>
      </c>
      <c r="Z59" s="10" t="s">
        <v>1651</v>
      </c>
    </row>
    <row r="60" spans="1:26" x14ac:dyDescent="0.15">
      <c r="A60" s="6" t="s">
        <v>143</v>
      </c>
      <c r="B60" s="6" t="s">
        <v>144</v>
      </c>
      <c r="C60" s="6" t="s">
        <v>143</v>
      </c>
      <c r="D60" s="6"/>
      <c r="F60" t="s">
        <v>405</v>
      </c>
      <c r="G60">
        <v>14</v>
      </c>
      <c r="I60">
        <v>25.8</v>
      </c>
      <c r="J60" t="s">
        <v>405</v>
      </c>
      <c r="K60" t="s">
        <v>406</v>
      </c>
      <c r="L60" t="s">
        <v>407</v>
      </c>
      <c r="M60" t="s">
        <v>298</v>
      </c>
      <c r="N60" t="s">
        <v>252</v>
      </c>
      <c r="O60">
        <v>80</v>
      </c>
      <c r="P60" t="str">
        <f t="shared" si="0"/>
        <v>钙加锌口服液10ml×12支×80盒</v>
      </c>
      <c r="R60" s="8" t="s">
        <v>1050</v>
      </c>
      <c r="S60" s="8" t="s">
        <v>1170</v>
      </c>
      <c r="T60" s="8" t="s">
        <v>1171</v>
      </c>
      <c r="U60" s="8" t="s">
        <v>1170</v>
      </c>
      <c r="W60" s="10" t="s">
        <v>1527</v>
      </c>
      <c r="X60" s="10" t="s">
        <v>1645</v>
      </c>
      <c r="Y60" s="10" t="s">
        <v>1652</v>
      </c>
      <c r="Z60" s="10" t="s">
        <v>1653</v>
      </c>
    </row>
    <row r="61" spans="1:26" x14ac:dyDescent="0.15">
      <c r="A61" s="6" t="s">
        <v>145</v>
      </c>
      <c r="B61" s="6" t="s">
        <v>146</v>
      </c>
      <c r="C61" s="6" t="s">
        <v>145</v>
      </c>
      <c r="D61" s="6"/>
      <c r="F61" t="s">
        <v>408</v>
      </c>
      <c r="G61">
        <v>10.5</v>
      </c>
      <c r="J61" t="s">
        <v>408</v>
      </c>
      <c r="K61" t="s">
        <v>409</v>
      </c>
      <c r="L61" t="s">
        <v>334</v>
      </c>
      <c r="M61" t="s">
        <v>251</v>
      </c>
      <c r="N61" t="s">
        <v>252</v>
      </c>
      <c r="O61">
        <v>80</v>
      </c>
      <c r="P61" t="str">
        <f t="shared" si="0"/>
        <v>钙铁锌口服液10ml×10支×80盒</v>
      </c>
      <c r="R61" s="8" t="s">
        <v>1050</v>
      </c>
      <c r="S61" s="8" t="s">
        <v>1172</v>
      </c>
      <c r="T61" s="8" t="s">
        <v>1173</v>
      </c>
      <c r="U61" s="8" t="s">
        <v>1172</v>
      </c>
      <c r="W61" s="10" t="s">
        <v>1527</v>
      </c>
      <c r="X61" s="10" t="s">
        <v>1645</v>
      </c>
      <c r="Y61" s="10" t="s">
        <v>1654</v>
      </c>
      <c r="Z61" s="10" t="s">
        <v>1655</v>
      </c>
    </row>
    <row r="62" spans="1:26" x14ac:dyDescent="0.15">
      <c r="A62" s="6" t="s">
        <v>147</v>
      </c>
      <c r="B62" s="6" t="s">
        <v>148</v>
      </c>
      <c r="C62" s="6" t="s">
        <v>147</v>
      </c>
      <c r="D62" s="6"/>
      <c r="F62" t="s">
        <v>410</v>
      </c>
      <c r="G62">
        <v>12</v>
      </c>
      <c r="J62" t="s">
        <v>410</v>
      </c>
      <c r="K62" t="s">
        <v>409</v>
      </c>
      <c r="L62" t="s">
        <v>337</v>
      </c>
      <c r="M62" t="s">
        <v>251</v>
      </c>
      <c r="N62" t="s">
        <v>252</v>
      </c>
      <c r="O62">
        <v>60</v>
      </c>
      <c r="P62" t="str">
        <f t="shared" si="0"/>
        <v>钙铁锌口服液10ml×12支×60盒</v>
      </c>
      <c r="R62" s="8" t="s">
        <v>1050</v>
      </c>
      <c r="S62" s="8" t="s">
        <v>1174</v>
      </c>
      <c r="T62" s="8" t="s">
        <v>1175</v>
      </c>
      <c r="U62" s="8" t="s">
        <v>1174</v>
      </c>
      <c r="W62" s="10" t="s">
        <v>1527</v>
      </c>
      <c r="X62" s="10" t="s">
        <v>1645</v>
      </c>
      <c r="Y62" s="10" t="s">
        <v>1656</v>
      </c>
      <c r="Z62" s="10" t="s">
        <v>1657</v>
      </c>
    </row>
    <row r="63" spans="1:26" x14ac:dyDescent="0.15">
      <c r="A63" s="6" t="s">
        <v>149</v>
      </c>
      <c r="B63" s="6" t="s">
        <v>150</v>
      </c>
      <c r="C63" s="6" t="s">
        <v>149</v>
      </c>
      <c r="D63" s="6"/>
      <c r="F63" t="s">
        <v>411</v>
      </c>
      <c r="G63">
        <v>14.5</v>
      </c>
      <c r="J63" t="s">
        <v>411</v>
      </c>
      <c r="K63" t="s">
        <v>409</v>
      </c>
      <c r="L63" t="s">
        <v>412</v>
      </c>
      <c r="M63" t="s">
        <v>251</v>
      </c>
      <c r="N63" t="s">
        <v>252</v>
      </c>
      <c r="O63">
        <v>48</v>
      </c>
      <c r="P63" t="str">
        <f t="shared" si="0"/>
        <v>钙铁锌口服液10ml×15支×48盒</v>
      </c>
      <c r="R63" s="8" t="s">
        <v>1065</v>
      </c>
      <c r="S63" s="8" t="s">
        <v>1176</v>
      </c>
      <c r="T63" s="8" t="s">
        <v>1177</v>
      </c>
      <c r="U63" s="8" t="s">
        <v>1176</v>
      </c>
      <c r="W63" s="10" t="s">
        <v>1527</v>
      </c>
      <c r="X63" s="10" t="s">
        <v>1645</v>
      </c>
      <c r="Y63" s="10" t="s">
        <v>1658</v>
      </c>
      <c r="Z63" s="10" t="s">
        <v>1659</v>
      </c>
    </row>
    <row r="64" spans="1:26" x14ac:dyDescent="0.15">
      <c r="A64" s="6" t="s">
        <v>151</v>
      </c>
      <c r="B64" s="6" t="s">
        <v>152</v>
      </c>
      <c r="C64" s="6" t="s">
        <v>151</v>
      </c>
      <c r="D64" s="6"/>
      <c r="F64" t="s">
        <v>413</v>
      </c>
      <c r="G64">
        <v>14</v>
      </c>
      <c r="J64" t="s">
        <v>413</v>
      </c>
      <c r="K64" t="s">
        <v>414</v>
      </c>
      <c r="L64" t="s">
        <v>415</v>
      </c>
      <c r="M64" t="s">
        <v>298</v>
      </c>
      <c r="N64" t="s">
        <v>268</v>
      </c>
      <c r="O64">
        <v>80</v>
      </c>
      <c r="P64" t="str">
        <f t="shared" si="0"/>
        <v>钙锌口服液10ml*12支</v>
      </c>
      <c r="R64" s="8" t="s">
        <v>1092</v>
      </c>
      <c r="S64" s="8" t="s">
        <v>1178</v>
      </c>
      <c r="T64" s="8" t="s">
        <v>1179</v>
      </c>
      <c r="U64" s="8" t="s">
        <v>1178</v>
      </c>
      <c r="W64" s="10" t="s">
        <v>1527</v>
      </c>
      <c r="X64" s="10" t="s">
        <v>1645</v>
      </c>
      <c r="Y64" s="10" t="s">
        <v>1660</v>
      </c>
      <c r="Z64" s="10" t="s">
        <v>1661</v>
      </c>
    </row>
    <row r="65" spans="1:26" x14ac:dyDescent="0.15">
      <c r="A65" s="6" t="s">
        <v>153</v>
      </c>
      <c r="B65" s="6" t="s">
        <v>154</v>
      </c>
      <c r="C65" s="6" t="s">
        <v>153</v>
      </c>
      <c r="D65" s="6"/>
      <c r="F65" t="s">
        <v>416</v>
      </c>
      <c r="G65">
        <v>24</v>
      </c>
      <c r="J65" t="s">
        <v>416</v>
      </c>
      <c r="K65" t="s">
        <v>414</v>
      </c>
      <c r="L65" t="s">
        <v>417</v>
      </c>
      <c r="M65" t="s">
        <v>298</v>
      </c>
      <c r="N65" t="s">
        <v>268</v>
      </c>
      <c r="O65">
        <v>24</v>
      </c>
      <c r="P65" t="str">
        <f t="shared" si="0"/>
        <v>钙锌口服液10ml*24支</v>
      </c>
      <c r="R65" s="8" t="s">
        <v>1050</v>
      </c>
      <c r="S65" s="8" t="s">
        <v>1180</v>
      </c>
      <c r="T65" s="8" t="s">
        <v>1181</v>
      </c>
      <c r="U65" s="8" t="s">
        <v>1180</v>
      </c>
      <c r="W65" s="10" t="s">
        <v>1527</v>
      </c>
      <c r="X65" s="10" t="s">
        <v>1662</v>
      </c>
      <c r="Y65" s="10" t="s">
        <v>1663</v>
      </c>
      <c r="Z65" s="10" t="s">
        <v>1664</v>
      </c>
    </row>
    <row r="66" spans="1:26" x14ac:dyDescent="0.15">
      <c r="A66" s="6" t="s">
        <v>155</v>
      </c>
      <c r="B66" s="6" t="s">
        <v>156</v>
      </c>
      <c r="C66" s="6" t="s">
        <v>155</v>
      </c>
      <c r="D66" s="6"/>
      <c r="F66" t="s">
        <v>418</v>
      </c>
      <c r="G66">
        <v>10.199999999999999</v>
      </c>
      <c r="J66" t="s">
        <v>418</v>
      </c>
      <c r="K66" t="s">
        <v>419</v>
      </c>
      <c r="L66" t="s">
        <v>420</v>
      </c>
      <c r="M66" t="s">
        <v>330</v>
      </c>
      <c r="N66" t="s">
        <v>252</v>
      </c>
      <c r="O66">
        <v>120</v>
      </c>
      <c r="P66" t="str">
        <f t="shared" si="0"/>
        <v>感冒解毒灵颗粒（10袋）5g×10袋×120盒</v>
      </c>
      <c r="R66" s="8" t="s">
        <v>1050</v>
      </c>
      <c r="S66" s="8" t="s">
        <v>1182</v>
      </c>
      <c r="T66" s="8" t="s">
        <v>1183</v>
      </c>
      <c r="U66" s="8" t="s">
        <v>1182</v>
      </c>
      <c r="W66" s="10" t="s">
        <v>1527</v>
      </c>
      <c r="X66" s="10" t="s">
        <v>1662</v>
      </c>
      <c r="Y66" s="10" t="s">
        <v>1665</v>
      </c>
      <c r="Z66" s="10" t="s">
        <v>1666</v>
      </c>
    </row>
    <row r="67" spans="1:26" x14ac:dyDescent="0.15">
      <c r="A67" s="6" t="s">
        <v>157</v>
      </c>
      <c r="B67" s="6" t="s">
        <v>158</v>
      </c>
      <c r="C67" s="6" t="s">
        <v>157</v>
      </c>
      <c r="D67" s="6"/>
      <c r="F67" t="s">
        <v>421</v>
      </c>
      <c r="G67">
        <v>10</v>
      </c>
      <c r="J67" t="s">
        <v>421</v>
      </c>
      <c r="K67" t="s">
        <v>422</v>
      </c>
      <c r="L67" t="s">
        <v>423</v>
      </c>
      <c r="M67" t="s">
        <v>251</v>
      </c>
      <c r="N67" t="s">
        <v>252</v>
      </c>
      <c r="O67">
        <v>400</v>
      </c>
      <c r="P67" t="str">
        <f t="shared" ref="P67:P130" si="1">K67&amp;L67</f>
        <v>格列齐特片80mg*60片</v>
      </c>
      <c r="R67" s="8" t="s">
        <v>1050</v>
      </c>
      <c r="S67" s="8" t="s">
        <v>1184</v>
      </c>
      <c r="T67" s="8" t="s">
        <v>1185</v>
      </c>
      <c r="U67" s="8" t="s">
        <v>1184</v>
      </c>
      <c r="W67" s="10" t="s">
        <v>1527</v>
      </c>
      <c r="X67" s="10" t="s">
        <v>1662</v>
      </c>
      <c r="Y67" s="10" t="s">
        <v>1667</v>
      </c>
      <c r="Z67" s="10" t="s">
        <v>1668</v>
      </c>
    </row>
    <row r="68" spans="1:26" x14ac:dyDescent="0.15">
      <c r="A68" s="6" t="s">
        <v>159</v>
      </c>
      <c r="B68" s="6" t="s">
        <v>160</v>
      </c>
      <c r="C68" s="6" t="s">
        <v>159</v>
      </c>
      <c r="D68" s="6"/>
      <c r="F68" t="s">
        <v>424</v>
      </c>
      <c r="G68">
        <v>15.5</v>
      </c>
      <c r="J68" t="s">
        <v>424</v>
      </c>
      <c r="K68" t="s">
        <v>425</v>
      </c>
      <c r="L68" t="s">
        <v>426</v>
      </c>
      <c r="M68" t="s">
        <v>304</v>
      </c>
      <c r="N68" t="s">
        <v>268</v>
      </c>
      <c r="O68">
        <v>60</v>
      </c>
      <c r="P68" t="str">
        <f t="shared" si="1"/>
        <v>宫血停颗粒10g×12袋×60盒</v>
      </c>
      <c r="R68" s="8" t="s">
        <v>1050</v>
      </c>
      <c r="S68" s="8" t="s">
        <v>1186</v>
      </c>
      <c r="T68" s="8" t="s">
        <v>1187</v>
      </c>
      <c r="U68" s="8" t="s">
        <v>1186</v>
      </c>
      <c r="W68" s="10" t="s">
        <v>1527</v>
      </c>
      <c r="X68" s="10" t="s">
        <v>1662</v>
      </c>
      <c r="Y68" s="10" t="s">
        <v>1669</v>
      </c>
      <c r="Z68" s="10" t="s">
        <v>1670</v>
      </c>
    </row>
    <row r="69" spans="1:26" x14ac:dyDescent="0.15">
      <c r="A69" s="6" t="s">
        <v>161</v>
      </c>
      <c r="B69" s="6" t="s">
        <v>162</v>
      </c>
      <c r="C69" s="6" t="s">
        <v>161</v>
      </c>
      <c r="D69" s="6"/>
      <c r="F69" t="s">
        <v>427</v>
      </c>
      <c r="G69">
        <v>11.12</v>
      </c>
      <c r="J69" t="s">
        <v>427</v>
      </c>
      <c r="K69" t="s">
        <v>428</v>
      </c>
      <c r="L69" t="s">
        <v>429</v>
      </c>
      <c r="M69" t="s">
        <v>304</v>
      </c>
      <c r="N69" t="s">
        <v>268</v>
      </c>
      <c r="O69">
        <v>60</v>
      </c>
      <c r="P69" t="str">
        <f t="shared" si="1"/>
        <v>宫血停颗粒(无糖型)6袋×10g10g×6袋×60盒</v>
      </c>
      <c r="R69" s="8" t="s">
        <v>1050</v>
      </c>
      <c r="S69" s="8" t="s">
        <v>1188</v>
      </c>
      <c r="T69" s="8" t="s">
        <v>1189</v>
      </c>
      <c r="U69" s="8" t="s">
        <v>1188</v>
      </c>
      <c r="W69" s="10" t="s">
        <v>1527</v>
      </c>
      <c r="X69" s="10" t="s">
        <v>1662</v>
      </c>
      <c r="Y69" s="10" t="s">
        <v>1671</v>
      </c>
      <c r="Z69" s="10" t="s">
        <v>1672</v>
      </c>
    </row>
    <row r="70" spans="1:26" x14ac:dyDescent="0.15">
      <c r="A70" s="6" t="s">
        <v>163</v>
      </c>
      <c r="B70" s="6" t="s">
        <v>164</v>
      </c>
      <c r="C70" s="6" t="s">
        <v>163</v>
      </c>
      <c r="D70" s="6"/>
      <c r="F70" t="s">
        <v>430</v>
      </c>
      <c r="G70">
        <v>13.8</v>
      </c>
      <c r="J70" t="s">
        <v>430</v>
      </c>
      <c r="K70" t="s">
        <v>431</v>
      </c>
      <c r="L70" t="s">
        <v>432</v>
      </c>
      <c r="M70" t="s">
        <v>304</v>
      </c>
      <c r="N70" t="s">
        <v>268</v>
      </c>
      <c r="O70">
        <v>180</v>
      </c>
      <c r="P70" t="str">
        <f t="shared" si="1"/>
        <v>冠心苏合丸1.2g×30丸×180盒</v>
      </c>
      <c r="R70" s="8" t="s">
        <v>1050</v>
      </c>
      <c r="S70" s="8" t="s">
        <v>1190</v>
      </c>
      <c r="T70" s="8" t="s">
        <v>1191</v>
      </c>
      <c r="U70" s="8" t="s">
        <v>1190</v>
      </c>
      <c r="W70" s="10" t="s">
        <v>1527</v>
      </c>
      <c r="X70" s="10" t="s">
        <v>1662</v>
      </c>
      <c r="Y70" s="10" t="s">
        <v>1673</v>
      </c>
      <c r="Z70" s="10" t="s">
        <v>1674</v>
      </c>
    </row>
    <row r="71" spans="1:26" x14ac:dyDescent="0.15">
      <c r="A71" s="6" t="s">
        <v>165</v>
      </c>
      <c r="B71" s="6" t="s">
        <v>166</v>
      </c>
      <c r="C71" s="6" t="s">
        <v>165</v>
      </c>
      <c r="D71" s="6"/>
      <c r="F71" t="s">
        <v>433</v>
      </c>
      <c r="G71">
        <v>10</v>
      </c>
      <c r="J71" t="s">
        <v>433</v>
      </c>
      <c r="K71" t="s">
        <v>434</v>
      </c>
      <c r="L71" t="s">
        <v>435</v>
      </c>
      <c r="M71" t="s">
        <v>304</v>
      </c>
      <c r="N71" t="s">
        <v>268</v>
      </c>
      <c r="O71">
        <v>180</v>
      </c>
      <c r="P71" t="str">
        <f t="shared" si="1"/>
        <v>冠心泰丸6g×6袋×180小盒</v>
      </c>
      <c r="R71" s="8" t="s">
        <v>1050</v>
      </c>
      <c r="S71" s="8" t="s">
        <v>1192</v>
      </c>
      <c r="T71" s="8" t="s">
        <v>1193</v>
      </c>
      <c r="U71" s="8" t="s">
        <v>1192</v>
      </c>
      <c r="W71" s="10" t="s">
        <v>1527</v>
      </c>
      <c r="X71" s="10" t="s">
        <v>1662</v>
      </c>
      <c r="Y71" s="10" t="s">
        <v>1675</v>
      </c>
      <c r="Z71" s="10" t="s">
        <v>1676</v>
      </c>
    </row>
    <row r="72" spans="1:26" x14ac:dyDescent="0.15">
      <c r="A72" s="6" t="s">
        <v>167</v>
      </c>
      <c r="B72" s="6" t="s">
        <v>168</v>
      </c>
      <c r="C72" s="6" t="s">
        <v>167</v>
      </c>
      <c r="D72" s="6"/>
      <c r="F72" t="s">
        <v>436</v>
      </c>
      <c r="G72">
        <v>5.5</v>
      </c>
      <c r="J72" t="s">
        <v>436</v>
      </c>
      <c r="K72" t="s">
        <v>437</v>
      </c>
      <c r="L72" t="s">
        <v>438</v>
      </c>
      <c r="M72" t="s">
        <v>251</v>
      </c>
      <c r="N72" t="s">
        <v>252</v>
      </c>
      <c r="O72">
        <v>300</v>
      </c>
      <c r="P72" t="str">
        <f t="shared" si="1"/>
        <v>红霉素肠溶胶囊（尚宏）0.125g*20粒</v>
      </c>
      <c r="R72" s="8" t="s">
        <v>1050</v>
      </c>
      <c r="S72" s="8" t="s">
        <v>1194</v>
      </c>
      <c r="T72" s="8" t="s">
        <v>1195</v>
      </c>
      <c r="U72" s="8" t="s">
        <v>1194</v>
      </c>
      <c r="W72" s="10" t="s">
        <v>1527</v>
      </c>
      <c r="X72" s="10" t="s">
        <v>1662</v>
      </c>
      <c r="Y72" s="10" t="s">
        <v>1677</v>
      </c>
      <c r="Z72" s="10" t="s">
        <v>1678</v>
      </c>
    </row>
    <row r="73" spans="1:26" x14ac:dyDescent="0.15">
      <c r="A73" s="6" t="s">
        <v>169</v>
      </c>
      <c r="B73" s="6" t="s">
        <v>170</v>
      </c>
      <c r="C73" s="6" t="s">
        <v>169</v>
      </c>
      <c r="D73" s="6"/>
      <c r="F73" t="s">
        <v>439</v>
      </c>
      <c r="G73">
        <v>17</v>
      </c>
      <c r="J73" t="s">
        <v>439</v>
      </c>
      <c r="K73" t="s">
        <v>440</v>
      </c>
      <c r="L73" t="s">
        <v>441</v>
      </c>
      <c r="M73" t="s">
        <v>393</v>
      </c>
      <c r="N73" t="s">
        <v>268</v>
      </c>
      <c r="O73">
        <v>300</v>
      </c>
      <c r="P73" t="str">
        <f t="shared" si="1"/>
        <v>护肝片100片×300盒</v>
      </c>
      <c r="R73" s="8" t="s">
        <v>1050</v>
      </c>
      <c r="S73" s="8" t="s">
        <v>1196</v>
      </c>
      <c r="T73" s="8" t="s">
        <v>1197</v>
      </c>
      <c r="U73" s="8" t="s">
        <v>1196</v>
      </c>
      <c r="W73" s="10" t="s">
        <v>1527</v>
      </c>
      <c r="X73" s="10" t="s">
        <v>1662</v>
      </c>
      <c r="Y73" s="10" t="s">
        <v>1679</v>
      </c>
      <c r="Z73" s="10" t="s">
        <v>1680</v>
      </c>
    </row>
    <row r="74" spans="1:26" x14ac:dyDescent="0.15">
      <c r="A74" s="6" t="s">
        <v>171</v>
      </c>
      <c r="B74" s="6" t="s">
        <v>172</v>
      </c>
      <c r="C74" s="6" t="s">
        <v>171</v>
      </c>
      <c r="D74" s="7" t="s">
        <v>235</v>
      </c>
      <c r="G74">
        <v>29</v>
      </c>
      <c r="K74" t="s">
        <v>440</v>
      </c>
      <c r="L74" t="s">
        <v>442</v>
      </c>
      <c r="N74" t="s">
        <v>268</v>
      </c>
      <c r="P74" t="str">
        <f t="shared" si="1"/>
        <v>护肝片180片</v>
      </c>
      <c r="R74" s="8" t="s">
        <v>1050</v>
      </c>
      <c r="S74" s="8" t="s">
        <v>1198</v>
      </c>
      <c r="T74" s="8" t="s">
        <v>1199</v>
      </c>
      <c r="U74" s="8" t="s">
        <v>1198</v>
      </c>
      <c r="W74" s="10" t="s">
        <v>1527</v>
      </c>
      <c r="X74" s="10" t="s">
        <v>1662</v>
      </c>
      <c r="Y74" s="10" t="s">
        <v>1681</v>
      </c>
      <c r="Z74" s="10" t="s">
        <v>1682</v>
      </c>
    </row>
    <row r="75" spans="1:26" x14ac:dyDescent="0.15">
      <c r="A75" s="6" t="s">
        <v>173</v>
      </c>
      <c r="B75" s="6" t="s">
        <v>174</v>
      </c>
      <c r="C75" s="6" t="s">
        <v>173</v>
      </c>
      <c r="D75" s="6"/>
      <c r="F75" t="s">
        <v>443</v>
      </c>
      <c r="G75">
        <v>7</v>
      </c>
      <c r="J75" t="s">
        <v>443</v>
      </c>
      <c r="K75" t="s">
        <v>444</v>
      </c>
      <c r="L75" t="s">
        <v>445</v>
      </c>
      <c r="M75" t="s">
        <v>251</v>
      </c>
      <c r="N75" t="s">
        <v>252</v>
      </c>
      <c r="O75">
        <v>200</v>
      </c>
      <c r="P75" t="str">
        <f t="shared" si="1"/>
        <v>吉非罗齐胶囊0.3g*20粒</v>
      </c>
      <c r="R75" s="8" t="s">
        <v>1050</v>
      </c>
      <c r="S75" s="8" t="s">
        <v>1200</v>
      </c>
      <c r="T75" s="8" t="s">
        <v>1201</v>
      </c>
      <c r="U75" s="8" t="s">
        <v>1200</v>
      </c>
      <c r="W75" s="10" t="s">
        <v>1527</v>
      </c>
      <c r="X75" s="10" t="s">
        <v>1662</v>
      </c>
      <c r="Y75" s="10" t="s">
        <v>1683</v>
      </c>
      <c r="Z75" s="10" t="s">
        <v>1684</v>
      </c>
    </row>
    <row r="76" spans="1:26" x14ac:dyDescent="0.15">
      <c r="A76" s="6" t="s">
        <v>175</v>
      </c>
      <c r="B76" s="6" t="s">
        <v>176</v>
      </c>
      <c r="C76" s="6" t="s">
        <v>175</v>
      </c>
      <c r="D76" s="6"/>
      <c r="F76" t="s">
        <v>446</v>
      </c>
      <c r="G76">
        <v>7.3</v>
      </c>
      <c r="J76" t="s">
        <v>446</v>
      </c>
      <c r="K76" t="s">
        <v>447</v>
      </c>
      <c r="L76" t="s">
        <v>448</v>
      </c>
      <c r="M76" t="s">
        <v>304</v>
      </c>
      <c r="N76" t="s">
        <v>268</v>
      </c>
      <c r="O76">
        <v>100</v>
      </c>
      <c r="P76" t="str">
        <f t="shared" si="1"/>
        <v>健脾丸9g*10丸</v>
      </c>
      <c r="R76" s="8" t="s">
        <v>1050</v>
      </c>
      <c r="S76" s="8" t="s">
        <v>1202</v>
      </c>
      <c r="T76" s="8" t="s">
        <v>1203</v>
      </c>
      <c r="U76" s="8" t="s">
        <v>1202</v>
      </c>
      <c r="W76" s="10" t="s">
        <v>1527</v>
      </c>
      <c r="X76" s="10" t="s">
        <v>1662</v>
      </c>
      <c r="Y76" s="10" t="s">
        <v>1685</v>
      </c>
      <c r="Z76" s="10" t="s">
        <v>1686</v>
      </c>
    </row>
    <row r="77" spans="1:26" x14ac:dyDescent="0.15">
      <c r="A77" s="6" t="s">
        <v>177</v>
      </c>
      <c r="B77" s="6" t="s">
        <v>178</v>
      </c>
      <c r="C77" s="6" t="s">
        <v>177</v>
      </c>
      <c r="D77" s="6"/>
      <c r="F77" t="s">
        <v>449</v>
      </c>
      <c r="G77">
        <v>3.78</v>
      </c>
      <c r="I77">
        <v>19.8</v>
      </c>
      <c r="J77" t="s">
        <v>449</v>
      </c>
      <c r="K77" t="s">
        <v>450</v>
      </c>
      <c r="L77" t="s">
        <v>451</v>
      </c>
      <c r="M77" t="s">
        <v>267</v>
      </c>
      <c r="N77" t="s">
        <v>268</v>
      </c>
      <c r="O77">
        <v>480</v>
      </c>
      <c r="P77" t="str">
        <f t="shared" si="1"/>
        <v>胶体果胶铋胶囊50mg*24粒*480盒50mg*12粒*2板*480盒</v>
      </c>
      <c r="R77" s="8" t="s">
        <v>1050</v>
      </c>
      <c r="S77" s="8" t="s">
        <v>1204</v>
      </c>
      <c r="T77" s="8" t="s">
        <v>1205</v>
      </c>
      <c r="U77" s="8" t="s">
        <v>1204</v>
      </c>
      <c r="W77" s="10" t="s">
        <v>1527</v>
      </c>
      <c r="X77" s="10" t="s">
        <v>1687</v>
      </c>
      <c r="Y77" s="10" t="s">
        <v>1688</v>
      </c>
      <c r="Z77" s="10" t="s">
        <v>1689</v>
      </c>
    </row>
    <row r="78" spans="1:26" x14ac:dyDescent="0.15">
      <c r="A78" s="6" t="s">
        <v>179</v>
      </c>
      <c r="B78" s="6" t="s">
        <v>180</v>
      </c>
      <c r="C78" s="6" t="s">
        <v>179</v>
      </c>
      <c r="D78" s="6"/>
      <c r="F78" t="s">
        <v>452</v>
      </c>
      <c r="G78">
        <v>5.51</v>
      </c>
      <c r="I78">
        <v>29.8</v>
      </c>
      <c r="J78" t="s">
        <v>452</v>
      </c>
      <c r="K78" t="s">
        <v>453</v>
      </c>
      <c r="L78" t="s">
        <v>454</v>
      </c>
      <c r="M78" t="s">
        <v>267</v>
      </c>
      <c r="N78" t="s">
        <v>268</v>
      </c>
      <c r="O78">
        <v>480</v>
      </c>
      <c r="P78" t="str">
        <f t="shared" si="1"/>
        <v>胶体果胶铋胶囊50mg*36粒*480盒50mg*12粒*3板*480盒</v>
      </c>
      <c r="R78" s="8" t="s">
        <v>1050</v>
      </c>
      <c r="S78" s="8" t="s">
        <v>1206</v>
      </c>
      <c r="T78" s="8" t="s">
        <v>1207</v>
      </c>
      <c r="U78" s="8" t="s">
        <v>1206</v>
      </c>
      <c r="W78" s="10" t="s">
        <v>1527</v>
      </c>
      <c r="X78" s="10" t="s">
        <v>1687</v>
      </c>
      <c r="Y78" s="10" t="s">
        <v>1690</v>
      </c>
      <c r="Z78" s="10" t="s">
        <v>1691</v>
      </c>
    </row>
    <row r="79" spans="1:26" x14ac:dyDescent="0.15">
      <c r="A79" s="6" t="s">
        <v>181</v>
      </c>
      <c r="B79" s="6" t="s">
        <v>182</v>
      </c>
      <c r="C79" s="6" t="s">
        <v>181</v>
      </c>
      <c r="D79" s="6"/>
      <c r="F79" t="s">
        <v>455</v>
      </c>
      <c r="G79">
        <v>8.6</v>
      </c>
      <c r="J79" t="s">
        <v>455</v>
      </c>
      <c r="K79" t="s">
        <v>456</v>
      </c>
      <c r="L79" t="s">
        <v>457</v>
      </c>
      <c r="M79" t="s">
        <v>304</v>
      </c>
      <c r="N79" t="s">
        <v>268</v>
      </c>
      <c r="O79">
        <v>100</v>
      </c>
      <c r="P79" t="str">
        <f t="shared" si="1"/>
        <v>金匮肾气丸6g×10丸×100中盒</v>
      </c>
      <c r="R79" s="8" t="s">
        <v>1050</v>
      </c>
      <c r="S79" s="8" t="s">
        <v>1208</v>
      </c>
      <c r="T79" s="8" t="s">
        <v>1209</v>
      </c>
      <c r="U79" s="8" t="s">
        <v>1208</v>
      </c>
      <c r="W79" s="10" t="s">
        <v>1527</v>
      </c>
      <c r="X79" s="10" t="s">
        <v>1687</v>
      </c>
      <c r="Y79" s="10" t="s">
        <v>1692</v>
      </c>
      <c r="Z79" s="10" t="s">
        <v>1693</v>
      </c>
    </row>
    <row r="80" spans="1:26" x14ac:dyDescent="0.15">
      <c r="A80" s="6" t="s">
        <v>183</v>
      </c>
      <c r="B80" s="6" t="s">
        <v>184</v>
      </c>
      <c r="C80" s="6" t="s">
        <v>183</v>
      </c>
      <c r="D80" s="6"/>
      <c r="F80" t="s">
        <v>458</v>
      </c>
      <c r="G80">
        <v>9.3000000000000007</v>
      </c>
      <c r="J80" t="s">
        <v>458</v>
      </c>
      <c r="K80" t="s">
        <v>459</v>
      </c>
      <c r="L80" t="s">
        <v>460</v>
      </c>
      <c r="M80" t="s">
        <v>304</v>
      </c>
      <c r="N80" t="s">
        <v>268</v>
      </c>
      <c r="O80">
        <v>120</v>
      </c>
      <c r="P80" t="str">
        <f t="shared" si="1"/>
        <v>金匮肾气丸(水蜜丸)72g72g×120盒</v>
      </c>
      <c r="R80" s="8" t="s">
        <v>1050</v>
      </c>
      <c r="S80" s="8" t="s">
        <v>1210</v>
      </c>
      <c r="T80" s="8" t="s">
        <v>1211</v>
      </c>
      <c r="U80" s="8" t="s">
        <v>1210</v>
      </c>
      <c r="W80" s="10" t="s">
        <v>1527</v>
      </c>
      <c r="X80" s="10" t="s">
        <v>1687</v>
      </c>
      <c r="Y80" s="10" t="s">
        <v>1694</v>
      </c>
      <c r="Z80" s="10" t="s">
        <v>1695</v>
      </c>
    </row>
    <row r="81" spans="1:26" x14ac:dyDescent="0.15">
      <c r="A81" s="6" t="s">
        <v>185</v>
      </c>
      <c r="B81" s="6" t="s">
        <v>186</v>
      </c>
      <c r="C81" s="6" t="s">
        <v>185</v>
      </c>
      <c r="D81" s="6"/>
      <c r="F81" t="s">
        <v>461</v>
      </c>
      <c r="G81">
        <v>1.08</v>
      </c>
      <c r="J81" t="s">
        <v>461</v>
      </c>
      <c r="K81" t="s">
        <v>462</v>
      </c>
      <c r="L81" t="s">
        <v>463</v>
      </c>
      <c r="M81" t="s">
        <v>298</v>
      </c>
      <c r="N81" t="s">
        <v>268</v>
      </c>
      <c r="O81">
        <v>40</v>
      </c>
      <c r="P81" t="str">
        <f t="shared" si="1"/>
        <v>精制狗皮膏7*10cm*4</v>
      </c>
      <c r="R81" s="8" t="s">
        <v>1050</v>
      </c>
      <c r="S81" s="8" t="s">
        <v>1212</v>
      </c>
      <c r="T81" s="8" t="s">
        <v>1213</v>
      </c>
      <c r="U81" s="8" t="s">
        <v>1212</v>
      </c>
      <c r="W81" s="10" t="s">
        <v>1527</v>
      </c>
      <c r="X81" s="10" t="s">
        <v>1687</v>
      </c>
      <c r="Y81" s="10" t="s">
        <v>1696</v>
      </c>
      <c r="Z81" s="10" t="s">
        <v>1697</v>
      </c>
    </row>
    <row r="82" spans="1:26" x14ac:dyDescent="0.15">
      <c r="A82" s="6" t="s">
        <v>187</v>
      </c>
      <c r="B82" s="7" t="s">
        <v>236</v>
      </c>
      <c r="C82" s="6" t="s">
        <v>187</v>
      </c>
      <c r="D82" s="7" t="s">
        <v>237</v>
      </c>
      <c r="F82" t="s">
        <v>464</v>
      </c>
      <c r="G82">
        <v>7.5</v>
      </c>
      <c r="J82" t="s">
        <v>464</v>
      </c>
      <c r="K82" t="s">
        <v>465</v>
      </c>
      <c r="L82" t="s">
        <v>466</v>
      </c>
      <c r="M82" t="s">
        <v>393</v>
      </c>
      <c r="N82" t="s">
        <v>252</v>
      </c>
      <c r="O82">
        <v>300</v>
      </c>
      <c r="P82" t="str">
        <f t="shared" si="1"/>
        <v>菊梅利咽含片18片×300盒</v>
      </c>
      <c r="R82" s="8" t="s">
        <v>1050</v>
      </c>
      <c r="S82" s="8" t="s">
        <v>1214</v>
      </c>
      <c r="T82" s="8" t="s">
        <v>1215</v>
      </c>
      <c r="U82" s="8" t="s">
        <v>1214</v>
      </c>
      <c r="W82" s="10" t="s">
        <v>1527</v>
      </c>
      <c r="X82" s="10" t="s">
        <v>1687</v>
      </c>
      <c r="Y82" s="10" t="s">
        <v>1698</v>
      </c>
      <c r="Z82" s="10" t="s">
        <v>1699</v>
      </c>
    </row>
    <row r="83" spans="1:26" x14ac:dyDescent="0.15">
      <c r="A83" s="6" t="s">
        <v>189</v>
      </c>
      <c r="B83" s="6" t="s">
        <v>190</v>
      </c>
      <c r="C83" s="6" t="s">
        <v>189</v>
      </c>
      <c r="D83" s="6"/>
      <c r="F83" t="s">
        <v>467</v>
      </c>
      <c r="G83">
        <v>5.22</v>
      </c>
      <c r="J83" t="s">
        <v>467</v>
      </c>
      <c r="K83" t="s">
        <v>468</v>
      </c>
      <c r="L83" t="s">
        <v>469</v>
      </c>
      <c r="M83" t="s">
        <v>304</v>
      </c>
      <c r="N83" t="s">
        <v>268</v>
      </c>
      <c r="O83">
        <v>100</v>
      </c>
      <c r="P83" t="str">
        <f t="shared" si="1"/>
        <v>橘红丸(OTC)6g×10丸×100盒</v>
      </c>
      <c r="R83" s="8" t="s">
        <v>1050</v>
      </c>
      <c r="S83" s="8" t="s">
        <v>1216</v>
      </c>
      <c r="T83" s="8" t="s">
        <v>1217</v>
      </c>
      <c r="U83" s="8" t="s">
        <v>1216</v>
      </c>
      <c r="W83" s="10" t="s">
        <v>1527</v>
      </c>
      <c r="X83" s="10" t="s">
        <v>1687</v>
      </c>
      <c r="Y83" s="10" t="s">
        <v>1700</v>
      </c>
      <c r="Z83" s="10" t="s">
        <v>1701</v>
      </c>
    </row>
    <row r="84" spans="1:26" x14ac:dyDescent="0.15">
      <c r="A84" s="6" t="s">
        <v>191</v>
      </c>
      <c r="B84" s="6" t="s">
        <v>192</v>
      </c>
      <c r="C84" s="6" t="s">
        <v>191</v>
      </c>
      <c r="D84" s="6"/>
      <c r="F84" t="s">
        <v>470</v>
      </c>
      <c r="G84">
        <v>5.77</v>
      </c>
      <c r="J84" t="s">
        <v>470</v>
      </c>
      <c r="K84" t="s">
        <v>471</v>
      </c>
      <c r="L84" t="s">
        <v>303</v>
      </c>
      <c r="M84" t="s">
        <v>304</v>
      </c>
      <c r="N84" t="s">
        <v>268</v>
      </c>
      <c r="O84">
        <v>100</v>
      </c>
      <c r="P84" t="str">
        <f t="shared" si="1"/>
        <v>开郁老蔻丸(OTC)9g×10丸×100盒</v>
      </c>
      <c r="R84" s="8" t="s">
        <v>1050</v>
      </c>
      <c r="S84" s="8" t="s">
        <v>1218</v>
      </c>
      <c r="T84" s="8" t="s">
        <v>1219</v>
      </c>
      <c r="U84" s="8" t="s">
        <v>1218</v>
      </c>
      <c r="W84" s="10" t="s">
        <v>1527</v>
      </c>
      <c r="X84" s="10" t="s">
        <v>1687</v>
      </c>
      <c r="Y84" s="10" t="s">
        <v>1702</v>
      </c>
      <c r="Z84" s="10" t="s">
        <v>1703</v>
      </c>
    </row>
    <row r="85" spans="1:26" x14ac:dyDescent="0.15">
      <c r="A85" s="6" t="s">
        <v>193</v>
      </c>
      <c r="B85" s="6" t="s">
        <v>194</v>
      </c>
      <c r="C85" s="6" t="s">
        <v>193</v>
      </c>
      <c r="D85" s="6"/>
      <c r="F85" t="s">
        <v>472</v>
      </c>
      <c r="G85">
        <v>4.4000000000000004</v>
      </c>
      <c r="J85" t="s">
        <v>472</v>
      </c>
      <c r="K85" t="s">
        <v>473</v>
      </c>
      <c r="L85" t="s">
        <v>474</v>
      </c>
      <c r="M85" t="s">
        <v>298</v>
      </c>
      <c r="N85" t="s">
        <v>252</v>
      </c>
      <c r="O85">
        <v>400</v>
      </c>
      <c r="P85" t="str">
        <f t="shared" si="1"/>
        <v>克拉霉素分散片0.125g×12片×400盒</v>
      </c>
      <c r="R85" s="8" t="s">
        <v>1050</v>
      </c>
      <c r="S85" s="8" t="s">
        <v>1220</v>
      </c>
      <c r="T85" s="8" t="s">
        <v>1221</v>
      </c>
      <c r="U85" s="8" t="s">
        <v>1220</v>
      </c>
      <c r="W85" s="10" t="s">
        <v>1527</v>
      </c>
      <c r="X85" s="10" t="s">
        <v>1687</v>
      </c>
      <c r="Y85" s="10" t="s">
        <v>1704</v>
      </c>
      <c r="Z85" s="10" t="s">
        <v>1705</v>
      </c>
    </row>
    <row r="86" spans="1:26" x14ac:dyDescent="0.15">
      <c r="A86" s="6" t="s">
        <v>195</v>
      </c>
      <c r="B86" s="6" t="s">
        <v>196</v>
      </c>
      <c r="C86" s="6" t="s">
        <v>195</v>
      </c>
      <c r="D86" s="6"/>
      <c r="F86" t="s">
        <v>475</v>
      </c>
      <c r="G86">
        <v>7</v>
      </c>
      <c r="J86" t="s">
        <v>475</v>
      </c>
      <c r="K86" t="s">
        <v>473</v>
      </c>
      <c r="L86" t="s">
        <v>476</v>
      </c>
      <c r="M86" t="s">
        <v>298</v>
      </c>
      <c r="N86" t="s">
        <v>252</v>
      </c>
      <c r="O86">
        <v>300</v>
      </c>
      <c r="P86" t="str">
        <f t="shared" si="1"/>
        <v>克拉霉素分散片0.125g×24片×300盒</v>
      </c>
      <c r="R86" s="8" t="s">
        <v>1050</v>
      </c>
      <c r="S86" s="8" t="s">
        <v>1222</v>
      </c>
      <c r="T86" s="8" t="s">
        <v>1223</v>
      </c>
      <c r="U86" s="8" t="s">
        <v>1222</v>
      </c>
      <c r="W86" s="10" t="s">
        <v>1527</v>
      </c>
      <c r="X86" s="10" t="s">
        <v>1687</v>
      </c>
      <c r="Y86" s="10" t="s">
        <v>1706</v>
      </c>
      <c r="Z86" s="10" t="s">
        <v>1707</v>
      </c>
    </row>
    <row r="87" spans="1:26" x14ac:dyDescent="0.15">
      <c r="A87" s="6" t="s">
        <v>197</v>
      </c>
      <c r="B87" s="6" t="s">
        <v>198</v>
      </c>
      <c r="C87" s="6" t="s">
        <v>197</v>
      </c>
      <c r="D87" s="6"/>
      <c r="F87" t="s">
        <v>477</v>
      </c>
      <c r="G87">
        <v>23</v>
      </c>
      <c r="J87" t="s">
        <v>477</v>
      </c>
      <c r="K87" t="s">
        <v>478</v>
      </c>
      <c r="L87" t="s">
        <v>479</v>
      </c>
      <c r="M87" t="s">
        <v>267</v>
      </c>
      <c r="N87" t="s">
        <v>268</v>
      </c>
      <c r="O87">
        <v>120</v>
      </c>
      <c r="P87" t="str">
        <f t="shared" si="1"/>
        <v>拉西地平片4mg*21片*120盒</v>
      </c>
      <c r="R87" s="8" t="s">
        <v>1050</v>
      </c>
      <c r="S87" s="8" t="s">
        <v>1224</v>
      </c>
      <c r="T87" s="8" t="s">
        <v>1225</v>
      </c>
      <c r="U87" s="8" t="s">
        <v>1224</v>
      </c>
      <c r="W87" s="10" t="s">
        <v>1527</v>
      </c>
      <c r="X87" s="10" t="s">
        <v>1708</v>
      </c>
      <c r="Y87" s="10" t="s">
        <v>1709</v>
      </c>
      <c r="Z87" s="10" t="s">
        <v>1710</v>
      </c>
    </row>
    <row r="88" spans="1:26" x14ac:dyDescent="0.15">
      <c r="A88" s="6" t="s">
        <v>199</v>
      </c>
      <c r="B88" s="6" t="s">
        <v>200</v>
      </c>
      <c r="C88" s="6" t="s">
        <v>199</v>
      </c>
      <c r="D88" s="6"/>
      <c r="F88" t="s">
        <v>480</v>
      </c>
      <c r="G88">
        <v>25</v>
      </c>
      <c r="J88" t="s">
        <v>480</v>
      </c>
      <c r="K88" t="s">
        <v>478</v>
      </c>
      <c r="L88" t="s">
        <v>481</v>
      </c>
      <c r="M88" t="s">
        <v>267</v>
      </c>
      <c r="N88" t="s">
        <v>252</v>
      </c>
      <c r="O88">
        <v>160</v>
      </c>
      <c r="P88" t="str">
        <f t="shared" si="1"/>
        <v>拉西地平片4mg*30片*160盒</v>
      </c>
      <c r="R88" s="8" t="s">
        <v>1050</v>
      </c>
      <c r="S88" s="8" t="s">
        <v>1226</v>
      </c>
      <c r="T88" s="8" t="s">
        <v>1227</v>
      </c>
      <c r="U88" s="8" t="s">
        <v>1226</v>
      </c>
      <c r="W88" s="10" t="s">
        <v>1527</v>
      </c>
      <c r="X88" s="10" t="s">
        <v>1708</v>
      </c>
      <c r="Y88" s="10" t="s">
        <v>1711</v>
      </c>
      <c r="Z88" s="10" t="s">
        <v>1712</v>
      </c>
    </row>
    <row r="89" spans="1:26" x14ac:dyDescent="0.15">
      <c r="A89" s="6" t="s">
        <v>201</v>
      </c>
      <c r="B89" s="6" t="s">
        <v>202</v>
      </c>
      <c r="C89" s="6" t="s">
        <v>201</v>
      </c>
      <c r="D89" s="6"/>
      <c r="F89" t="s">
        <v>482</v>
      </c>
      <c r="G89">
        <v>21.5</v>
      </c>
      <c r="J89" t="s">
        <v>482</v>
      </c>
      <c r="K89" t="s">
        <v>478</v>
      </c>
      <c r="L89" t="s">
        <v>483</v>
      </c>
      <c r="M89" t="s">
        <v>267</v>
      </c>
      <c r="N89" t="s">
        <v>252</v>
      </c>
      <c r="O89">
        <v>160</v>
      </c>
      <c r="P89" t="str">
        <f t="shared" si="1"/>
        <v>拉西地平片4mg×15片×160盒</v>
      </c>
      <c r="R89" s="8" t="s">
        <v>1050</v>
      </c>
      <c r="S89" s="8" t="s">
        <v>1228</v>
      </c>
      <c r="T89" s="8" t="s">
        <v>1229</v>
      </c>
      <c r="U89" s="8" t="s">
        <v>1228</v>
      </c>
      <c r="W89" s="10" t="s">
        <v>1527</v>
      </c>
      <c r="X89" s="10" t="s">
        <v>1708</v>
      </c>
      <c r="Y89" s="10" t="s">
        <v>1713</v>
      </c>
      <c r="Z89" s="10" t="s">
        <v>1714</v>
      </c>
    </row>
    <row r="90" spans="1:26" x14ac:dyDescent="0.15">
      <c r="A90" s="6" t="s">
        <v>203</v>
      </c>
      <c r="B90" s="6" t="s">
        <v>204</v>
      </c>
      <c r="C90" s="6" t="s">
        <v>203</v>
      </c>
      <c r="D90" s="6"/>
      <c r="F90" t="s">
        <v>484</v>
      </c>
      <c r="G90">
        <v>16</v>
      </c>
      <c r="J90" t="s">
        <v>484</v>
      </c>
      <c r="K90" t="s">
        <v>485</v>
      </c>
      <c r="L90" t="s">
        <v>486</v>
      </c>
      <c r="M90" t="s">
        <v>251</v>
      </c>
      <c r="N90" t="s">
        <v>252</v>
      </c>
      <c r="O90">
        <v>200</v>
      </c>
      <c r="P90" t="str">
        <f t="shared" si="1"/>
        <v>利福平胶囊0.15g*100粒</v>
      </c>
      <c r="R90" s="8" t="s">
        <v>1065</v>
      </c>
      <c r="S90" s="8" t="s">
        <v>1230</v>
      </c>
      <c r="T90" s="8" t="s">
        <v>1231</v>
      </c>
      <c r="U90" s="8" t="s">
        <v>1230</v>
      </c>
      <c r="W90" s="10" t="s">
        <v>1527</v>
      </c>
      <c r="X90" s="10" t="s">
        <v>1708</v>
      </c>
      <c r="Y90" s="10" t="s">
        <v>1715</v>
      </c>
      <c r="Z90" s="10" t="s">
        <v>1716</v>
      </c>
    </row>
    <row r="91" spans="1:26" x14ac:dyDescent="0.15">
      <c r="A91" s="6" t="s">
        <v>205</v>
      </c>
      <c r="B91" s="6" t="s">
        <v>206</v>
      </c>
      <c r="C91" s="6" t="s">
        <v>205</v>
      </c>
      <c r="D91" s="6"/>
      <c r="F91" t="s">
        <v>487</v>
      </c>
      <c r="G91">
        <v>3.6</v>
      </c>
      <c r="J91" t="s">
        <v>487</v>
      </c>
      <c r="K91" t="s">
        <v>488</v>
      </c>
      <c r="L91" t="s">
        <v>489</v>
      </c>
      <c r="M91" t="s">
        <v>304</v>
      </c>
      <c r="N91" t="s">
        <v>268</v>
      </c>
      <c r="O91">
        <v>300</v>
      </c>
      <c r="P91" t="str">
        <f t="shared" si="1"/>
        <v>羚羊感冒片12片*2板</v>
      </c>
      <c r="R91" s="8" t="s">
        <v>1050</v>
      </c>
      <c r="S91" s="8" t="s">
        <v>1232</v>
      </c>
      <c r="T91" s="8" t="s">
        <v>1233</v>
      </c>
      <c r="U91" s="8" t="s">
        <v>1232</v>
      </c>
      <c r="W91" s="10" t="s">
        <v>1527</v>
      </c>
      <c r="X91" s="10" t="s">
        <v>1717</v>
      </c>
      <c r="Y91" s="10" t="s">
        <v>1718</v>
      </c>
      <c r="Z91" s="10" t="s">
        <v>1719</v>
      </c>
    </row>
    <row r="92" spans="1:26" x14ac:dyDescent="0.15">
      <c r="A92" s="6" t="s">
        <v>207</v>
      </c>
      <c r="B92" s="6" t="s">
        <v>208</v>
      </c>
      <c r="C92" s="6" t="s">
        <v>207</v>
      </c>
      <c r="D92" s="7" t="s">
        <v>238</v>
      </c>
      <c r="F92" t="s">
        <v>490</v>
      </c>
      <c r="G92">
        <v>10</v>
      </c>
      <c r="J92" t="s">
        <v>490</v>
      </c>
      <c r="K92" t="s">
        <v>491</v>
      </c>
      <c r="L92" t="s">
        <v>492</v>
      </c>
      <c r="M92" t="s">
        <v>304</v>
      </c>
      <c r="N92" t="s">
        <v>268</v>
      </c>
      <c r="O92">
        <v>120</v>
      </c>
      <c r="P92" t="str">
        <f t="shared" si="1"/>
        <v>六味地黄丸（OTC）9g×10丸×120中盒</v>
      </c>
      <c r="R92" s="8" t="s">
        <v>1065</v>
      </c>
      <c r="S92" s="8" t="s">
        <v>1234</v>
      </c>
      <c r="T92" s="8" t="s">
        <v>1235</v>
      </c>
      <c r="U92" s="8" t="s">
        <v>1234</v>
      </c>
      <c r="W92" s="10" t="s">
        <v>1527</v>
      </c>
      <c r="X92" s="10" t="s">
        <v>1717</v>
      </c>
      <c r="Y92" s="10" t="s">
        <v>1720</v>
      </c>
      <c r="Z92" s="10" t="s">
        <v>1721</v>
      </c>
    </row>
    <row r="93" spans="1:26" x14ac:dyDescent="0.15">
      <c r="A93" s="6" t="s">
        <v>209</v>
      </c>
      <c r="B93" s="6" t="s">
        <v>210</v>
      </c>
      <c r="C93" s="6" t="s">
        <v>209</v>
      </c>
      <c r="D93" s="6"/>
      <c r="F93" t="s">
        <v>493</v>
      </c>
      <c r="G93">
        <v>10.199999999999999</v>
      </c>
      <c r="J93" t="s">
        <v>493</v>
      </c>
      <c r="K93" t="s">
        <v>494</v>
      </c>
      <c r="L93" t="s">
        <v>460</v>
      </c>
      <c r="M93" t="s">
        <v>304</v>
      </c>
      <c r="N93" t="s">
        <v>268</v>
      </c>
      <c r="O93">
        <v>120</v>
      </c>
      <c r="P93" t="str">
        <f t="shared" si="1"/>
        <v>六味地黄丸(水蜜丸72gOTC)72g×120盒</v>
      </c>
      <c r="R93" s="8" t="s">
        <v>1050</v>
      </c>
      <c r="S93" s="8" t="s">
        <v>1236</v>
      </c>
      <c r="T93" s="8" t="s">
        <v>1237</v>
      </c>
      <c r="U93" s="8" t="s">
        <v>1236</v>
      </c>
      <c r="W93" s="10" t="s">
        <v>1527</v>
      </c>
      <c r="X93" s="10" t="s">
        <v>1717</v>
      </c>
      <c r="Y93" s="10" t="s">
        <v>1722</v>
      </c>
      <c r="Z93" s="10" t="s">
        <v>1723</v>
      </c>
    </row>
    <row r="94" spans="1:26" x14ac:dyDescent="0.15">
      <c r="A94" s="6" t="s">
        <v>211</v>
      </c>
      <c r="B94" s="6" t="s">
        <v>212</v>
      </c>
      <c r="C94" s="6" t="s">
        <v>211</v>
      </c>
      <c r="D94" s="6"/>
      <c r="F94" t="s">
        <v>495</v>
      </c>
      <c r="G94">
        <v>5.6</v>
      </c>
      <c r="J94" t="s">
        <v>495</v>
      </c>
      <c r="K94" t="s">
        <v>496</v>
      </c>
      <c r="L94" t="s">
        <v>469</v>
      </c>
      <c r="M94" t="s">
        <v>304</v>
      </c>
      <c r="N94" t="s">
        <v>268</v>
      </c>
      <c r="O94">
        <v>100</v>
      </c>
      <c r="P94" t="str">
        <f t="shared" si="1"/>
        <v>龙胆泻肝丸(OTC)6g×10丸×100盒</v>
      </c>
      <c r="R94" s="8" t="s">
        <v>1050</v>
      </c>
      <c r="S94" s="8" t="s">
        <v>1238</v>
      </c>
      <c r="T94" s="8" t="s">
        <v>1239</v>
      </c>
      <c r="U94" s="8" t="s">
        <v>1238</v>
      </c>
      <c r="W94" s="10" t="s">
        <v>1527</v>
      </c>
      <c r="X94" s="10" t="s">
        <v>1717</v>
      </c>
      <c r="Y94" s="10" t="s">
        <v>1724</v>
      </c>
      <c r="Z94" s="10" t="s">
        <v>1725</v>
      </c>
    </row>
    <row r="95" spans="1:26" x14ac:dyDescent="0.15">
      <c r="A95" s="6" t="s">
        <v>213</v>
      </c>
      <c r="B95" s="6" t="s">
        <v>214</v>
      </c>
      <c r="C95" s="6" t="s">
        <v>213</v>
      </c>
      <c r="D95" s="6"/>
      <c r="F95" t="s">
        <v>497</v>
      </c>
      <c r="G95">
        <v>10.8</v>
      </c>
      <c r="J95" t="s">
        <v>497</v>
      </c>
      <c r="K95" t="s">
        <v>498</v>
      </c>
      <c r="L95" t="s">
        <v>499</v>
      </c>
      <c r="M95" t="s">
        <v>298</v>
      </c>
      <c r="N95" t="s">
        <v>252</v>
      </c>
      <c r="O95">
        <v>400</v>
      </c>
      <c r="P95" t="str">
        <f t="shared" si="1"/>
        <v>罗红霉素分散片(严迪)150mg×12片×400盒</v>
      </c>
      <c r="R95" s="8" t="s">
        <v>1050</v>
      </c>
      <c r="S95" s="8" t="s">
        <v>1240</v>
      </c>
      <c r="T95" s="8" t="s">
        <v>1241</v>
      </c>
      <c r="U95" s="8" t="s">
        <v>1240</v>
      </c>
      <c r="W95" s="10" t="s">
        <v>1527</v>
      </c>
      <c r="X95" s="10" t="s">
        <v>1717</v>
      </c>
      <c r="Y95" s="10" t="s">
        <v>1726</v>
      </c>
      <c r="Z95" s="10" t="s">
        <v>1727</v>
      </c>
    </row>
    <row r="96" spans="1:26" x14ac:dyDescent="0.15">
      <c r="A96" s="6" t="s">
        <v>215</v>
      </c>
      <c r="B96" s="6" t="s">
        <v>216</v>
      </c>
      <c r="C96" s="6" t="s">
        <v>215</v>
      </c>
      <c r="D96" s="6"/>
      <c r="F96" t="s">
        <v>500</v>
      </c>
      <c r="G96">
        <v>3.1</v>
      </c>
      <c r="J96" t="s">
        <v>500</v>
      </c>
      <c r="K96" t="s">
        <v>498</v>
      </c>
      <c r="L96" t="s">
        <v>501</v>
      </c>
      <c r="M96" t="s">
        <v>298</v>
      </c>
      <c r="N96" t="s">
        <v>252</v>
      </c>
      <c r="O96">
        <v>400</v>
      </c>
      <c r="P96" t="str">
        <f t="shared" si="1"/>
        <v>罗红霉素分散片(严迪)50mg×12片×400盒</v>
      </c>
      <c r="R96" s="8" t="s">
        <v>1050</v>
      </c>
      <c r="S96" s="8" t="s">
        <v>1242</v>
      </c>
      <c r="T96" s="8" t="s">
        <v>1243</v>
      </c>
      <c r="U96" s="8" t="s">
        <v>1242</v>
      </c>
      <c r="W96" s="10" t="s">
        <v>1527</v>
      </c>
      <c r="X96" s="10" t="s">
        <v>1717</v>
      </c>
      <c r="Y96" s="10" t="s">
        <v>1728</v>
      </c>
      <c r="Z96" s="10" t="s">
        <v>1729</v>
      </c>
    </row>
    <row r="97" spans="1:26" x14ac:dyDescent="0.15">
      <c r="A97" s="6" t="s">
        <v>217</v>
      </c>
      <c r="B97" s="6" t="s">
        <v>218</v>
      </c>
      <c r="C97" s="6" t="s">
        <v>217</v>
      </c>
      <c r="D97" s="6"/>
      <c r="F97" t="s">
        <v>502</v>
      </c>
      <c r="G97">
        <v>6.3</v>
      </c>
      <c r="J97" t="s">
        <v>502</v>
      </c>
      <c r="K97" t="s">
        <v>498</v>
      </c>
      <c r="L97" t="s">
        <v>503</v>
      </c>
      <c r="M97" t="s">
        <v>298</v>
      </c>
      <c r="N97" t="s">
        <v>252</v>
      </c>
      <c r="O97">
        <v>400</v>
      </c>
      <c r="P97" t="str">
        <f t="shared" si="1"/>
        <v>罗红霉素分散片(严迪)75mg×12片×400盒</v>
      </c>
      <c r="R97" s="8" t="s">
        <v>1050</v>
      </c>
      <c r="S97" s="8" t="s">
        <v>1244</v>
      </c>
      <c r="T97" s="8" t="s">
        <v>1245</v>
      </c>
      <c r="U97" s="8" t="s">
        <v>1244</v>
      </c>
      <c r="W97" s="10" t="s">
        <v>1527</v>
      </c>
      <c r="X97" s="10" t="s">
        <v>1730</v>
      </c>
      <c r="Y97" s="10" t="s">
        <v>1731</v>
      </c>
      <c r="Z97" s="10" t="s">
        <v>1732</v>
      </c>
    </row>
    <row r="98" spans="1:26" x14ac:dyDescent="0.15">
      <c r="A98" s="6" t="s">
        <v>219</v>
      </c>
      <c r="B98" s="6" t="s">
        <v>220</v>
      </c>
      <c r="C98" s="6" t="s">
        <v>219</v>
      </c>
      <c r="D98" s="6"/>
      <c r="F98" t="s">
        <v>504</v>
      </c>
      <c r="G98">
        <v>2.2999999999999998</v>
      </c>
      <c r="J98" t="s">
        <v>504</v>
      </c>
      <c r="K98" t="s">
        <v>505</v>
      </c>
      <c r="L98" t="s">
        <v>506</v>
      </c>
      <c r="M98" t="s">
        <v>251</v>
      </c>
      <c r="N98" t="s">
        <v>252</v>
      </c>
      <c r="O98">
        <v>400</v>
      </c>
      <c r="P98" t="str">
        <f t="shared" si="1"/>
        <v>罗红霉素颗粒50mg*10袋</v>
      </c>
      <c r="R98" s="8" t="s">
        <v>1050</v>
      </c>
      <c r="S98" s="8" t="s">
        <v>1246</v>
      </c>
      <c r="T98" s="8" t="s">
        <v>1247</v>
      </c>
      <c r="U98" s="8" t="s">
        <v>1246</v>
      </c>
      <c r="W98" s="10" t="s">
        <v>1527</v>
      </c>
      <c r="X98" s="10" t="s">
        <v>1730</v>
      </c>
      <c r="Y98" s="10" t="s">
        <v>1733</v>
      </c>
      <c r="Z98" s="10" t="s">
        <v>1734</v>
      </c>
    </row>
    <row r="99" spans="1:26" x14ac:dyDescent="0.15">
      <c r="A99" s="6" t="s">
        <v>187</v>
      </c>
      <c r="B99" s="6" t="s">
        <v>188</v>
      </c>
      <c r="C99" s="6" t="s">
        <v>187</v>
      </c>
      <c r="D99" s="7" t="s">
        <v>239</v>
      </c>
      <c r="F99" t="s">
        <v>507</v>
      </c>
      <c r="G99">
        <v>10.199999999999999</v>
      </c>
      <c r="J99" t="s">
        <v>507</v>
      </c>
      <c r="K99" t="s">
        <v>508</v>
      </c>
      <c r="L99" t="s">
        <v>509</v>
      </c>
      <c r="M99" t="s">
        <v>330</v>
      </c>
      <c r="N99" t="s">
        <v>252</v>
      </c>
      <c r="O99">
        <v>150</v>
      </c>
      <c r="P99" t="str">
        <f t="shared" si="1"/>
        <v>蒙脱石散(12袋)3g×12袋×150盒</v>
      </c>
      <c r="R99" s="8" t="s">
        <v>1050</v>
      </c>
      <c r="S99" s="8" t="s">
        <v>1248</v>
      </c>
      <c r="T99" s="8" t="s">
        <v>1249</v>
      </c>
      <c r="U99" s="8" t="s">
        <v>1248</v>
      </c>
      <c r="W99" s="10" t="s">
        <v>1527</v>
      </c>
      <c r="X99" s="10" t="s">
        <v>1730</v>
      </c>
      <c r="Y99" s="10" t="s">
        <v>1735</v>
      </c>
      <c r="Z99" s="10" t="s">
        <v>1736</v>
      </c>
    </row>
    <row r="100" spans="1:26" x14ac:dyDescent="0.15">
      <c r="A100" s="6" t="s">
        <v>221</v>
      </c>
      <c r="B100" s="6" t="s">
        <v>222</v>
      </c>
      <c r="C100" s="6" t="s">
        <v>221</v>
      </c>
      <c r="D100" s="6"/>
      <c r="F100" t="s">
        <v>510</v>
      </c>
      <c r="G100">
        <v>6.8</v>
      </c>
      <c r="H100">
        <v>7.6</v>
      </c>
      <c r="I100">
        <v>19</v>
      </c>
      <c r="J100" t="s">
        <v>510</v>
      </c>
      <c r="K100" t="s">
        <v>511</v>
      </c>
      <c r="L100" t="s">
        <v>512</v>
      </c>
      <c r="M100" t="s">
        <v>330</v>
      </c>
      <c r="N100" t="s">
        <v>268</v>
      </c>
      <c r="O100">
        <v>300</v>
      </c>
      <c r="P100" t="str">
        <f t="shared" si="1"/>
        <v>蒙脱石散(6袋)6袋</v>
      </c>
      <c r="R100" s="8" t="s">
        <v>1050</v>
      </c>
      <c r="S100" s="8" t="s">
        <v>1250</v>
      </c>
      <c r="T100" s="8" t="s">
        <v>1251</v>
      </c>
      <c r="U100" s="8" t="s">
        <v>1250</v>
      </c>
      <c r="W100" s="10" t="s">
        <v>1527</v>
      </c>
      <c r="X100" s="10" t="s">
        <v>1730</v>
      </c>
      <c r="Y100" s="10" t="s">
        <v>1737</v>
      </c>
      <c r="Z100" s="10" t="s">
        <v>1738</v>
      </c>
    </row>
    <row r="101" spans="1:26" x14ac:dyDescent="0.15">
      <c r="A101" s="6" t="s">
        <v>223</v>
      </c>
      <c r="B101" s="6" t="s">
        <v>224</v>
      </c>
      <c r="C101" s="6" t="s">
        <v>223</v>
      </c>
      <c r="D101" s="6"/>
      <c r="F101" t="s">
        <v>513</v>
      </c>
      <c r="G101">
        <v>15</v>
      </c>
      <c r="J101" t="s">
        <v>513</v>
      </c>
      <c r="K101" t="s">
        <v>514</v>
      </c>
      <c r="L101" t="s">
        <v>515</v>
      </c>
      <c r="M101" t="s">
        <v>304</v>
      </c>
      <c r="N101" t="s">
        <v>252</v>
      </c>
      <c r="O101">
        <v>100</v>
      </c>
      <c r="P101" t="str">
        <f t="shared" si="1"/>
        <v>明目羊肝丸9g×10丸×100中盒</v>
      </c>
      <c r="R101" s="8" t="s">
        <v>1050</v>
      </c>
      <c r="S101" s="8" t="s">
        <v>1252</v>
      </c>
      <c r="T101" s="8" t="s">
        <v>1253</v>
      </c>
      <c r="U101" s="8" t="s">
        <v>1252</v>
      </c>
      <c r="W101" s="10" t="s">
        <v>1527</v>
      </c>
      <c r="X101" s="10" t="s">
        <v>1739</v>
      </c>
      <c r="Y101" s="10" t="s">
        <v>1740</v>
      </c>
      <c r="Z101" s="10" t="s">
        <v>1741</v>
      </c>
    </row>
    <row r="102" spans="1:26" x14ac:dyDescent="0.15">
      <c r="A102" s="6" t="s">
        <v>225</v>
      </c>
      <c r="B102" s="6" t="s">
        <v>226</v>
      </c>
      <c r="C102" s="6" t="s">
        <v>225</v>
      </c>
      <c r="D102" s="6"/>
      <c r="F102" t="s">
        <v>516</v>
      </c>
      <c r="G102">
        <v>11.86</v>
      </c>
      <c r="J102" t="s">
        <v>516</v>
      </c>
      <c r="K102" t="s">
        <v>517</v>
      </c>
      <c r="L102" t="s">
        <v>518</v>
      </c>
      <c r="M102" t="s">
        <v>393</v>
      </c>
      <c r="N102" t="s">
        <v>252</v>
      </c>
      <c r="O102">
        <v>300</v>
      </c>
      <c r="P102" t="str">
        <f t="shared" si="1"/>
        <v>脑安片0.53g*24片*300盒</v>
      </c>
      <c r="R102" s="8" t="s">
        <v>1065</v>
      </c>
      <c r="S102" s="8" t="s">
        <v>1254</v>
      </c>
      <c r="T102" s="8" t="s">
        <v>1255</v>
      </c>
      <c r="U102" s="8" t="s">
        <v>1254</v>
      </c>
      <c r="W102" s="10" t="s">
        <v>1527</v>
      </c>
      <c r="X102" s="10" t="s">
        <v>1739</v>
      </c>
      <c r="Y102" s="10" t="s">
        <v>1742</v>
      </c>
      <c r="Z102" s="10" t="s">
        <v>1743</v>
      </c>
    </row>
    <row r="103" spans="1:26" x14ac:dyDescent="0.15">
      <c r="A103" s="6" t="s">
        <v>227</v>
      </c>
      <c r="B103" s="6" t="s">
        <v>228</v>
      </c>
      <c r="C103" s="6" t="s">
        <v>227</v>
      </c>
      <c r="D103" s="6"/>
      <c r="F103" t="s">
        <v>519</v>
      </c>
      <c r="G103">
        <v>1.32</v>
      </c>
      <c r="J103" t="s">
        <v>519</v>
      </c>
      <c r="K103" t="s">
        <v>520</v>
      </c>
      <c r="L103" t="s">
        <v>521</v>
      </c>
      <c r="M103" t="s">
        <v>267</v>
      </c>
      <c r="N103" t="s">
        <v>268</v>
      </c>
      <c r="O103">
        <v>600</v>
      </c>
      <c r="P103" t="str">
        <f t="shared" si="1"/>
        <v>尼莫地平片20mg*50片素片</v>
      </c>
      <c r="R103" s="8" t="s">
        <v>1050</v>
      </c>
      <c r="S103" s="8" t="s">
        <v>1256</v>
      </c>
      <c r="T103" s="8" t="s">
        <v>1257</v>
      </c>
      <c r="U103" s="8" t="s">
        <v>1256</v>
      </c>
      <c r="W103" s="10" t="s">
        <v>1527</v>
      </c>
      <c r="X103" s="10" t="s">
        <v>1739</v>
      </c>
      <c r="Y103" s="10" t="s">
        <v>1744</v>
      </c>
      <c r="Z103" s="10" t="s">
        <v>1745</v>
      </c>
    </row>
    <row r="104" spans="1:26" x14ac:dyDescent="0.15">
      <c r="A104" s="6" t="s">
        <v>221</v>
      </c>
      <c r="B104" s="6" t="s">
        <v>229</v>
      </c>
      <c r="C104" s="6" t="s">
        <v>221</v>
      </c>
      <c r="D104" s="6"/>
      <c r="F104" t="s">
        <v>522</v>
      </c>
      <c r="G104">
        <v>7.6</v>
      </c>
      <c r="J104" t="s">
        <v>522</v>
      </c>
      <c r="K104" t="s">
        <v>523</v>
      </c>
      <c r="L104" t="s">
        <v>524</v>
      </c>
      <c r="M104" t="s">
        <v>304</v>
      </c>
      <c r="N104" t="s">
        <v>268</v>
      </c>
      <c r="O104">
        <v>200</v>
      </c>
      <c r="P104" t="str">
        <f t="shared" si="1"/>
        <v>牛黄降压片(200盒)20片×200盒</v>
      </c>
      <c r="R104" s="8" t="s">
        <v>1050</v>
      </c>
      <c r="S104" s="8" t="s">
        <v>1258</v>
      </c>
      <c r="T104" s="8" t="s">
        <v>1259</v>
      </c>
      <c r="U104" s="8" t="s">
        <v>1258</v>
      </c>
      <c r="W104" s="10" t="s">
        <v>1527</v>
      </c>
      <c r="X104" s="10" t="s">
        <v>1739</v>
      </c>
      <c r="Y104" s="10" t="s">
        <v>1746</v>
      </c>
      <c r="Z104" s="10" t="s">
        <v>1747</v>
      </c>
    </row>
    <row r="105" spans="1:26" x14ac:dyDescent="0.15">
      <c r="A105" s="6" t="s">
        <v>171</v>
      </c>
      <c r="B105" s="6" t="s">
        <v>1819</v>
      </c>
      <c r="C105" s="6" t="s">
        <v>171</v>
      </c>
      <c r="D105" s="7" t="s">
        <v>240</v>
      </c>
      <c r="F105" t="s">
        <v>525</v>
      </c>
      <c r="G105">
        <v>4.5999999999999996</v>
      </c>
      <c r="J105" t="s">
        <v>525</v>
      </c>
      <c r="K105" t="s">
        <v>526</v>
      </c>
      <c r="L105" t="s">
        <v>360</v>
      </c>
      <c r="M105" t="s">
        <v>304</v>
      </c>
      <c r="N105" t="s">
        <v>268</v>
      </c>
      <c r="O105">
        <v>100</v>
      </c>
      <c r="P105" t="str">
        <f t="shared" si="1"/>
        <v>牛黄解毒丸3g×10丸×100盒</v>
      </c>
      <c r="R105" s="8" t="s">
        <v>1065</v>
      </c>
      <c r="S105" s="8" t="s">
        <v>1260</v>
      </c>
      <c r="T105" s="8" t="s">
        <v>1261</v>
      </c>
      <c r="U105" s="8" t="s">
        <v>1260</v>
      </c>
      <c r="W105" s="10" t="s">
        <v>1527</v>
      </c>
      <c r="X105" s="10" t="s">
        <v>1739</v>
      </c>
      <c r="Y105" s="10" t="s">
        <v>1748</v>
      </c>
      <c r="Z105" s="10" t="s">
        <v>1749</v>
      </c>
    </row>
    <row r="106" spans="1:26" x14ac:dyDescent="0.15">
      <c r="A106" s="6" t="s">
        <v>39</v>
      </c>
      <c r="B106" s="6" t="s">
        <v>1820</v>
      </c>
      <c r="C106" s="6" t="s">
        <v>39</v>
      </c>
      <c r="D106" s="7" t="s">
        <v>241</v>
      </c>
      <c r="F106" t="s">
        <v>527</v>
      </c>
      <c r="G106">
        <v>4.3499999999999996</v>
      </c>
      <c r="J106" t="s">
        <v>527</v>
      </c>
      <c r="K106" t="s">
        <v>528</v>
      </c>
      <c r="L106" t="s">
        <v>529</v>
      </c>
      <c r="M106" t="s">
        <v>304</v>
      </c>
      <c r="N106" t="s">
        <v>268</v>
      </c>
      <c r="O106">
        <v>100</v>
      </c>
      <c r="P106" t="str">
        <f t="shared" si="1"/>
        <v>牛黄清火丸3g×10丸×100中盒</v>
      </c>
      <c r="R106" s="8" t="s">
        <v>1050</v>
      </c>
      <c r="S106" s="8" t="s">
        <v>1262</v>
      </c>
      <c r="T106" s="8" t="s">
        <v>1263</v>
      </c>
      <c r="U106" s="8" t="s">
        <v>1262</v>
      </c>
      <c r="W106" s="10" t="s">
        <v>1527</v>
      </c>
      <c r="X106" s="10" t="s">
        <v>1739</v>
      </c>
      <c r="Y106" s="10" t="s">
        <v>1750</v>
      </c>
      <c r="Z106" s="10" t="s">
        <v>1751</v>
      </c>
    </row>
    <row r="107" spans="1:26" x14ac:dyDescent="0.15">
      <c r="F107" t="s">
        <v>530</v>
      </c>
      <c r="G107">
        <v>5.0999999999999996</v>
      </c>
      <c r="J107" t="s">
        <v>530</v>
      </c>
      <c r="K107" t="s">
        <v>531</v>
      </c>
      <c r="L107" t="s">
        <v>457</v>
      </c>
      <c r="M107" t="s">
        <v>304</v>
      </c>
      <c r="N107" t="s">
        <v>268</v>
      </c>
      <c r="O107">
        <v>100</v>
      </c>
      <c r="P107" t="str">
        <f t="shared" si="1"/>
        <v>牛黄清胃丸6g×10丸×100中盒</v>
      </c>
      <c r="R107" s="8" t="s">
        <v>1065</v>
      </c>
      <c r="S107" s="8" t="s">
        <v>1264</v>
      </c>
      <c r="T107" s="8" t="s">
        <v>1265</v>
      </c>
      <c r="U107" s="8" t="s">
        <v>1264</v>
      </c>
      <c r="W107" s="10" t="s">
        <v>1527</v>
      </c>
      <c r="X107" s="10" t="s">
        <v>1739</v>
      </c>
      <c r="Y107" s="10" t="s">
        <v>1752</v>
      </c>
      <c r="Z107" s="10" t="s">
        <v>1753</v>
      </c>
    </row>
    <row r="108" spans="1:26" x14ac:dyDescent="0.15">
      <c r="F108" t="s">
        <v>532</v>
      </c>
      <c r="G108">
        <v>8.8000000000000007</v>
      </c>
      <c r="J108" t="s">
        <v>532</v>
      </c>
      <c r="K108" t="s">
        <v>533</v>
      </c>
      <c r="L108" t="s">
        <v>534</v>
      </c>
      <c r="M108" t="s">
        <v>304</v>
      </c>
      <c r="N108" t="s">
        <v>268</v>
      </c>
      <c r="O108">
        <v>120</v>
      </c>
      <c r="P108" t="str">
        <f t="shared" si="1"/>
        <v>牛黄清胃丸（水蜜丸）70g×120盒</v>
      </c>
      <c r="R108" s="8" t="s">
        <v>1050</v>
      </c>
      <c r="S108" s="8" t="s">
        <v>1266</v>
      </c>
      <c r="T108" s="8" t="s">
        <v>1267</v>
      </c>
      <c r="U108" s="8" t="s">
        <v>1266</v>
      </c>
      <c r="W108" s="10" t="s">
        <v>1527</v>
      </c>
      <c r="X108" s="10" t="s">
        <v>1739</v>
      </c>
      <c r="Y108" s="10" t="s">
        <v>1754</v>
      </c>
      <c r="Z108" s="10" t="s">
        <v>1755</v>
      </c>
    </row>
    <row r="109" spans="1:26" x14ac:dyDescent="0.15">
      <c r="F109" t="s">
        <v>535</v>
      </c>
      <c r="G109">
        <v>28.8</v>
      </c>
      <c r="J109" t="s">
        <v>535</v>
      </c>
      <c r="K109" t="s">
        <v>536</v>
      </c>
      <c r="L109" t="s">
        <v>537</v>
      </c>
      <c r="M109" t="s">
        <v>304</v>
      </c>
      <c r="N109" t="s">
        <v>268</v>
      </c>
      <c r="O109">
        <v>80</v>
      </c>
      <c r="P109" t="str">
        <f t="shared" si="1"/>
        <v>牛黄清心丸3g×6丸×80盒</v>
      </c>
      <c r="R109" s="8" t="s">
        <v>1050</v>
      </c>
      <c r="S109" s="8" t="s">
        <v>1268</v>
      </c>
      <c r="T109" s="8" t="s">
        <v>1269</v>
      </c>
      <c r="U109" s="8" t="s">
        <v>1268</v>
      </c>
      <c r="W109" s="10" t="s">
        <v>1527</v>
      </c>
      <c r="X109" s="10" t="s">
        <v>1739</v>
      </c>
      <c r="Y109" s="10" t="s">
        <v>1756</v>
      </c>
      <c r="Z109" s="10" t="s">
        <v>1757</v>
      </c>
    </row>
    <row r="110" spans="1:26" x14ac:dyDescent="0.15">
      <c r="F110" t="s">
        <v>538</v>
      </c>
      <c r="G110">
        <v>6.45</v>
      </c>
      <c r="J110" t="s">
        <v>538</v>
      </c>
      <c r="K110" t="s">
        <v>539</v>
      </c>
      <c r="L110" t="s">
        <v>469</v>
      </c>
      <c r="M110" t="s">
        <v>304</v>
      </c>
      <c r="N110" t="s">
        <v>268</v>
      </c>
      <c r="O110">
        <v>100</v>
      </c>
      <c r="P110" t="str">
        <f t="shared" si="1"/>
        <v>牛黄上清丸(OTC)6g×10丸×100盒</v>
      </c>
      <c r="R110" s="8" t="s">
        <v>1050</v>
      </c>
      <c r="S110" s="8" t="s">
        <v>1270</v>
      </c>
      <c r="T110" s="8" t="s">
        <v>1271</v>
      </c>
      <c r="U110" s="8" t="s">
        <v>1270</v>
      </c>
      <c r="W110" s="10" t="s">
        <v>1527</v>
      </c>
      <c r="X110" s="10" t="s">
        <v>1739</v>
      </c>
      <c r="Y110" s="10" t="s">
        <v>1758</v>
      </c>
      <c r="Z110" s="10" t="s">
        <v>1759</v>
      </c>
    </row>
    <row r="111" spans="1:26" x14ac:dyDescent="0.15">
      <c r="F111" t="s">
        <v>540</v>
      </c>
      <c r="G111">
        <v>4.95</v>
      </c>
      <c r="J111" t="s">
        <v>540</v>
      </c>
      <c r="K111" t="s">
        <v>541</v>
      </c>
      <c r="L111" t="s">
        <v>542</v>
      </c>
      <c r="M111" t="s">
        <v>304</v>
      </c>
      <c r="N111" t="s">
        <v>268</v>
      </c>
      <c r="O111">
        <v>400</v>
      </c>
      <c r="P111" t="str">
        <f t="shared" si="1"/>
        <v>牛黄消炎片0.05g*30</v>
      </c>
      <c r="R111" s="8" t="s">
        <v>1050</v>
      </c>
      <c r="S111" s="8" t="s">
        <v>1272</v>
      </c>
      <c r="T111" s="8" t="s">
        <v>1273</v>
      </c>
      <c r="U111" s="8" t="s">
        <v>1272</v>
      </c>
      <c r="W111" s="10" t="s">
        <v>1527</v>
      </c>
      <c r="X111" s="10" t="s">
        <v>1739</v>
      </c>
      <c r="Y111" s="10" t="s">
        <v>1760</v>
      </c>
      <c r="Z111" s="10" t="s">
        <v>1761</v>
      </c>
    </row>
    <row r="112" spans="1:26" x14ac:dyDescent="0.15">
      <c r="F112" t="s">
        <v>543</v>
      </c>
      <c r="G112">
        <v>5.6</v>
      </c>
      <c r="J112" t="s">
        <v>543</v>
      </c>
      <c r="K112" t="s">
        <v>544</v>
      </c>
      <c r="L112" t="s">
        <v>545</v>
      </c>
      <c r="M112" t="s">
        <v>304</v>
      </c>
      <c r="N112" t="s">
        <v>268</v>
      </c>
      <c r="O112">
        <v>400</v>
      </c>
      <c r="P112" t="str">
        <f t="shared" si="1"/>
        <v>牛黄消炎片（24片）24片×400盒</v>
      </c>
      <c r="R112" s="8" t="s">
        <v>1050</v>
      </c>
      <c r="S112" s="8" t="s">
        <v>1274</v>
      </c>
      <c r="T112" s="8" t="s">
        <v>1275</v>
      </c>
      <c r="U112" s="8" t="s">
        <v>1274</v>
      </c>
      <c r="W112" s="10" t="s">
        <v>1527</v>
      </c>
      <c r="X112" s="10" t="s">
        <v>1739</v>
      </c>
      <c r="Y112" s="10" t="s">
        <v>1762</v>
      </c>
      <c r="Z112" s="10" t="s">
        <v>1763</v>
      </c>
    </row>
    <row r="113" spans="6:26" x14ac:dyDescent="0.15">
      <c r="F113" t="s">
        <v>546</v>
      </c>
      <c r="G113">
        <v>1.5</v>
      </c>
      <c r="J113" t="s">
        <v>546</v>
      </c>
      <c r="K113" t="s">
        <v>547</v>
      </c>
      <c r="L113" t="s">
        <v>548</v>
      </c>
      <c r="M113" t="s">
        <v>251</v>
      </c>
      <c r="N113" t="s">
        <v>252</v>
      </c>
      <c r="O113">
        <v>800</v>
      </c>
      <c r="P113" t="str">
        <f t="shared" si="1"/>
        <v>诺氟沙星胶囊0.1g*20s*800盒</v>
      </c>
      <c r="R113" s="8" t="s">
        <v>1050</v>
      </c>
      <c r="S113" s="8" t="s">
        <v>1276</v>
      </c>
      <c r="T113" s="8" t="s">
        <v>1277</v>
      </c>
      <c r="U113" s="8" t="s">
        <v>1276</v>
      </c>
      <c r="W113" s="10" t="s">
        <v>1527</v>
      </c>
      <c r="X113" s="10" t="s">
        <v>1764</v>
      </c>
      <c r="Y113" s="10" t="s">
        <v>1765</v>
      </c>
      <c r="Z113" s="10" t="s">
        <v>1766</v>
      </c>
    </row>
    <row r="114" spans="6:26" x14ac:dyDescent="0.15">
      <c r="F114" t="s">
        <v>549</v>
      </c>
      <c r="G114">
        <v>2.1</v>
      </c>
      <c r="J114" t="s">
        <v>549</v>
      </c>
      <c r="K114" t="s">
        <v>547</v>
      </c>
      <c r="L114" t="s">
        <v>550</v>
      </c>
      <c r="M114" t="s">
        <v>251</v>
      </c>
      <c r="N114" t="s">
        <v>252</v>
      </c>
      <c r="O114">
        <v>500</v>
      </c>
      <c r="P114" t="str">
        <f t="shared" si="1"/>
        <v>诺氟沙星胶囊0.1g*30粒</v>
      </c>
      <c r="R114" s="8" t="s">
        <v>1278</v>
      </c>
      <c r="S114" s="8" t="s">
        <v>1279</v>
      </c>
      <c r="T114" s="8" t="s">
        <v>1280</v>
      </c>
      <c r="U114" s="8" t="s">
        <v>1279</v>
      </c>
      <c r="W114" s="10" t="s">
        <v>1527</v>
      </c>
      <c r="X114" s="10" t="s">
        <v>1764</v>
      </c>
      <c r="Y114" s="10" t="s">
        <v>1767</v>
      </c>
      <c r="Z114" s="10" t="s">
        <v>1768</v>
      </c>
    </row>
    <row r="115" spans="6:26" x14ac:dyDescent="0.15">
      <c r="F115" t="s">
        <v>551</v>
      </c>
      <c r="G115">
        <v>2.6</v>
      </c>
      <c r="J115" t="s">
        <v>551</v>
      </c>
      <c r="K115" t="s">
        <v>552</v>
      </c>
      <c r="L115" t="s">
        <v>553</v>
      </c>
      <c r="M115" t="s">
        <v>298</v>
      </c>
      <c r="N115" t="s">
        <v>268</v>
      </c>
      <c r="O115">
        <v>200</v>
      </c>
      <c r="P115" t="str">
        <f t="shared" si="1"/>
        <v>诺氟沙星胶囊(委托)0.1g×48粒×200盒</v>
      </c>
      <c r="R115" s="8" t="s">
        <v>1050</v>
      </c>
      <c r="S115" s="8" t="s">
        <v>1281</v>
      </c>
      <c r="T115" s="8" t="s">
        <v>1282</v>
      </c>
      <c r="U115" s="8" t="s">
        <v>1281</v>
      </c>
      <c r="W115" s="10" t="s">
        <v>1527</v>
      </c>
      <c r="X115" s="10" t="s">
        <v>1764</v>
      </c>
      <c r="Y115" s="10" t="s">
        <v>1769</v>
      </c>
      <c r="Z115" s="10" t="s">
        <v>1770</v>
      </c>
    </row>
    <row r="116" spans="6:26" x14ac:dyDescent="0.15">
      <c r="F116" t="s">
        <v>554</v>
      </c>
      <c r="G116">
        <v>16.600000000000001</v>
      </c>
      <c r="J116" t="s">
        <v>554</v>
      </c>
      <c r="K116" t="s">
        <v>555</v>
      </c>
      <c r="L116" t="s">
        <v>407</v>
      </c>
      <c r="M116" t="s">
        <v>338</v>
      </c>
      <c r="N116" t="s">
        <v>252</v>
      </c>
      <c r="O116">
        <v>80</v>
      </c>
      <c r="P116" t="str">
        <f t="shared" si="1"/>
        <v>葡萄糖酸钙口服溶液（有糖）10ml×12支×80盒</v>
      </c>
      <c r="R116" s="8" t="s">
        <v>1050</v>
      </c>
      <c r="S116" s="8" t="s">
        <v>1283</v>
      </c>
      <c r="T116" s="8" t="s">
        <v>1284</v>
      </c>
      <c r="U116" s="8" t="s">
        <v>1283</v>
      </c>
      <c r="W116" s="10" t="s">
        <v>1527</v>
      </c>
      <c r="X116" s="10" t="s">
        <v>1764</v>
      </c>
      <c r="Y116" s="10" t="s">
        <v>1771</v>
      </c>
      <c r="Z116" s="10" t="s">
        <v>1772</v>
      </c>
    </row>
    <row r="117" spans="6:26" x14ac:dyDescent="0.15">
      <c r="F117" t="s">
        <v>556</v>
      </c>
      <c r="G117">
        <v>17.3</v>
      </c>
      <c r="J117" t="s">
        <v>556</v>
      </c>
      <c r="K117" t="s">
        <v>557</v>
      </c>
      <c r="L117" t="s">
        <v>407</v>
      </c>
      <c r="M117" t="s">
        <v>338</v>
      </c>
      <c r="N117" t="s">
        <v>268</v>
      </c>
      <c r="O117">
        <v>80</v>
      </c>
      <c r="P117" t="str">
        <f t="shared" si="1"/>
        <v>葡萄糖酸锌口服溶液（药字号）10ml×12支×80盒</v>
      </c>
      <c r="R117" s="8" t="s">
        <v>1050</v>
      </c>
      <c r="S117" s="8" t="s">
        <v>1285</v>
      </c>
      <c r="T117" s="8" t="s">
        <v>1286</v>
      </c>
      <c r="U117" s="8" t="s">
        <v>1285</v>
      </c>
      <c r="W117" s="10" t="s">
        <v>1527</v>
      </c>
      <c r="X117" s="10" t="s">
        <v>1764</v>
      </c>
      <c r="Y117" s="10" t="s">
        <v>1773</v>
      </c>
      <c r="Z117" s="10" t="s">
        <v>1774</v>
      </c>
    </row>
    <row r="118" spans="6:26" x14ac:dyDescent="0.15">
      <c r="F118" t="s">
        <v>558</v>
      </c>
      <c r="G118">
        <v>17.3</v>
      </c>
      <c r="J118" t="s">
        <v>558</v>
      </c>
      <c r="K118" t="s">
        <v>559</v>
      </c>
      <c r="L118" t="s">
        <v>407</v>
      </c>
      <c r="M118" t="s">
        <v>338</v>
      </c>
      <c r="N118" t="s">
        <v>252</v>
      </c>
      <c r="O118">
        <v>80</v>
      </c>
      <c r="P118" t="str">
        <f t="shared" si="1"/>
        <v>葡萄糖酸锌口服液10ml×12支×80盒</v>
      </c>
      <c r="R118" s="8" t="s">
        <v>1050</v>
      </c>
      <c r="S118" s="8" t="s">
        <v>1287</v>
      </c>
      <c r="T118" s="8" t="s">
        <v>1288</v>
      </c>
      <c r="U118" s="8" t="s">
        <v>1287</v>
      </c>
      <c r="W118" s="10" t="s">
        <v>1527</v>
      </c>
      <c r="X118" s="10" t="s">
        <v>1764</v>
      </c>
      <c r="Y118" s="10" t="s">
        <v>1775</v>
      </c>
      <c r="Z118" s="10" t="s">
        <v>1776</v>
      </c>
    </row>
    <row r="119" spans="6:26" x14ac:dyDescent="0.15">
      <c r="F119" t="s">
        <v>560</v>
      </c>
      <c r="G119">
        <v>12.6</v>
      </c>
      <c r="J119" t="s">
        <v>560</v>
      </c>
      <c r="K119" t="s">
        <v>561</v>
      </c>
      <c r="L119" t="s">
        <v>407</v>
      </c>
      <c r="M119" t="s">
        <v>298</v>
      </c>
      <c r="N119" t="s">
        <v>252</v>
      </c>
      <c r="O119">
        <v>80</v>
      </c>
      <c r="P119" t="str">
        <f t="shared" si="1"/>
        <v>朴雪乳酸亚铁口服液10ml×12支×80盒</v>
      </c>
      <c r="R119" s="8" t="s">
        <v>1050</v>
      </c>
      <c r="S119" s="8" t="s">
        <v>1289</v>
      </c>
      <c r="T119" s="8" t="s">
        <v>1290</v>
      </c>
      <c r="U119" s="8" t="s">
        <v>1289</v>
      </c>
      <c r="W119" s="10" t="s">
        <v>1527</v>
      </c>
      <c r="X119" s="10" t="s">
        <v>1764</v>
      </c>
      <c r="Y119" s="10" t="s">
        <v>1777</v>
      </c>
      <c r="Z119" s="10" t="s">
        <v>1778</v>
      </c>
    </row>
    <row r="120" spans="6:26" x14ac:dyDescent="0.15">
      <c r="F120" t="s">
        <v>562</v>
      </c>
      <c r="G120">
        <v>20.2</v>
      </c>
      <c r="J120" t="s">
        <v>562</v>
      </c>
      <c r="K120" t="s">
        <v>561</v>
      </c>
      <c r="L120" t="s">
        <v>563</v>
      </c>
      <c r="M120" t="s">
        <v>298</v>
      </c>
      <c r="N120" t="s">
        <v>252</v>
      </c>
      <c r="O120">
        <v>30</v>
      </c>
      <c r="P120" t="str">
        <f t="shared" si="1"/>
        <v>朴雪乳酸亚铁口服液20ml×10支×30盒</v>
      </c>
      <c r="R120" s="8" t="s">
        <v>1050</v>
      </c>
      <c r="S120" s="8" t="s">
        <v>1291</v>
      </c>
      <c r="T120" s="8" t="s">
        <v>1292</v>
      </c>
      <c r="U120" s="8" t="s">
        <v>1291</v>
      </c>
      <c r="W120" s="10" t="s">
        <v>1527</v>
      </c>
      <c r="X120" s="10" t="s">
        <v>1764</v>
      </c>
      <c r="Y120" s="10" t="s">
        <v>1779</v>
      </c>
      <c r="Z120" s="10" t="s">
        <v>1780</v>
      </c>
    </row>
    <row r="121" spans="6:26" x14ac:dyDescent="0.15">
      <c r="F121" t="s">
        <v>564</v>
      </c>
      <c r="G121">
        <v>7</v>
      </c>
      <c r="J121" t="s">
        <v>564</v>
      </c>
      <c r="K121" t="s">
        <v>565</v>
      </c>
      <c r="L121" t="s">
        <v>303</v>
      </c>
      <c r="M121" t="s">
        <v>304</v>
      </c>
      <c r="N121" t="s">
        <v>268</v>
      </c>
      <c r="O121">
        <v>100</v>
      </c>
      <c r="P121" t="str">
        <f t="shared" si="1"/>
        <v>杞菊地黄丸(OTC)9g×10丸×100盒</v>
      </c>
      <c r="R121" s="8" t="s">
        <v>1050</v>
      </c>
      <c r="S121" s="8" t="s">
        <v>1293</v>
      </c>
      <c r="T121" s="8" t="s">
        <v>1294</v>
      </c>
      <c r="U121" s="8" t="s">
        <v>1293</v>
      </c>
      <c r="W121" s="10" t="s">
        <v>1527</v>
      </c>
      <c r="X121" s="10" t="s">
        <v>1764</v>
      </c>
      <c r="Y121" s="10" t="s">
        <v>1781</v>
      </c>
      <c r="Z121" s="10" t="s">
        <v>1782</v>
      </c>
    </row>
    <row r="122" spans="6:26" x14ac:dyDescent="0.15">
      <c r="F122" t="s">
        <v>566</v>
      </c>
      <c r="G122">
        <v>4.54</v>
      </c>
      <c r="J122" t="s">
        <v>566</v>
      </c>
      <c r="K122" t="s">
        <v>567</v>
      </c>
      <c r="L122" t="s">
        <v>360</v>
      </c>
      <c r="M122" t="s">
        <v>304</v>
      </c>
      <c r="N122" t="s">
        <v>268</v>
      </c>
      <c r="O122">
        <v>100</v>
      </c>
      <c r="P122" t="str">
        <f t="shared" si="1"/>
        <v>启脾丸（OTC）3g×10丸×100盒</v>
      </c>
      <c r="R122" s="8" t="s">
        <v>1050</v>
      </c>
      <c r="S122" s="8" t="s">
        <v>1295</v>
      </c>
      <c r="T122" s="8" t="s">
        <v>1296</v>
      </c>
      <c r="U122" s="8" t="s">
        <v>1295</v>
      </c>
      <c r="W122" s="10" t="s">
        <v>1527</v>
      </c>
      <c r="X122" s="10" t="s">
        <v>1764</v>
      </c>
      <c r="Y122" s="10" t="s">
        <v>1783</v>
      </c>
      <c r="Z122" s="10" t="s">
        <v>1784</v>
      </c>
    </row>
    <row r="123" spans="6:26" x14ac:dyDescent="0.15">
      <c r="F123" t="s">
        <v>568</v>
      </c>
      <c r="G123">
        <v>11</v>
      </c>
      <c r="J123" t="s">
        <v>568</v>
      </c>
      <c r="K123" t="s">
        <v>569</v>
      </c>
      <c r="L123" t="s">
        <v>570</v>
      </c>
      <c r="M123" t="s">
        <v>571</v>
      </c>
      <c r="N123" t="s">
        <v>572</v>
      </c>
      <c r="O123">
        <v>300</v>
      </c>
      <c r="P123" t="str">
        <f t="shared" si="1"/>
        <v>前列地尔注射液1ml：5ug</v>
      </c>
      <c r="R123" s="8" t="s">
        <v>1050</v>
      </c>
      <c r="S123" s="8" t="s">
        <v>1297</v>
      </c>
      <c r="T123" s="8" t="s">
        <v>1298</v>
      </c>
      <c r="U123" s="8" t="s">
        <v>1297</v>
      </c>
      <c r="W123" s="10" t="s">
        <v>1527</v>
      </c>
      <c r="X123" s="10" t="s">
        <v>1764</v>
      </c>
      <c r="Y123" s="10" t="s">
        <v>1785</v>
      </c>
      <c r="Z123" s="10" t="s">
        <v>1786</v>
      </c>
    </row>
    <row r="124" spans="6:26" x14ac:dyDescent="0.15">
      <c r="F124" t="s">
        <v>573</v>
      </c>
      <c r="G124">
        <v>21</v>
      </c>
      <c r="J124" t="s">
        <v>573</v>
      </c>
      <c r="K124" t="s">
        <v>569</v>
      </c>
      <c r="L124" t="s">
        <v>574</v>
      </c>
      <c r="M124" t="s">
        <v>571</v>
      </c>
      <c r="N124" t="s">
        <v>572</v>
      </c>
      <c r="O124">
        <v>300</v>
      </c>
      <c r="P124" t="str">
        <f t="shared" si="1"/>
        <v>前列地尔注射液2ml：10ug</v>
      </c>
      <c r="R124" s="8" t="s">
        <v>1050</v>
      </c>
      <c r="S124" s="8" t="s">
        <v>1299</v>
      </c>
      <c r="T124" s="8" t="s">
        <v>1300</v>
      </c>
      <c r="U124" s="8" t="s">
        <v>1299</v>
      </c>
      <c r="W124" s="10" t="s">
        <v>1527</v>
      </c>
      <c r="X124" s="10" t="s">
        <v>1764</v>
      </c>
      <c r="Y124" s="10" t="s">
        <v>1787</v>
      </c>
      <c r="Z124" s="10" t="s">
        <v>1788</v>
      </c>
    </row>
    <row r="125" spans="6:26" x14ac:dyDescent="0.15">
      <c r="F125" t="s">
        <v>575</v>
      </c>
      <c r="G125">
        <v>9.5</v>
      </c>
      <c r="J125" t="s">
        <v>575</v>
      </c>
      <c r="K125" t="s">
        <v>576</v>
      </c>
      <c r="L125" t="s">
        <v>577</v>
      </c>
      <c r="M125" t="s">
        <v>393</v>
      </c>
      <c r="N125" t="s">
        <v>252</v>
      </c>
      <c r="O125">
        <v>180</v>
      </c>
      <c r="P125" t="str">
        <f t="shared" si="1"/>
        <v>强力脑清素片60片*180盒</v>
      </c>
      <c r="R125" s="8" t="s">
        <v>1050</v>
      </c>
      <c r="S125" s="8" t="s">
        <v>1301</v>
      </c>
      <c r="T125" s="8" t="s">
        <v>1302</v>
      </c>
      <c r="U125" s="8" t="s">
        <v>1301</v>
      </c>
      <c r="W125" s="10" t="s">
        <v>1527</v>
      </c>
      <c r="X125" s="10" t="s">
        <v>1789</v>
      </c>
      <c r="Y125" s="10" t="s">
        <v>1790</v>
      </c>
      <c r="Z125" s="10" t="s">
        <v>1791</v>
      </c>
    </row>
    <row r="126" spans="6:26" x14ac:dyDescent="0.15">
      <c r="F126" t="s">
        <v>578</v>
      </c>
      <c r="G126">
        <v>1.65</v>
      </c>
      <c r="J126" t="s">
        <v>578</v>
      </c>
      <c r="K126" t="s">
        <v>579</v>
      </c>
      <c r="L126" t="s">
        <v>580</v>
      </c>
      <c r="M126" t="s">
        <v>251</v>
      </c>
      <c r="N126" t="s">
        <v>252</v>
      </c>
      <c r="O126">
        <v>600</v>
      </c>
      <c r="P126" t="str">
        <f t="shared" si="1"/>
        <v>青霉素V钾片0.236g*12t*600盒</v>
      </c>
      <c r="R126" s="8" t="s">
        <v>1050</v>
      </c>
      <c r="S126" s="8" t="s">
        <v>1303</v>
      </c>
      <c r="T126" s="8" t="s">
        <v>1304</v>
      </c>
      <c r="U126" s="8" t="s">
        <v>1303</v>
      </c>
      <c r="W126" s="10" t="s">
        <v>1527</v>
      </c>
      <c r="X126" s="10" t="s">
        <v>1789</v>
      </c>
      <c r="Y126" s="10" t="s">
        <v>1609</v>
      </c>
      <c r="Z126" s="10" t="s">
        <v>1792</v>
      </c>
    </row>
    <row r="127" spans="6:26" x14ac:dyDescent="0.15">
      <c r="F127" t="s">
        <v>581</v>
      </c>
      <c r="G127">
        <v>2.6</v>
      </c>
      <c r="J127" t="s">
        <v>581</v>
      </c>
      <c r="K127" t="s">
        <v>582</v>
      </c>
      <c r="L127" t="s">
        <v>583</v>
      </c>
      <c r="M127" t="s">
        <v>251</v>
      </c>
      <c r="N127" t="s">
        <v>252</v>
      </c>
      <c r="O127">
        <v>600</v>
      </c>
      <c r="P127" t="str">
        <f t="shared" si="1"/>
        <v>青霉素V钾片（仙芬）0.236g*24t*600盒</v>
      </c>
      <c r="R127" s="8" t="s">
        <v>1050</v>
      </c>
      <c r="S127" s="8" t="s">
        <v>1305</v>
      </c>
      <c r="T127" s="8" t="s">
        <v>1306</v>
      </c>
      <c r="U127" s="8" t="s">
        <v>1305</v>
      </c>
      <c r="W127" s="10" t="s">
        <v>1527</v>
      </c>
      <c r="X127" s="10" t="s">
        <v>1789</v>
      </c>
      <c r="Y127" s="10" t="s">
        <v>1793</v>
      </c>
      <c r="Z127" s="10" t="s">
        <v>1794</v>
      </c>
    </row>
    <row r="128" spans="6:26" x14ac:dyDescent="0.15">
      <c r="F128" t="s">
        <v>584</v>
      </c>
      <c r="G128">
        <v>11.3</v>
      </c>
      <c r="J128" t="s">
        <v>584</v>
      </c>
      <c r="K128" t="s">
        <v>585</v>
      </c>
      <c r="L128" t="s">
        <v>334</v>
      </c>
      <c r="M128" t="s">
        <v>330</v>
      </c>
      <c r="N128" t="s">
        <v>252</v>
      </c>
      <c r="O128">
        <v>80</v>
      </c>
      <c r="P128" t="str">
        <f t="shared" si="1"/>
        <v>清热解毒口服液10ml×10支×80盒</v>
      </c>
      <c r="R128" s="8" t="s">
        <v>1050</v>
      </c>
      <c r="S128" s="8" t="s">
        <v>1307</v>
      </c>
      <c r="T128" s="8" t="s">
        <v>1308</v>
      </c>
      <c r="U128" s="8" t="s">
        <v>1307</v>
      </c>
      <c r="W128" s="10" t="s">
        <v>1527</v>
      </c>
      <c r="X128" s="10" t="s">
        <v>1789</v>
      </c>
      <c r="Y128" s="10" t="s">
        <v>1795</v>
      </c>
      <c r="Z128" s="10" t="s">
        <v>1796</v>
      </c>
    </row>
    <row r="129" spans="6:26" x14ac:dyDescent="0.15">
      <c r="F129" t="s">
        <v>586</v>
      </c>
      <c r="G129">
        <v>24.5</v>
      </c>
      <c r="H129">
        <v>27.2</v>
      </c>
      <c r="I129">
        <v>68</v>
      </c>
      <c r="J129" t="s">
        <v>586</v>
      </c>
      <c r="K129" t="s">
        <v>587</v>
      </c>
      <c r="L129" t="s">
        <v>588</v>
      </c>
      <c r="M129" t="s">
        <v>338</v>
      </c>
      <c r="N129" t="s">
        <v>268</v>
      </c>
      <c r="O129">
        <v>60</v>
      </c>
      <c r="P129" t="str">
        <f t="shared" si="1"/>
        <v>人参蜂王浆口服液12支*60盒</v>
      </c>
      <c r="R129" s="8" t="s">
        <v>1050</v>
      </c>
      <c r="S129" s="8" t="s">
        <v>1309</v>
      </c>
      <c r="T129" s="8" t="s">
        <v>1310</v>
      </c>
      <c r="U129" s="8" t="s">
        <v>1309</v>
      </c>
      <c r="W129" s="10" t="s">
        <v>1527</v>
      </c>
      <c r="X129" s="10" t="s">
        <v>1789</v>
      </c>
      <c r="Y129" s="10" t="s">
        <v>1797</v>
      </c>
      <c r="Z129" s="10" t="s">
        <v>1798</v>
      </c>
    </row>
    <row r="130" spans="6:26" x14ac:dyDescent="0.15">
      <c r="F130" t="s">
        <v>589</v>
      </c>
      <c r="G130">
        <v>1.76</v>
      </c>
      <c r="J130" t="s">
        <v>589</v>
      </c>
      <c r="K130" t="s">
        <v>590</v>
      </c>
      <c r="L130" t="s">
        <v>591</v>
      </c>
      <c r="M130" t="s">
        <v>267</v>
      </c>
      <c r="N130" t="s">
        <v>252</v>
      </c>
      <c r="O130">
        <v>480</v>
      </c>
      <c r="P130" t="str">
        <f t="shared" si="1"/>
        <v>人工牛黄甲硝唑胶囊10粒×2板×480盒</v>
      </c>
      <c r="R130" s="8" t="s">
        <v>1050</v>
      </c>
      <c r="S130" s="8" t="s">
        <v>1311</v>
      </c>
      <c r="T130" s="8" t="s">
        <v>1312</v>
      </c>
      <c r="U130" s="8" t="s">
        <v>1311</v>
      </c>
      <c r="W130" s="10" t="s">
        <v>1527</v>
      </c>
      <c r="X130" s="10" t="s">
        <v>1789</v>
      </c>
      <c r="Y130" s="10" t="s">
        <v>1799</v>
      </c>
      <c r="Z130" s="10" t="s">
        <v>1800</v>
      </c>
    </row>
    <row r="131" spans="6:26" x14ac:dyDescent="0.15">
      <c r="F131" t="s">
        <v>592</v>
      </c>
      <c r="G131">
        <v>2.63</v>
      </c>
      <c r="J131" t="s">
        <v>592</v>
      </c>
      <c r="K131" t="s">
        <v>590</v>
      </c>
      <c r="L131" t="s">
        <v>593</v>
      </c>
      <c r="M131" t="s">
        <v>267</v>
      </c>
      <c r="N131" t="s">
        <v>252</v>
      </c>
      <c r="O131">
        <v>480</v>
      </c>
      <c r="P131" t="str">
        <f t="shared" ref="P131:P194" si="2">K131&amp;L131</f>
        <v>人工牛黄甲硝唑胶囊10粒×3板×480盒</v>
      </c>
      <c r="R131" s="8" t="s">
        <v>1050</v>
      </c>
      <c r="S131" s="8" t="s">
        <v>1313</v>
      </c>
      <c r="T131" s="8" t="s">
        <v>1314</v>
      </c>
      <c r="U131" s="8" t="s">
        <v>1313</v>
      </c>
      <c r="W131" s="10" t="s">
        <v>1527</v>
      </c>
      <c r="X131" s="10" t="s">
        <v>1801</v>
      </c>
      <c r="Y131" s="10" t="s">
        <v>1802</v>
      </c>
      <c r="Z131" s="10" t="s">
        <v>1803</v>
      </c>
    </row>
    <row r="132" spans="6:26" x14ac:dyDescent="0.15">
      <c r="F132" t="s">
        <v>594</v>
      </c>
      <c r="G132">
        <v>3.2</v>
      </c>
      <c r="J132" t="s">
        <v>594</v>
      </c>
      <c r="K132" t="s">
        <v>595</v>
      </c>
      <c r="L132" t="s">
        <v>596</v>
      </c>
      <c r="M132" t="s">
        <v>298</v>
      </c>
      <c r="N132" t="s">
        <v>252</v>
      </c>
      <c r="O132">
        <v>400</v>
      </c>
      <c r="P132" t="str">
        <f t="shared" si="2"/>
        <v>乳酸菌素片0.4g×36片×10袋×40中盒</v>
      </c>
      <c r="R132" s="8" t="s">
        <v>1050</v>
      </c>
      <c r="S132" s="8" t="s">
        <v>1315</v>
      </c>
      <c r="T132" s="8" t="s">
        <v>1316</v>
      </c>
      <c r="U132" s="8" t="s">
        <v>1315</v>
      </c>
      <c r="W132" s="10" t="s">
        <v>1527</v>
      </c>
      <c r="X132" s="10" t="s">
        <v>1801</v>
      </c>
      <c r="Y132" s="10" t="s">
        <v>1804</v>
      </c>
      <c r="Z132" s="10" t="s">
        <v>1805</v>
      </c>
    </row>
    <row r="133" spans="6:26" x14ac:dyDescent="0.15">
      <c r="F133" t="s">
        <v>597</v>
      </c>
      <c r="G133">
        <v>5.5</v>
      </c>
      <c r="J133" t="s">
        <v>597</v>
      </c>
      <c r="K133" t="s">
        <v>598</v>
      </c>
      <c r="L133" t="s">
        <v>599</v>
      </c>
      <c r="M133" t="s">
        <v>298</v>
      </c>
      <c r="N133" t="s">
        <v>252</v>
      </c>
      <c r="O133">
        <v>200</v>
      </c>
      <c r="P133" t="str">
        <f t="shared" si="2"/>
        <v>乳酸菌素片“为消”牌0.4g×36片×200盒</v>
      </c>
      <c r="R133" s="8" t="s">
        <v>1050</v>
      </c>
      <c r="S133" s="8" t="s">
        <v>1317</v>
      </c>
      <c r="T133" s="8" t="s">
        <v>1318</v>
      </c>
      <c r="U133" s="8" t="s">
        <v>1317</v>
      </c>
      <c r="W133" s="10" t="s">
        <v>1527</v>
      </c>
      <c r="X133" s="10" t="s">
        <v>1801</v>
      </c>
      <c r="Y133" s="10" t="s">
        <v>1806</v>
      </c>
      <c r="Z133" s="10" t="s">
        <v>1807</v>
      </c>
    </row>
    <row r="134" spans="6:26" x14ac:dyDescent="0.15">
      <c r="F134" t="s">
        <v>600</v>
      </c>
      <c r="G134">
        <v>6</v>
      </c>
      <c r="H134">
        <v>6.6</v>
      </c>
      <c r="I134">
        <v>14.8</v>
      </c>
      <c r="J134" t="s">
        <v>600</v>
      </c>
      <c r="K134" t="s">
        <v>601</v>
      </c>
      <c r="L134" t="s">
        <v>602</v>
      </c>
      <c r="M134" t="s">
        <v>603</v>
      </c>
      <c r="N134" t="s">
        <v>268</v>
      </c>
      <c r="O134">
        <v>48</v>
      </c>
      <c r="P134" t="str">
        <f t="shared" si="2"/>
        <v>三精双黄连植物精华皂102×48块102g*48盒</v>
      </c>
      <c r="R134" s="8" t="s">
        <v>1050</v>
      </c>
      <c r="S134" s="8" t="s">
        <v>1319</v>
      </c>
      <c r="T134" s="8" t="s">
        <v>1320</v>
      </c>
      <c r="U134" s="8" t="s">
        <v>1319</v>
      </c>
      <c r="W134" s="10" t="s">
        <v>1527</v>
      </c>
      <c r="X134" s="10" t="s">
        <v>1801</v>
      </c>
      <c r="Y134" s="10" t="s">
        <v>1808</v>
      </c>
      <c r="Z134" s="10" t="s">
        <v>1809</v>
      </c>
    </row>
    <row r="135" spans="6:26" x14ac:dyDescent="0.15">
      <c r="F135" t="s">
        <v>604</v>
      </c>
      <c r="G135">
        <v>9.8000000000000007</v>
      </c>
      <c r="J135" t="s">
        <v>604</v>
      </c>
      <c r="K135" t="s">
        <v>605</v>
      </c>
      <c r="L135" t="s">
        <v>606</v>
      </c>
      <c r="M135" t="s">
        <v>304</v>
      </c>
      <c r="N135" t="s">
        <v>268</v>
      </c>
      <c r="O135">
        <v>120</v>
      </c>
      <c r="P135" t="str">
        <f t="shared" si="2"/>
        <v>麝香接骨胶囊0.3g×40粒×120盒</v>
      </c>
      <c r="R135" s="8" t="s">
        <v>1050</v>
      </c>
      <c r="S135" s="8" t="s">
        <v>1321</v>
      </c>
      <c r="T135" s="8" t="s">
        <v>1322</v>
      </c>
      <c r="U135" s="8" t="s">
        <v>1321</v>
      </c>
      <c r="W135" s="10" t="s">
        <v>1527</v>
      </c>
      <c r="X135" s="10" t="s">
        <v>1801</v>
      </c>
      <c r="Y135" s="10" t="s">
        <v>1810</v>
      </c>
      <c r="Z135" s="10" t="s">
        <v>1811</v>
      </c>
    </row>
    <row r="136" spans="6:26" x14ac:dyDescent="0.15">
      <c r="F136" t="s">
        <v>607</v>
      </c>
      <c r="G136">
        <v>4.2</v>
      </c>
      <c r="J136" t="s">
        <v>607</v>
      </c>
      <c r="K136" t="s">
        <v>608</v>
      </c>
      <c r="L136" t="s">
        <v>609</v>
      </c>
      <c r="M136" t="s">
        <v>298</v>
      </c>
      <c r="N136" t="s">
        <v>268</v>
      </c>
      <c r="O136">
        <v>300</v>
      </c>
      <c r="P136" t="str">
        <f t="shared" si="2"/>
        <v>麝香壮骨膏2袋*6贴</v>
      </c>
      <c r="R136" s="8" t="s">
        <v>1050</v>
      </c>
      <c r="S136" s="8" t="s">
        <v>1323</v>
      </c>
      <c r="T136" s="8" t="s">
        <v>1324</v>
      </c>
      <c r="U136" s="8" t="s">
        <v>1323</v>
      </c>
      <c r="W136" s="10" t="s">
        <v>1527</v>
      </c>
      <c r="X136" s="10" t="s">
        <v>1801</v>
      </c>
      <c r="Y136" s="10" t="s">
        <v>1812</v>
      </c>
      <c r="Z136" s="10" t="s">
        <v>1813</v>
      </c>
    </row>
    <row r="137" spans="6:26" x14ac:dyDescent="0.15">
      <c r="F137" t="s">
        <v>610</v>
      </c>
      <c r="G137">
        <v>11.8</v>
      </c>
      <c r="J137" t="s">
        <v>610</v>
      </c>
      <c r="K137" t="s">
        <v>611</v>
      </c>
      <c r="L137" t="s">
        <v>612</v>
      </c>
      <c r="M137" t="s">
        <v>330</v>
      </c>
      <c r="N137" t="s">
        <v>252</v>
      </c>
      <c r="O137">
        <v>60</v>
      </c>
      <c r="P137" t="str">
        <f t="shared" si="2"/>
        <v>生脉饮（党参方）10ml×10支×60盒</v>
      </c>
      <c r="R137" s="8" t="s">
        <v>1050</v>
      </c>
      <c r="S137" s="8" t="s">
        <v>1325</v>
      </c>
      <c r="T137" s="8" t="s">
        <v>1326</v>
      </c>
      <c r="U137" s="8" t="s">
        <v>1325</v>
      </c>
      <c r="W137" s="10" t="s">
        <v>1527</v>
      </c>
      <c r="X137" s="10" t="s">
        <v>1801</v>
      </c>
      <c r="Y137" s="10" t="s">
        <v>1814</v>
      </c>
      <c r="Z137" s="10" t="s">
        <v>1815</v>
      </c>
    </row>
    <row r="138" spans="6:26" x14ac:dyDescent="0.15">
      <c r="F138" t="s">
        <v>613</v>
      </c>
      <c r="G138">
        <v>6.1</v>
      </c>
      <c r="J138" t="s">
        <v>613</v>
      </c>
      <c r="K138" t="s">
        <v>614</v>
      </c>
      <c r="L138" t="s">
        <v>303</v>
      </c>
      <c r="M138" t="s">
        <v>304</v>
      </c>
      <c r="N138" t="s">
        <v>268</v>
      </c>
      <c r="O138">
        <v>100</v>
      </c>
      <c r="P138" t="str">
        <f t="shared" si="2"/>
        <v>十全大补丸(OTC)9g×10丸×100盒</v>
      </c>
      <c r="R138" s="8" t="s">
        <v>1050</v>
      </c>
      <c r="S138" s="8" t="s">
        <v>1327</v>
      </c>
      <c r="T138" s="8" t="s">
        <v>1328</v>
      </c>
      <c r="U138" s="8" t="s">
        <v>1327</v>
      </c>
      <c r="W138" s="10" t="s">
        <v>1527</v>
      </c>
      <c r="X138" s="10" t="s">
        <v>1801</v>
      </c>
      <c r="Y138" s="10" t="s">
        <v>1816</v>
      </c>
      <c r="Z138" s="10" t="s">
        <v>1817</v>
      </c>
    </row>
    <row r="139" spans="6:26" x14ac:dyDescent="0.15">
      <c r="F139" t="s">
        <v>615</v>
      </c>
      <c r="G139">
        <v>8.5</v>
      </c>
      <c r="J139" t="s">
        <v>615</v>
      </c>
      <c r="K139" t="s">
        <v>616</v>
      </c>
      <c r="L139" t="s">
        <v>469</v>
      </c>
      <c r="M139" t="s">
        <v>304</v>
      </c>
      <c r="N139" t="s">
        <v>268</v>
      </c>
      <c r="O139">
        <v>100</v>
      </c>
      <c r="P139" t="str">
        <f t="shared" si="2"/>
        <v>舒肝丸6g×10丸×100盒</v>
      </c>
      <c r="R139" s="8" t="s">
        <v>1050</v>
      </c>
      <c r="S139" s="8" t="s">
        <v>1329</v>
      </c>
      <c r="T139" s="8" t="s">
        <v>1330</v>
      </c>
      <c r="U139" s="8" t="s">
        <v>1329</v>
      </c>
    </row>
    <row r="140" spans="6:26" x14ac:dyDescent="0.15">
      <c r="F140" t="s">
        <v>617</v>
      </c>
      <c r="G140">
        <v>5.3</v>
      </c>
      <c r="J140" t="s">
        <v>617</v>
      </c>
      <c r="K140" t="s">
        <v>618</v>
      </c>
      <c r="L140" t="s">
        <v>619</v>
      </c>
      <c r="M140" t="s">
        <v>330</v>
      </c>
      <c r="N140" t="s">
        <v>620</v>
      </c>
      <c r="O140">
        <v>960</v>
      </c>
      <c r="P140" t="str">
        <f t="shared" si="2"/>
        <v>双黄连粉针（80盒）600mg×12支×80盒</v>
      </c>
      <c r="R140" s="8" t="s">
        <v>1050</v>
      </c>
      <c r="S140" s="8" t="s">
        <v>1331</v>
      </c>
      <c r="T140" s="8" t="s">
        <v>1332</v>
      </c>
      <c r="U140" s="8" t="s">
        <v>1331</v>
      </c>
    </row>
    <row r="141" spans="6:26" x14ac:dyDescent="0.15">
      <c r="F141" t="s">
        <v>621</v>
      </c>
      <c r="G141">
        <v>5.3</v>
      </c>
      <c r="J141" t="s">
        <v>621</v>
      </c>
      <c r="K141" t="s">
        <v>622</v>
      </c>
      <c r="L141" t="s">
        <v>623</v>
      </c>
      <c r="M141" t="s">
        <v>330</v>
      </c>
      <c r="N141" t="s">
        <v>572</v>
      </c>
      <c r="O141">
        <v>720</v>
      </c>
      <c r="P141" t="str">
        <f t="shared" si="2"/>
        <v>双黄连粉针剂（120盒）600mg×6支×120盒</v>
      </c>
      <c r="R141" s="8" t="s">
        <v>1050</v>
      </c>
      <c r="S141" s="8" t="s">
        <v>1333</v>
      </c>
      <c r="T141" s="8" t="s">
        <v>1334</v>
      </c>
      <c r="U141" s="8" t="s">
        <v>1333</v>
      </c>
    </row>
    <row r="142" spans="6:26" x14ac:dyDescent="0.15">
      <c r="F142" t="s">
        <v>624</v>
      </c>
      <c r="G142">
        <v>8.1</v>
      </c>
      <c r="J142" t="s">
        <v>624</v>
      </c>
      <c r="K142" t="s">
        <v>625</v>
      </c>
      <c r="L142" t="s">
        <v>626</v>
      </c>
      <c r="M142" t="s">
        <v>330</v>
      </c>
      <c r="N142" t="s">
        <v>268</v>
      </c>
      <c r="O142">
        <v>100</v>
      </c>
      <c r="P142" t="str">
        <f t="shared" si="2"/>
        <v>双黄连颗粒5gx12袋</v>
      </c>
      <c r="R142" s="8" t="s">
        <v>1050</v>
      </c>
      <c r="S142" s="8" t="s">
        <v>1335</v>
      </c>
      <c r="T142" s="8" t="s">
        <v>1336</v>
      </c>
      <c r="U142" s="8" t="s">
        <v>1335</v>
      </c>
    </row>
    <row r="143" spans="6:26" x14ac:dyDescent="0.15">
      <c r="F143" t="s">
        <v>627</v>
      </c>
      <c r="G143">
        <v>12</v>
      </c>
      <c r="J143" t="s">
        <v>627</v>
      </c>
      <c r="K143" t="s">
        <v>628</v>
      </c>
      <c r="L143" t="s">
        <v>629</v>
      </c>
      <c r="M143" t="s">
        <v>330</v>
      </c>
      <c r="N143" t="s">
        <v>268</v>
      </c>
      <c r="O143">
        <v>100</v>
      </c>
      <c r="P143" t="str">
        <f t="shared" si="2"/>
        <v>双黄连颗粒（10袋）5g×10袋×100盒</v>
      </c>
      <c r="R143" s="8" t="s">
        <v>1050</v>
      </c>
      <c r="S143" s="8" t="s">
        <v>1337</v>
      </c>
      <c r="T143" s="8" t="s">
        <v>1338</v>
      </c>
      <c r="U143" s="8" t="s">
        <v>1337</v>
      </c>
    </row>
    <row r="144" spans="6:26" x14ac:dyDescent="0.15">
      <c r="F144" t="s">
        <v>630</v>
      </c>
      <c r="G144">
        <v>22.5</v>
      </c>
      <c r="J144" t="s">
        <v>630</v>
      </c>
      <c r="K144" t="s">
        <v>631</v>
      </c>
      <c r="L144" t="s">
        <v>632</v>
      </c>
      <c r="M144" t="s">
        <v>330</v>
      </c>
      <c r="N144" t="s">
        <v>268</v>
      </c>
      <c r="O144">
        <v>100</v>
      </c>
      <c r="P144" t="str">
        <f t="shared" si="2"/>
        <v>双黄连颗粒(无蔗糖)5g*10</v>
      </c>
      <c r="R144" s="8" t="s">
        <v>1050</v>
      </c>
      <c r="S144" s="8" t="s">
        <v>1339</v>
      </c>
      <c r="T144" s="8" t="s">
        <v>1340</v>
      </c>
      <c r="U144" s="8" t="s">
        <v>1339</v>
      </c>
    </row>
    <row r="145" spans="6:21" x14ac:dyDescent="0.15">
      <c r="F145" t="s">
        <v>633</v>
      </c>
      <c r="G145">
        <v>15.5</v>
      </c>
      <c r="H145">
        <v>17.2</v>
      </c>
      <c r="I145">
        <v>28</v>
      </c>
      <c r="J145" t="s">
        <v>633</v>
      </c>
      <c r="K145" t="s">
        <v>634</v>
      </c>
      <c r="L145" t="s">
        <v>415</v>
      </c>
      <c r="M145" t="s">
        <v>338</v>
      </c>
      <c r="N145" t="s">
        <v>268</v>
      </c>
      <c r="O145">
        <v>80</v>
      </c>
      <c r="P145" t="str">
        <f t="shared" si="2"/>
        <v>双黄连口服液10ml*12支</v>
      </c>
      <c r="R145" s="8" t="s">
        <v>1050</v>
      </c>
      <c r="S145" s="8" t="s">
        <v>1341</v>
      </c>
      <c r="T145" s="8" t="s">
        <v>1342</v>
      </c>
      <c r="U145" s="8" t="s">
        <v>1341</v>
      </c>
    </row>
    <row r="146" spans="6:21" x14ac:dyDescent="0.15">
      <c r="F146" t="s">
        <v>635</v>
      </c>
      <c r="G146">
        <v>12.8</v>
      </c>
      <c r="H146">
        <v>13.5</v>
      </c>
      <c r="I146">
        <v>19.8</v>
      </c>
      <c r="J146" t="s">
        <v>635</v>
      </c>
      <c r="K146" t="s">
        <v>634</v>
      </c>
      <c r="L146" t="s">
        <v>636</v>
      </c>
      <c r="M146" t="s">
        <v>338</v>
      </c>
      <c r="N146" t="s">
        <v>252</v>
      </c>
      <c r="O146">
        <v>90</v>
      </c>
      <c r="P146" t="str">
        <f t="shared" si="2"/>
        <v>双黄连口服液10ml×10支×90盒</v>
      </c>
      <c r="R146" s="8" t="s">
        <v>1050</v>
      </c>
      <c r="S146" s="8" t="s">
        <v>1343</v>
      </c>
      <c r="T146" s="8" t="s">
        <v>1344</v>
      </c>
      <c r="U146" s="8" t="s">
        <v>1343</v>
      </c>
    </row>
    <row r="147" spans="6:21" x14ac:dyDescent="0.15">
      <c r="F147" t="s">
        <v>637</v>
      </c>
      <c r="G147">
        <v>20.2</v>
      </c>
      <c r="H147">
        <v>22.5</v>
      </c>
      <c r="I147">
        <v>38</v>
      </c>
      <c r="J147" t="s">
        <v>637</v>
      </c>
      <c r="K147" t="s">
        <v>634</v>
      </c>
      <c r="L147" t="s">
        <v>638</v>
      </c>
      <c r="M147" t="s">
        <v>338</v>
      </c>
      <c r="N147" t="s">
        <v>268</v>
      </c>
      <c r="O147">
        <v>40</v>
      </c>
      <c r="P147" t="str">
        <f t="shared" si="2"/>
        <v>双黄连口服液20ml*9支</v>
      </c>
      <c r="R147" s="8" t="s">
        <v>1050</v>
      </c>
      <c r="S147" s="8" t="s">
        <v>1345</v>
      </c>
      <c r="T147" s="8" t="s">
        <v>1346</v>
      </c>
      <c r="U147" s="8" t="s">
        <v>1345</v>
      </c>
    </row>
    <row r="148" spans="6:21" x14ac:dyDescent="0.15">
      <c r="F148" t="s">
        <v>639</v>
      </c>
      <c r="G148">
        <v>10</v>
      </c>
      <c r="H148">
        <v>11</v>
      </c>
      <c r="I148">
        <v>28</v>
      </c>
      <c r="J148" t="s">
        <v>639</v>
      </c>
      <c r="K148" t="s">
        <v>640</v>
      </c>
      <c r="L148" t="s">
        <v>641</v>
      </c>
      <c r="M148" t="s">
        <v>603</v>
      </c>
      <c r="N148" t="s">
        <v>268</v>
      </c>
      <c r="O148">
        <v>54</v>
      </c>
      <c r="P148" t="str">
        <f t="shared" si="2"/>
        <v>双黄连牙膏（留兰香）150g×54支</v>
      </c>
      <c r="R148" s="8" t="s">
        <v>1050</v>
      </c>
      <c r="S148" s="8" t="s">
        <v>1347</v>
      </c>
      <c r="T148" s="8" t="s">
        <v>1348</v>
      </c>
      <c r="U148" s="8" t="s">
        <v>1347</v>
      </c>
    </row>
    <row r="149" spans="6:21" x14ac:dyDescent="0.15">
      <c r="F149" t="s">
        <v>642</v>
      </c>
      <c r="G149">
        <v>10.6</v>
      </c>
      <c r="J149" t="s">
        <v>642</v>
      </c>
      <c r="K149" t="s">
        <v>643</v>
      </c>
      <c r="L149" t="s">
        <v>303</v>
      </c>
      <c r="M149" t="s">
        <v>304</v>
      </c>
      <c r="N149" t="s">
        <v>268</v>
      </c>
      <c r="O149">
        <v>100</v>
      </c>
      <c r="P149" t="str">
        <f t="shared" si="2"/>
        <v>天王补心丸9g×10丸×100盒</v>
      </c>
      <c r="R149" s="8" t="s">
        <v>1050</v>
      </c>
      <c r="S149" s="8" t="s">
        <v>1349</v>
      </c>
      <c r="T149" s="8" t="s">
        <v>1350</v>
      </c>
      <c r="U149" s="8" t="s">
        <v>1349</v>
      </c>
    </row>
    <row r="150" spans="6:21" x14ac:dyDescent="0.15">
      <c r="F150" t="s">
        <v>644</v>
      </c>
      <c r="G150">
        <v>2.2999999999999998</v>
      </c>
      <c r="J150" t="s">
        <v>644</v>
      </c>
      <c r="K150" t="s">
        <v>645</v>
      </c>
      <c r="L150" t="s">
        <v>646</v>
      </c>
      <c r="M150" t="s">
        <v>251</v>
      </c>
      <c r="N150" t="s">
        <v>252</v>
      </c>
      <c r="O150">
        <v>600</v>
      </c>
      <c r="P150" t="str">
        <f t="shared" si="2"/>
        <v>头孢氨苄胶囊0.125g*20s*600盒</v>
      </c>
      <c r="R150" s="8" t="s">
        <v>1050</v>
      </c>
      <c r="S150" s="8" t="s">
        <v>1351</v>
      </c>
      <c r="T150" s="8" t="s">
        <v>1352</v>
      </c>
      <c r="U150" s="8" t="s">
        <v>1351</v>
      </c>
    </row>
    <row r="151" spans="6:21" x14ac:dyDescent="0.15">
      <c r="F151" t="s">
        <v>647</v>
      </c>
      <c r="G151">
        <v>2.1</v>
      </c>
      <c r="J151" t="s">
        <v>647</v>
      </c>
      <c r="K151" t="s">
        <v>645</v>
      </c>
      <c r="L151" t="s">
        <v>438</v>
      </c>
      <c r="M151" t="s">
        <v>267</v>
      </c>
      <c r="N151" t="s">
        <v>268</v>
      </c>
      <c r="O151">
        <v>480</v>
      </c>
      <c r="P151" t="str">
        <f t="shared" si="2"/>
        <v>头孢氨苄胶囊0.125g*20粒</v>
      </c>
      <c r="R151" s="8" t="s">
        <v>1050</v>
      </c>
      <c r="S151" s="8" t="s">
        <v>1353</v>
      </c>
      <c r="T151" s="8" t="s">
        <v>1354</v>
      </c>
      <c r="U151" s="8" t="s">
        <v>1353</v>
      </c>
    </row>
    <row r="152" spans="6:21" x14ac:dyDescent="0.15">
      <c r="F152" t="s">
        <v>648</v>
      </c>
      <c r="G152">
        <v>2.4</v>
      </c>
      <c r="J152" t="s">
        <v>648</v>
      </c>
      <c r="K152" t="s">
        <v>649</v>
      </c>
      <c r="L152" t="s">
        <v>650</v>
      </c>
      <c r="M152" t="s">
        <v>251</v>
      </c>
      <c r="N152" t="s">
        <v>252</v>
      </c>
      <c r="O152">
        <v>400</v>
      </c>
      <c r="P152" t="str">
        <f t="shared" si="2"/>
        <v>头孢氨苄颗粒125mg*12袋*400盒</v>
      </c>
      <c r="R152" s="8" t="s">
        <v>1050</v>
      </c>
      <c r="S152" s="8" t="s">
        <v>1355</v>
      </c>
      <c r="T152" s="8" t="s">
        <v>1356</v>
      </c>
      <c r="U152" s="8" t="s">
        <v>1355</v>
      </c>
    </row>
    <row r="153" spans="6:21" x14ac:dyDescent="0.15">
      <c r="F153" t="s">
        <v>651</v>
      </c>
      <c r="G153">
        <v>2.4500000000000002</v>
      </c>
      <c r="J153" t="s">
        <v>651</v>
      </c>
      <c r="K153" t="s">
        <v>652</v>
      </c>
      <c r="L153" t="s">
        <v>653</v>
      </c>
      <c r="M153" t="s">
        <v>251</v>
      </c>
      <c r="N153" t="s">
        <v>252</v>
      </c>
      <c r="O153">
        <v>400</v>
      </c>
      <c r="P153" t="str">
        <f t="shared" si="2"/>
        <v>头孢氨苄片0.125g*30片</v>
      </c>
      <c r="R153" s="8" t="s">
        <v>1050</v>
      </c>
      <c r="S153" s="8" t="s">
        <v>1357</v>
      </c>
      <c r="T153" s="8" t="s">
        <v>1358</v>
      </c>
      <c r="U153" s="8" t="s">
        <v>1357</v>
      </c>
    </row>
    <row r="154" spans="6:21" x14ac:dyDescent="0.15">
      <c r="F154" t="s">
        <v>654</v>
      </c>
      <c r="G154">
        <v>5.2</v>
      </c>
      <c r="J154" t="s">
        <v>654</v>
      </c>
      <c r="K154" t="s">
        <v>652</v>
      </c>
      <c r="L154" t="s">
        <v>655</v>
      </c>
      <c r="M154" t="s">
        <v>251</v>
      </c>
      <c r="N154" t="s">
        <v>252</v>
      </c>
      <c r="O154">
        <v>600</v>
      </c>
      <c r="P154" t="str">
        <f t="shared" si="2"/>
        <v>头孢氨苄片0.25g*30t*600盒</v>
      </c>
      <c r="R154" s="8" t="s">
        <v>1050</v>
      </c>
      <c r="S154" s="8" t="s">
        <v>1359</v>
      </c>
      <c r="T154" s="8" t="s">
        <v>1360</v>
      </c>
      <c r="U154" s="8" t="s">
        <v>1359</v>
      </c>
    </row>
    <row r="155" spans="6:21" x14ac:dyDescent="0.15">
      <c r="F155" t="s">
        <v>656</v>
      </c>
      <c r="G155">
        <v>5.7</v>
      </c>
      <c r="J155" t="s">
        <v>656</v>
      </c>
      <c r="K155" t="s">
        <v>652</v>
      </c>
      <c r="L155" t="s">
        <v>657</v>
      </c>
      <c r="M155" t="s">
        <v>251</v>
      </c>
      <c r="N155" t="s">
        <v>252</v>
      </c>
      <c r="O155">
        <v>300</v>
      </c>
      <c r="P155" t="str">
        <f t="shared" si="2"/>
        <v>头孢氨苄片0.25g*30片*300瓶</v>
      </c>
      <c r="R155" s="8" t="s">
        <v>1050</v>
      </c>
      <c r="S155" s="8" t="s">
        <v>1361</v>
      </c>
      <c r="T155" s="8" t="s">
        <v>1362</v>
      </c>
      <c r="U155" s="8" t="s">
        <v>1361</v>
      </c>
    </row>
    <row r="156" spans="6:21" x14ac:dyDescent="0.15">
      <c r="F156" t="s">
        <v>658</v>
      </c>
      <c r="G156">
        <v>3.7</v>
      </c>
      <c r="J156" t="s">
        <v>658</v>
      </c>
      <c r="K156" t="s">
        <v>659</v>
      </c>
      <c r="L156" t="s">
        <v>660</v>
      </c>
      <c r="M156" t="s">
        <v>661</v>
      </c>
      <c r="N156" t="s">
        <v>268</v>
      </c>
      <c r="O156">
        <v>400</v>
      </c>
      <c r="P156" t="str">
        <f t="shared" si="2"/>
        <v>头孢拉定胶囊0.25g*12粒*2板*400盒</v>
      </c>
      <c r="R156" s="8" t="s">
        <v>1050</v>
      </c>
      <c r="S156" s="8" t="s">
        <v>1363</v>
      </c>
      <c r="T156" s="8" t="s">
        <v>1364</v>
      </c>
      <c r="U156" s="8" t="s">
        <v>1363</v>
      </c>
    </row>
    <row r="157" spans="6:21" x14ac:dyDescent="0.15">
      <c r="F157" t="s">
        <v>662</v>
      </c>
      <c r="G157">
        <v>4.2</v>
      </c>
      <c r="J157" t="s">
        <v>662</v>
      </c>
      <c r="K157" t="s">
        <v>659</v>
      </c>
      <c r="L157" t="s">
        <v>663</v>
      </c>
      <c r="M157" t="s">
        <v>251</v>
      </c>
      <c r="N157" t="s">
        <v>252</v>
      </c>
      <c r="O157">
        <v>400</v>
      </c>
      <c r="P157" t="str">
        <f t="shared" si="2"/>
        <v>头孢拉定胶囊0.25g*20粒*10小盒*40包</v>
      </c>
      <c r="R157" s="8" t="s">
        <v>1050</v>
      </c>
      <c r="S157" s="8" t="s">
        <v>1365</v>
      </c>
      <c r="T157" s="8" t="s">
        <v>1366</v>
      </c>
      <c r="U157" s="8" t="s">
        <v>1365</v>
      </c>
    </row>
    <row r="158" spans="6:21" x14ac:dyDescent="0.15">
      <c r="F158" t="s">
        <v>664</v>
      </c>
      <c r="G158">
        <v>4.8</v>
      </c>
      <c r="J158" t="s">
        <v>664</v>
      </c>
      <c r="K158" t="s">
        <v>659</v>
      </c>
      <c r="L158" t="s">
        <v>665</v>
      </c>
      <c r="M158" t="s">
        <v>251</v>
      </c>
      <c r="N158" t="s">
        <v>252</v>
      </c>
      <c r="O158">
        <v>400</v>
      </c>
      <c r="P158" t="str">
        <f t="shared" si="2"/>
        <v>头孢拉定胶囊0.25g*24粒*400盒</v>
      </c>
      <c r="R158" s="8" t="s">
        <v>1050</v>
      </c>
      <c r="S158" s="8" t="s">
        <v>1367</v>
      </c>
      <c r="T158" s="8" t="s">
        <v>1368</v>
      </c>
      <c r="U158" s="8" t="s">
        <v>1367</v>
      </c>
    </row>
    <row r="159" spans="6:21" x14ac:dyDescent="0.15">
      <c r="F159" t="s">
        <v>666</v>
      </c>
      <c r="G159">
        <v>3.7</v>
      </c>
      <c r="J159" t="s">
        <v>666</v>
      </c>
      <c r="K159" t="s">
        <v>659</v>
      </c>
      <c r="L159" t="s">
        <v>667</v>
      </c>
      <c r="M159" t="s">
        <v>267</v>
      </c>
      <c r="N159" t="s">
        <v>252</v>
      </c>
      <c r="O159">
        <v>480</v>
      </c>
      <c r="P159" t="str">
        <f t="shared" si="2"/>
        <v>头孢拉定胶囊0.25g*24粒*480盒</v>
      </c>
      <c r="R159" s="8" t="s">
        <v>1050</v>
      </c>
      <c r="S159" s="8" t="s">
        <v>1369</v>
      </c>
      <c r="T159" s="8" t="s">
        <v>1370</v>
      </c>
      <c r="U159" s="8" t="s">
        <v>1369</v>
      </c>
    </row>
    <row r="160" spans="6:21" x14ac:dyDescent="0.15">
      <c r="F160" t="s">
        <v>668</v>
      </c>
      <c r="G160">
        <v>4.5999999999999996</v>
      </c>
      <c r="J160" t="s">
        <v>668</v>
      </c>
      <c r="K160" t="s">
        <v>659</v>
      </c>
      <c r="L160" t="s">
        <v>669</v>
      </c>
      <c r="M160" t="s">
        <v>267</v>
      </c>
      <c r="N160" t="s">
        <v>268</v>
      </c>
      <c r="O160">
        <v>480</v>
      </c>
      <c r="P160" t="str">
        <f t="shared" si="2"/>
        <v>头孢拉定胶囊0.25g×20粒×480盒</v>
      </c>
      <c r="R160" s="8" t="s">
        <v>1050</v>
      </c>
      <c r="S160" s="8" t="s">
        <v>1371</v>
      </c>
      <c r="T160" s="8" t="s">
        <v>1372</v>
      </c>
      <c r="U160" s="8" t="s">
        <v>1371</v>
      </c>
    </row>
    <row r="161" spans="6:21" x14ac:dyDescent="0.15">
      <c r="F161" t="s">
        <v>670</v>
      </c>
      <c r="G161">
        <v>3.7</v>
      </c>
      <c r="J161" t="s">
        <v>670</v>
      </c>
      <c r="K161" t="s">
        <v>671</v>
      </c>
      <c r="L161" t="s">
        <v>672</v>
      </c>
      <c r="M161" t="s">
        <v>251</v>
      </c>
      <c r="N161" t="s">
        <v>252</v>
      </c>
      <c r="O161">
        <v>600</v>
      </c>
      <c r="P161" t="str">
        <f t="shared" si="2"/>
        <v>头孢羟氨苄胶囊0.25g×12粒×600盒</v>
      </c>
      <c r="R161" s="8" t="s">
        <v>1050</v>
      </c>
      <c r="S161" s="8" t="s">
        <v>1373</v>
      </c>
      <c r="T161" s="8" t="s">
        <v>1374</v>
      </c>
      <c r="U161" s="8" t="s">
        <v>1373</v>
      </c>
    </row>
    <row r="162" spans="6:21" x14ac:dyDescent="0.15">
      <c r="F162" t="s">
        <v>673</v>
      </c>
      <c r="G162">
        <v>6</v>
      </c>
      <c r="J162" t="s">
        <v>673</v>
      </c>
      <c r="K162" t="s">
        <v>671</v>
      </c>
      <c r="L162" t="s">
        <v>674</v>
      </c>
      <c r="M162" t="s">
        <v>251</v>
      </c>
      <c r="N162" t="s">
        <v>252</v>
      </c>
      <c r="O162">
        <v>400</v>
      </c>
      <c r="P162" t="str">
        <f t="shared" si="2"/>
        <v>头孢羟氨苄胶囊0.25g×24粒×400盒</v>
      </c>
      <c r="R162" s="8" t="s">
        <v>1050</v>
      </c>
      <c r="S162" s="8" t="s">
        <v>1375</v>
      </c>
      <c r="T162" s="8" t="s">
        <v>1376</v>
      </c>
      <c r="U162" s="8" t="s">
        <v>1375</v>
      </c>
    </row>
    <row r="163" spans="6:21" x14ac:dyDescent="0.15">
      <c r="F163" t="s">
        <v>675</v>
      </c>
      <c r="G163">
        <v>5.5</v>
      </c>
      <c r="J163" t="s">
        <v>675</v>
      </c>
      <c r="K163" t="s">
        <v>676</v>
      </c>
      <c r="L163" t="s">
        <v>677</v>
      </c>
      <c r="M163" t="s">
        <v>298</v>
      </c>
      <c r="N163" t="s">
        <v>252</v>
      </c>
      <c r="O163">
        <v>200</v>
      </c>
      <c r="P163" t="str">
        <f t="shared" si="2"/>
        <v>退热贴1贴×3袋×200盒</v>
      </c>
      <c r="R163" s="8" t="s">
        <v>1050</v>
      </c>
      <c r="S163" s="8" t="s">
        <v>1377</v>
      </c>
      <c r="T163" s="8" t="s">
        <v>1378</v>
      </c>
      <c r="U163" s="8" t="s">
        <v>1377</v>
      </c>
    </row>
    <row r="164" spans="6:21" x14ac:dyDescent="0.15">
      <c r="F164" t="s">
        <v>678</v>
      </c>
      <c r="G164">
        <v>4</v>
      </c>
      <c r="J164" t="s">
        <v>678</v>
      </c>
      <c r="K164" t="s">
        <v>676</v>
      </c>
      <c r="L164" t="s">
        <v>679</v>
      </c>
      <c r="M164" t="s">
        <v>298</v>
      </c>
      <c r="N164" t="s">
        <v>252</v>
      </c>
      <c r="O164">
        <v>200</v>
      </c>
      <c r="P164" t="str">
        <f t="shared" si="2"/>
        <v>退热贴2贴×200盒</v>
      </c>
      <c r="R164" s="8" t="s">
        <v>1050</v>
      </c>
      <c r="S164" s="8" t="s">
        <v>1379</v>
      </c>
      <c r="T164" s="8" t="s">
        <v>1380</v>
      </c>
      <c r="U164" s="8" t="s">
        <v>1379</v>
      </c>
    </row>
    <row r="165" spans="6:21" x14ac:dyDescent="0.15">
      <c r="F165" t="s">
        <v>680</v>
      </c>
      <c r="G165">
        <v>3.3</v>
      </c>
      <c r="J165" t="s">
        <v>680</v>
      </c>
      <c r="K165" t="s">
        <v>681</v>
      </c>
      <c r="L165" t="s">
        <v>682</v>
      </c>
      <c r="M165" t="s">
        <v>393</v>
      </c>
      <c r="N165" t="s">
        <v>252</v>
      </c>
      <c r="O165">
        <v>300</v>
      </c>
      <c r="P165" t="str">
        <f t="shared" si="2"/>
        <v>维D2磷酸氢钙片60片×300盒</v>
      </c>
      <c r="R165" s="8" t="s">
        <v>1050</v>
      </c>
      <c r="S165" s="8" t="s">
        <v>1381</v>
      </c>
      <c r="T165" s="8" t="s">
        <v>1382</v>
      </c>
      <c r="U165" s="8" t="s">
        <v>1381</v>
      </c>
    </row>
    <row r="166" spans="6:21" x14ac:dyDescent="0.15">
      <c r="F166" t="s">
        <v>683</v>
      </c>
      <c r="G166">
        <v>4.5</v>
      </c>
      <c r="J166" t="s">
        <v>683</v>
      </c>
      <c r="K166" t="s">
        <v>681</v>
      </c>
      <c r="L166" t="s">
        <v>684</v>
      </c>
      <c r="M166" t="s">
        <v>393</v>
      </c>
      <c r="N166" t="s">
        <v>252</v>
      </c>
      <c r="O166">
        <v>300</v>
      </c>
      <c r="P166" t="str">
        <f t="shared" si="2"/>
        <v>维D2磷酸氢钙片80片×300盒</v>
      </c>
      <c r="R166" s="8" t="s">
        <v>1050</v>
      </c>
      <c r="S166" s="8" t="s">
        <v>1383</v>
      </c>
      <c r="T166" s="8" t="s">
        <v>1384</v>
      </c>
      <c r="U166" s="8" t="s">
        <v>1383</v>
      </c>
    </row>
    <row r="167" spans="6:21" x14ac:dyDescent="0.15">
      <c r="F167" t="s">
        <v>685</v>
      </c>
      <c r="G167">
        <v>5.9</v>
      </c>
      <c r="J167" t="s">
        <v>685</v>
      </c>
      <c r="K167" t="s">
        <v>686</v>
      </c>
      <c r="L167" t="s">
        <v>687</v>
      </c>
      <c r="M167" t="s">
        <v>251</v>
      </c>
      <c r="N167" t="s">
        <v>252</v>
      </c>
      <c r="O167">
        <v>200</v>
      </c>
      <c r="P167" t="str">
        <f t="shared" si="2"/>
        <v>维生素C咀嚼片100mg×30片</v>
      </c>
      <c r="R167" s="8" t="s">
        <v>1050</v>
      </c>
      <c r="S167" s="8" t="s">
        <v>1385</v>
      </c>
      <c r="T167" s="8" t="s">
        <v>1386</v>
      </c>
      <c r="U167" s="8" t="s">
        <v>1385</v>
      </c>
    </row>
    <row r="168" spans="6:21" x14ac:dyDescent="0.15">
      <c r="F168" t="s">
        <v>688</v>
      </c>
      <c r="G168">
        <v>7.8</v>
      </c>
      <c r="J168" t="s">
        <v>688</v>
      </c>
      <c r="K168" t="s">
        <v>686</v>
      </c>
      <c r="L168" t="s">
        <v>689</v>
      </c>
      <c r="M168" t="s">
        <v>251</v>
      </c>
      <c r="N168" t="s">
        <v>252</v>
      </c>
      <c r="O168">
        <v>200</v>
      </c>
      <c r="P168" t="str">
        <f t="shared" si="2"/>
        <v>维生素C咀嚼片100mg×60片×200盒</v>
      </c>
      <c r="R168" s="8" t="s">
        <v>1050</v>
      </c>
      <c r="S168" s="8" t="s">
        <v>1387</v>
      </c>
      <c r="T168" s="8" t="s">
        <v>1388</v>
      </c>
      <c r="U168" s="8" t="s">
        <v>1387</v>
      </c>
    </row>
    <row r="169" spans="6:21" x14ac:dyDescent="0.15">
      <c r="F169" t="s">
        <v>690</v>
      </c>
      <c r="G169">
        <v>4.8</v>
      </c>
      <c r="J169" t="s">
        <v>690</v>
      </c>
      <c r="K169" t="s">
        <v>691</v>
      </c>
      <c r="L169" t="s">
        <v>692</v>
      </c>
      <c r="M169" t="s">
        <v>251</v>
      </c>
      <c r="N169" t="s">
        <v>252</v>
      </c>
      <c r="O169">
        <v>200</v>
      </c>
      <c r="P169" t="str">
        <f t="shared" si="2"/>
        <v>维生素E软胶囊30粒×200盒</v>
      </c>
      <c r="R169" s="8" t="s">
        <v>1050</v>
      </c>
      <c r="S169" s="8" t="s">
        <v>1389</v>
      </c>
      <c r="T169" s="8" t="s">
        <v>1390</v>
      </c>
      <c r="U169" s="8" t="s">
        <v>1389</v>
      </c>
    </row>
    <row r="170" spans="6:21" x14ac:dyDescent="0.15">
      <c r="F170" t="s">
        <v>693</v>
      </c>
      <c r="G170">
        <v>6.8</v>
      </c>
      <c r="J170" t="s">
        <v>693</v>
      </c>
      <c r="K170" t="s">
        <v>691</v>
      </c>
      <c r="L170" t="s">
        <v>694</v>
      </c>
      <c r="M170" t="s">
        <v>251</v>
      </c>
      <c r="N170" t="s">
        <v>252</v>
      </c>
      <c r="O170">
        <v>200</v>
      </c>
      <c r="P170" t="str">
        <f t="shared" si="2"/>
        <v>维生素E软胶囊60粒×200盒</v>
      </c>
      <c r="R170" s="8" t="s">
        <v>1050</v>
      </c>
      <c r="S170" s="8" t="s">
        <v>1391</v>
      </c>
      <c r="T170" s="8" t="s">
        <v>1392</v>
      </c>
      <c r="U170" s="8" t="s">
        <v>1391</v>
      </c>
    </row>
    <row r="171" spans="6:21" x14ac:dyDescent="0.15">
      <c r="F171" t="s">
        <v>695</v>
      </c>
      <c r="G171">
        <v>5.54</v>
      </c>
      <c r="J171" t="s">
        <v>695</v>
      </c>
      <c r="K171" t="s">
        <v>696</v>
      </c>
      <c r="L171" t="s">
        <v>303</v>
      </c>
      <c r="M171" t="s">
        <v>304</v>
      </c>
      <c r="N171" t="s">
        <v>268</v>
      </c>
      <c r="O171">
        <v>100</v>
      </c>
      <c r="P171" t="str">
        <f t="shared" si="2"/>
        <v>逍遥丸9g×10丸×100盒</v>
      </c>
      <c r="R171" s="8" t="s">
        <v>1050</v>
      </c>
      <c r="S171" s="8" t="s">
        <v>1393</v>
      </c>
      <c r="T171" s="8" t="s">
        <v>1394</v>
      </c>
      <c r="U171" s="8" t="s">
        <v>1393</v>
      </c>
    </row>
    <row r="172" spans="6:21" x14ac:dyDescent="0.15">
      <c r="F172" t="s">
        <v>697</v>
      </c>
      <c r="G172">
        <v>8.6999999999999993</v>
      </c>
      <c r="J172" t="s">
        <v>697</v>
      </c>
      <c r="K172" t="s">
        <v>698</v>
      </c>
      <c r="L172" t="s">
        <v>311</v>
      </c>
      <c r="M172" t="s">
        <v>304</v>
      </c>
      <c r="N172" t="s">
        <v>268</v>
      </c>
      <c r="O172">
        <v>160</v>
      </c>
      <c r="P172" t="str">
        <f t="shared" si="2"/>
        <v>逍遥丸（水丸）6g×10袋×160盒</v>
      </c>
      <c r="R172" s="8" t="s">
        <v>1050</v>
      </c>
      <c r="S172" s="8" t="s">
        <v>1395</v>
      </c>
      <c r="T172" s="8" t="s">
        <v>1396</v>
      </c>
      <c r="U172" s="8" t="s">
        <v>1395</v>
      </c>
    </row>
    <row r="173" spans="6:21" x14ac:dyDescent="0.15">
      <c r="F173" t="s">
        <v>699</v>
      </c>
      <c r="G173">
        <v>5.8</v>
      </c>
      <c r="J173" t="s">
        <v>699</v>
      </c>
      <c r="K173" t="s">
        <v>700</v>
      </c>
      <c r="L173" t="s">
        <v>701</v>
      </c>
      <c r="M173" t="s">
        <v>330</v>
      </c>
      <c r="N173" t="s">
        <v>252</v>
      </c>
      <c r="O173">
        <v>100</v>
      </c>
      <c r="P173" t="str">
        <f t="shared" si="2"/>
        <v>消咳喘糖浆100ml×100盒</v>
      </c>
      <c r="R173" s="8" t="s">
        <v>1050</v>
      </c>
      <c r="S173" s="8" t="s">
        <v>1397</v>
      </c>
      <c r="T173" s="8" t="s">
        <v>1398</v>
      </c>
      <c r="U173" s="8" t="s">
        <v>1397</v>
      </c>
    </row>
    <row r="174" spans="6:21" x14ac:dyDescent="0.15">
      <c r="F174" t="s">
        <v>702</v>
      </c>
      <c r="G174">
        <v>5.5</v>
      </c>
      <c r="J174" t="s">
        <v>702</v>
      </c>
      <c r="K174" t="s">
        <v>703</v>
      </c>
      <c r="L174" t="s">
        <v>704</v>
      </c>
      <c r="M174" t="s">
        <v>251</v>
      </c>
      <c r="N174" t="s">
        <v>252</v>
      </c>
      <c r="O174">
        <v>300</v>
      </c>
      <c r="P174" t="str">
        <f t="shared" si="2"/>
        <v>小檗碱甲氧苄啶胶囊30粒*10盒*30中盒</v>
      </c>
      <c r="R174" s="8" t="s">
        <v>1050</v>
      </c>
      <c r="S174" s="8" t="s">
        <v>1399</v>
      </c>
      <c r="T174" s="8" t="s">
        <v>1400</v>
      </c>
      <c r="U174" s="8" t="s">
        <v>1399</v>
      </c>
    </row>
    <row r="175" spans="6:21" x14ac:dyDescent="0.15">
      <c r="F175" t="s">
        <v>705</v>
      </c>
      <c r="G175">
        <v>6.7</v>
      </c>
      <c r="J175" t="s">
        <v>705</v>
      </c>
      <c r="K175" t="s">
        <v>706</v>
      </c>
      <c r="L175" t="s">
        <v>707</v>
      </c>
      <c r="M175" t="s">
        <v>298</v>
      </c>
      <c r="N175" t="s">
        <v>252</v>
      </c>
      <c r="O175">
        <v>200</v>
      </c>
      <c r="P175" t="str">
        <f t="shared" si="2"/>
        <v>小儿氨酚黄那敏颗粒(护彤)2g×12袋×200盒</v>
      </c>
      <c r="R175" s="8" t="s">
        <v>1050</v>
      </c>
      <c r="S175" s="8" t="s">
        <v>1401</v>
      </c>
      <c r="T175" s="8" t="s">
        <v>1402</v>
      </c>
      <c r="U175" s="8" t="s">
        <v>1401</v>
      </c>
    </row>
    <row r="176" spans="6:21" x14ac:dyDescent="0.15">
      <c r="F176" t="s">
        <v>708</v>
      </c>
      <c r="G176">
        <v>1.8</v>
      </c>
      <c r="J176" t="s">
        <v>708</v>
      </c>
      <c r="K176" t="s">
        <v>709</v>
      </c>
      <c r="L176" t="s">
        <v>710</v>
      </c>
      <c r="M176" t="s">
        <v>298</v>
      </c>
      <c r="N176" t="s">
        <v>268</v>
      </c>
      <c r="O176">
        <v>400</v>
      </c>
      <c r="P176" t="str">
        <f t="shared" si="2"/>
        <v>小儿氨酚黄那敏片0.125g×20片×400盒</v>
      </c>
      <c r="R176" s="8" t="s">
        <v>1050</v>
      </c>
      <c r="S176" s="8" t="s">
        <v>1403</v>
      </c>
      <c r="T176" s="8" t="s">
        <v>1404</v>
      </c>
      <c r="U176" s="8" t="s">
        <v>1403</v>
      </c>
    </row>
    <row r="177" spans="6:21" x14ac:dyDescent="0.15">
      <c r="F177" t="s">
        <v>711</v>
      </c>
      <c r="G177">
        <v>8.8000000000000007</v>
      </c>
      <c r="J177" t="s">
        <v>711</v>
      </c>
      <c r="K177" t="s">
        <v>712</v>
      </c>
      <c r="L177" t="s">
        <v>701</v>
      </c>
      <c r="M177" t="s">
        <v>330</v>
      </c>
      <c r="N177" t="s">
        <v>252</v>
      </c>
      <c r="O177">
        <v>100</v>
      </c>
      <c r="P177" t="str">
        <f t="shared" si="2"/>
        <v>小儿百部止咳糖浆100ml×100盒</v>
      </c>
      <c r="R177" s="8" t="s">
        <v>1050</v>
      </c>
      <c r="S177" s="8" t="s">
        <v>1405</v>
      </c>
      <c r="T177" s="8" t="s">
        <v>1406</v>
      </c>
      <c r="U177" s="8" t="s">
        <v>1405</v>
      </c>
    </row>
    <row r="178" spans="6:21" x14ac:dyDescent="0.15">
      <c r="F178" t="s">
        <v>713</v>
      </c>
      <c r="G178">
        <v>9</v>
      </c>
      <c r="J178" t="s">
        <v>713</v>
      </c>
      <c r="K178" t="s">
        <v>714</v>
      </c>
      <c r="L178" t="s">
        <v>401</v>
      </c>
      <c r="M178" t="s">
        <v>393</v>
      </c>
      <c r="N178" t="s">
        <v>252</v>
      </c>
      <c r="O178">
        <v>300</v>
      </c>
      <c r="P178" t="str">
        <f t="shared" si="2"/>
        <v>小儿葡磷泛三钙片50片×300盒</v>
      </c>
      <c r="R178" s="8" t="s">
        <v>1050</v>
      </c>
      <c r="S178" s="8" t="s">
        <v>1407</v>
      </c>
      <c r="T178" s="8" t="s">
        <v>1408</v>
      </c>
      <c r="U178" s="8" t="s">
        <v>1407</v>
      </c>
    </row>
    <row r="179" spans="6:21" x14ac:dyDescent="0.15">
      <c r="F179" t="s">
        <v>715</v>
      </c>
      <c r="G179">
        <v>7.42</v>
      </c>
      <c r="J179" t="s">
        <v>715</v>
      </c>
      <c r="K179" t="s">
        <v>716</v>
      </c>
      <c r="L179" t="s">
        <v>717</v>
      </c>
      <c r="M179" t="s">
        <v>304</v>
      </c>
      <c r="N179" t="s">
        <v>268</v>
      </c>
      <c r="O179">
        <v>200</v>
      </c>
      <c r="P179" t="str">
        <f t="shared" si="2"/>
        <v>小儿吐泻宁3g×10袋×200盒</v>
      </c>
      <c r="R179" s="8" t="s">
        <v>1050</v>
      </c>
      <c r="S179" s="8" t="s">
        <v>1409</v>
      </c>
      <c r="T179" s="8" t="s">
        <v>1410</v>
      </c>
      <c r="U179" s="8" t="s">
        <v>1409</v>
      </c>
    </row>
    <row r="180" spans="6:21" x14ac:dyDescent="0.15">
      <c r="F180" t="s">
        <v>718</v>
      </c>
      <c r="G180">
        <v>4.42</v>
      </c>
      <c r="J180" t="s">
        <v>718</v>
      </c>
      <c r="K180" t="s">
        <v>719</v>
      </c>
      <c r="L180" t="s">
        <v>360</v>
      </c>
      <c r="M180" t="s">
        <v>304</v>
      </c>
      <c r="N180" t="s">
        <v>268</v>
      </c>
      <c r="O180">
        <v>100</v>
      </c>
      <c r="P180" t="str">
        <f t="shared" si="2"/>
        <v>小活络丸3g×10丸×100盒</v>
      </c>
      <c r="R180" s="8" t="s">
        <v>1050</v>
      </c>
      <c r="S180" s="8" t="s">
        <v>1411</v>
      </c>
      <c r="T180" s="8" t="s">
        <v>1412</v>
      </c>
      <c r="U180" s="8" t="s">
        <v>1411</v>
      </c>
    </row>
    <row r="181" spans="6:21" x14ac:dyDescent="0.15">
      <c r="F181" t="s">
        <v>720</v>
      </c>
      <c r="G181">
        <v>5</v>
      </c>
      <c r="J181" t="s">
        <v>720</v>
      </c>
      <c r="K181" t="s">
        <v>721</v>
      </c>
      <c r="L181" t="s">
        <v>722</v>
      </c>
      <c r="M181" t="s">
        <v>267</v>
      </c>
      <c r="N181" t="s">
        <v>252</v>
      </c>
      <c r="O181">
        <v>160</v>
      </c>
      <c r="P181" t="str">
        <f t="shared" si="2"/>
        <v>辛伐他汀片10mg×10片×160盒</v>
      </c>
      <c r="R181" s="8" t="s">
        <v>1050</v>
      </c>
      <c r="S181" s="8" t="s">
        <v>1413</v>
      </c>
      <c r="T181" s="8" t="s">
        <v>1414</v>
      </c>
      <c r="U181" s="8" t="s">
        <v>1413</v>
      </c>
    </row>
    <row r="182" spans="6:21" x14ac:dyDescent="0.15">
      <c r="F182" t="s">
        <v>723</v>
      </c>
      <c r="G182">
        <v>7.21</v>
      </c>
      <c r="J182" t="s">
        <v>723</v>
      </c>
      <c r="K182" t="s">
        <v>721</v>
      </c>
      <c r="L182" t="s">
        <v>724</v>
      </c>
      <c r="M182" t="s">
        <v>267</v>
      </c>
      <c r="N182" t="s">
        <v>252</v>
      </c>
      <c r="O182">
        <v>160</v>
      </c>
      <c r="P182" t="str">
        <f t="shared" si="2"/>
        <v>辛伐他汀片10mg×15片×160盒</v>
      </c>
      <c r="R182" s="8" t="s">
        <v>1050</v>
      </c>
      <c r="S182" s="8" t="s">
        <v>1415</v>
      </c>
      <c r="T182" s="8" t="s">
        <v>1416</v>
      </c>
      <c r="U182" s="8" t="s">
        <v>1415</v>
      </c>
    </row>
    <row r="183" spans="6:21" x14ac:dyDescent="0.15">
      <c r="F183" t="s">
        <v>725</v>
      </c>
      <c r="G183">
        <v>16.2</v>
      </c>
      <c r="J183" t="s">
        <v>725</v>
      </c>
      <c r="K183" t="s">
        <v>726</v>
      </c>
      <c r="L183" t="s">
        <v>727</v>
      </c>
      <c r="M183" t="s">
        <v>298</v>
      </c>
      <c r="N183" t="s">
        <v>252</v>
      </c>
      <c r="O183">
        <v>120</v>
      </c>
      <c r="P183" t="str">
        <f t="shared" si="2"/>
        <v>新盖中盖牌儿童钙片1.75g×36片×120盒</v>
      </c>
      <c r="R183" s="8" t="s">
        <v>1050</v>
      </c>
      <c r="S183" s="8" t="s">
        <v>1417</v>
      </c>
      <c r="T183" s="8" t="s">
        <v>1418</v>
      </c>
      <c r="U183" s="8" t="s">
        <v>1417</v>
      </c>
    </row>
    <row r="184" spans="6:21" x14ac:dyDescent="0.15">
      <c r="F184" t="s">
        <v>728</v>
      </c>
      <c r="G184">
        <v>18</v>
      </c>
      <c r="J184" t="s">
        <v>728</v>
      </c>
      <c r="K184" t="s">
        <v>729</v>
      </c>
      <c r="L184" t="s">
        <v>730</v>
      </c>
      <c r="M184" t="s">
        <v>298</v>
      </c>
      <c r="N184" t="s">
        <v>252</v>
      </c>
      <c r="O184">
        <v>120</v>
      </c>
      <c r="P184" t="str">
        <f t="shared" si="2"/>
        <v>新盖中盖牌高钙片2.5g×36片×120盒</v>
      </c>
      <c r="R184" s="8" t="s">
        <v>1050</v>
      </c>
      <c r="S184" s="8" t="s">
        <v>1419</v>
      </c>
      <c r="T184" s="8" t="s">
        <v>1420</v>
      </c>
      <c r="U184" s="8" t="s">
        <v>1419</v>
      </c>
    </row>
    <row r="185" spans="6:21" x14ac:dyDescent="0.15">
      <c r="F185" t="s">
        <v>731</v>
      </c>
      <c r="G185">
        <v>27</v>
      </c>
      <c r="J185" t="s">
        <v>731</v>
      </c>
      <c r="K185" t="s">
        <v>729</v>
      </c>
      <c r="L185" t="s">
        <v>732</v>
      </c>
      <c r="M185" t="s">
        <v>298</v>
      </c>
      <c r="N185" t="s">
        <v>252</v>
      </c>
      <c r="O185">
        <v>80</v>
      </c>
      <c r="P185" t="str">
        <f t="shared" si="2"/>
        <v>新盖中盖牌高钙片2.5g×60片×80盒</v>
      </c>
      <c r="R185" s="8" t="s">
        <v>1050</v>
      </c>
      <c r="S185" s="8" t="s">
        <v>1421</v>
      </c>
      <c r="T185" s="8" t="s">
        <v>1422</v>
      </c>
      <c r="U185" s="8" t="s">
        <v>1421</v>
      </c>
    </row>
    <row r="186" spans="6:21" x14ac:dyDescent="0.15">
      <c r="F186" t="s">
        <v>733</v>
      </c>
      <c r="G186">
        <v>9.42</v>
      </c>
      <c r="J186" t="s">
        <v>733</v>
      </c>
      <c r="K186" t="s">
        <v>734</v>
      </c>
      <c r="L186" t="s">
        <v>303</v>
      </c>
      <c r="M186" t="s">
        <v>304</v>
      </c>
      <c r="N186" t="s">
        <v>268</v>
      </c>
      <c r="O186">
        <v>100</v>
      </c>
      <c r="P186" t="str">
        <f t="shared" si="2"/>
        <v>醒脑再造丸9g×10丸×100盒</v>
      </c>
      <c r="R186" s="8" t="s">
        <v>1050</v>
      </c>
      <c r="S186" s="8" t="s">
        <v>1423</v>
      </c>
      <c r="T186" s="8" t="s">
        <v>1424</v>
      </c>
      <c r="U186" s="8" t="s">
        <v>1423</v>
      </c>
    </row>
    <row r="187" spans="6:21" x14ac:dyDescent="0.15">
      <c r="F187" t="s">
        <v>735</v>
      </c>
      <c r="G187">
        <v>7.5</v>
      </c>
      <c r="J187" t="s">
        <v>735</v>
      </c>
      <c r="K187" t="s">
        <v>736</v>
      </c>
      <c r="L187" t="s">
        <v>303</v>
      </c>
      <c r="M187" t="s">
        <v>304</v>
      </c>
      <c r="N187" t="s">
        <v>268</v>
      </c>
      <c r="O187">
        <v>100</v>
      </c>
      <c r="P187" t="str">
        <f t="shared" si="2"/>
        <v>血府逐瘀丸9g×10丸×100盒</v>
      </c>
      <c r="R187" s="8" t="s">
        <v>1050</v>
      </c>
      <c r="S187" s="8" t="s">
        <v>1425</v>
      </c>
      <c r="T187" s="8" t="s">
        <v>1426</v>
      </c>
      <c r="U187" s="8" t="s">
        <v>1425</v>
      </c>
    </row>
    <row r="188" spans="6:21" x14ac:dyDescent="0.15">
      <c r="F188" t="s">
        <v>737</v>
      </c>
      <c r="G188">
        <v>15.8</v>
      </c>
      <c r="J188" t="s">
        <v>737</v>
      </c>
      <c r="K188" t="s">
        <v>738</v>
      </c>
      <c r="L188" t="s">
        <v>739</v>
      </c>
      <c r="M188" t="s">
        <v>304</v>
      </c>
      <c r="N188" t="s">
        <v>268</v>
      </c>
      <c r="O188">
        <v>60</v>
      </c>
      <c r="P188" t="str">
        <f t="shared" si="2"/>
        <v>血府逐瘀丸30袋4g×30袋×60盒</v>
      </c>
      <c r="R188" s="8" t="s">
        <v>1050</v>
      </c>
      <c r="S188" s="8" t="s">
        <v>1427</v>
      </c>
      <c r="T188" s="8" t="s">
        <v>1428</v>
      </c>
      <c r="U188" s="8" t="s">
        <v>1427</v>
      </c>
    </row>
    <row r="189" spans="6:21" x14ac:dyDescent="0.15">
      <c r="F189" t="s">
        <v>740</v>
      </c>
      <c r="G189">
        <v>3</v>
      </c>
      <c r="J189" t="s">
        <v>740</v>
      </c>
      <c r="K189" t="s">
        <v>741</v>
      </c>
      <c r="L189" t="s">
        <v>742</v>
      </c>
      <c r="M189" t="s">
        <v>251</v>
      </c>
      <c r="N189" t="s">
        <v>252</v>
      </c>
      <c r="O189">
        <v>400</v>
      </c>
      <c r="P189" t="str">
        <f t="shared" si="2"/>
        <v>盐酸氟桂利嗪胶囊5mg*20粒*400盒</v>
      </c>
      <c r="R189" s="8" t="s">
        <v>1050</v>
      </c>
      <c r="S189" s="8" t="s">
        <v>1429</v>
      </c>
      <c r="T189" s="8" t="s">
        <v>1430</v>
      </c>
      <c r="U189" s="8" t="s">
        <v>1429</v>
      </c>
    </row>
    <row r="190" spans="6:21" x14ac:dyDescent="0.15">
      <c r="F190" t="s">
        <v>743</v>
      </c>
      <c r="G190">
        <v>1.7</v>
      </c>
      <c r="J190" t="s">
        <v>743</v>
      </c>
      <c r="K190" t="s">
        <v>744</v>
      </c>
      <c r="L190" t="s">
        <v>745</v>
      </c>
      <c r="M190" t="s">
        <v>298</v>
      </c>
      <c r="N190" t="s">
        <v>252</v>
      </c>
      <c r="O190">
        <v>300</v>
      </c>
      <c r="P190" t="str">
        <f t="shared" si="2"/>
        <v>盐酸氟桂利嗪片（孚瑞尔）20片×300盒</v>
      </c>
      <c r="R190" s="8" t="s">
        <v>1050</v>
      </c>
      <c r="S190" s="8" t="s">
        <v>1431</v>
      </c>
      <c r="T190" s="8" t="s">
        <v>1432</v>
      </c>
      <c r="U190" s="8" t="s">
        <v>1431</v>
      </c>
    </row>
    <row r="191" spans="6:21" x14ac:dyDescent="0.15">
      <c r="F191" t="s">
        <v>746</v>
      </c>
      <c r="G191">
        <v>2.2000000000000002</v>
      </c>
      <c r="J191" t="s">
        <v>746</v>
      </c>
      <c r="K191" t="s">
        <v>744</v>
      </c>
      <c r="L191" t="s">
        <v>747</v>
      </c>
      <c r="M191" t="s">
        <v>298</v>
      </c>
      <c r="N191" t="s">
        <v>252</v>
      </c>
      <c r="O191">
        <v>300</v>
      </c>
      <c r="P191" t="str">
        <f t="shared" si="2"/>
        <v>盐酸氟桂利嗪片（孚瑞尔）40片×300盒</v>
      </c>
      <c r="R191" s="8" t="s">
        <v>1050</v>
      </c>
      <c r="S191" s="8" t="s">
        <v>1433</v>
      </c>
      <c r="T191" s="8" t="s">
        <v>1434</v>
      </c>
      <c r="U191" s="8" t="s">
        <v>1433</v>
      </c>
    </row>
    <row r="192" spans="6:21" x14ac:dyDescent="0.15">
      <c r="F192" t="s">
        <v>748</v>
      </c>
      <c r="G192">
        <v>1.76</v>
      </c>
      <c r="J192" t="s">
        <v>748</v>
      </c>
      <c r="K192" t="s">
        <v>749</v>
      </c>
      <c r="L192" t="s">
        <v>750</v>
      </c>
      <c r="M192" t="s">
        <v>251</v>
      </c>
      <c r="N192" t="s">
        <v>252</v>
      </c>
      <c r="O192">
        <v>600</v>
      </c>
      <c r="P192" t="str">
        <f t="shared" si="2"/>
        <v>盐酸环丙沙星片0.25g×12片×600盒</v>
      </c>
      <c r="R192" s="8" t="s">
        <v>1050</v>
      </c>
      <c r="S192" s="8" t="s">
        <v>1435</v>
      </c>
      <c r="T192" s="8" t="s">
        <v>1436</v>
      </c>
      <c r="U192" s="8" t="s">
        <v>1435</v>
      </c>
    </row>
    <row r="193" spans="6:21" x14ac:dyDescent="0.15">
      <c r="F193" t="s">
        <v>751</v>
      </c>
      <c r="G193">
        <v>4.3</v>
      </c>
      <c r="J193" t="s">
        <v>751</v>
      </c>
      <c r="K193" t="s">
        <v>752</v>
      </c>
      <c r="L193" t="s">
        <v>753</v>
      </c>
      <c r="M193" t="s">
        <v>251</v>
      </c>
      <c r="N193" t="s">
        <v>252</v>
      </c>
      <c r="O193">
        <v>300</v>
      </c>
      <c r="P193" t="str">
        <f t="shared" si="2"/>
        <v>盐酸特拉唑嗪胶囊（阿美利特）2mg*10粒</v>
      </c>
      <c r="R193" s="8" t="s">
        <v>1050</v>
      </c>
      <c r="S193" s="8" t="s">
        <v>1437</v>
      </c>
      <c r="T193" s="8" t="s">
        <v>1438</v>
      </c>
      <c r="U193" s="8" t="s">
        <v>1437</v>
      </c>
    </row>
    <row r="194" spans="6:21" x14ac:dyDescent="0.15">
      <c r="F194" t="s">
        <v>754</v>
      </c>
      <c r="G194">
        <v>3.85</v>
      </c>
      <c r="J194" t="s">
        <v>754</v>
      </c>
      <c r="K194" t="s">
        <v>755</v>
      </c>
      <c r="L194" t="s">
        <v>756</v>
      </c>
      <c r="M194" t="s">
        <v>251</v>
      </c>
      <c r="N194" t="s">
        <v>252</v>
      </c>
      <c r="O194">
        <v>200</v>
      </c>
      <c r="P194" t="str">
        <f t="shared" si="2"/>
        <v>盐酸伊托必利胶囊(代林)50mg*10粒*10小盒*20中盒</v>
      </c>
      <c r="R194" s="8" t="s">
        <v>1050</v>
      </c>
      <c r="S194" s="8" t="s">
        <v>1439</v>
      </c>
      <c r="T194" s="8" t="s">
        <v>1440</v>
      </c>
      <c r="U194" s="8" t="s">
        <v>1439</v>
      </c>
    </row>
    <row r="195" spans="6:21" x14ac:dyDescent="0.15">
      <c r="F195" t="s">
        <v>757</v>
      </c>
      <c r="G195">
        <v>2.5</v>
      </c>
      <c r="J195" t="s">
        <v>757</v>
      </c>
      <c r="K195" t="s">
        <v>755</v>
      </c>
      <c r="L195" t="s">
        <v>758</v>
      </c>
      <c r="M195" t="s">
        <v>251</v>
      </c>
      <c r="N195" t="s">
        <v>268</v>
      </c>
      <c r="O195">
        <v>200</v>
      </c>
      <c r="P195" t="str">
        <f t="shared" ref="P195:P258" si="3">K195&amp;L195</f>
        <v>盐酸伊托必利胶囊(代林)50mg*10粒*200盒</v>
      </c>
      <c r="R195" s="8" t="s">
        <v>1050</v>
      </c>
      <c r="S195" s="8" t="s">
        <v>1441</v>
      </c>
      <c r="T195" s="8" t="s">
        <v>1442</v>
      </c>
      <c r="U195" s="8" t="s">
        <v>1441</v>
      </c>
    </row>
    <row r="196" spans="6:21" x14ac:dyDescent="0.15">
      <c r="F196" t="s">
        <v>759</v>
      </c>
      <c r="G196">
        <v>4.5</v>
      </c>
      <c r="J196" t="s">
        <v>759</v>
      </c>
      <c r="K196" t="s">
        <v>755</v>
      </c>
      <c r="L196" t="s">
        <v>760</v>
      </c>
      <c r="M196" t="s">
        <v>251</v>
      </c>
      <c r="N196" t="s">
        <v>252</v>
      </c>
      <c r="O196">
        <v>200</v>
      </c>
      <c r="P196" t="str">
        <f t="shared" si="3"/>
        <v>盐酸伊托必利胶囊(代林)50mg*20粒</v>
      </c>
      <c r="R196" s="8" t="s">
        <v>1050</v>
      </c>
      <c r="S196" s="8" t="s">
        <v>1443</v>
      </c>
      <c r="T196" s="8" t="s">
        <v>1444</v>
      </c>
      <c r="U196" s="8" t="s">
        <v>1443</v>
      </c>
    </row>
    <row r="197" spans="6:21" x14ac:dyDescent="0.15">
      <c r="F197" t="s">
        <v>761</v>
      </c>
      <c r="G197">
        <v>2.81</v>
      </c>
      <c r="J197" t="s">
        <v>761</v>
      </c>
      <c r="K197" t="s">
        <v>762</v>
      </c>
      <c r="L197" t="s">
        <v>763</v>
      </c>
      <c r="M197" t="s">
        <v>298</v>
      </c>
      <c r="N197" t="s">
        <v>252</v>
      </c>
      <c r="O197">
        <v>300</v>
      </c>
      <c r="P197" t="str">
        <f t="shared" si="3"/>
        <v>盐酸伊托必利片50mg*12片*300</v>
      </c>
      <c r="R197" s="8" t="s">
        <v>1050</v>
      </c>
      <c r="S197" s="8" t="s">
        <v>1445</v>
      </c>
      <c r="T197" s="8" t="s">
        <v>1446</v>
      </c>
      <c r="U197" s="8" t="s">
        <v>1445</v>
      </c>
    </row>
    <row r="198" spans="6:21" x14ac:dyDescent="0.15">
      <c r="F198" t="s">
        <v>764</v>
      </c>
      <c r="G198">
        <v>1.95</v>
      </c>
      <c r="J198" t="s">
        <v>764</v>
      </c>
      <c r="K198" t="s">
        <v>765</v>
      </c>
      <c r="L198" t="s">
        <v>766</v>
      </c>
      <c r="M198" t="s">
        <v>251</v>
      </c>
      <c r="N198" t="s">
        <v>252</v>
      </c>
      <c r="O198">
        <v>600</v>
      </c>
      <c r="P198" t="str">
        <f t="shared" si="3"/>
        <v>盐酸左氧氟沙星片0.1g×12片×10盒×60包</v>
      </c>
      <c r="R198" s="8" t="s">
        <v>1050</v>
      </c>
      <c r="S198" s="8" t="s">
        <v>1447</v>
      </c>
      <c r="T198" s="8" t="s">
        <v>1448</v>
      </c>
      <c r="U198" s="8" t="s">
        <v>1447</v>
      </c>
    </row>
    <row r="199" spans="6:21" x14ac:dyDescent="0.15">
      <c r="F199" t="s">
        <v>767</v>
      </c>
      <c r="G199">
        <v>3</v>
      </c>
      <c r="J199" t="s">
        <v>767</v>
      </c>
      <c r="K199" t="s">
        <v>765</v>
      </c>
      <c r="L199" t="s">
        <v>768</v>
      </c>
      <c r="M199" t="s">
        <v>251</v>
      </c>
      <c r="N199" t="s">
        <v>268</v>
      </c>
      <c r="O199">
        <v>300</v>
      </c>
      <c r="P199" t="str">
        <f t="shared" si="3"/>
        <v>盐酸左氧氟沙星片0.1g×24片×300盒</v>
      </c>
      <c r="R199" s="8" t="s">
        <v>1050</v>
      </c>
      <c r="S199" s="8" t="s">
        <v>1449</v>
      </c>
      <c r="T199" s="8" t="s">
        <v>1450</v>
      </c>
      <c r="U199" s="8" t="s">
        <v>1449</v>
      </c>
    </row>
    <row r="200" spans="6:21" x14ac:dyDescent="0.15">
      <c r="F200" t="s">
        <v>769</v>
      </c>
      <c r="G200">
        <v>7.8</v>
      </c>
      <c r="J200" t="s">
        <v>769</v>
      </c>
      <c r="K200" t="s">
        <v>770</v>
      </c>
      <c r="L200" t="s">
        <v>545</v>
      </c>
      <c r="M200" t="s">
        <v>393</v>
      </c>
      <c r="N200" t="s">
        <v>252</v>
      </c>
      <c r="O200">
        <v>400</v>
      </c>
      <c r="P200" t="str">
        <f t="shared" si="3"/>
        <v>羊肝明目片24片×400盒</v>
      </c>
      <c r="R200" s="8" t="s">
        <v>1050</v>
      </c>
      <c r="S200" s="8" t="s">
        <v>1451</v>
      </c>
      <c r="T200" s="8" t="s">
        <v>1452</v>
      </c>
      <c r="U200" s="8" t="s">
        <v>1451</v>
      </c>
    </row>
    <row r="201" spans="6:21" x14ac:dyDescent="0.15">
      <c r="F201" t="s">
        <v>771</v>
      </c>
      <c r="G201">
        <v>4</v>
      </c>
      <c r="H201">
        <v>4.4400000000000004</v>
      </c>
      <c r="I201">
        <v>15</v>
      </c>
      <c r="J201" t="s">
        <v>771</v>
      </c>
      <c r="K201" t="s">
        <v>772</v>
      </c>
      <c r="L201" t="s">
        <v>773</v>
      </c>
      <c r="M201" t="s">
        <v>298</v>
      </c>
      <c r="N201" t="s">
        <v>268</v>
      </c>
      <c r="O201">
        <v>200</v>
      </c>
      <c r="P201" t="str">
        <f t="shared" si="3"/>
        <v>医用退热贴2贴/袋×10盒×20中包</v>
      </c>
      <c r="R201" s="8" t="s">
        <v>1050</v>
      </c>
      <c r="S201" s="8" t="s">
        <v>1453</v>
      </c>
      <c r="T201" s="8" t="s">
        <v>1454</v>
      </c>
      <c r="U201" s="8" t="s">
        <v>1453</v>
      </c>
    </row>
    <row r="202" spans="6:21" x14ac:dyDescent="0.15">
      <c r="F202" t="s">
        <v>774</v>
      </c>
      <c r="G202">
        <v>4</v>
      </c>
      <c r="H202">
        <v>4.4400000000000004</v>
      </c>
      <c r="I202">
        <v>15</v>
      </c>
      <c r="J202" t="s">
        <v>774</v>
      </c>
      <c r="K202" t="s">
        <v>772</v>
      </c>
      <c r="L202" t="s">
        <v>775</v>
      </c>
      <c r="M202" t="s">
        <v>312</v>
      </c>
      <c r="N202" t="s">
        <v>268</v>
      </c>
      <c r="O202">
        <v>240</v>
      </c>
      <c r="P202" t="str">
        <f t="shared" si="3"/>
        <v>医用退热贴2贴×240盒</v>
      </c>
      <c r="R202" s="8" t="s">
        <v>1050</v>
      </c>
      <c r="S202" s="8" t="s">
        <v>1455</v>
      </c>
      <c r="T202" s="8" t="s">
        <v>1456</v>
      </c>
      <c r="U202" s="8" t="s">
        <v>1455</v>
      </c>
    </row>
    <row r="203" spans="6:21" x14ac:dyDescent="0.15">
      <c r="F203" t="s">
        <v>776</v>
      </c>
      <c r="G203">
        <v>5.35</v>
      </c>
      <c r="J203" t="s">
        <v>776</v>
      </c>
      <c r="K203" t="s">
        <v>777</v>
      </c>
      <c r="L203" t="s">
        <v>303</v>
      </c>
      <c r="M203" t="s">
        <v>304</v>
      </c>
      <c r="N203" t="s">
        <v>268</v>
      </c>
      <c r="O203">
        <v>100</v>
      </c>
      <c r="P203" t="str">
        <f t="shared" si="3"/>
        <v>益母丸(OTC)9g×10丸×100盒</v>
      </c>
      <c r="R203" s="8" t="s">
        <v>1050</v>
      </c>
      <c r="S203" s="8" t="s">
        <v>1457</v>
      </c>
      <c r="T203" s="8" t="s">
        <v>1458</v>
      </c>
      <c r="U203" s="8" t="s">
        <v>1457</v>
      </c>
    </row>
    <row r="204" spans="6:21" x14ac:dyDescent="0.15">
      <c r="F204" t="s">
        <v>778</v>
      </c>
      <c r="G204">
        <v>5.7</v>
      </c>
      <c r="J204" t="s">
        <v>778</v>
      </c>
      <c r="K204" t="s">
        <v>779</v>
      </c>
      <c r="L204" t="s">
        <v>360</v>
      </c>
      <c r="M204" t="s">
        <v>304</v>
      </c>
      <c r="N204" t="s">
        <v>268</v>
      </c>
      <c r="O204">
        <v>100</v>
      </c>
      <c r="P204" t="str">
        <f t="shared" si="3"/>
        <v>银翘解毒丸（OTC）3g×10丸×100盒</v>
      </c>
      <c r="R204" s="8" t="s">
        <v>1050</v>
      </c>
      <c r="S204" s="8" t="s">
        <v>1459</v>
      </c>
      <c r="T204" s="8" t="s">
        <v>1460</v>
      </c>
      <c r="U204" s="8" t="s">
        <v>1459</v>
      </c>
    </row>
    <row r="205" spans="6:21" x14ac:dyDescent="0.15">
      <c r="F205" t="s">
        <v>780</v>
      </c>
      <c r="G205">
        <v>9.1999999999999993</v>
      </c>
      <c r="I205">
        <v>28</v>
      </c>
      <c r="J205" t="s">
        <v>780</v>
      </c>
      <c r="K205" t="s">
        <v>781</v>
      </c>
      <c r="L205" t="s">
        <v>782</v>
      </c>
      <c r="M205" t="s">
        <v>304</v>
      </c>
      <c r="N205" t="s">
        <v>268</v>
      </c>
      <c r="O205">
        <v>400</v>
      </c>
      <c r="P205" t="str">
        <f t="shared" si="3"/>
        <v>银杏叶分散片0.15g×36片×400盒</v>
      </c>
      <c r="R205" s="8" t="s">
        <v>1050</v>
      </c>
      <c r="S205" s="8" t="s">
        <v>1461</v>
      </c>
      <c r="T205" s="8" t="s">
        <v>1462</v>
      </c>
      <c r="U205" s="8" t="s">
        <v>1461</v>
      </c>
    </row>
    <row r="206" spans="6:21" x14ac:dyDescent="0.15">
      <c r="F206" t="s">
        <v>783</v>
      </c>
      <c r="G206">
        <v>6.51</v>
      </c>
      <c r="J206" t="s">
        <v>783</v>
      </c>
      <c r="K206" t="s">
        <v>784</v>
      </c>
      <c r="L206" t="s">
        <v>303</v>
      </c>
      <c r="M206" t="s">
        <v>304</v>
      </c>
      <c r="N206" t="s">
        <v>268</v>
      </c>
      <c r="O206">
        <v>100</v>
      </c>
      <c r="P206" t="str">
        <f t="shared" si="3"/>
        <v>知柏地黄丸(OTC)9g×10丸×100盒</v>
      </c>
      <c r="R206" s="8" t="s">
        <v>1050</v>
      </c>
      <c r="S206" s="8" t="s">
        <v>1463</v>
      </c>
      <c r="T206" s="8" t="s">
        <v>1464</v>
      </c>
      <c r="U206" s="8" t="s">
        <v>1463</v>
      </c>
    </row>
    <row r="207" spans="6:21" x14ac:dyDescent="0.15">
      <c r="F207" t="s">
        <v>785</v>
      </c>
      <c r="G207">
        <v>13</v>
      </c>
      <c r="J207" t="s">
        <v>785</v>
      </c>
      <c r="K207" t="s">
        <v>786</v>
      </c>
      <c r="L207" t="s">
        <v>787</v>
      </c>
      <c r="M207" t="s">
        <v>571</v>
      </c>
      <c r="N207" t="s">
        <v>572</v>
      </c>
      <c r="O207">
        <v>200</v>
      </c>
      <c r="P207" t="str">
        <f t="shared" si="3"/>
        <v>重组人促红素注射液（CHO细胞）2000IU预充式</v>
      </c>
      <c r="R207" s="8" t="s">
        <v>1050</v>
      </c>
      <c r="S207" s="8" t="s">
        <v>1465</v>
      </c>
      <c r="T207" s="8" t="s">
        <v>1466</v>
      </c>
      <c r="U207" s="8" t="s">
        <v>1465</v>
      </c>
    </row>
    <row r="208" spans="6:21" x14ac:dyDescent="0.15">
      <c r="F208" t="s">
        <v>788</v>
      </c>
      <c r="G208">
        <v>8.5</v>
      </c>
      <c r="J208" t="s">
        <v>788</v>
      </c>
      <c r="K208" t="s">
        <v>786</v>
      </c>
      <c r="L208" t="s">
        <v>789</v>
      </c>
      <c r="M208" t="s">
        <v>571</v>
      </c>
      <c r="N208" t="s">
        <v>572</v>
      </c>
      <c r="O208">
        <v>300</v>
      </c>
      <c r="P208" t="str">
        <f t="shared" si="3"/>
        <v>重组人促红素注射液（CHO细胞）3000IU</v>
      </c>
      <c r="R208" s="8" t="s">
        <v>1050</v>
      </c>
      <c r="S208" s="8" t="s">
        <v>1467</v>
      </c>
      <c r="T208" s="8" t="s">
        <v>1468</v>
      </c>
      <c r="U208" s="8" t="s">
        <v>1467</v>
      </c>
    </row>
    <row r="209" spans="6:21" x14ac:dyDescent="0.15">
      <c r="F209" t="s">
        <v>790</v>
      </c>
      <c r="G209">
        <v>12</v>
      </c>
      <c r="J209" t="s">
        <v>790</v>
      </c>
      <c r="K209" t="s">
        <v>786</v>
      </c>
      <c r="L209" t="s">
        <v>791</v>
      </c>
      <c r="M209" t="s">
        <v>571</v>
      </c>
      <c r="N209" t="s">
        <v>572</v>
      </c>
      <c r="O209">
        <v>200</v>
      </c>
      <c r="P209" t="str">
        <f t="shared" si="3"/>
        <v>重组人促红素注射液（CHO细胞）3000IU预充式</v>
      </c>
      <c r="R209" s="8" t="s">
        <v>1050</v>
      </c>
      <c r="S209" s="8" t="s">
        <v>1469</v>
      </c>
      <c r="T209" s="8" t="s">
        <v>1470</v>
      </c>
      <c r="U209" s="8" t="s">
        <v>1469</v>
      </c>
    </row>
    <row r="210" spans="6:21" x14ac:dyDescent="0.15">
      <c r="F210" t="s">
        <v>792</v>
      </c>
      <c r="G210">
        <v>16</v>
      </c>
      <c r="J210" t="s">
        <v>792</v>
      </c>
      <c r="K210" t="s">
        <v>786</v>
      </c>
      <c r="L210" t="s">
        <v>793</v>
      </c>
      <c r="M210" t="s">
        <v>571</v>
      </c>
      <c r="N210" t="s">
        <v>572</v>
      </c>
      <c r="O210">
        <v>300</v>
      </c>
      <c r="P210" t="str">
        <f t="shared" si="3"/>
        <v>重组人促红素注射液（CHO细胞）4000IU</v>
      </c>
      <c r="R210" s="8" t="s">
        <v>1050</v>
      </c>
      <c r="S210" s="8" t="s">
        <v>1471</v>
      </c>
      <c r="T210" s="8" t="s">
        <v>1472</v>
      </c>
      <c r="U210" s="8" t="s">
        <v>1471</v>
      </c>
    </row>
    <row r="211" spans="6:21" x14ac:dyDescent="0.15">
      <c r="F211" t="s">
        <v>794</v>
      </c>
      <c r="G211">
        <v>14</v>
      </c>
      <c r="J211" t="s">
        <v>794</v>
      </c>
      <c r="K211" t="s">
        <v>786</v>
      </c>
      <c r="L211" t="s">
        <v>795</v>
      </c>
      <c r="M211" t="s">
        <v>571</v>
      </c>
      <c r="N211" t="s">
        <v>572</v>
      </c>
      <c r="O211">
        <v>200</v>
      </c>
      <c r="P211" t="str">
        <f t="shared" si="3"/>
        <v>重组人促红素注射液（CHO细胞）4000IU预充式</v>
      </c>
      <c r="R211" s="8" t="s">
        <v>1050</v>
      </c>
      <c r="S211" s="8" t="s">
        <v>1473</v>
      </c>
      <c r="T211" s="8" t="s">
        <v>1474</v>
      </c>
      <c r="U211" s="8" t="s">
        <v>1473</v>
      </c>
    </row>
    <row r="212" spans="6:21" x14ac:dyDescent="0.15">
      <c r="F212" t="s">
        <v>796</v>
      </c>
      <c r="G212">
        <v>17</v>
      </c>
      <c r="J212" t="s">
        <v>796</v>
      </c>
      <c r="K212" t="s">
        <v>786</v>
      </c>
      <c r="L212" t="s">
        <v>797</v>
      </c>
      <c r="M212" t="s">
        <v>571</v>
      </c>
      <c r="N212" t="s">
        <v>572</v>
      </c>
      <c r="O212">
        <v>300</v>
      </c>
      <c r="P212" t="str">
        <f t="shared" si="3"/>
        <v>重组人促红素注射液（CHO细胞）5000IU</v>
      </c>
      <c r="R212" s="8" t="s">
        <v>1050</v>
      </c>
      <c r="S212" s="8" t="s">
        <v>1475</v>
      </c>
      <c r="T212" s="8" t="s">
        <v>1476</v>
      </c>
      <c r="U212" s="8" t="s">
        <v>1475</v>
      </c>
    </row>
    <row r="213" spans="6:21" x14ac:dyDescent="0.15">
      <c r="F213" t="s">
        <v>798</v>
      </c>
      <c r="G213">
        <v>19</v>
      </c>
      <c r="J213" t="s">
        <v>798</v>
      </c>
      <c r="K213" t="s">
        <v>786</v>
      </c>
      <c r="L213" t="s">
        <v>799</v>
      </c>
      <c r="M213" t="s">
        <v>571</v>
      </c>
      <c r="N213" t="s">
        <v>572</v>
      </c>
      <c r="O213">
        <v>200</v>
      </c>
      <c r="P213" t="str">
        <f t="shared" si="3"/>
        <v>重组人促红素注射液（CHO细胞）5000IU预充式</v>
      </c>
      <c r="R213" s="8" t="s">
        <v>1050</v>
      </c>
      <c r="S213" s="8" t="s">
        <v>1477</v>
      </c>
      <c r="T213" s="8" t="s">
        <v>1478</v>
      </c>
      <c r="U213" s="8" t="s">
        <v>1477</v>
      </c>
    </row>
    <row r="214" spans="6:21" x14ac:dyDescent="0.15">
      <c r="F214" t="s">
        <v>800</v>
      </c>
      <c r="G214">
        <v>18</v>
      </c>
      <c r="J214" t="s">
        <v>800</v>
      </c>
      <c r="K214" t="s">
        <v>786</v>
      </c>
      <c r="L214" t="s">
        <v>801</v>
      </c>
      <c r="M214" t="s">
        <v>571</v>
      </c>
      <c r="N214" t="s">
        <v>572</v>
      </c>
      <c r="O214">
        <v>300</v>
      </c>
      <c r="P214" t="str">
        <f t="shared" si="3"/>
        <v>重组人促红素注射液（CHO细胞）6000IU</v>
      </c>
      <c r="R214" s="8" t="s">
        <v>1050</v>
      </c>
      <c r="S214" s="8" t="s">
        <v>1479</v>
      </c>
      <c r="T214" s="8" t="s">
        <v>1480</v>
      </c>
      <c r="U214" s="8" t="s">
        <v>1479</v>
      </c>
    </row>
    <row r="215" spans="6:21" x14ac:dyDescent="0.15">
      <c r="F215" t="s">
        <v>802</v>
      </c>
      <c r="G215">
        <v>17</v>
      </c>
      <c r="J215" t="s">
        <v>802</v>
      </c>
      <c r="K215" t="s">
        <v>786</v>
      </c>
      <c r="L215" t="s">
        <v>803</v>
      </c>
      <c r="M215" t="s">
        <v>571</v>
      </c>
      <c r="N215" t="s">
        <v>572</v>
      </c>
      <c r="O215">
        <v>200</v>
      </c>
      <c r="P215" t="str">
        <f t="shared" si="3"/>
        <v>重组人促红素注射液（CHO细胞）6000IU预充式</v>
      </c>
      <c r="R215" s="8" t="s">
        <v>1050</v>
      </c>
      <c r="S215" s="8" t="s">
        <v>1481</v>
      </c>
      <c r="T215" s="8" t="s">
        <v>1482</v>
      </c>
      <c r="U215" s="8" t="s">
        <v>1481</v>
      </c>
    </row>
    <row r="216" spans="6:21" x14ac:dyDescent="0.15">
      <c r="F216" t="s">
        <v>804</v>
      </c>
      <c r="G216">
        <v>8.1999999999999993</v>
      </c>
      <c r="J216" t="s">
        <v>804</v>
      </c>
      <c r="K216" t="s">
        <v>805</v>
      </c>
      <c r="L216" t="s">
        <v>806</v>
      </c>
      <c r="M216" t="s">
        <v>571</v>
      </c>
      <c r="N216" t="s">
        <v>572</v>
      </c>
      <c r="O216">
        <v>200</v>
      </c>
      <c r="P216" t="str">
        <f t="shared" si="3"/>
        <v>重组人干扰素α2b软膏（假单胞菌）10g</v>
      </c>
      <c r="R216" s="8" t="s">
        <v>1050</v>
      </c>
      <c r="S216" s="8" t="s">
        <v>1483</v>
      </c>
      <c r="T216" s="8" t="s">
        <v>1484</v>
      </c>
      <c r="U216" s="8" t="s">
        <v>1483</v>
      </c>
    </row>
    <row r="217" spans="6:21" x14ac:dyDescent="0.15">
      <c r="F217" t="s">
        <v>807</v>
      </c>
      <c r="G217">
        <v>5.73</v>
      </c>
      <c r="J217" t="s">
        <v>807</v>
      </c>
      <c r="K217" t="s">
        <v>805</v>
      </c>
      <c r="L217" t="s">
        <v>808</v>
      </c>
      <c r="M217" t="s">
        <v>571</v>
      </c>
      <c r="N217" t="s">
        <v>572</v>
      </c>
      <c r="O217">
        <v>200</v>
      </c>
      <c r="P217" t="str">
        <f t="shared" si="3"/>
        <v>重组人干扰素α2b软膏（假单胞菌）5g</v>
      </c>
      <c r="R217" s="8" t="s">
        <v>1050</v>
      </c>
      <c r="S217" s="8" t="s">
        <v>1485</v>
      </c>
      <c r="T217" s="8" t="s">
        <v>1486</v>
      </c>
      <c r="U217" s="8" t="s">
        <v>1485</v>
      </c>
    </row>
    <row r="218" spans="6:21" x14ac:dyDescent="0.15">
      <c r="F218" t="s">
        <v>809</v>
      </c>
      <c r="G218">
        <v>20</v>
      </c>
      <c r="J218" t="s">
        <v>809</v>
      </c>
      <c r="K218" t="s">
        <v>810</v>
      </c>
      <c r="L218" t="s">
        <v>811</v>
      </c>
      <c r="M218" t="s">
        <v>571</v>
      </c>
      <c r="N218" t="s">
        <v>572</v>
      </c>
      <c r="O218">
        <v>200</v>
      </c>
      <c r="P218" t="str">
        <f t="shared" si="3"/>
        <v>重组人粒细胞刺激因子注射液100ug预充式</v>
      </c>
      <c r="R218" s="8" t="s">
        <v>1050</v>
      </c>
      <c r="S218" s="8" t="s">
        <v>1487</v>
      </c>
      <c r="T218" s="8" t="s">
        <v>1488</v>
      </c>
      <c r="U218" s="8" t="s">
        <v>1487</v>
      </c>
    </row>
    <row r="219" spans="6:21" x14ac:dyDescent="0.15">
      <c r="F219" t="s">
        <v>812</v>
      </c>
      <c r="G219">
        <v>20</v>
      </c>
      <c r="J219" t="s">
        <v>812</v>
      </c>
      <c r="K219" t="s">
        <v>810</v>
      </c>
      <c r="L219" t="s">
        <v>813</v>
      </c>
      <c r="M219" t="s">
        <v>571</v>
      </c>
      <c r="N219" t="s">
        <v>572</v>
      </c>
      <c r="O219">
        <v>300</v>
      </c>
      <c r="P219" t="str">
        <f t="shared" si="3"/>
        <v>重组人粒细胞刺激因子注射液150ug</v>
      </c>
      <c r="R219" s="8" t="s">
        <v>1050</v>
      </c>
      <c r="S219" s="8" t="s">
        <v>1489</v>
      </c>
      <c r="T219" s="8" t="s">
        <v>1490</v>
      </c>
      <c r="U219" s="8" t="s">
        <v>1489</v>
      </c>
    </row>
    <row r="220" spans="6:21" x14ac:dyDescent="0.15">
      <c r="F220" t="s">
        <v>814</v>
      </c>
      <c r="G220">
        <v>24</v>
      </c>
      <c r="J220" t="s">
        <v>814</v>
      </c>
      <c r="K220" t="s">
        <v>810</v>
      </c>
      <c r="L220" t="s">
        <v>815</v>
      </c>
      <c r="M220" t="s">
        <v>571</v>
      </c>
      <c r="N220" t="s">
        <v>572</v>
      </c>
      <c r="O220">
        <v>200</v>
      </c>
      <c r="P220" t="str">
        <f t="shared" si="3"/>
        <v>重组人粒细胞刺激因子注射液150ug预充式</v>
      </c>
      <c r="R220" s="8" t="s">
        <v>1050</v>
      </c>
      <c r="S220" s="8" t="s">
        <v>1491</v>
      </c>
      <c r="T220" s="8" t="s">
        <v>1492</v>
      </c>
      <c r="U220" s="8" t="s">
        <v>1491</v>
      </c>
    </row>
    <row r="221" spans="6:21" x14ac:dyDescent="0.15">
      <c r="F221" t="s">
        <v>816</v>
      </c>
      <c r="G221">
        <v>28</v>
      </c>
      <c r="J221" t="s">
        <v>816</v>
      </c>
      <c r="K221" t="s">
        <v>810</v>
      </c>
      <c r="L221" t="s">
        <v>817</v>
      </c>
      <c r="M221" t="s">
        <v>571</v>
      </c>
      <c r="N221" t="s">
        <v>572</v>
      </c>
      <c r="O221">
        <v>200</v>
      </c>
      <c r="P221" t="str">
        <f t="shared" si="3"/>
        <v>重组人粒细胞刺激因子注射液200ug预充式</v>
      </c>
      <c r="R221" s="8" t="s">
        <v>1050</v>
      </c>
      <c r="S221" s="8" t="s">
        <v>1493</v>
      </c>
      <c r="T221" s="8" t="s">
        <v>1494</v>
      </c>
      <c r="U221" s="8" t="s">
        <v>1493</v>
      </c>
    </row>
    <row r="222" spans="6:21" x14ac:dyDescent="0.15">
      <c r="F222" t="s">
        <v>818</v>
      </c>
      <c r="G222">
        <v>31</v>
      </c>
      <c r="J222" t="s">
        <v>818</v>
      </c>
      <c r="K222" t="s">
        <v>810</v>
      </c>
      <c r="L222" t="s">
        <v>819</v>
      </c>
      <c r="M222" t="s">
        <v>571</v>
      </c>
      <c r="N222" t="s">
        <v>572</v>
      </c>
      <c r="O222">
        <v>200</v>
      </c>
      <c r="P222" t="str">
        <f t="shared" si="3"/>
        <v>重组人粒细胞刺激因子注射液300ug预充式</v>
      </c>
      <c r="R222" s="8" t="s">
        <v>1050</v>
      </c>
      <c r="S222" s="8" t="s">
        <v>1495</v>
      </c>
      <c r="T222" s="8" t="s">
        <v>1496</v>
      </c>
      <c r="U222" s="8" t="s">
        <v>1495</v>
      </c>
    </row>
    <row r="223" spans="6:21" x14ac:dyDescent="0.15">
      <c r="F223" t="s">
        <v>820</v>
      </c>
      <c r="G223">
        <v>1.6</v>
      </c>
      <c r="J223" t="s">
        <v>820</v>
      </c>
      <c r="K223" t="s">
        <v>821</v>
      </c>
      <c r="L223" t="s">
        <v>822</v>
      </c>
      <c r="M223" t="s">
        <v>251</v>
      </c>
      <c r="N223" t="s">
        <v>620</v>
      </c>
      <c r="O223">
        <v>1000</v>
      </c>
      <c r="P223" t="str">
        <f t="shared" si="3"/>
        <v>注射用阿莫西林钠(益萨林)0.5g*10支*100盒</v>
      </c>
      <c r="R223" s="8" t="s">
        <v>1050</v>
      </c>
      <c r="S223" s="8" t="s">
        <v>1497</v>
      </c>
      <c r="T223" s="8" t="s">
        <v>1498</v>
      </c>
      <c r="U223" s="8" t="s">
        <v>1497</v>
      </c>
    </row>
    <row r="224" spans="6:21" x14ac:dyDescent="0.15">
      <c r="F224" t="s">
        <v>823</v>
      </c>
      <c r="G224">
        <v>2.2999999999999998</v>
      </c>
      <c r="J224" t="s">
        <v>823</v>
      </c>
      <c r="K224" t="s">
        <v>821</v>
      </c>
      <c r="L224" t="s">
        <v>824</v>
      </c>
      <c r="M224" t="s">
        <v>251</v>
      </c>
      <c r="N224" t="s">
        <v>620</v>
      </c>
      <c r="O224">
        <v>1000</v>
      </c>
      <c r="P224" t="str">
        <f t="shared" si="3"/>
        <v>注射用阿莫西林钠(益萨林)1g*10支*100盒</v>
      </c>
      <c r="R224" s="8" t="s">
        <v>1050</v>
      </c>
      <c r="S224" s="8" t="s">
        <v>1499</v>
      </c>
      <c r="T224" s="8" t="s">
        <v>1500</v>
      </c>
      <c r="U224" s="8" t="s">
        <v>1499</v>
      </c>
    </row>
    <row r="225" spans="6:21" x14ac:dyDescent="0.15">
      <c r="F225" t="s">
        <v>825</v>
      </c>
      <c r="G225">
        <v>2.5</v>
      </c>
      <c r="J225" t="s">
        <v>825</v>
      </c>
      <c r="K225" t="s">
        <v>821</v>
      </c>
      <c r="L225" t="s">
        <v>826</v>
      </c>
      <c r="M225" t="s">
        <v>251</v>
      </c>
      <c r="N225" t="s">
        <v>620</v>
      </c>
      <c r="O225">
        <v>600</v>
      </c>
      <c r="P225" t="str">
        <f t="shared" si="3"/>
        <v>注射用阿莫西林钠(益萨林)2g*10支*60盒</v>
      </c>
      <c r="R225" s="8" t="s">
        <v>1050</v>
      </c>
      <c r="S225" s="8" t="s">
        <v>1501</v>
      </c>
      <c r="T225" s="8" t="s">
        <v>1502</v>
      </c>
      <c r="U225" s="8" t="s">
        <v>1501</v>
      </c>
    </row>
    <row r="226" spans="6:21" x14ac:dyDescent="0.15">
      <c r="F226" t="s">
        <v>827</v>
      </c>
      <c r="G226">
        <v>1.5</v>
      </c>
      <c r="J226" t="s">
        <v>827</v>
      </c>
      <c r="K226" t="s">
        <v>828</v>
      </c>
      <c r="L226" t="s">
        <v>829</v>
      </c>
      <c r="M226" t="s">
        <v>251</v>
      </c>
      <c r="N226" t="s">
        <v>620</v>
      </c>
      <c r="O226">
        <v>600</v>
      </c>
      <c r="P226" t="str">
        <f t="shared" si="3"/>
        <v>注射用阿莫西林钠克拉维酸钾(崇美)0.3g</v>
      </c>
      <c r="R226" s="8" t="s">
        <v>1050</v>
      </c>
      <c r="S226" s="8" t="s">
        <v>1503</v>
      </c>
      <c r="T226" s="8" t="s">
        <v>1504</v>
      </c>
      <c r="U226" s="8" t="s">
        <v>1503</v>
      </c>
    </row>
    <row r="227" spans="6:21" x14ac:dyDescent="0.15">
      <c r="F227" t="s">
        <v>830</v>
      </c>
      <c r="G227">
        <v>3.4</v>
      </c>
      <c r="J227" t="s">
        <v>830</v>
      </c>
      <c r="K227" t="s">
        <v>831</v>
      </c>
      <c r="L227" t="s">
        <v>832</v>
      </c>
      <c r="M227" t="s">
        <v>251</v>
      </c>
      <c r="N227" t="s">
        <v>620</v>
      </c>
      <c r="O227">
        <v>600</v>
      </c>
      <c r="P227" t="str">
        <f t="shared" si="3"/>
        <v>注射用阿莫西林钠克拉维酸钾（胜艾）1.2g</v>
      </c>
      <c r="R227" s="8" t="s">
        <v>1050</v>
      </c>
      <c r="S227" s="8" t="s">
        <v>1505</v>
      </c>
      <c r="T227" s="8" t="s">
        <v>1506</v>
      </c>
      <c r="U227" s="8" t="s">
        <v>1505</v>
      </c>
    </row>
    <row r="228" spans="6:21" x14ac:dyDescent="0.15">
      <c r="F228" t="s">
        <v>833</v>
      </c>
      <c r="G228">
        <v>2</v>
      </c>
      <c r="J228" t="s">
        <v>833</v>
      </c>
      <c r="K228" t="s">
        <v>834</v>
      </c>
      <c r="L228" t="s">
        <v>835</v>
      </c>
      <c r="M228" t="s">
        <v>251</v>
      </c>
      <c r="N228" t="s">
        <v>620</v>
      </c>
      <c r="O228">
        <v>600</v>
      </c>
      <c r="P228" t="str">
        <f t="shared" si="3"/>
        <v>注射用阿莫西林钠克拉维酸钾（组能）0.6g</v>
      </c>
      <c r="R228" s="8" t="s">
        <v>1050</v>
      </c>
      <c r="S228" s="8" t="s">
        <v>1507</v>
      </c>
      <c r="T228" s="8" t="s">
        <v>1508</v>
      </c>
      <c r="U228" s="8" t="s">
        <v>1507</v>
      </c>
    </row>
    <row r="229" spans="6:21" x14ac:dyDescent="0.15">
      <c r="F229" t="s">
        <v>836</v>
      </c>
      <c r="G229">
        <v>2.2999999999999998</v>
      </c>
      <c r="J229" t="s">
        <v>836</v>
      </c>
      <c r="K229" t="s">
        <v>837</v>
      </c>
      <c r="L229" t="s">
        <v>838</v>
      </c>
      <c r="M229" t="s">
        <v>251</v>
      </c>
      <c r="N229" t="s">
        <v>620</v>
      </c>
      <c r="O229">
        <v>600</v>
      </c>
      <c r="P229" t="str">
        <f t="shared" si="3"/>
        <v>注射用阿莫西林钠舒巴坦钠0.75g</v>
      </c>
      <c r="R229" s="8" t="s">
        <v>1050</v>
      </c>
      <c r="S229" s="8" t="s">
        <v>1509</v>
      </c>
      <c r="T229" s="8" t="s">
        <v>1510</v>
      </c>
      <c r="U229" s="8" t="s">
        <v>1509</v>
      </c>
    </row>
    <row r="230" spans="6:21" x14ac:dyDescent="0.15">
      <c r="F230" t="s">
        <v>839</v>
      </c>
      <c r="G230">
        <v>3.3</v>
      </c>
      <c r="J230" t="s">
        <v>839</v>
      </c>
      <c r="K230" t="s">
        <v>837</v>
      </c>
      <c r="L230" t="s">
        <v>840</v>
      </c>
      <c r="M230" t="s">
        <v>251</v>
      </c>
      <c r="N230" t="s">
        <v>620</v>
      </c>
      <c r="O230">
        <v>600</v>
      </c>
      <c r="P230" t="str">
        <f t="shared" si="3"/>
        <v>注射用阿莫西林钠舒巴坦钠1.5g</v>
      </c>
      <c r="R230" s="8" t="s">
        <v>1050</v>
      </c>
      <c r="S230" s="8" t="s">
        <v>1511</v>
      </c>
      <c r="T230" s="8" t="s">
        <v>1512</v>
      </c>
      <c r="U230" s="8" t="s">
        <v>1511</v>
      </c>
    </row>
    <row r="231" spans="6:21" x14ac:dyDescent="0.15">
      <c r="F231" t="s">
        <v>841</v>
      </c>
      <c r="G231">
        <v>4.5</v>
      </c>
      <c r="J231" t="s">
        <v>841</v>
      </c>
      <c r="K231" t="s">
        <v>837</v>
      </c>
      <c r="L231" t="s">
        <v>842</v>
      </c>
      <c r="M231" t="s">
        <v>251</v>
      </c>
      <c r="N231" t="s">
        <v>620</v>
      </c>
      <c r="O231">
        <v>600</v>
      </c>
      <c r="P231" t="str">
        <f t="shared" si="3"/>
        <v>注射用阿莫西林钠舒巴坦钠3.0g</v>
      </c>
      <c r="R231" s="8" t="s">
        <v>1050</v>
      </c>
      <c r="S231" s="8" t="s">
        <v>1513</v>
      </c>
      <c r="T231" s="8" t="s">
        <v>1514</v>
      </c>
      <c r="U231" s="8" t="s">
        <v>1513</v>
      </c>
    </row>
    <row r="232" spans="6:21" x14ac:dyDescent="0.15">
      <c r="F232" t="s">
        <v>843</v>
      </c>
      <c r="G232">
        <v>0.61</v>
      </c>
      <c r="J232" t="s">
        <v>843</v>
      </c>
      <c r="K232" t="s">
        <v>844</v>
      </c>
      <c r="L232" t="s">
        <v>845</v>
      </c>
      <c r="M232" t="s">
        <v>251</v>
      </c>
      <c r="N232" t="s">
        <v>620</v>
      </c>
      <c r="O232">
        <v>1000</v>
      </c>
      <c r="P232" t="str">
        <f t="shared" si="3"/>
        <v>注射用氨苄西林钠溶媒法0.5g</v>
      </c>
      <c r="R232" s="8" t="s">
        <v>1050</v>
      </c>
      <c r="S232" s="8" t="s">
        <v>1515</v>
      </c>
      <c r="T232" s="8" t="s">
        <v>1516</v>
      </c>
      <c r="U232" s="8" t="s">
        <v>1515</v>
      </c>
    </row>
    <row r="233" spans="6:21" x14ac:dyDescent="0.15">
      <c r="F233" t="s">
        <v>846</v>
      </c>
      <c r="G233">
        <v>0.94</v>
      </c>
      <c r="J233" t="s">
        <v>846</v>
      </c>
      <c r="K233" t="s">
        <v>844</v>
      </c>
      <c r="L233" t="s">
        <v>847</v>
      </c>
      <c r="M233" t="s">
        <v>251</v>
      </c>
      <c r="N233" t="s">
        <v>620</v>
      </c>
      <c r="O233">
        <v>1000</v>
      </c>
      <c r="P233" t="str">
        <f t="shared" si="3"/>
        <v>注射用氨苄西林钠溶媒法1.0g</v>
      </c>
      <c r="R233" s="8" t="s">
        <v>1050</v>
      </c>
      <c r="S233" s="8" t="s">
        <v>1517</v>
      </c>
      <c r="T233" s="8" t="s">
        <v>1518</v>
      </c>
      <c r="U233" s="8" t="s">
        <v>1517</v>
      </c>
    </row>
    <row r="234" spans="6:21" x14ac:dyDescent="0.15">
      <c r="F234" t="s">
        <v>848</v>
      </c>
      <c r="G234">
        <v>1.8</v>
      </c>
      <c r="J234" t="s">
        <v>848</v>
      </c>
      <c r="K234" t="s">
        <v>844</v>
      </c>
      <c r="L234" t="s">
        <v>849</v>
      </c>
      <c r="M234" t="s">
        <v>251</v>
      </c>
      <c r="N234" t="s">
        <v>620</v>
      </c>
      <c r="O234">
        <v>600</v>
      </c>
      <c r="P234" t="str">
        <f t="shared" si="3"/>
        <v>注射用氨苄西林钠溶媒法2.0g</v>
      </c>
      <c r="R234" s="8" t="s">
        <v>1050</v>
      </c>
      <c r="S234" s="8" t="s">
        <v>1519</v>
      </c>
      <c r="T234" s="8" t="s">
        <v>1520</v>
      </c>
      <c r="U234" s="8" t="s">
        <v>1519</v>
      </c>
    </row>
    <row r="235" spans="6:21" x14ac:dyDescent="0.15">
      <c r="F235" t="s">
        <v>850</v>
      </c>
      <c r="G235">
        <v>2.5</v>
      </c>
      <c r="J235" t="s">
        <v>850</v>
      </c>
      <c r="K235" t="s">
        <v>851</v>
      </c>
      <c r="L235" t="s">
        <v>852</v>
      </c>
      <c r="M235" t="s">
        <v>251</v>
      </c>
      <c r="N235" t="s">
        <v>620</v>
      </c>
      <c r="O235">
        <v>400</v>
      </c>
      <c r="P235" t="str">
        <f t="shared" si="3"/>
        <v>注射用氨苄西林钠舒巴坦钠（凯兰欣）3g*400支3g*400支</v>
      </c>
      <c r="R235" s="8" t="s">
        <v>1050</v>
      </c>
      <c r="S235" s="8" t="s">
        <v>1521</v>
      </c>
      <c r="T235" s="8" t="s">
        <v>1522</v>
      </c>
      <c r="U235" s="8" t="s">
        <v>1521</v>
      </c>
    </row>
    <row r="236" spans="6:21" x14ac:dyDescent="0.15">
      <c r="F236" t="s">
        <v>853</v>
      </c>
      <c r="G236">
        <v>2.5</v>
      </c>
      <c r="J236" t="s">
        <v>853</v>
      </c>
      <c r="K236" t="s">
        <v>851</v>
      </c>
      <c r="L236" t="s">
        <v>852</v>
      </c>
      <c r="M236" t="s">
        <v>251</v>
      </c>
      <c r="N236" t="s">
        <v>620</v>
      </c>
      <c r="O236">
        <v>400</v>
      </c>
      <c r="P236" t="str">
        <f t="shared" si="3"/>
        <v>注射用氨苄西林钠舒巴坦钠（凯兰欣）3g*400支3g*400支</v>
      </c>
    </row>
    <row r="237" spans="6:21" x14ac:dyDescent="0.15">
      <c r="F237" t="s">
        <v>854</v>
      </c>
      <c r="G237">
        <v>1.9</v>
      </c>
      <c r="J237" t="s">
        <v>854</v>
      </c>
      <c r="K237" t="s">
        <v>855</v>
      </c>
      <c r="L237" t="s">
        <v>856</v>
      </c>
      <c r="M237" t="s">
        <v>571</v>
      </c>
      <c r="N237" t="s">
        <v>572</v>
      </c>
      <c r="O237">
        <v>720</v>
      </c>
      <c r="P237" t="str">
        <f t="shared" si="3"/>
        <v>注射用奥美拉唑钠40mg</v>
      </c>
    </row>
    <row r="238" spans="6:21" x14ac:dyDescent="0.15">
      <c r="F238" t="s">
        <v>857</v>
      </c>
      <c r="G238">
        <v>27.79</v>
      </c>
      <c r="J238" t="s">
        <v>857</v>
      </c>
      <c r="K238" t="s">
        <v>858</v>
      </c>
      <c r="L238" t="s">
        <v>859</v>
      </c>
      <c r="M238" t="s">
        <v>571</v>
      </c>
      <c r="N238" t="s">
        <v>572</v>
      </c>
      <c r="O238">
        <v>60</v>
      </c>
      <c r="P238" t="str">
        <f t="shared" si="3"/>
        <v>注射用奥沙利铂50mg</v>
      </c>
    </row>
    <row r="239" spans="6:21" x14ac:dyDescent="0.15">
      <c r="F239" t="s">
        <v>860</v>
      </c>
      <c r="G239">
        <v>1.75</v>
      </c>
      <c r="J239" t="s">
        <v>860</v>
      </c>
      <c r="K239" t="s">
        <v>861</v>
      </c>
      <c r="L239" t="s">
        <v>862</v>
      </c>
      <c r="M239" t="s">
        <v>571</v>
      </c>
      <c r="N239" t="s">
        <v>572</v>
      </c>
      <c r="O239">
        <v>720</v>
      </c>
      <c r="P239" t="str">
        <f t="shared" si="3"/>
        <v>注射用奥扎格雷钠20mg</v>
      </c>
    </row>
    <row r="240" spans="6:21" x14ac:dyDescent="0.15">
      <c r="F240" t="s">
        <v>863</v>
      </c>
      <c r="G240">
        <v>2.5099999999999998</v>
      </c>
      <c r="J240" t="s">
        <v>863</v>
      </c>
      <c r="K240" t="s">
        <v>861</v>
      </c>
      <c r="L240" t="s">
        <v>856</v>
      </c>
      <c r="M240" t="s">
        <v>571</v>
      </c>
      <c r="N240" t="s">
        <v>572</v>
      </c>
      <c r="O240">
        <v>720</v>
      </c>
      <c r="P240" t="str">
        <f t="shared" si="3"/>
        <v>注射用奥扎格雷钠40mg</v>
      </c>
    </row>
    <row r="241" spans="6:16" x14ac:dyDescent="0.15">
      <c r="F241" t="s">
        <v>864</v>
      </c>
      <c r="G241">
        <v>2.7</v>
      </c>
      <c r="J241" t="s">
        <v>864</v>
      </c>
      <c r="K241" t="s">
        <v>861</v>
      </c>
      <c r="L241" t="s">
        <v>865</v>
      </c>
      <c r="M241" t="s">
        <v>571</v>
      </c>
      <c r="N241" t="s">
        <v>572</v>
      </c>
      <c r="O241">
        <v>720</v>
      </c>
      <c r="P241" t="str">
        <f t="shared" si="3"/>
        <v>注射用奥扎格雷钠80mg</v>
      </c>
    </row>
    <row r="242" spans="6:16" x14ac:dyDescent="0.15">
      <c r="F242" t="s">
        <v>866</v>
      </c>
      <c r="G242">
        <v>7</v>
      </c>
      <c r="J242" t="s">
        <v>866</v>
      </c>
      <c r="K242" t="s">
        <v>867</v>
      </c>
      <c r="L242" t="s">
        <v>868</v>
      </c>
      <c r="M242" t="s">
        <v>330</v>
      </c>
      <c r="N242" t="s">
        <v>572</v>
      </c>
      <c r="O242">
        <v>600</v>
      </c>
      <c r="P242" t="str">
        <f t="shared" si="3"/>
        <v>注射用丹参(冻干)-60盒400mg×10支×60盒</v>
      </c>
    </row>
    <row r="243" spans="6:16" x14ac:dyDescent="0.15">
      <c r="F243" t="s">
        <v>869</v>
      </c>
      <c r="G243">
        <v>3.9</v>
      </c>
      <c r="J243" t="s">
        <v>869</v>
      </c>
      <c r="K243" t="s">
        <v>870</v>
      </c>
      <c r="L243" t="s">
        <v>871</v>
      </c>
      <c r="M243" t="s">
        <v>251</v>
      </c>
      <c r="N243" t="s">
        <v>620</v>
      </c>
      <c r="O243">
        <v>1000</v>
      </c>
      <c r="P243" t="str">
        <f t="shared" si="3"/>
        <v>注射用对氨基水杨酸钠2g*50支*20盒</v>
      </c>
    </row>
    <row r="244" spans="6:16" x14ac:dyDescent="0.15">
      <c r="F244" t="s">
        <v>869</v>
      </c>
      <c r="G244">
        <v>3.9</v>
      </c>
      <c r="J244" t="s">
        <v>869</v>
      </c>
      <c r="K244" t="s">
        <v>870</v>
      </c>
      <c r="L244" t="s">
        <v>871</v>
      </c>
      <c r="M244" t="s">
        <v>251</v>
      </c>
      <c r="N244" t="s">
        <v>620</v>
      </c>
      <c r="O244">
        <v>1000</v>
      </c>
      <c r="P244" t="str">
        <f t="shared" si="3"/>
        <v>注射用对氨基水杨酸钠2g*50支*20盒</v>
      </c>
    </row>
    <row r="245" spans="6:16" x14ac:dyDescent="0.15">
      <c r="F245" t="s">
        <v>872</v>
      </c>
      <c r="G245">
        <v>2.5</v>
      </c>
      <c r="J245" t="s">
        <v>872</v>
      </c>
      <c r="K245" t="s">
        <v>873</v>
      </c>
      <c r="L245" t="s">
        <v>874</v>
      </c>
      <c r="M245" t="s">
        <v>571</v>
      </c>
      <c r="N245" t="s">
        <v>572</v>
      </c>
      <c r="O245">
        <v>720</v>
      </c>
      <c r="P245" t="str">
        <f t="shared" si="3"/>
        <v>注射用更昔洛韦0.25g*1支</v>
      </c>
    </row>
    <row r="246" spans="6:16" x14ac:dyDescent="0.15">
      <c r="F246" t="s">
        <v>875</v>
      </c>
      <c r="G246">
        <v>2.97</v>
      </c>
      <c r="J246" t="s">
        <v>875</v>
      </c>
      <c r="K246" t="s">
        <v>876</v>
      </c>
      <c r="L246" t="s">
        <v>877</v>
      </c>
      <c r="M246" t="s">
        <v>571</v>
      </c>
      <c r="N246" t="s">
        <v>572</v>
      </c>
      <c r="O246">
        <v>720</v>
      </c>
      <c r="P246" t="str">
        <f t="shared" si="3"/>
        <v>注射用甲硫氨酸维B1100mg:10mg</v>
      </c>
    </row>
    <row r="247" spans="6:16" x14ac:dyDescent="0.15">
      <c r="F247" t="s">
        <v>878</v>
      </c>
      <c r="G247">
        <v>2.2000000000000002</v>
      </c>
      <c r="J247" t="s">
        <v>878</v>
      </c>
      <c r="K247" t="s">
        <v>876</v>
      </c>
      <c r="L247" t="s">
        <v>879</v>
      </c>
      <c r="M247" t="s">
        <v>571</v>
      </c>
      <c r="N247" t="s">
        <v>572</v>
      </c>
      <c r="O247">
        <v>720</v>
      </c>
      <c r="P247" t="str">
        <f t="shared" si="3"/>
        <v>注射用甲硫氨酸维B140mg:4mg</v>
      </c>
    </row>
    <row r="248" spans="6:16" x14ac:dyDescent="0.15">
      <c r="F248" t="s">
        <v>880</v>
      </c>
      <c r="G248">
        <v>0.57999999999999996</v>
      </c>
      <c r="J248" t="s">
        <v>880</v>
      </c>
      <c r="K248" t="s">
        <v>881</v>
      </c>
      <c r="L248" t="s">
        <v>882</v>
      </c>
      <c r="M248" t="s">
        <v>251</v>
      </c>
      <c r="N248" t="s">
        <v>620</v>
      </c>
      <c r="O248">
        <v>1000</v>
      </c>
      <c r="P248" t="str">
        <f t="shared" si="3"/>
        <v>注射用酒石酸吉他霉素20万*50支*20盒</v>
      </c>
    </row>
    <row r="249" spans="6:16" x14ac:dyDescent="0.15">
      <c r="F249" t="s">
        <v>883</v>
      </c>
      <c r="G249">
        <v>2.4</v>
      </c>
      <c r="J249" t="s">
        <v>883</v>
      </c>
      <c r="K249" t="s">
        <v>884</v>
      </c>
      <c r="L249" t="s">
        <v>885</v>
      </c>
      <c r="M249" t="s">
        <v>251</v>
      </c>
      <c r="N249" t="s">
        <v>620</v>
      </c>
      <c r="O249">
        <v>400</v>
      </c>
      <c r="P249" t="str">
        <f t="shared" si="3"/>
        <v>注射用赖氨匹林(益彼兴)0.9g*10支*40盒</v>
      </c>
    </row>
    <row r="250" spans="6:16" x14ac:dyDescent="0.15">
      <c r="F250" t="s">
        <v>886</v>
      </c>
      <c r="G250">
        <v>1.65</v>
      </c>
      <c r="J250" t="s">
        <v>886</v>
      </c>
      <c r="K250" t="s">
        <v>887</v>
      </c>
      <c r="L250" t="s">
        <v>888</v>
      </c>
      <c r="M250" t="s">
        <v>251</v>
      </c>
      <c r="N250" t="s">
        <v>620</v>
      </c>
      <c r="O250">
        <v>1000</v>
      </c>
      <c r="P250" t="str">
        <f t="shared" si="3"/>
        <v>注射用磷霉素钠1g</v>
      </c>
    </row>
    <row r="251" spans="6:16" x14ac:dyDescent="0.15">
      <c r="F251" t="s">
        <v>889</v>
      </c>
      <c r="G251">
        <v>3.1</v>
      </c>
      <c r="J251" t="s">
        <v>889</v>
      </c>
      <c r="K251" t="s">
        <v>887</v>
      </c>
      <c r="L251" t="s">
        <v>849</v>
      </c>
      <c r="M251" t="s">
        <v>251</v>
      </c>
      <c r="N251" t="s">
        <v>620</v>
      </c>
      <c r="O251">
        <v>600</v>
      </c>
      <c r="P251" t="str">
        <f t="shared" si="3"/>
        <v>注射用磷霉素钠2.0g</v>
      </c>
    </row>
    <row r="252" spans="6:16" x14ac:dyDescent="0.15">
      <c r="F252" t="s">
        <v>890</v>
      </c>
      <c r="G252">
        <v>15.5</v>
      </c>
      <c r="J252" t="s">
        <v>890</v>
      </c>
      <c r="K252" t="s">
        <v>887</v>
      </c>
      <c r="L252" t="s">
        <v>891</v>
      </c>
      <c r="M252" t="s">
        <v>267</v>
      </c>
      <c r="N252" t="s">
        <v>620</v>
      </c>
      <c r="O252">
        <v>1200</v>
      </c>
      <c r="P252" t="str">
        <f t="shared" si="3"/>
        <v>注射用磷霉素钠1g×10支×120盒</v>
      </c>
    </row>
    <row r="253" spans="6:16" x14ac:dyDescent="0.15">
      <c r="F253" t="s">
        <v>892</v>
      </c>
      <c r="G253">
        <v>29.5</v>
      </c>
      <c r="J253" t="s">
        <v>892</v>
      </c>
      <c r="K253" t="s">
        <v>887</v>
      </c>
      <c r="L253" t="s">
        <v>893</v>
      </c>
      <c r="M253" t="s">
        <v>267</v>
      </c>
      <c r="N253" t="s">
        <v>620</v>
      </c>
      <c r="O253">
        <v>1000</v>
      </c>
      <c r="P253" t="str">
        <f t="shared" si="3"/>
        <v>注射用磷霉素钠2g×10支×100盒</v>
      </c>
    </row>
    <row r="254" spans="6:16" x14ac:dyDescent="0.15">
      <c r="F254" t="s">
        <v>894</v>
      </c>
      <c r="G254">
        <v>11</v>
      </c>
      <c r="J254" t="s">
        <v>894</v>
      </c>
      <c r="K254" t="s">
        <v>887</v>
      </c>
      <c r="L254" t="s">
        <v>895</v>
      </c>
      <c r="M254" t="s">
        <v>267</v>
      </c>
      <c r="N254" t="s">
        <v>620</v>
      </c>
      <c r="O254">
        <v>200</v>
      </c>
      <c r="P254" t="str">
        <f t="shared" si="3"/>
        <v>注射用磷霉素钠4.0g*2支*5盒*20条/箱</v>
      </c>
    </row>
    <row r="255" spans="6:16" x14ac:dyDescent="0.15">
      <c r="F255" t="s">
        <v>896</v>
      </c>
      <c r="G255">
        <v>3.5</v>
      </c>
      <c r="J255" t="s">
        <v>896</v>
      </c>
      <c r="K255" t="s">
        <v>897</v>
      </c>
      <c r="L255" t="s">
        <v>898</v>
      </c>
      <c r="M255" t="s">
        <v>251</v>
      </c>
      <c r="N255" t="s">
        <v>620</v>
      </c>
      <c r="O255">
        <v>600</v>
      </c>
      <c r="P255" t="str">
        <f t="shared" si="3"/>
        <v>注射用哌拉西林钠舒巴坦钠(4:1)1.25g*600支</v>
      </c>
    </row>
    <row r="256" spans="6:16" x14ac:dyDescent="0.15">
      <c r="F256" t="s">
        <v>899</v>
      </c>
      <c r="G256">
        <v>6.5</v>
      </c>
      <c r="J256" t="s">
        <v>899</v>
      </c>
      <c r="K256" t="s">
        <v>897</v>
      </c>
      <c r="L256" t="s">
        <v>900</v>
      </c>
      <c r="M256" t="s">
        <v>251</v>
      </c>
      <c r="N256" t="s">
        <v>620</v>
      </c>
      <c r="O256">
        <v>600</v>
      </c>
      <c r="P256" t="str">
        <f t="shared" si="3"/>
        <v>注射用哌拉西林钠舒巴坦钠(4:1)2.5g*600支</v>
      </c>
    </row>
    <row r="257" spans="6:16" x14ac:dyDescent="0.15">
      <c r="F257" t="s">
        <v>901</v>
      </c>
      <c r="G257">
        <v>3.5</v>
      </c>
      <c r="J257" t="s">
        <v>901</v>
      </c>
      <c r="K257" t="s">
        <v>902</v>
      </c>
      <c r="L257" t="s">
        <v>903</v>
      </c>
      <c r="M257" t="s">
        <v>904</v>
      </c>
      <c r="N257" t="s">
        <v>620</v>
      </c>
      <c r="O257">
        <v>600</v>
      </c>
      <c r="P257" t="str">
        <f t="shared" si="3"/>
        <v>注射用泮托拉唑钠60mgx10支</v>
      </c>
    </row>
    <row r="258" spans="6:16" x14ac:dyDescent="0.15">
      <c r="F258" t="s">
        <v>905</v>
      </c>
      <c r="G258">
        <v>0.52</v>
      </c>
      <c r="J258" t="s">
        <v>905</v>
      </c>
      <c r="K258" t="s">
        <v>906</v>
      </c>
      <c r="L258" t="s">
        <v>907</v>
      </c>
      <c r="M258" t="s">
        <v>251</v>
      </c>
      <c r="N258" t="s">
        <v>620</v>
      </c>
      <c r="O258">
        <v>1000</v>
      </c>
      <c r="P258" t="str">
        <f t="shared" si="3"/>
        <v>注射用青霉素钠160万</v>
      </c>
    </row>
    <row r="259" spans="6:16" x14ac:dyDescent="0.15">
      <c r="F259" t="s">
        <v>908</v>
      </c>
      <c r="G259">
        <v>1.4</v>
      </c>
      <c r="J259" t="s">
        <v>908</v>
      </c>
      <c r="K259" t="s">
        <v>906</v>
      </c>
      <c r="L259" t="s">
        <v>909</v>
      </c>
      <c r="M259" t="s">
        <v>251</v>
      </c>
      <c r="N259" t="s">
        <v>620</v>
      </c>
      <c r="O259">
        <v>600</v>
      </c>
      <c r="P259" t="str">
        <f t="shared" ref="P259:P322" si="4">K259&amp;L259</f>
        <v>注射用青霉素钠400万/600支</v>
      </c>
    </row>
    <row r="260" spans="6:16" x14ac:dyDescent="0.15">
      <c r="F260" t="s">
        <v>910</v>
      </c>
      <c r="G260">
        <v>2.1</v>
      </c>
      <c r="J260" t="s">
        <v>910</v>
      </c>
      <c r="K260" t="s">
        <v>906</v>
      </c>
      <c r="L260" t="s">
        <v>911</v>
      </c>
      <c r="M260" t="s">
        <v>251</v>
      </c>
      <c r="N260" t="s">
        <v>620</v>
      </c>
      <c r="O260">
        <v>400</v>
      </c>
      <c r="P260" t="str">
        <f t="shared" si="4"/>
        <v>注射用青霉素钠800万</v>
      </c>
    </row>
    <row r="261" spans="6:16" x14ac:dyDescent="0.15">
      <c r="F261" t="s">
        <v>912</v>
      </c>
      <c r="G261">
        <v>0.35</v>
      </c>
      <c r="J261" t="s">
        <v>912</v>
      </c>
      <c r="K261" t="s">
        <v>906</v>
      </c>
      <c r="L261" t="s">
        <v>913</v>
      </c>
      <c r="M261" t="s">
        <v>251</v>
      </c>
      <c r="N261" t="s">
        <v>620</v>
      </c>
      <c r="O261">
        <v>1000</v>
      </c>
      <c r="P261" t="str">
        <f t="shared" si="4"/>
        <v>注射用青霉素钠80万</v>
      </c>
    </row>
    <row r="262" spans="6:16" x14ac:dyDescent="0.15">
      <c r="F262" t="s">
        <v>914</v>
      </c>
      <c r="G262">
        <v>1.4</v>
      </c>
      <c r="J262" t="s">
        <v>914</v>
      </c>
      <c r="K262" t="s">
        <v>915</v>
      </c>
      <c r="L262" t="s">
        <v>916</v>
      </c>
      <c r="M262" t="s">
        <v>251</v>
      </c>
      <c r="N262" t="s">
        <v>620</v>
      </c>
      <c r="O262">
        <v>1000</v>
      </c>
      <c r="P262" t="str">
        <f t="shared" si="4"/>
        <v>注射用乳糖酸阿奇霉素0.125g</v>
      </c>
    </row>
    <row r="263" spans="6:16" x14ac:dyDescent="0.15">
      <c r="F263" t="s">
        <v>917</v>
      </c>
      <c r="G263">
        <v>2.2000000000000002</v>
      </c>
      <c r="J263" t="s">
        <v>917</v>
      </c>
      <c r="K263" t="s">
        <v>915</v>
      </c>
      <c r="L263" t="s">
        <v>918</v>
      </c>
      <c r="M263" t="s">
        <v>251</v>
      </c>
      <c r="N263" t="s">
        <v>620</v>
      </c>
      <c r="O263">
        <v>600</v>
      </c>
      <c r="P263" t="str">
        <f t="shared" si="4"/>
        <v>注射用乳糖酸阿奇霉素0.25g</v>
      </c>
    </row>
    <row r="264" spans="6:16" x14ac:dyDescent="0.15">
      <c r="F264" t="s">
        <v>919</v>
      </c>
      <c r="G264">
        <v>1.4</v>
      </c>
      <c r="J264" t="s">
        <v>919</v>
      </c>
      <c r="K264" t="s">
        <v>920</v>
      </c>
      <c r="L264" t="s">
        <v>916</v>
      </c>
      <c r="M264" t="s">
        <v>251</v>
      </c>
      <c r="N264" t="s">
        <v>620</v>
      </c>
      <c r="O264">
        <v>600</v>
      </c>
      <c r="P264" t="str">
        <f t="shared" si="4"/>
        <v>注射用乳糖酸阿奇霉素（齐宏）0.125g</v>
      </c>
    </row>
    <row r="265" spans="6:16" x14ac:dyDescent="0.15">
      <c r="F265" t="s">
        <v>921</v>
      </c>
      <c r="G265">
        <v>2.2000000000000002</v>
      </c>
      <c r="J265" t="s">
        <v>921</v>
      </c>
      <c r="K265" t="s">
        <v>920</v>
      </c>
      <c r="L265" t="s">
        <v>918</v>
      </c>
      <c r="M265" t="s">
        <v>251</v>
      </c>
      <c r="N265" t="s">
        <v>620</v>
      </c>
      <c r="O265">
        <v>600</v>
      </c>
      <c r="P265" t="str">
        <f t="shared" si="4"/>
        <v>注射用乳糖酸阿奇霉素（齐宏）0.25g</v>
      </c>
    </row>
    <row r="266" spans="6:16" x14ac:dyDescent="0.15">
      <c r="F266" t="s">
        <v>922</v>
      </c>
      <c r="G266">
        <v>3</v>
      </c>
      <c r="J266" t="s">
        <v>922</v>
      </c>
      <c r="K266" t="s">
        <v>920</v>
      </c>
      <c r="L266" t="s">
        <v>845</v>
      </c>
      <c r="M266" t="s">
        <v>251</v>
      </c>
      <c r="N266" t="s">
        <v>620</v>
      </c>
      <c r="O266">
        <v>600</v>
      </c>
      <c r="P266" t="str">
        <f t="shared" si="4"/>
        <v>注射用乳糖酸阿奇霉素（齐宏）0.5g</v>
      </c>
    </row>
    <row r="267" spans="6:16" x14ac:dyDescent="0.15">
      <c r="F267" t="s">
        <v>923</v>
      </c>
      <c r="G267">
        <v>6</v>
      </c>
      <c r="J267" t="s">
        <v>923</v>
      </c>
      <c r="K267" t="s">
        <v>924</v>
      </c>
      <c r="L267" t="s">
        <v>925</v>
      </c>
      <c r="M267" t="s">
        <v>330</v>
      </c>
      <c r="N267" t="s">
        <v>572</v>
      </c>
      <c r="O267">
        <v>600</v>
      </c>
      <c r="P267" t="str">
        <f t="shared" si="4"/>
        <v>注射用双黄连（冻干）1.2g×10支×60盒1.2g×10支×60盒</v>
      </c>
    </row>
    <row r="268" spans="6:16" x14ac:dyDescent="0.15">
      <c r="F268" t="s">
        <v>926</v>
      </c>
      <c r="G268">
        <v>4</v>
      </c>
      <c r="J268" t="s">
        <v>926</v>
      </c>
      <c r="K268" t="s">
        <v>927</v>
      </c>
      <c r="L268" t="s">
        <v>619</v>
      </c>
      <c r="M268" t="s">
        <v>330</v>
      </c>
      <c r="N268" t="s">
        <v>572</v>
      </c>
      <c r="O268">
        <v>960</v>
      </c>
      <c r="P268" t="str">
        <f t="shared" si="4"/>
        <v>注射用双黄连（冻干）600mg600mg×12支×80盒</v>
      </c>
    </row>
    <row r="269" spans="6:16" x14ac:dyDescent="0.15">
      <c r="F269" t="s">
        <v>928</v>
      </c>
      <c r="G269">
        <v>1.9</v>
      </c>
      <c r="J269" t="s">
        <v>928</v>
      </c>
      <c r="K269" t="s">
        <v>929</v>
      </c>
      <c r="L269" t="s">
        <v>838</v>
      </c>
      <c r="M269" t="s">
        <v>251</v>
      </c>
      <c r="N269" t="s">
        <v>620</v>
      </c>
      <c r="O269">
        <v>600</v>
      </c>
      <c r="P269" t="str">
        <f t="shared" si="4"/>
        <v>注射用头孢呋辛钠（特兰欣）0.75g</v>
      </c>
    </row>
    <row r="270" spans="6:16" x14ac:dyDescent="0.15">
      <c r="F270" t="s">
        <v>930</v>
      </c>
      <c r="G270">
        <v>3.4</v>
      </c>
      <c r="J270" t="s">
        <v>930</v>
      </c>
      <c r="K270" t="s">
        <v>929</v>
      </c>
      <c r="L270" t="s">
        <v>840</v>
      </c>
      <c r="M270" t="s">
        <v>251</v>
      </c>
      <c r="N270" t="s">
        <v>620</v>
      </c>
      <c r="O270">
        <v>600</v>
      </c>
      <c r="P270" t="str">
        <f t="shared" si="4"/>
        <v>注射用头孢呋辛钠（特兰欣）1.5g</v>
      </c>
    </row>
    <row r="271" spans="6:16" x14ac:dyDescent="0.15">
      <c r="F271" t="s">
        <v>931</v>
      </c>
      <c r="G271">
        <v>0.8</v>
      </c>
      <c r="J271" t="s">
        <v>931</v>
      </c>
      <c r="K271" t="s">
        <v>932</v>
      </c>
      <c r="L271" t="s">
        <v>822</v>
      </c>
      <c r="M271" t="s">
        <v>251</v>
      </c>
      <c r="N271" t="s">
        <v>620</v>
      </c>
      <c r="O271">
        <v>1000</v>
      </c>
      <c r="P271" t="str">
        <f t="shared" si="4"/>
        <v>注射用头孢拉定0.5g*10支*100盒</v>
      </c>
    </row>
    <row r="272" spans="6:16" x14ac:dyDescent="0.15">
      <c r="F272" t="s">
        <v>933</v>
      </c>
      <c r="G272">
        <v>1.48</v>
      </c>
      <c r="J272" t="s">
        <v>933</v>
      </c>
      <c r="K272" t="s">
        <v>932</v>
      </c>
      <c r="L272" t="s">
        <v>934</v>
      </c>
      <c r="M272" t="s">
        <v>251</v>
      </c>
      <c r="N272" t="s">
        <v>620</v>
      </c>
      <c r="O272">
        <v>600</v>
      </c>
      <c r="P272" t="str">
        <f t="shared" si="4"/>
        <v>注射用头孢拉定1g*10支*60盒</v>
      </c>
    </row>
    <row r="273" spans="6:16" x14ac:dyDescent="0.15">
      <c r="F273" t="s">
        <v>935</v>
      </c>
      <c r="G273">
        <v>5.5</v>
      </c>
      <c r="J273" t="s">
        <v>935</v>
      </c>
      <c r="K273" t="s">
        <v>936</v>
      </c>
      <c r="L273" t="s">
        <v>937</v>
      </c>
      <c r="M273" t="s">
        <v>251</v>
      </c>
      <c r="N273" t="s">
        <v>572</v>
      </c>
      <c r="O273">
        <v>400</v>
      </c>
      <c r="P273" t="str">
        <f t="shared" si="4"/>
        <v>注射用头孢美唑钠0.5g*400支</v>
      </c>
    </row>
    <row r="274" spans="6:16" x14ac:dyDescent="0.15">
      <c r="F274" t="s">
        <v>938</v>
      </c>
      <c r="G274">
        <v>5.5</v>
      </c>
      <c r="J274" t="s">
        <v>938</v>
      </c>
      <c r="K274" t="s">
        <v>936</v>
      </c>
      <c r="L274" t="s">
        <v>937</v>
      </c>
      <c r="M274" t="s">
        <v>251</v>
      </c>
      <c r="N274" t="s">
        <v>572</v>
      </c>
      <c r="O274">
        <v>400</v>
      </c>
      <c r="P274" t="str">
        <f t="shared" si="4"/>
        <v>注射用头孢美唑钠0.5g*400支</v>
      </c>
    </row>
    <row r="275" spans="6:16" x14ac:dyDescent="0.15">
      <c r="F275" t="s">
        <v>939</v>
      </c>
      <c r="G275">
        <v>10</v>
      </c>
      <c r="J275" t="s">
        <v>939</v>
      </c>
      <c r="K275" t="s">
        <v>936</v>
      </c>
      <c r="L275" t="s">
        <v>940</v>
      </c>
      <c r="M275" t="s">
        <v>251</v>
      </c>
      <c r="N275" t="s">
        <v>572</v>
      </c>
      <c r="O275">
        <v>400</v>
      </c>
      <c r="P275" t="str">
        <f t="shared" si="4"/>
        <v>注射用头孢美唑钠1g*400支</v>
      </c>
    </row>
    <row r="276" spans="6:16" x14ac:dyDescent="0.15">
      <c r="F276" t="s">
        <v>941</v>
      </c>
      <c r="G276">
        <v>10</v>
      </c>
      <c r="J276" t="s">
        <v>941</v>
      </c>
      <c r="K276" t="s">
        <v>936</v>
      </c>
      <c r="L276" t="s">
        <v>940</v>
      </c>
      <c r="M276" t="s">
        <v>251</v>
      </c>
      <c r="N276" t="s">
        <v>572</v>
      </c>
      <c r="O276">
        <v>400</v>
      </c>
      <c r="P276" t="str">
        <f t="shared" si="4"/>
        <v>注射用头孢美唑钠1g*400支</v>
      </c>
    </row>
    <row r="277" spans="6:16" x14ac:dyDescent="0.15">
      <c r="F277" t="s">
        <v>942</v>
      </c>
      <c r="G277">
        <v>2.5</v>
      </c>
      <c r="J277" t="s">
        <v>942</v>
      </c>
      <c r="K277" t="s">
        <v>943</v>
      </c>
      <c r="L277" t="s">
        <v>944</v>
      </c>
      <c r="M277" t="s">
        <v>251</v>
      </c>
      <c r="N277" t="s">
        <v>620</v>
      </c>
      <c r="O277">
        <v>600</v>
      </c>
      <c r="P277" t="str">
        <f t="shared" si="4"/>
        <v>注射用头孢哌酮钠舒巴坦钠(铃兰欣)1.0g*10支*600盒</v>
      </c>
    </row>
    <row r="278" spans="6:16" x14ac:dyDescent="0.15">
      <c r="F278" t="s">
        <v>945</v>
      </c>
      <c r="G278">
        <v>2.5</v>
      </c>
      <c r="J278" t="s">
        <v>945</v>
      </c>
      <c r="K278" t="s">
        <v>943</v>
      </c>
      <c r="L278" t="s">
        <v>944</v>
      </c>
      <c r="M278" t="s">
        <v>251</v>
      </c>
      <c r="N278" t="s">
        <v>620</v>
      </c>
      <c r="O278">
        <v>600</v>
      </c>
      <c r="P278" t="str">
        <f t="shared" si="4"/>
        <v>注射用头孢哌酮钠舒巴坦钠(铃兰欣)1.0g*10支*600盒</v>
      </c>
    </row>
    <row r="279" spans="6:16" x14ac:dyDescent="0.15">
      <c r="F279" t="s">
        <v>946</v>
      </c>
      <c r="G279">
        <v>1.7</v>
      </c>
      <c r="J279" t="s">
        <v>946</v>
      </c>
      <c r="K279" t="s">
        <v>947</v>
      </c>
      <c r="L279" t="s">
        <v>845</v>
      </c>
      <c r="M279" t="s">
        <v>251</v>
      </c>
      <c r="N279" t="s">
        <v>620</v>
      </c>
      <c r="O279">
        <v>600</v>
      </c>
      <c r="P279" t="str">
        <f t="shared" si="4"/>
        <v>注射用头孢哌酮钠舒巴坦钠（铃兰欣）0.5g</v>
      </c>
    </row>
    <row r="280" spans="6:16" x14ac:dyDescent="0.15">
      <c r="F280" t="s">
        <v>948</v>
      </c>
      <c r="G280">
        <v>3.7</v>
      </c>
      <c r="J280" t="s">
        <v>948</v>
      </c>
      <c r="K280" t="s">
        <v>947</v>
      </c>
      <c r="L280" t="s">
        <v>849</v>
      </c>
      <c r="M280" t="s">
        <v>251</v>
      </c>
      <c r="N280" t="s">
        <v>620</v>
      </c>
      <c r="O280">
        <v>400</v>
      </c>
      <c r="P280" t="str">
        <f t="shared" si="4"/>
        <v>注射用头孢哌酮钠舒巴坦钠（铃兰欣）2.0g</v>
      </c>
    </row>
    <row r="281" spans="6:16" x14ac:dyDescent="0.15">
      <c r="F281" t="s">
        <v>949</v>
      </c>
      <c r="G281">
        <v>3.7</v>
      </c>
      <c r="J281" t="s">
        <v>949</v>
      </c>
      <c r="K281" t="s">
        <v>947</v>
      </c>
      <c r="L281" t="s">
        <v>849</v>
      </c>
      <c r="M281" t="s">
        <v>251</v>
      </c>
      <c r="N281" t="s">
        <v>620</v>
      </c>
      <c r="O281">
        <v>400</v>
      </c>
      <c r="P281" t="str">
        <f t="shared" si="4"/>
        <v>注射用头孢哌酮钠舒巴坦钠（铃兰欣）2.0g</v>
      </c>
    </row>
    <row r="282" spans="6:16" x14ac:dyDescent="0.15">
      <c r="F282" t="s">
        <v>950</v>
      </c>
      <c r="G282">
        <v>2.9</v>
      </c>
      <c r="J282" t="s">
        <v>950</v>
      </c>
      <c r="K282" t="s">
        <v>951</v>
      </c>
      <c r="L282" t="s">
        <v>952</v>
      </c>
      <c r="M282" t="s">
        <v>251</v>
      </c>
      <c r="N282" t="s">
        <v>620</v>
      </c>
      <c r="O282">
        <v>600</v>
      </c>
      <c r="P282" t="str">
        <f t="shared" si="4"/>
        <v>注射用头孢哌酮钠舒巴坦钠（铃兰欣）1.5g*600支1.5g*600支</v>
      </c>
    </row>
    <row r="283" spans="6:16" x14ac:dyDescent="0.15">
      <c r="F283" t="s">
        <v>953</v>
      </c>
      <c r="G283">
        <v>2.9</v>
      </c>
      <c r="J283" t="s">
        <v>953</v>
      </c>
      <c r="K283" t="s">
        <v>951</v>
      </c>
      <c r="L283" t="s">
        <v>952</v>
      </c>
      <c r="M283" t="s">
        <v>251</v>
      </c>
      <c r="N283" t="s">
        <v>620</v>
      </c>
      <c r="O283">
        <v>600</v>
      </c>
      <c r="P283" t="str">
        <f t="shared" si="4"/>
        <v>注射用头孢哌酮钠舒巴坦钠（铃兰欣）1.5g*600支1.5g*600支</v>
      </c>
    </row>
    <row r="284" spans="6:16" x14ac:dyDescent="0.15">
      <c r="F284" t="s">
        <v>954</v>
      </c>
      <c r="G284">
        <v>3</v>
      </c>
      <c r="J284" t="s">
        <v>954</v>
      </c>
      <c r="K284" t="s">
        <v>955</v>
      </c>
      <c r="L284" t="s">
        <v>840</v>
      </c>
      <c r="M284" t="s">
        <v>251</v>
      </c>
      <c r="N284" t="s">
        <v>620</v>
      </c>
      <c r="O284">
        <v>400</v>
      </c>
      <c r="P284" t="str">
        <f t="shared" si="4"/>
        <v>注射用头孢哌酮钠舒巴坦钠2：1（1.5g*10支*40盒）（特拉欣）1.5g</v>
      </c>
    </row>
    <row r="285" spans="6:16" x14ac:dyDescent="0.15">
      <c r="F285" t="s">
        <v>956</v>
      </c>
      <c r="G285">
        <v>3</v>
      </c>
      <c r="J285" t="s">
        <v>956</v>
      </c>
      <c r="K285" t="s">
        <v>957</v>
      </c>
      <c r="L285" t="s">
        <v>840</v>
      </c>
      <c r="M285" t="s">
        <v>251</v>
      </c>
      <c r="N285" t="s">
        <v>620</v>
      </c>
      <c r="O285">
        <v>400</v>
      </c>
      <c r="P285" t="str">
        <f t="shared" si="4"/>
        <v>注射用头孢哌酮钠舒巴坦钠2：1（特拉欣）1.5g</v>
      </c>
    </row>
    <row r="286" spans="6:16" x14ac:dyDescent="0.15">
      <c r="F286" t="s">
        <v>958</v>
      </c>
      <c r="G286">
        <v>0.83</v>
      </c>
      <c r="J286" t="s">
        <v>958</v>
      </c>
      <c r="K286" t="s">
        <v>959</v>
      </c>
      <c r="L286" t="s">
        <v>822</v>
      </c>
      <c r="M286" t="s">
        <v>251</v>
      </c>
      <c r="N286" t="s">
        <v>620</v>
      </c>
      <c r="O286">
        <v>1000</v>
      </c>
      <c r="P286" t="str">
        <f t="shared" si="4"/>
        <v>注射用头孢曲松钠0.5g*10支*100盒</v>
      </c>
    </row>
    <row r="287" spans="6:16" x14ac:dyDescent="0.15">
      <c r="F287" t="s">
        <v>960</v>
      </c>
      <c r="G287">
        <v>1.47</v>
      </c>
      <c r="J287" t="s">
        <v>960</v>
      </c>
      <c r="K287" t="s">
        <v>959</v>
      </c>
      <c r="L287" t="s">
        <v>961</v>
      </c>
      <c r="M287" t="s">
        <v>251</v>
      </c>
      <c r="N287" t="s">
        <v>620</v>
      </c>
      <c r="O287">
        <v>1000</v>
      </c>
      <c r="P287" t="str">
        <f t="shared" si="4"/>
        <v>注射用头孢曲松钠1.0g*10支*100盒</v>
      </c>
    </row>
    <row r="288" spans="6:16" x14ac:dyDescent="0.15">
      <c r="F288" t="s">
        <v>962</v>
      </c>
      <c r="G288">
        <v>2.6</v>
      </c>
      <c r="J288" t="s">
        <v>962</v>
      </c>
      <c r="K288" t="s">
        <v>963</v>
      </c>
      <c r="L288" t="s">
        <v>964</v>
      </c>
      <c r="M288" t="s">
        <v>251</v>
      </c>
      <c r="N288" t="s">
        <v>620</v>
      </c>
      <c r="O288">
        <v>600</v>
      </c>
      <c r="P288" t="str">
        <f t="shared" si="4"/>
        <v>注射用头孢曲松钠（凯塞欣）2.0g*10支*60盒</v>
      </c>
    </row>
    <row r="289" spans="6:16" x14ac:dyDescent="0.15">
      <c r="F289" t="s">
        <v>965</v>
      </c>
      <c r="G289">
        <v>0.88</v>
      </c>
      <c r="J289" t="s">
        <v>965</v>
      </c>
      <c r="K289" t="s">
        <v>966</v>
      </c>
      <c r="L289" t="s">
        <v>822</v>
      </c>
      <c r="M289" t="s">
        <v>251</v>
      </c>
      <c r="N289" t="s">
        <v>620</v>
      </c>
      <c r="O289">
        <v>1000</v>
      </c>
      <c r="P289" t="str">
        <f t="shared" si="4"/>
        <v>注射用头孢噻肟钠0.5g*10支*100盒</v>
      </c>
    </row>
    <row r="290" spans="6:16" x14ac:dyDescent="0.15">
      <c r="F290" t="s">
        <v>967</v>
      </c>
      <c r="G290">
        <v>1.5</v>
      </c>
      <c r="J290" t="s">
        <v>967</v>
      </c>
      <c r="K290" t="s">
        <v>966</v>
      </c>
      <c r="L290" t="s">
        <v>824</v>
      </c>
      <c r="M290" t="s">
        <v>251</v>
      </c>
      <c r="N290" t="s">
        <v>620</v>
      </c>
      <c r="O290">
        <v>1000</v>
      </c>
      <c r="P290" t="str">
        <f t="shared" si="4"/>
        <v>注射用头孢噻肟钠1g*10支*100盒</v>
      </c>
    </row>
    <row r="291" spans="6:16" x14ac:dyDescent="0.15">
      <c r="F291" t="s">
        <v>968</v>
      </c>
      <c r="G291">
        <v>3.1</v>
      </c>
      <c r="J291" t="s">
        <v>968</v>
      </c>
      <c r="K291" t="s">
        <v>969</v>
      </c>
      <c r="L291" t="s">
        <v>970</v>
      </c>
      <c r="M291" t="s">
        <v>251</v>
      </c>
      <c r="N291" t="s">
        <v>620</v>
      </c>
      <c r="O291">
        <v>600</v>
      </c>
      <c r="P291" t="str">
        <f t="shared" si="4"/>
        <v>注射用头孢他啶1g*600支</v>
      </c>
    </row>
    <row r="292" spans="6:16" x14ac:dyDescent="0.15">
      <c r="F292" t="s">
        <v>971</v>
      </c>
      <c r="G292">
        <v>4</v>
      </c>
      <c r="J292" t="s">
        <v>971</v>
      </c>
      <c r="K292" t="s">
        <v>972</v>
      </c>
      <c r="L292" t="s">
        <v>952</v>
      </c>
      <c r="M292" t="s">
        <v>251</v>
      </c>
      <c r="N292" t="s">
        <v>620</v>
      </c>
      <c r="O292">
        <v>600</v>
      </c>
      <c r="P292" t="str">
        <f t="shared" si="4"/>
        <v>注射用头孢他啶(含精氨酸)(倍欧)1.5g*600支1.5g*600支</v>
      </c>
    </row>
    <row r="293" spans="6:16" x14ac:dyDescent="0.15">
      <c r="F293" t="s">
        <v>973</v>
      </c>
      <c r="G293">
        <v>4</v>
      </c>
      <c r="J293" t="s">
        <v>973</v>
      </c>
      <c r="K293" t="s">
        <v>972</v>
      </c>
      <c r="L293" t="s">
        <v>952</v>
      </c>
      <c r="M293" t="s">
        <v>251</v>
      </c>
      <c r="N293" t="s">
        <v>620</v>
      </c>
      <c r="O293">
        <v>600</v>
      </c>
      <c r="P293" t="str">
        <f t="shared" si="4"/>
        <v>注射用头孢他啶(含精氨酸)(倍欧)1.5g*600支1.5g*600支</v>
      </c>
    </row>
    <row r="294" spans="6:16" x14ac:dyDescent="0.15">
      <c r="F294" t="s">
        <v>974</v>
      </c>
      <c r="G294">
        <v>1.7</v>
      </c>
      <c r="J294" t="s">
        <v>974</v>
      </c>
      <c r="K294" t="s">
        <v>975</v>
      </c>
      <c r="L294" t="s">
        <v>976</v>
      </c>
      <c r="M294" t="s">
        <v>251</v>
      </c>
      <c r="N294" t="s">
        <v>572</v>
      </c>
      <c r="O294">
        <v>600</v>
      </c>
      <c r="P294" t="str">
        <f t="shared" si="4"/>
        <v>注射用头孢他啶(益他欣)0.5g*1支*600盒</v>
      </c>
    </row>
    <row r="295" spans="6:16" x14ac:dyDescent="0.15">
      <c r="F295" t="s">
        <v>977</v>
      </c>
      <c r="G295">
        <v>4</v>
      </c>
      <c r="J295" t="s">
        <v>977</v>
      </c>
      <c r="K295" t="s">
        <v>978</v>
      </c>
      <c r="L295" t="s">
        <v>979</v>
      </c>
      <c r="M295" t="s">
        <v>251</v>
      </c>
      <c r="N295" t="s">
        <v>620</v>
      </c>
      <c r="O295">
        <v>600</v>
      </c>
      <c r="P295" t="str">
        <f t="shared" si="4"/>
        <v>注射用头孢替唑钠1.0g*600支</v>
      </c>
    </row>
    <row r="296" spans="6:16" x14ac:dyDescent="0.15">
      <c r="F296" t="s">
        <v>980</v>
      </c>
      <c r="G296">
        <v>4</v>
      </c>
      <c r="J296" t="s">
        <v>980</v>
      </c>
      <c r="K296" t="s">
        <v>978</v>
      </c>
      <c r="L296" t="s">
        <v>979</v>
      </c>
      <c r="M296" t="s">
        <v>251</v>
      </c>
      <c r="N296" t="s">
        <v>620</v>
      </c>
      <c r="O296">
        <v>600</v>
      </c>
      <c r="P296" t="str">
        <f t="shared" si="4"/>
        <v>注射用头孢替唑钠1.0g*600支</v>
      </c>
    </row>
    <row r="297" spans="6:16" x14ac:dyDescent="0.15">
      <c r="F297" t="s">
        <v>981</v>
      </c>
      <c r="G297">
        <v>0.86</v>
      </c>
      <c r="J297" t="s">
        <v>981</v>
      </c>
      <c r="K297" t="s">
        <v>982</v>
      </c>
      <c r="L297" t="s">
        <v>822</v>
      </c>
      <c r="M297" t="s">
        <v>251</v>
      </c>
      <c r="N297" t="s">
        <v>620</v>
      </c>
      <c r="O297">
        <v>1000</v>
      </c>
      <c r="P297" t="str">
        <f t="shared" si="4"/>
        <v>注射用头孢唑林钠0.5g*10支*100盒</v>
      </c>
    </row>
    <row r="298" spans="6:16" x14ac:dyDescent="0.15">
      <c r="F298" t="s">
        <v>983</v>
      </c>
      <c r="G298">
        <v>1.56</v>
      </c>
      <c r="J298" t="s">
        <v>983</v>
      </c>
      <c r="K298" t="s">
        <v>982</v>
      </c>
      <c r="L298" t="s">
        <v>934</v>
      </c>
      <c r="M298" t="s">
        <v>251</v>
      </c>
      <c r="N298" t="s">
        <v>620</v>
      </c>
      <c r="O298">
        <v>600</v>
      </c>
      <c r="P298" t="str">
        <f t="shared" si="4"/>
        <v>注射用头孢唑林钠1g*10支*60盒</v>
      </c>
    </row>
    <row r="299" spans="6:16" x14ac:dyDescent="0.15">
      <c r="F299" t="s">
        <v>984</v>
      </c>
      <c r="G299">
        <v>2.6</v>
      </c>
      <c r="J299" t="s">
        <v>984</v>
      </c>
      <c r="K299" t="s">
        <v>982</v>
      </c>
      <c r="L299" t="s">
        <v>985</v>
      </c>
      <c r="M299" t="s">
        <v>251</v>
      </c>
      <c r="N299" t="s">
        <v>620</v>
      </c>
      <c r="O299">
        <v>600</v>
      </c>
      <c r="P299" t="str">
        <f t="shared" si="4"/>
        <v>注射用头孢唑林钠2.0g*600支</v>
      </c>
    </row>
    <row r="300" spans="6:16" x14ac:dyDescent="0.15">
      <c r="F300" t="s">
        <v>986</v>
      </c>
      <c r="G300">
        <v>5.5</v>
      </c>
      <c r="J300" t="s">
        <v>986</v>
      </c>
      <c r="K300" t="s">
        <v>987</v>
      </c>
      <c r="L300" t="s">
        <v>988</v>
      </c>
      <c r="M300" t="s">
        <v>251</v>
      </c>
      <c r="N300" t="s">
        <v>620</v>
      </c>
      <c r="O300">
        <v>600</v>
      </c>
      <c r="P300" t="str">
        <f t="shared" si="4"/>
        <v>注射用头孢唑肟钠0.75g*600支</v>
      </c>
    </row>
    <row r="301" spans="6:16" x14ac:dyDescent="0.15">
      <c r="F301" t="s">
        <v>989</v>
      </c>
      <c r="G301">
        <v>5.5</v>
      </c>
      <c r="J301" t="s">
        <v>989</v>
      </c>
      <c r="K301" t="s">
        <v>987</v>
      </c>
      <c r="L301" t="s">
        <v>988</v>
      </c>
      <c r="M301" t="s">
        <v>251</v>
      </c>
      <c r="N301" t="s">
        <v>620</v>
      </c>
      <c r="O301">
        <v>600</v>
      </c>
      <c r="P301" t="str">
        <f t="shared" si="4"/>
        <v>注射用头孢唑肟钠0.75g*600支</v>
      </c>
    </row>
    <row r="302" spans="6:16" x14ac:dyDescent="0.15">
      <c r="F302" t="s">
        <v>990</v>
      </c>
      <c r="G302">
        <v>10.5</v>
      </c>
      <c r="J302" t="s">
        <v>990</v>
      </c>
      <c r="K302" t="s">
        <v>987</v>
      </c>
      <c r="L302" t="s">
        <v>991</v>
      </c>
      <c r="M302" t="s">
        <v>251</v>
      </c>
      <c r="N302" t="s">
        <v>620</v>
      </c>
      <c r="O302">
        <v>400</v>
      </c>
      <c r="P302" t="str">
        <f t="shared" si="4"/>
        <v>注射用头孢唑肟钠1.5g*400支</v>
      </c>
    </row>
    <row r="303" spans="6:16" x14ac:dyDescent="0.15">
      <c r="F303" t="s">
        <v>992</v>
      </c>
      <c r="G303">
        <v>10.5</v>
      </c>
      <c r="J303" t="s">
        <v>992</v>
      </c>
      <c r="K303" t="s">
        <v>987</v>
      </c>
      <c r="L303" t="s">
        <v>991</v>
      </c>
      <c r="M303" t="s">
        <v>251</v>
      </c>
      <c r="N303" t="s">
        <v>620</v>
      </c>
      <c r="O303">
        <v>400</v>
      </c>
      <c r="P303" t="str">
        <f t="shared" si="4"/>
        <v>注射用头孢唑肟钠1.5g*400支</v>
      </c>
    </row>
    <row r="304" spans="6:16" x14ac:dyDescent="0.15">
      <c r="F304" t="s">
        <v>993</v>
      </c>
      <c r="G304">
        <v>7</v>
      </c>
      <c r="J304" t="s">
        <v>993</v>
      </c>
      <c r="K304" t="s">
        <v>987</v>
      </c>
      <c r="L304" t="s">
        <v>970</v>
      </c>
      <c r="M304" t="s">
        <v>251</v>
      </c>
      <c r="N304" t="s">
        <v>620</v>
      </c>
      <c r="O304">
        <v>600</v>
      </c>
      <c r="P304" t="str">
        <f t="shared" si="4"/>
        <v>注射用头孢唑肟钠1g*600支</v>
      </c>
    </row>
    <row r="305" spans="6:16" x14ac:dyDescent="0.15">
      <c r="F305" t="s">
        <v>994</v>
      </c>
      <c r="G305">
        <v>7</v>
      </c>
      <c r="J305" t="s">
        <v>994</v>
      </c>
      <c r="K305" t="s">
        <v>987</v>
      </c>
      <c r="L305" t="s">
        <v>970</v>
      </c>
      <c r="M305" t="s">
        <v>251</v>
      </c>
      <c r="N305" t="s">
        <v>620</v>
      </c>
      <c r="O305">
        <v>600</v>
      </c>
      <c r="P305" t="str">
        <f t="shared" si="4"/>
        <v>注射用头孢唑肟钠1g*600支</v>
      </c>
    </row>
    <row r="306" spans="6:16" x14ac:dyDescent="0.15">
      <c r="F306" t="s">
        <v>995</v>
      </c>
      <c r="G306">
        <v>4.0999999999999996</v>
      </c>
      <c r="J306" t="s">
        <v>995</v>
      </c>
      <c r="K306" t="s">
        <v>996</v>
      </c>
      <c r="L306" t="s">
        <v>997</v>
      </c>
      <c r="M306" t="s">
        <v>251</v>
      </c>
      <c r="N306" t="s">
        <v>620</v>
      </c>
      <c r="O306">
        <v>600</v>
      </c>
      <c r="P306" t="str">
        <f t="shared" si="4"/>
        <v>注射用头孢唑肟钠（益左欣）0.5g*600支</v>
      </c>
    </row>
    <row r="307" spans="6:16" x14ac:dyDescent="0.15">
      <c r="F307" t="s">
        <v>998</v>
      </c>
      <c r="G307">
        <v>4.0999999999999996</v>
      </c>
      <c r="J307" t="s">
        <v>998</v>
      </c>
      <c r="K307" t="s">
        <v>996</v>
      </c>
      <c r="L307" t="s">
        <v>997</v>
      </c>
      <c r="M307" t="s">
        <v>251</v>
      </c>
      <c r="N307" t="s">
        <v>620</v>
      </c>
      <c r="O307">
        <v>600</v>
      </c>
      <c r="P307" t="str">
        <f t="shared" si="4"/>
        <v>注射用头孢唑肟钠（益左欣）0.5g*600支</v>
      </c>
    </row>
    <row r="308" spans="6:16" x14ac:dyDescent="0.15">
      <c r="F308" t="s">
        <v>999</v>
      </c>
      <c r="G308">
        <v>24</v>
      </c>
      <c r="J308" t="s">
        <v>999</v>
      </c>
      <c r="K308" t="s">
        <v>1000</v>
      </c>
      <c r="L308" t="s">
        <v>1001</v>
      </c>
      <c r="M308" t="s">
        <v>571</v>
      </c>
      <c r="N308" t="s">
        <v>572</v>
      </c>
      <c r="O308">
        <v>300</v>
      </c>
      <c r="P308" t="str">
        <f t="shared" si="4"/>
        <v>注射用胸腺法新1.6mg</v>
      </c>
    </row>
    <row r="309" spans="6:16" x14ac:dyDescent="0.15">
      <c r="F309" t="s">
        <v>1002</v>
      </c>
      <c r="G309">
        <v>3.42</v>
      </c>
      <c r="J309" t="s">
        <v>1002</v>
      </c>
      <c r="K309" t="s">
        <v>1003</v>
      </c>
      <c r="L309" t="s">
        <v>1004</v>
      </c>
      <c r="M309" t="s">
        <v>571</v>
      </c>
      <c r="N309" t="s">
        <v>572</v>
      </c>
      <c r="O309">
        <v>720</v>
      </c>
      <c r="P309" t="str">
        <f t="shared" si="4"/>
        <v>注射用胸腺五肽1mg</v>
      </c>
    </row>
    <row r="310" spans="6:16" x14ac:dyDescent="0.15">
      <c r="F310" t="s">
        <v>1005</v>
      </c>
      <c r="G310">
        <v>2.5</v>
      </c>
      <c r="J310" t="s">
        <v>1005</v>
      </c>
      <c r="K310" t="s">
        <v>1006</v>
      </c>
      <c r="L310" t="s">
        <v>1007</v>
      </c>
      <c r="M310" t="s">
        <v>904</v>
      </c>
      <c r="N310" t="s">
        <v>620</v>
      </c>
      <c r="O310">
        <v>960</v>
      </c>
      <c r="P310" t="str">
        <f t="shared" si="4"/>
        <v>注射用炎琥宁80mg*12支*80盒</v>
      </c>
    </row>
    <row r="311" spans="6:16" x14ac:dyDescent="0.15">
      <c r="F311" t="s">
        <v>1008</v>
      </c>
      <c r="G311">
        <v>3.5</v>
      </c>
      <c r="J311" t="s">
        <v>1008</v>
      </c>
      <c r="K311" t="s">
        <v>1009</v>
      </c>
      <c r="L311" t="s">
        <v>997</v>
      </c>
      <c r="M311" t="s">
        <v>251</v>
      </c>
      <c r="N311" t="s">
        <v>620</v>
      </c>
      <c r="O311">
        <v>600</v>
      </c>
      <c r="P311" t="str">
        <f t="shared" si="4"/>
        <v>注射用盐酸头孢吡肟(若能)0.5g*600支</v>
      </c>
    </row>
    <row r="312" spans="6:16" x14ac:dyDescent="0.15">
      <c r="F312" t="s">
        <v>1010</v>
      </c>
      <c r="G312">
        <v>3.5</v>
      </c>
      <c r="J312" t="s">
        <v>1010</v>
      </c>
      <c r="K312" t="s">
        <v>1009</v>
      </c>
      <c r="L312" t="s">
        <v>997</v>
      </c>
      <c r="M312" t="s">
        <v>251</v>
      </c>
      <c r="N312" t="s">
        <v>620</v>
      </c>
      <c r="O312">
        <v>600</v>
      </c>
      <c r="P312" t="str">
        <f t="shared" si="4"/>
        <v>注射用盐酸头孢吡肟(若能)0.5g*600支</v>
      </c>
    </row>
    <row r="313" spans="6:16" x14ac:dyDescent="0.15">
      <c r="F313" t="s">
        <v>1011</v>
      </c>
      <c r="G313">
        <v>6</v>
      </c>
      <c r="J313" t="s">
        <v>1011</v>
      </c>
      <c r="K313" t="s">
        <v>1012</v>
      </c>
      <c r="L313" t="s">
        <v>970</v>
      </c>
      <c r="M313" t="s">
        <v>251</v>
      </c>
      <c r="N313" t="s">
        <v>620</v>
      </c>
      <c r="O313">
        <v>600</v>
      </c>
      <c r="P313" t="str">
        <f t="shared" si="4"/>
        <v>注射用盐酸头孢吡肟(舒肟欣)1g*600支</v>
      </c>
    </row>
    <row r="314" spans="6:16" x14ac:dyDescent="0.15">
      <c r="F314" t="s">
        <v>1013</v>
      </c>
      <c r="G314">
        <v>6</v>
      </c>
      <c r="J314" t="s">
        <v>1013</v>
      </c>
      <c r="K314" t="s">
        <v>1012</v>
      </c>
      <c r="L314" t="s">
        <v>970</v>
      </c>
      <c r="M314" t="s">
        <v>251</v>
      </c>
      <c r="N314" t="s">
        <v>620</v>
      </c>
      <c r="O314">
        <v>600</v>
      </c>
      <c r="P314" t="str">
        <f t="shared" si="4"/>
        <v>注射用盐酸头孢吡肟(舒肟欣)1g*600支</v>
      </c>
    </row>
    <row r="315" spans="6:16" x14ac:dyDescent="0.15">
      <c r="F315" t="s">
        <v>1014</v>
      </c>
      <c r="G315">
        <v>4</v>
      </c>
      <c r="J315" t="s">
        <v>1014</v>
      </c>
      <c r="K315" t="s">
        <v>1015</v>
      </c>
      <c r="L315" t="s">
        <v>1016</v>
      </c>
      <c r="M315" t="s">
        <v>251</v>
      </c>
      <c r="N315" t="s">
        <v>620</v>
      </c>
      <c r="O315">
        <v>400</v>
      </c>
      <c r="P315" t="str">
        <f t="shared" si="4"/>
        <v>注射用盐酸头孢替安0.25g*400支</v>
      </c>
    </row>
    <row r="316" spans="6:16" x14ac:dyDescent="0.15">
      <c r="F316" t="s">
        <v>1017</v>
      </c>
      <c r="G316">
        <v>4</v>
      </c>
      <c r="J316" t="s">
        <v>1017</v>
      </c>
      <c r="K316" t="s">
        <v>1015</v>
      </c>
      <c r="L316" t="s">
        <v>1016</v>
      </c>
      <c r="M316" t="s">
        <v>251</v>
      </c>
      <c r="N316" t="s">
        <v>620</v>
      </c>
      <c r="O316">
        <v>400</v>
      </c>
      <c r="P316" t="str">
        <f t="shared" si="4"/>
        <v>注射用盐酸头孢替安0.25g*400支</v>
      </c>
    </row>
    <row r="317" spans="6:16" x14ac:dyDescent="0.15">
      <c r="F317" t="s">
        <v>1018</v>
      </c>
      <c r="G317">
        <v>5.3</v>
      </c>
      <c r="J317" t="s">
        <v>1018</v>
      </c>
      <c r="K317" t="s">
        <v>1015</v>
      </c>
      <c r="L317" t="s">
        <v>937</v>
      </c>
      <c r="M317" t="s">
        <v>251</v>
      </c>
      <c r="N317" t="s">
        <v>620</v>
      </c>
      <c r="O317">
        <v>400</v>
      </c>
      <c r="P317" t="str">
        <f t="shared" si="4"/>
        <v>注射用盐酸头孢替安0.5g*400支</v>
      </c>
    </row>
    <row r="318" spans="6:16" x14ac:dyDescent="0.15">
      <c r="F318" t="s">
        <v>1019</v>
      </c>
      <c r="G318">
        <v>5.3</v>
      </c>
      <c r="J318" t="s">
        <v>1019</v>
      </c>
      <c r="K318" t="s">
        <v>1015</v>
      </c>
      <c r="L318" t="s">
        <v>937</v>
      </c>
      <c r="M318" t="s">
        <v>251</v>
      </c>
      <c r="N318" t="s">
        <v>620</v>
      </c>
      <c r="O318">
        <v>400</v>
      </c>
      <c r="P318" t="str">
        <f t="shared" si="4"/>
        <v>注射用盐酸头孢替安0.5g*400支</v>
      </c>
    </row>
    <row r="319" spans="6:16" x14ac:dyDescent="0.15">
      <c r="F319" t="s">
        <v>1020</v>
      </c>
      <c r="G319">
        <v>10</v>
      </c>
      <c r="J319" t="s">
        <v>1020</v>
      </c>
      <c r="K319" t="s">
        <v>1015</v>
      </c>
      <c r="L319" t="s">
        <v>940</v>
      </c>
      <c r="M319" t="s">
        <v>251</v>
      </c>
      <c r="N319" t="s">
        <v>572</v>
      </c>
      <c r="O319">
        <v>400</v>
      </c>
      <c r="P319" t="str">
        <f t="shared" si="4"/>
        <v>注射用盐酸头孢替安1g*400支</v>
      </c>
    </row>
    <row r="320" spans="6:16" x14ac:dyDescent="0.15">
      <c r="F320" t="s">
        <v>1021</v>
      </c>
      <c r="G320">
        <v>10</v>
      </c>
      <c r="J320" t="s">
        <v>1021</v>
      </c>
      <c r="K320" t="s">
        <v>1015</v>
      </c>
      <c r="L320" t="s">
        <v>940</v>
      </c>
      <c r="M320" t="s">
        <v>251</v>
      </c>
      <c r="N320" t="s">
        <v>572</v>
      </c>
      <c r="O320">
        <v>400</v>
      </c>
      <c r="P320" t="str">
        <f t="shared" si="4"/>
        <v>注射用盐酸头孢替安1g*400支</v>
      </c>
    </row>
    <row r="321" spans="6:16" x14ac:dyDescent="0.15">
      <c r="F321" t="s">
        <v>1022</v>
      </c>
      <c r="G321">
        <v>3</v>
      </c>
      <c r="J321" t="s">
        <v>1022</v>
      </c>
      <c r="K321" t="s">
        <v>1023</v>
      </c>
      <c r="L321" t="s">
        <v>1024</v>
      </c>
      <c r="M321" t="s">
        <v>571</v>
      </c>
      <c r="N321" t="s">
        <v>572</v>
      </c>
      <c r="O321">
        <v>300</v>
      </c>
      <c r="P321" t="str">
        <f t="shared" si="4"/>
        <v>注射用重组人干扰素α2b（假单胞菌）100万IU</v>
      </c>
    </row>
    <row r="322" spans="6:16" x14ac:dyDescent="0.15">
      <c r="F322" t="s">
        <v>1025</v>
      </c>
      <c r="G322">
        <v>6</v>
      </c>
      <c r="J322" t="s">
        <v>1025</v>
      </c>
      <c r="K322" t="s">
        <v>1023</v>
      </c>
      <c r="L322" t="s">
        <v>1026</v>
      </c>
      <c r="M322" t="s">
        <v>571</v>
      </c>
      <c r="N322" t="s">
        <v>572</v>
      </c>
      <c r="O322">
        <v>300</v>
      </c>
      <c r="P322" t="str">
        <f t="shared" si="4"/>
        <v>注射用重组人干扰素α2b（假单胞菌）300万IU</v>
      </c>
    </row>
    <row r="323" spans="6:16" x14ac:dyDescent="0.15">
      <c r="F323" t="s">
        <v>1027</v>
      </c>
      <c r="G323">
        <v>10.5</v>
      </c>
      <c r="J323" t="s">
        <v>1027</v>
      </c>
      <c r="K323" t="s">
        <v>1023</v>
      </c>
      <c r="L323" t="s">
        <v>1028</v>
      </c>
      <c r="M323" t="s">
        <v>571</v>
      </c>
      <c r="N323" t="s">
        <v>572</v>
      </c>
      <c r="O323">
        <v>200</v>
      </c>
      <c r="P323" t="str">
        <f t="shared" ref="P323:P330" si="5">K323&amp;L323</f>
        <v>注射用重组人干扰素α2b（假单胞菌）500万IU</v>
      </c>
    </row>
    <row r="324" spans="6:16" x14ac:dyDescent="0.15">
      <c r="F324" t="s">
        <v>1029</v>
      </c>
      <c r="G324">
        <v>22</v>
      </c>
      <c r="J324" t="s">
        <v>1029</v>
      </c>
      <c r="K324" t="s">
        <v>1030</v>
      </c>
      <c r="L324" t="s">
        <v>813</v>
      </c>
      <c r="M324" t="s">
        <v>571</v>
      </c>
      <c r="N324" t="s">
        <v>572</v>
      </c>
      <c r="O324">
        <v>200</v>
      </c>
      <c r="P324" t="str">
        <f t="shared" si="5"/>
        <v>注射用重组人粒细胞巨噬细胞刺激因子150ug</v>
      </c>
    </row>
    <row r="325" spans="6:16" x14ac:dyDescent="0.15">
      <c r="F325" t="s">
        <v>1031</v>
      </c>
      <c r="G325">
        <v>15</v>
      </c>
      <c r="J325" t="s">
        <v>1031</v>
      </c>
      <c r="K325" t="s">
        <v>1030</v>
      </c>
      <c r="L325" t="s">
        <v>1032</v>
      </c>
      <c r="M325" t="s">
        <v>571</v>
      </c>
      <c r="N325" t="s">
        <v>572</v>
      </c>
      <c r="O325">
        <v>200</v>
      </c>
      <c r="P325" t="str">
        <f t="shared" si="5"/>
        <v>注射用重组人粒细胞巨噬细胞刺激因子75ug</v>
      </c>
    </row>
    <row r="326" spans="6:16" x14ac:dyDescent="0.15">
      <c r="F326" t="s">
        <v>1033</v>
      </c>
      <c r="G326">
        <v>31.25</v>
      </c>
      <c r="J326" t="s">
        <v>1033</v>
      </c>
      <c r="K326" t="s">
        <v>1034</v>
      </c>
      <c r="L326" t="s">
        <v>1035</v>
      </c>
      <c r="M326" t="s">
        <v>393</v>
      </c>
      <c r="N326" t="s">
        <v>268</v>
      </c>
      <c r="O326">
        <v>300</v>
      </c>
      <c r="P326" t="str">
        <f t="shared" si="5"/>
        <v>壮肾安神片0.32g*45片*300盒</v>
      </c>
    </row>
    <row r="327" spans="6:16" x14ac:dyDescent="0.15">
      <c r="F327" t="s">
        <v>1036</v>
      </c>
      <c r="G327">
        <v>31.25</v>
      </c>
      <c r="J327" t="s">
        <v>1036</v>
      </c>
      <c r="K327" t="s">
        <v>1034</v>
      </c>
      <c r="L327" t="s">
        <v>1037</v>
      </c>
      <c r="M327" t="s">
        <v>338</v>
      </c>
      <c r="N327" t="s">
        <v>268</v>
      </c>
      <c r="O327">
        <v>120</v>
      </c>
      <c r="P327" t="str">
        <f t="shared" si="5"/>
        <v>壮肾安神片0.32g*45片*4盒*30中盒</v>
      </c>
    </row>
    <row r="328" spans="6:16" x14ac:dyDescent="0.15">
      <c r="F328" t="s">
        <v>1038</v>
      </c>
      <c r="G328">
        <v>7</v>
      </c>
      <c r="J328" t="s">
        <v>1038</v>
      </c>
      <c r="K328" t="s">
        <v>1039</v>
      </c>
      <c r="L328" t="s">
        <v>1040</v>
      </c>
      <c r="M328" t="s">
        <v>330</v>
      </c>
      <c r="N328" t="s">
        <v>252</v>
      </c>
      <c r="O328">
        <v>100</v>
      </c>
      <c r="P328" t="str">
        <f t="shared" si="5"/>
        <v>紫桔止咳糖浆100ml×100瓶</v>
      </c>
    </row>
    <row r="329" spans="6:16" x14ac:dyDescent="0.15">
      <c r="F329" t="s">
        <v>1041</v>
      </c>
      <c r="G329">
        <v>25</v>
      </c>
      <c r="J329" t="s">
        <v>1041</v>
      </c>
      <c r="K329" t="s">
        <v>1042</v>
      </c>
      <c r="L329" t="s">
        <v>1043</v>
      </c>
      <c r="M329" t="s">
        <v>571</v>
      </c>
      <c r="N329" t="s">
        <v>572</v>
      </c>
      <c r="O329">
        <v>120</v>
      </c>
      <c r="P329" t="str">
        <f t="shared" si="5"/>
        <v>紫杉醇注射液5ml:30mg</v>
      </c>
    </row>
    <row r="330" spans="6:16" x14ac:dyDescent="0.15">
      <c r="F330" t="s">
        <v>1044</v>
      </c>
      <c r="G330">
        <v>5.5</v>
      </c>
      <c r="J330" t="s">
        <v>1044</v>
      </c>
      <c r="K330" t="s">
        <v>1045</v>
      </c>
      <c r="L330" t="s">
        <v>1046</v>
      </c>
      <c r="M330" t="s">
        <v>393</v>
      </c>
      <c r="N330" t="s">
        <v>252</v>
      </c>
      <c r="O330">
        <v>300</v>
      </c>
      <c r="P330" t="str">
        <f t="shared" si="5"/>
        <v>左羟丙哌嗪分散片60mg×12片×300盒</v>
      </c>
    </row>
  </sheetData>
  <phoneticPr fontId="5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转配商关联商</vt:lpstr>
      <vt:lpstr>专营商</vt:lpstr>
      <vt:lpstr>基础数据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gyb1</dc:creator>
  <cp:lastModifiedBy>Administrator</cp:lastModifiedBy>
  <dcterms:created xsi:type="dcterms:W3CDTF">2018-01-09T02:15:00Z</dcterms:created>
  <dcterms:modified xsi:type="dcterms:W3CDTF">2018-06-11T00:51:29Z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